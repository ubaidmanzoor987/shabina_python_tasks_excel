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sheets/sheet5.xml" ContentType="application/vnd.openxmlformats-officedocument.spreadsheetml.worksheet+xml"/>
  <Override PartName="/xl/externalLinks/externalLink2.xml" ContentType="application/vnd.openxmlformats-officedocument.spreadsheetml.externalLink+xml"/>
  <Override PartName="/xl/externalLinks/externalLink1.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externalLinks/externalLink3.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0" yWindow="15" windowWidth="28800" windowHeight="6420"/>
  </bookViews>
  <sheets>
    <sheet name="sapporo" sheetId="17" r:id="rId1"/>
    <sheet name="miyagi" sheetId="26" r:id="rId2"/>
    <sheet name="nagoya" sheetId="27" r:id="rId3"/>
    <sheet name="osaka" sheetId="28" r:id="rId4"/>
    <sheet name="hiroshima" sheetId="29" r:id="rId5"/>
    <sheet name="fukuoka" sheetId="30" r:id="rId6"/>
    <sheet name="tokyo-east(ota)" sheetId="32" r:id="rId7"/>
    <sheet name="tokyo-west(kato)" sheetId="31" r:id="rId8"/>
  </sheets>
  <externalReferences>
    <externalReference r:id="rId9"/>
    <externalReference r:id="rId10"/>
    <externalReference r:id="rId11"/>
    <externalReference r:id="rId12"/>
    <externalReference r:id="rId13"/>
  </externalReferences>
  <definedNames>
    <definedName name="_xlnm._FilterDatabase" localSheetId="5" hidden="1">fukuoka!$A$1:$BA$146</definedName>
    <definedName name="_xlnm._FilterDatabase" localSheetId="4" hidden="1">hiroshima!$A$1:$BA$1</definedName>
    <definedName name="_xlnm._FilterDatabase" localSheetId="1" hidden="1">miyagi!$A$1:$BA$82</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4">#REF!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4">#REF!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4">#REF!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4">#REF!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hiroshima!$E$1:$S$72</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4">#REF!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91" i="32" l="1"/>
  <c r="V91" i="32" s="1"/>
  <c r="Q91" i="32"/>
  <c r="V90" i="32"/>
  <c r="T90" i="32"/>
  <c r="Q90" i="32"/>
  <c r="T89" i="32"/>
  <c r="V89" i="32" s="1"/>
  <c r="Q89" i="32"/>
  <c r="V88" i="32"/>
  <c r="T88" i="32"/>
  <c r="Q88" i="32"/>
  <c r="T87" i="32"/>
  <c r="V87" i="32" s="1"/>
  <c r="Q87" i="32"/>
  <c r="V86" i="32"/>
  <c r="T86" i="32"/>
  <c r="Q86" i="32"/>
  <c r="T85" i="32"/>
  <c r="V85" i="32" s="1"/>
  <c r="Q85" i="32"/>
  <c r="V84" i="32"/>
  <c r="T84" i="32"/>
  <c r="Q84" i="32"/>
  <c r="T83" i="32"/>
  <c r="V83" i="32" s="1"/>
  <c r="Q83" i="32"/>
  <c r="V82" i="32"/>
  <c r="T82" i="32"/>
  <c r="Q82" i="32"/>
  <c r="T81" i="32"/>
  <c r="V81" i="32" s="1"/>
  <c r="Q81" i="32"/>
  <c r="V80" i="32"/>
  <c r="T80" i="32"/>
  <c r="Q80" i="32"/>
  <c r="T79" i="32"/>
  <c r="V79" i="32" s="1"/>
  <c r="Q79" i="32"/>
  <c r="V78" i="32"/>
  <c r="T78" i="32"/>
  <c r="Q78" i="32"/>
  <c r="T77" i="32"/>
  <c r="V77" i="32" s="1"/>
  <c r="Q77" i="32"/>
  <c r="V76" i="32"/>
  <c r="T76" i="32"/>
  <c r="Q76" i="32"/>
  <c r="T75" i="32"/>
  <c r="V75" i="32" s="1"/>
  <c r="Q75" i="32"/>
  <c r="V74" i="32"/>
  <c r="T74" i="32"/>
  <c r="Q74" i="32"/>
  <c r="T73" i="32"/>
  <c r="V73" i="32" s="1"/>
  <c r="Q73" i="32"/>
  <c r="V72" i="32"/>
  <c r="T72" i="32"/>
  <c r="Q72" i="32"/>
  <c r="T71" i="32"/>
  <c r="V71" i="32" s="1"/>
  <c r="Q71" i="32"/>
  <c r="V70" i="32"/>
  <c r="T70" i="32"/>
  <c r="Q70" i="32"/>
  <c r="T69" i="32"/>
  <c r="V69" i="32" s="1"/>
  <c r="Q69" i="32"/>
  <c r="V68" i="32"/>
  <c r="T68" i="32"/>
  <c r="Q68" i="32"/>
  <c r="T67" i="32"/>
  <c r="V67" i="32" s="1"/>
  <c r="Q67" i="32"/>
  <c r="V66" i="32"/>
  <c r="T66" i="32"/>
  <c r="Q66" i="32"/>
  <c r="T65" i="32"/>
  <c r="V65" i="32" s="1"/>
  <c r="Q65" i="32"/>
  <c r="V64" i="32"/>
  <c r="T64" i="32"/>
  <c r="Q64" i="32"/>
  <c r="T63" i="32"/>
  <c r="V63" i="32" s="1"/>
  <c r="Q63" i="32"/>
  <c r="V62" i="32"/>
  <c r="T62" i="32"/>
  <c r="Q62" i="32"/>
  <c r="T46" i="32"/>
  <c r="V46" i="32" s="1"/>
  <c r="Q46" i="32"/>
  <c r="V45" i="32"/>
  <c r="T45" i="32"/>
  <c r="Q45" i="32"/>
  <c r="T44" i="32"/>
  <c r="V44" i="32" s="1"/>
  <c r="Q44" i="32"/>
  <c r="V43" i="32"/>
  <c r="T43" i="32"/>
  <c r="Q43" i="32"/>
  <c r="T42" i="32"/>
  <c r="V42" i="32" s="1"/>
  <c r="Q42" i="32"/>
  <c r="V41" i="32"/>
  <c r="T41" i="32"/>
  <c r="Q41" i="32"/>
  <c r="T40" i="32"/>
  <c r="V40" i="32" s="1"/>
  <c r="Q40" i="32"/>
  <c r="V39" i="32"/>
  <c r="T39" i="32"/>
  <c r="Q39" i="32"/>
  <c r="T38" i="32"/>
  <c r="V38" i="32" s="1"/>
  <c r="Q38" i="32"/>
  <c r="V37" i="32"/>
  <c r="T37" i="32"/>
  <c r="Q37" i="32"/>
  <c r="T36" i="32"/>
  <c r="V36" i="32" s="1"/>
  <c r="Q36" i="32"/>
  <c r="V35" i="32"/>
  <c r="T35" i="32"/>
  <c r="Q35" i="32"/>
  <c r="T34" i="32"/>
  <c r="V34" i="32" s="1"/>
  <c r="Q34" i="32"/>
  <c r="V33" i="32"/>
  <c r="T33" i="32"/>
  <c r="Q33" i="32"/>
  <c r="T32" i="32"/>
  <c r="V32" i="32" s="1"/>
  <c r="Q32" i="32"/>
  <c r="V31" i="32"/>
  <c r="T31" i="32"/>
  <c r="Q31" i="32"/>
  <c r="T30" i="32"/>
  <c r="V30" i="32" s="1"/>
  <c r="Q30" i="32"/>
  <c r="V29" i="32"/>
  <c r="T29" i="32"/>
  <c r="Q29" i="32"/>
  <c r="T28" i="32"/>
  <c r="V28" i="32" s="1"/>
  <c r="Q28" i="32"/>
  <c r="V27" i="32"/>
  <c r="T27" i="32"/>
  <c r="Q27" i="32"/>
  <c r="T26" i="32"/>
  <c r="V26" i="32" s="1"/>
  <c r="Q26" i="32"/>
  <c r="V25" i="32"/>
  <c r="T25" i="32"/>
  <c r="Q25" i="32"/>
  <c r="T24" i="32"/>
  <c r="V24" i="32" s="1"/>
  <c r="Q24" i="32"/>
  <c r="V23" i="32"/>
  <c r="T23" i="32"/>
  <c r="Q23" i="32"/>
  <c r="T22" i="32"/>
  <c r="V22" i="32" s="1"/>
  <c r="Q22" i="32"/>
  <c r="V21" i="32"/>
  <c r="T21" i="32"/>
  <c r="Q21" i="32"/>
  <c r="T20" i="32"/>
  <c r="V20" i="32" s="1"/>
  <c r="Q20" i="32"/>
  <c r="V19" i="32"/>
  <c r="T19" i="32"/>
  <c r="Q19" i="32"/>
  <c r="T18" i="32"/>
  <c r="V18" i="32" s="1"/>
  <c r="Q18" i="32"/>
  <c r="V17" i="32"/>
  <c r="T17" i="32"/>
  <c r="Q17" i="32"/>
  <c r="T16" i="32"/>
  <c r="V16" i="32" s="1"/>
  <c r="Q16" i="32"/>
  <c r="V15" i="32"/>
  <c r="T15" i="32"/>
  <c r="Q15" i="32"/>
  <c r="T14" i="32"/>
  <c r="V14" i="32" s="1"/>
  <c r="Q14" i="32"/>
  <c r="V13" i="32"/>
  <c r="T13" i="32"/>
  <c r="Q13" i="32"/>
  <c r="T12" i="32"/>
  <c r="V12" i="32" s="1"/>
  <c r="Q12" i="32"/>
  <c r="V11" i="32"/>
  <c r="T11" i="32"/>
  <c r="Q11" i="32"/>
  <c r="T10" i="32"/>
  <c r="V10" i="32" s="1"/>
  <c r="Q10" i="32"/>
  <c r="V9" i="32"/>
  <c r="T9" i="32"/>
  <c r="Q9" i="32"/>
  <c r="T8" i="32"/>
  <c r="V8" i="32" s="1"/>
  <c r="Q8" i="32"/>
  <c r="V7" i="32"/>
  <c r="T7" i="32"/>
  <c r="Q7" i="32"/>
  <c r="T6" i="32"/>
  <c r="V6" i="32" s="1"/>
  <c r="Q6" i="32"/>
  <c r="V5" i="32"/>
  <c r="T5" i="32"/>
  <c r="Q5" i="32"/>
  <c r="T4" i="32"/>
  <c r="V4" i="32" s="1"/>
  <c r="Q4" i="32"/>
  <c r="V3" i="32"/>
  <c r="T3" i="32"/>
  <c r="Q3" i="32"/>
  <c r="Q2" i="32"/>
  <c r="Q66" i="31" l="1"/>
  <c r="T97" i="31"/>
  <c r="V97" i="31" s="1"/>
  <c r="Q97" i="31"/>
  <c r="T96" i="31"/>
  <c r="V96" i="31" s="1"/>
  <c r="Q96" i="31"/>
  <c r="T95" i="31"/>
  <c r="V95" i="31" s="1"/>
  <c r="Q95" i="31"/>
  <c r="V94" i="31"/>
  <c r="T94" i="31"/>
  <c r="Q94" i="31"/>
  <c r="T93" i="31"/>
  <c r="V93" i="31" s="1"/>
  <c r="Q93" i="31"/>
  <c r="T92" i="31"/>
  <c r="V92" i="31" s="1"/>
  <c r="Q92" i="31"/>
  <c r="T91" i="31"/>
  <c r="V91" i="31" s="1"/>
  <c r="Q91" i="31"/>
  <c r="V90" i="31"/>
  <c r="T90" i="31"/>
  <c r="Q90" i="31"/>
  <c r="T89" i="31"/>
  <c r="V89" i="31" s="1"/>
  <c r="Q89" i="31"/>
  <c r="T88" i="31"/>
  <c r="V88" i="31" s="1"/>
  <c r="Q88" i="31"/>
  <c r="T87" i="31"/>
  <c r="V87" i="31" s="1"/>
  <c r="Q87" i="31"/>
  <c r="V86" i="31"/>
  <c r="T86" i="31"/>
  <c r="Q86" i="31"/>
  <c r="T85" i="31"/>
  <c r="V85" i="31" s="1"/>
  <c r="Q85" i="31"/>
  <c r="T84" i="31"/>
  <c r="V84" i="31" s="1"/>
  <c r="Q84" i="31"/>
  <c r="T83" i="31"/>
  <c r="V83" i="31" s="1"/>
  <c r="Q83" i="31"/>
  <c r="V82" i="31"/>
  <c r="T82" i="31"/>
  <c r="Q82" i="31"/>
  <c r="T81" i="31"/>
  <c r="V81" i="31" s="1"/>
  <c r="Q81" i="31"/>
  <c r="T80" i="31"/>
  <c r="V80" i="31" s="1"/>
  <c r="Q80" i="31"/>
  <c r="T79" i="31"/>
  <c r="V79" i="31" s="1"/>
  <c r="Q79" i="31"/>
  <c r="V78" i="31"/>
  <c r="T78" i="31"/>
  <c r="Q78" i="31"/>
  <c r="T77" i="31"/>
  <c r="V77" i="31" s="1"/>
  <c r="Q77" i="31"/>
  <c r="T76" i="31"/>
  <c r="V76" i="31" s="1"/>
  <c r="Q76" i="31"/>
  <c r="T75" i="31"/>
  <c r="V75" i="31" s="1"/>
  <c r="Q75" i="31"/>
  <c r="V74" i="31"/>
  <c r="T74" i="31"/>
  <c r="Q74" i="31"/>
  <c r="T73" i="31"/>
  <c r="V73" i="31" s="1"/>
  <c r="Q73" i="31"/>
  <c r="T72" i="31"/>
  <c r="V72" i="31" s="1"/>
  <c r="Q72" i="31"/>
  <c r="T71" i="31"/>
  <c r="V71" i="31" s="1"/>
  <c r="Q71" i="31"/>
  <c r="V70" i="31"/>
  <c r="T70" i="31"/>
  <c r="Q70" i="31"/>
  <c r="T69" i="31"/>
  <c r="V69" i="31" s="1"/>
  <c r="Q69" i="31"/>
  <c r="T68" i="31"/>
  <c r="V68" i="31" s="1"/>
  <c r="Q68" i="31"/>
  <c r="T67" i="31"/>
  <c r="V67" i="31" s="1"/>
  <c r="Q67" i="31"/>
  <c r="V66" i="31"/>
  <c r="T66" i="31"/>
  <c r="T65" i="31"/>
  <c r="V65" i="31" s="1"/>
  <c r="Q65" i="31"/>
  <c r="T64" i="31"/>
  <c r="V64" i="31" s="1"/>
  <c r="Q64" i="31"/>
  <c r="T63" i="31"/>
  <c r="V63" i="31" s="1"/>
  <c r="Q63" i="31"/>
  <c r="V62" i="31"/>
  <c r="T62" i="31"/>
  <c r="Q62" i="31"/>
  <c r="T61" i="31"/>
  <c r="V61" i="31" s="1"/>
  <c r="Q61" i="31"/>
  <c r="T60" i="31"/>
  <c r="V60" i="31" s="1"/>
  <c r="Q60" i="31"/>
  <c r="T59" i="31"/>
  <c r="V59" i="31" s="1"/>
  <c r="Q59" i="31"/>
  <c r="V58" i="31"/>
  <c r="T58" i="31"/>
  <c r="Q58" i="31"/>
  <c r="T57" i="31"/>
  <c r="V57" i="31" s="1"/>
  <c r="Q57" i="31"/>
  <c r="T56" i="31"/>
  <c r="V56" i="31" s="1"/>
  <c r="Q56" i="31"/>
  <c r="T55" i="31"/>
  <c r="V55" i="31" s="1"/>
  <c r="Q55" i="31"/>
  <c r="V54" i="31"/>
  <c r="T54" i="31"/>
  <c r="Q54" i="31"/>
  <c r="T53" i="31"/>
  <c r="V53" i="31" s="1"/>
  <c r="Q53" i="31"/>
  <c r="T52" i="31"/>
  <c r="V52" i="31" s="1"/>
  <c r="Q52" i="31"/>
  <c r="T51" i="31"/>
  <c r="V51" i="31" s="1"/>
  <c r="Q51" i="31"/>
  <c r="V50" i="31"/>
  <c r="T50" i="31"/>
  <c r="Q50" i="31"/>
  <c r="T49" i="31"/>
  <c r="V49" i="31" s="1"/>
  <c r="Q49" i="31"/>
  <c r="T48" i="31"/>
  <c r="V48" i="31" s="1"/>
  <c r="Q48" i="31"/>
  <c r="T47" i="31"/>
  <c r="V47" i="31" s="1"/>
  <c r="Q47" i="31"/>
  <c r="V46" i="31"/>
  <c r="T46" i="31"/>
  <c r="Q46" i="31"/>
  <c r="T45" i="31"/>
  <c r="V45" i="31" s="1"/>
  <c r="Q45" i="31"/>
  <c r="T44" i="31"/>
  <c r="V44" i="31" s="1"/>
  <c r="Q44" i="31"/>
  <c r="T43" i="31"/>
  <c r="V43" i="31" s="1"/>
  <c r="Q43" i="31"/>
  <c r="V42" i="31"/>
  <c r="T42" i="31"/>
  <c r="Q42" i="31"/>
  <c r="T41" i="31"/>
  <c r="V41" i="31" s="1"/>
  <c r="Q41" i="31"/>
  <c r="T40" i="31"/>
  <c r="V40" i="31" s="1"/>
  <c r="Q40" i="31"/>
  <c r="T39" i="31"/>
  <c r="V39" i="31" s="1"/>
  <c r="Q39" i="31"/>
  <c r="V38" i="31"/>
  <c r="T38" i="31"/>
  <c r="Q38" i="31"/>
  <c r="T37" i="31"/>
  <c r="V37" i="31" s="1"/>
  <c r="Q37" i="31"/>
  <c r="T36" i="31"/>
  <c r="V36" i="31" s="1"/>
  <c r="Q36" i="31"/>
  <c r="T35" i="31"/>
  <c r="V35" i="31" s="1"/>
  <c r="Q35" i="31"/>
  <c r="V34" i="31"/>
  <c r="T34" i="31"/>
  <c r="Q34" i="31"/>
  <c r="T33" i="31"/>
  <c r="V33" i="31" s="1"/>
  <c r="Q33" i="31"/>
  <c r="T32" i="31"/>
  <c r="V32" i="31" s="1"/>
  <c r="Q32" i="31"/>
  <c r="T31" i="31"/>
  <c r="V31" i="31" s="1"/>
  <c r="Q31" i="31"/>
  <c r="V30" i="31"/>
  <c r="T30" i="31"/>
  <c r="Q30" i="31"/>
  <c r="T29" i="31"/>
  <c r="V29" i="31" s="1"/>
  <c r="Q29" i="31"/>
  <c r="T28" i="31"/>
  <c r="V28" i="31" s="1"/>
  <c r="Q28" i="31"/>
  <c r="T27" i="31"/>
  <c r="V27" i="31" s="1"/>
  <c r="Q27" i="31"/>
  <c r="V26" i="31"/>
  <c r="T26" i="31"/>
  <c r="Q26" i="31"/>
  <c r="T25" i="31"/>
  <c r="V25" i="31" s="1"/>
  <c r="Q25" i="31"/>
  <c r="T24" i="31"/>
  <c r="V24" i="31" s="1"/>
  <c r="Q24" i="31"/>
  <c r="T23" i="31"/>
  <c r="V23" i="31" s="1"/>
  <c r="Q23" i="31"/>
  <c r="V22" i="31"/>
  <c r="T22" i="31"/>
  <c r="Q22" i="31"/>
  <c r="T21" i="31"/>
  <c r="V21" i="31" s="1"/>
  <c r="Q21" i="31"/>
  <c r="T20" i="31"/>
  <c r="V20" i="31" s="1"/>
  <c r="Q20" i="31"/>
  <c r="T19" i="31"/>
  <c r="V19" i="31" s="1"/>
  <c r="Q19" i="31"/>
  <c r="V18" i="31"/>
  <c r="T18" i="31"/>
  <c r="Q18" i="31"/>
  <c r="T17" i="31"/>
  <c r="V17" i="31" s="1"/>
  <c r="Q17" i="31"/>
  <c r="T16" i="31"/>
  <c r="V16" i="31" s="1"/>
  <c r="Q16" i="31"/>
  <c r="T15" i="31"/>
  <c r="V15" i="31" s="1"/>
  <c r="Q15" i="31"/>
  <c r="V14" i="31"/>
  <c r="T14" i="31"/>
  <c r="Q14" i="31"/>
  <c r="T13" i="31"/>
  <c r="V13" i="31" s="1"/>
  <c r="Q13" i="31"/>
  <c r="T12" i="31"/>
  <c r="V12" i="31" s="1"/>
  <c r="Q12" i="31"/>
  <c r="T11" i="31"/>
  <c r="V11" i="31" s="1"/>
  <c r="Q11" i="31"/>
  <c r="V10" i="31"/>
  <c r="T10" i="31"/>
  <c r="Q10" i="31"/>
  <c r="T9" i="31"/>
  <c r="V9" i="31" s="1"/>
  <c r="Q9" i="31"/>
  <c r="T8" i="31"/>
  <c r="V8" i="31" s="1"/>
  <c r="Q8" i="31"/>
  <c r="T7" i="31"/>
  <c r="V7" i="31" s="1"/>
  <c r="Q7" i="31"/>
  <c r="V6" i="31"/>
  <c r="T6" i="31"/>
  <c r="Q6" i="31"/>
  <c r="T5" i="31"/>
  <c r="V5" i="31" s="1"/>
  <c r="Q5" i="31"/>
  <c r="T4" i="31"/>
  <c r="V4" i="31" s="1"/>
  <c r="Q4" i="31"/>
  <c r="T3" i="31"/>
  <c r="V3" i="31" s="1"/>
  <c r="Q3" i="31"/>
  <c r="V2" i="31"/>
  <c r="T2" i="31"/>
  <c r="Q2" i="31"/>
  <c r="V146" i="30" l="1"/>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V100" i="30"/>
  <c r="T100" i="30"/>
  <c r="Q100" i="30"/>
  <c r="V99" i="30"/>
  <c r="T99" i="30"/>
  <c r="Q99" i="30"/>
  <c r="V98" i="30"/>
  <c r="T98" i="30"/>
  <c r="Q98" i="30"/>
  <c r="V97" i="30"/>
  <c r="T97" i="30"/>
  <c r="Q97" i="30"/>
  <c r="V96" i="30"/>
  <c r="T96" i="30"/>
  <c r="Q96" i="30"/>
  <c r="V95" i="30"/>
  <c r="T95" i="30"/>
  <c r="Q95"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V76" i="29" l="1"/>
  <c r="T76" i="29"/>
  <c r="Q76" i="29"/>
  <c r="T75" i="29"/>
  <c r="V75" i="29" s="1"/>
  <c r="Q75" i="29"/>
  <c r="T74" i="29"/>
  <c r="V74" i="29" s="1"/>
  <c r="Q74" i="29"/>
  <c r="V73" i="29"/>
  <c r="T73" i="29"/>
  <c r="Q73" i="29"/>
  <c r="V72" i="29"/>
  <c r="T72" i="29"/>
  <c r="Q72" i="29"/>
  <c r="T71" i="29"/>
  <c r="V71" i="29" s="1"/>
  <c r="Q71" i="29"/>
  <c r="T70" i="29"/>
  <c r="V70" i="29" s="1"/>
  <c r="Q70" i="29"/>
  <c r="V69" i="29"/>
  <c r="T69" i="29"/>
  <c r="Q69" i="29"/>
  <c r="V68" i="29"/>
  <c r="T68" i="29"/>
  <c r="Q68" i="29"/>
  <c r="T67" i="29"/>
  <c r="V67" i="29" s="1"/>
  <c r="Q67" i="29"/>
  <c r="T66" i="29"/>
  <c r="V66" i="29" s="1"/>
  <c r="Q66" i="29"/>
  <c r="V65" i="29"/>
  <c r="T65" i="29"/>
  <c r="Q65" i="29"/>
  <c r="V64" i="29"/>
  <c r="T64" i="29"/>
  <c r="Q64" i="29"/>
  <c r="T63" i="29"/>
  <c r="V63" i="29" s="1"/>
  <c r="Q63" i="29"/>
  <c r="T62" i="29"/>
  <c r="V62" i="29" s="1"/>
  <c r="Q62" i="29"/>
  <c r="V61" i="29"/>
  <c r="T61" i="29"/>
  <c r="Q61" i="29"/>
  <c r="V60" i="29"/>
  <c r="T60" i="29"/>
  <c r="Q60" i="29"/>
  <c r="T59" i="29"/>
  <c r="V59" i="29" s="1"/>
  <c r="Q59" i="29"/>
  <c r="T58" i="29"/>
  <c r="V58" i="29" s="1"/>
  <c r="Q58" i="29"/>
  <c r="V57" i="29"/>
  <c r="T57" i="29"/>
  <c r="Q57" i="29"/>
  <c r="V56" i="29"/>
  <c r="T56" i="29"/>
  <c r="Q56" i="29"/>
  <c r="T55" i="29"/>
  <c r="V55" i="29" s="1"/>
  <c r="Q55" i="29"/>
  <c r="T54" i="29"/>
  <c r="V54" i="29" s="1"/>
  <c r="Q54" i="29"/>
  <c r="V53" i="29"/>
  <c r="T53" i="29"/>
  <c r="Q53" i="29"/>
  <c r="V52" i="29"/>
  <c r="T52" i="29"/>
  <c r="Q52" i="29"/>
  <c r="T51" i="29"/>
  <c r="V51" i="29" s="1"/>
  <c r="Q51" i="29"/>
  <c r="T50" i="29"/>
  <c r="V50" i="29" s="1"/>
  <c r="Q50" i="29"/>
  <c r="V49" i="29"/>
  <c r="T49" i="29"/>
  <c r="Q49" i="29"/>
  <c r="V48" i="29"/>
  <c r="T48" i="29"/>
  <c r="Q48" i="29"/>
  <c r="T47" i="29"/>
  <c r="V47" i="29" s="1"/>
  <c r="Q47" i="29"/>
  <c r="T46" i="29"/>
  <c r="V46" i="29" s="1"/>
  <c r="Q46" i="29"/>
  <c r="V45" i="29"/>
  <c r="T45" i="29"/>
  <c r="Q45" i="29"/>
  <c r="V44" i="29"/>
  <c r="T44" i="29"/>
  <c r="Q44" i="29"/>
  <c r="T43" i="29"/>
  <c r="V43" i="29" s="1"/>
  <c r="Q43" i="29"/>
  <c r="T42" i="29"/>
  <c r="V42" i="29" s="1"/>
  <c r="Q42" i="29"/>
  <c r="V41" i="29"/>
  <c r="T41" i="29"/>
  <c r="Q41" i="29"/>
  <c r="V40" i="29"/>
  <c r="T40" i="29"/>
  <c r="Q40" i="29"/>
  <c r="T39" i="29"/>
  <c r="V39" i="29" s="1"/>
  <c r="Q39" i="29"/>
  <c r="T38" i="29"/>
  <c r="V38" i="29" s="1"/>
  <c r="Q38" i="29"/>
  <c r="V37" i="29"/>
  <c r="T37" i="29"/>
  <c r="Q37" i="29"/>
  <c r="V36" i="29"/>
  <c r="T36" i="29"/>
  <c r="Q36" i="29"/>
  <c r="T35" i="29"/>
  <c r="V35" i="29" s="1"/>
  <c r="Q35" i="29"/>
  <c r="T34" i="29"/>
  <c r="V34" i="29" s="1"/>
  <c r="Q34" i="29"/>
  <c r="V33" i="29"/>
  <c r="T33" i="29"/>
  <c r="Q33" i="29"/>
  <c r="V32" i="29"/>
  <c r="T32" i="29"/>
  <c r="Q32" i="29"/>
  <c r="T31" i="29"/>
  <c r="V31" i="29" s="1"/>
  <c r="Q31" i="29"/>
  <c r="T30" i="29"/>
  <c r="V30" i="29" s="1"/>
  <c r="Q30" i="29"/>
  <c r="V29" i="29"/>
  <c r="T29" i="29"/>
  <c r="Q29" i="29"/>
  <c r="V28" i="29"/>
  <c r="T28" i="29"/>
  <c r="Q28" i="29"/>
  <c r="T27" i="29"/>
  <c r="V27" i="29" s="1"/>
  <c r="Q27" i="29"/>
  <c r="T26" i="29"/>
  <c r="V26" i="29" s="1"/>
  <c r="Q26" i="29"/>
  <c r="V25" i="29"/>
  <c r="T25" i="29"/>
  <c r="Q25" i="29"/>
  <c r="V24" i="29"/>
  <c r="T24" i="29"/>
  <c r="Q24" i="29"/>
  <c r="T23" i="29"/>
  <c r="V23" i="29" s="1"/>
  <c r="Q23" i="29"/>
  <c r="T22" i="29"/>
  <c r="V22" i="29" s="1"/>
  <c r="Q22" i="29"/>
  <c r="V21" i="29"/>
  <c r="T21" i="29"/>
  <c r="Q21" i="29"/>
  <c r="V20" i="29"/>
  <c r="T20" i="29"/>
  <c r="Q20" i="29"/>
  <c r="T19" i="29"/>
  <c r="V19" i="29" s="1"/>
  <c r="Q19" i="29"/>
  <c r="T18" i="29"/>
  <c r="V18" i="29" s="1"/>
  <c r="Q18" i="29"/>
  <c r="V17" i="29"/>
  <c r="T17" i="29"/>
  <c r="Q17" i="29"/>
  <c r="V16" i="29"/>
  <c r="T16" i="29"/>
  <c r="Q16" i="29"/>
  <c r="T15" i="29"/>
  <c r="V15" i="29" s="1"/>
  <c r="Q15" i="29"/>
  <c r="T14" i="29"/>
  <c r="V14" i="29" s="1"/>
  <c r="Q14" i="29"/>
  <c r="V13" i="29"/>
  <c r="T13" i="29"/>
  <c r="Q13" i="29"/>
  <c r="V12" i="29"/>
  <c r="T12" i="29"/>
  <c r="Q12" i="29"/>
  <c r="T11" i="29"/>
  <c r="V11" i="29" s="1"/>
  <c r="Q11" i="29"/>
  <c r="T10" i="29"/>
  <c r="V10" i="29" s="1"/>
  <c r="Q10" i="29"/>
  <c r="V9" i="29"/>
  <c r="T9" i="29"/>
  <c r="Q9" i="29"/>
  <c r="T8" i="29"/>
  <c r="V8" i="29" s="1"/>
  <c r="Q8" i="29"/>
  <c r="T7" i="29"/>
  <c r="V7" i="29" s="1"/>
  <c r="Q7" i="29"/>
  <c r="T6" i="29"/>
  <c r="V6" i="29" s="1"/>
  <c r="Q6" i="29"/>
  <c r="V5" i="29"/>
  <c r="T5" i="29"/>
  <c r="Q5" i="29"/>
  <c r="T4" i="29"/>
  <c r="V4" i="29" s="1"/>
  <c r="Q4" i="29"/>
  <c r="T3" i="29"/>
  <c r="V3" i="29" s="1"/>
  <c r="Q3" i="29"/>
  <c r="T2" i="29"/>
  <c r="V2" i="29" s="1"/>
  <c r="Q2" i="29"/>
  <c r="T85" i="28" l="1"/>
  <c r="V85" i="28" s="1"/>
  <c r="Q85" i="28"/>
  <c r="T84" i="28"/>
  <c r="V84" i="28" s="1"/>
  <c r="Q84" i="28"/>
  <c r="V83" i="28"/>
  <c r="T83" i="28"/>
  <c r="Q83" i="28"/>
  <c r="V82" i="28"/>
  <c r="T82" i="28"/>
  <c r="Q82" i="28"/>
  <c r="T81" i="28"/>
  <c r="V81" i="28" s="1"/>
  <c r="Q81" i="28"/>
  <c r="T80" i="28"/>
  <c r="V80" i="28" s="1"/>
  <c r="Q80" i="28"/>
  <c r="V79" i="28"/>
  <c r="T79" i="28"/>
  <c r="Q79" i="28"/>
  <c r="V78" i="28"/>
  <c r="T78" i="28"/>
  <c r="Q78" i="28"/>
  <c r="T77" i="28"/>
  <c r="V77" i="28" s="1"/>
  <c r="Q77" i="28"/>
  <c r="T76" i="28"/>
  <c r="V76" i="28" s="1"/>
  <c r="Q76" i="28"/>
  <c r="V75" i="28"/>
  <c r="T75" i="28"/>
  <c r="Q75" i="28"/>
  <c r="V74" i="28"/>
  <c r="T74" i="28"/>
  <c r="Q74" i="28"/>
  <c r="T73" i="28"/>
  <c r="V73" i="28" s="1"/>
  <c r="Q73" i="28"/>
  <c r="T72" i="28"/>
  <c r="V72" i="28" s="1"/>
  <c r="Q72" i="28"/>
  <c r="V71" i="28"/>
  <c r="T71" i="28"/>
  <c r="Q71" i="28"/>
  <c r="V70" i="28"/>
  <c r="T70" i="28"/>
  <c r="Q70" i="28"/>
  <c r="T69" i="28"/>
  <c r="V69" i="28" s="1"/>
  <c r="Q69" i="28"/>
  <c r="T68" i="28"/>
  <c r="V68" i="28" s="1"/>
  <c r="Q68" i="28"/>
  <c r="V67" i="28"/>
  <c r="T67" i="28"/>
  <c r="Q67" i="28"/>
  <c r="V66" i="28"/>
  <c r="T66" i="28"/>
  <c r="Q66" i="28"/>
  <c r="T65" i="28"/>
  <c r="V65" i="28" s="1"/>
  <c r="Q65" i="28"/>
  <c r="T64" i="28"/>
  <c r="V64" i="28" s="1"/>
  <c r="Q64" i="28"/>
  <c r="T63" i="28"/>
  <c r="V63" i="28" s="1"/>
  <c r="Q63" i="28"/>
  <c r="V62" i="28"/>
  <c r="T62" i="28"/>
  <c r="Q62" i="28"/>
  <c r="T61" i="28"/>
  <c r="V61" i="28" s="1"/>
  <c r="Q61" i="28"/>
  <c r="T60" i="28"/>
  <c r="V60" i="28" s="1"/>
  <c r="Q60" i="28"/>
  <c r="T59" i="28"/>
  <c r="V59" i="28" s="1"/>
  <c r="Q59" i="28"/>
  <c r="V58" i="28"/>
  <c r="T58" i="28"/>
  <c r="Q58" i="28"/>
  <c r="T57" i="28"/>
  <c r="V57" i="28" s="1"/>
  <c r="Q57" i="28"/>
  <c r="T56" i="28"/>
  <c r="V56" i="28" s="1"/>
  <c r="Q56" i="28"/>
  <c r="T55" i="28"/>
  <c r="V55" i="28" s="1"/>
  <c r="Q55" i="28"/>
  <c r="V54" i="28"/>
  <c r="T54" i="28"/>
  <c r="Q54" i="28"/>
  <c r="T53" i="28"/>
  <c r="V53" i="28" s="1"/>
  <c r="Q53" i="28"/>
  <c r="T52" i="28"/>
  <c r="V52" i="28" s="1"/>
  <c r="Q52" i="28"/>
  <c r="T51" i="28"/>
  <c r="V51" i="28" s="1"/>
  <c r="Q51" i="28"/>
  <c r="V50" i="28"/>
  <c r="T50" i="28"/>
  <c r="Q50" i="28"/>
  <c r="T49" i="28"/>
  <c r="V49" i="28" s="1"/>
  <c r="Q49" i="28"/>
  <c r="T48" i="28"/>
  <c r="V48" i="28" s="1"/>
  <c r="Q48" i="28"/>
  <c r="T47" i="28"/>
  <c r="V47" i="28" s="1"/>
  <c r="Q47" i="28"/>
  <c r="V46" i="28"/>
  <c r="T46" i="28"/>
  <c r="Q46" i="28"/>
  <c r="T45" i="28"/>
  <c r="V45" i="28" s="1"/>
  <c r="Q45" i="28"/>
  <c r="T44" i="28"/>
  <c r="V44" i="28" s="1"/>
  <c r="Q44" i="28"/>
  <c r="T43" i="28"/>
  <c r="V43" i="28" s="1"/>
  <c r="Q43" i="28"/>
  <c r="V42" i="28"/>
  <c r="T42" i="28"/>
  <c r="Q42" i="28"/>
  <c r="T41" i="28"/>
  <c r="V41" i="28" s="1"/>
  <c r="Q41" i="28"/>
  <c r="T40" i="28"/>
  <c r="V40" i="28" s="1"/>
  <c r="Q40" i="28"/>
  <c r="T39" i="28"/>
  <c r="V39" i="28" s="1"/>
  <c r="Q39" i="28"/>
  <c r="V38" i="28"/>
  <c r="T38" i="28"/>
  <c r="Q38" i="28"/>
  <c r="T37" i="28"/>
  <c r="V37" i="28" s="1"/>
  <c r="Q37" i="28"/>
  <c r="T36" i="28"/>
  <c r="V36" i="28" s="1"/>
  <c r="Q36" i="28"/>
  <c r="T35" i="28"/>
  <c r="V35" i="28" s="1"/>
  <c r="Q35" i="28"/>
  <c r="V34" i="28"/>
  <c r="T34" i="28"/>
  <c r="Q34" i="28"/>
  <c r="T33" i="28"/>
  <c r="V33" i="28" s="1"/>
  <c r="Q33" i="28"/>
  <c r="T32" i="28"/>
  <c r="V32" i="28" s="1"/>
  <c r="Q32" i="28"/>
  <c r="T31" i="28"/>
  <c r="V31" i="28" s="1"/>
  <c r="Q31" i="28"/>
  <c r="V30" i="28"/>
  <c r="T30" i="28"/>
  <c r="Q30" i="28"/>
  <c r="T29" i="28"/>
  <c r="V29" i="28" s="1"/>
  <c r="Q29" i="28"/>
  <c r="T28" i="28"/>
  <c r="V28" i="28" s="1"/>
  <c r="Q28" i="28"/>
  <c r="T27" i="28"/>
  <c r="V27" i="28" s="1"/>
  <c r="Q27" i="28"/>
  <c r="V26" i="28"/>
  <c r="T26" i="28"/>
  <c r="Q26" i="28"/>
  <c r="T25" i="28"/>
  <c r="V25" i="28" s="1"/>
  <c r="Q25" i="28"/>
  <c r="T24" i="28"/>
  <c r="V24" i="28" s="1"/>
  <c r="Q24" i="28"/>
  <c r="T23" i="28"/>
  <c r="V23" i="28" s="1"/>
  <c r="Q23" i="28"/>
  <c r="V22" i="28"/>
  <c r="T22" i="28"/>
  <c r="Q22" i="28"/>
  <c r="T21" i="28"/>
  <c r="V21" i="28" s="1"/>
  <c r="Q21" i="28"/>
  <c r="T20" i="28"/>
  <c r="V20" i="28" s="1"/>
  <c r="Q20" i="28"/>
  <c r="T19" i="28"/>
  <c r="V19" i="28" s="1"/>
  <c r="Q19" i="28"/>
  <c r="V18" i="28"/>
  <c r="T18" i="28"/>
  <c r="Q18" i="28"/>
  <c r="T17" i="28"/>
  <c r="V17" i="28" s="1"/>
  <c r="Q17" i="28"/>
  <c r="T16" i="28"/>
  <c r="V16" i="28" s="1"/>
  <c r="Q16" i="28"/>
  <c r="T15" i="28"/>
  <c r="V15" i="28" s="1"/>
  <c r="Q15" i="28"/>
  <c r="V14" i="28"/>
  <c r="T14" i="28"/>
  <c r="Q14" i="28"/>
  <c r="T13" i="28"/>
  <c r="V13" i="28" s="1"/>
  <c r="Q13" i="28"/>
  <c r="T12" i="28"/>
  <c r="V12" i="28" s="1"/>
  <c r="Q12" i="28"/>
  <c r="T11" i="28"/>
  <c r="V11" i="28" s="1"/>
  <c r="Q11" i="28"/>
  <c r="V10" i="28"/>
  <c r="T10" i="28"/>
  <c r="Q10" i="28"/>
  <c r="T9" i="28"/>
  <c r="V9" i="28" s="1"/>
  <c r="Q9" i="28"/>
  <c r="T8" i="28"/>
  <c r="V8" i="28" s="1"/>
  <c r="Q8" i="28"/>
  <c r="T7" i="28"/>
  <c r="V7" i="28" s="1"/>
  <c r="Q7" i="28"/>
  <c r="V6" i="28"/>
  <c r="T6" i="28"/>
  <c r="Q6" i="28"/>
  <c r="T5" i="28"/>
  <c r="V5" i="28" s="1"/>
  <c r="Q5" i="28"/>
  <c r="T4" i="28"/>
  <c r="V4" i="28" s="1"/>
  <c r="Q4" i="28"/>
  <c r="T3" i="28"/>
  <c r="V3" i="28" s="1"/>
  <c r="Q3" i="28"/>
  <c r="V2" i="28"/>
  <c r="T2" i="28"/>
  <c r="Q2" i="28"/>
  <c r="T52" i="27" l="1"/>
  <c r="V52" i="27" s="1"/>
  <c r="Q52" i="27"/>
  <c r="T51" i="27"/>
  <c r="V51" i="27" s="1"/>
  <c r="Q51" i="27"/>
  <c r="V50" i="27"/>
  <c r="T50" i="27"/>
  <c r="Q50" i="27"/>
  <c r="T49" i="27"/>
  <c r="V49" i="27" s="1"/>
  <c r="Q49" i="27"/>
  <c r="T48" i="27"/>
  <c r="V48" i="27" s="1"/>
  <c r="Q48" i="27"/>
  <c r="T47" i="27"/>
  <c r="V47" i="27" s="1"/>
  <c r="Q47" i="27"/>
  <c r="V46" i="27"/>
  <c r="T46" i="27"/>
  <c r="Q46" i="27"/>
  <c r="T45" i="27"/>
  <c r="V45" i="27" s="1"/>
  <c r="Q45" i="27"/>
  <c r="T44" i="27"/>
  <c r="V44" i="27" s="1"/>
  <c r="Q44" i="27"/>
  <c r="T43" i="27"/>
  <c r="V43" i="27" s="1"/>
  <c r="Q43" i="27"/>
  <c r="V42" i="27"/>
  <c r="T42" i="27"/>
  <c r="Q42" i="27"/>
  <c r="T41" i="27"/>
  <c r="V41" i="27" s="1"/>
  <c r="Q41" i="27"/>
  <c r="T40" i="27"/>
  <c r="V40" i="27" s="1"/>
  <c r="Q40" i="27"/>
  <c r="T39" i="27"/>
  <c r="V39" i="27" s="1"/>
  <c r="Q39" i="27"/>
  <c r="V38" i="27"/>
  <c r="T38" i="27"/>
  <c r="Q38" i="27"/>
  <c r="T37" i="27"/>
  <c r="V37" i="27" s="1"/>
  <c r="Q37" i="27"/>
  <c r="T36" i="27"/>
  <c r="V36" i="27" s="1"/>
  <c r="Q36" i="27"/>
  <c r="T35" i="27"/>
  <c r="V35" i="27" s="1"/>
  <c r="Q35" i="27"/>
  <c r="V34" i="27"/>
  <c r="T34" i="27"/>
  <c r="Q34" i="27"/>
  <c r="T33" i="27"/>
  <c r="V33" i="27" s="1"/>
  <c r="Q33" i="27"/>
  <c r="T32" i="27"/>
  <c r="V32" i="27" s="1"/>
  <c r="Q32" i="27"/>
  <c r="T31" i="27"/>
  <c r="V31" i="27" s="1"/>
  <c r="Q31" i="27"/>
  <c r="V30" i="27"/>
  <c r="T30" i="27"/>
  <c r="Q30" i="27"/>
  <c r="T29" i="27"/>
  <c r="V29" i="27" s="1"/>
  <c r="Q29" i="27"/>
  <c r="T28" i="27"/>
  <c r="V28" i="27" s="1"/>
  <c r="Q28" i="27"/>
  <c r="T27" i="27"/>
  <c r="V27" i="27" s="1"/>
  <c r="Q27" i="27"/>
  <c r="V26" i="27"/>
  <c r="T26" i="27"/>
  <c r="Q26" i="27"/>
  <c r="T25" i="27"/>
  <c r="V25" i="27" s="1"/>
  <c r="Q25" i="27"/>
  <c r="T24" i="27"/>
  <c r="V24" i="27" s="1"/>
  <c r="Q24" i="27"/>
  <c r="T23" i="27"/>
  <c r="V23" i="27" s="1"/>
  <c r="Q23" i="27"/>
  <c r="V22" i="27"/>
  <c r="T22" i="27"/>
  <c r="Q22" i="27"/>
  <c r="T21" i="27"/>
  <c r="V21" i="27" s="1"/>
  <c r="Q21" i="27"/>
  <c r="T20" i="27"/>
  <c r="V20" i="27" s="1"/>
  <c r="Q20" i="27"/>
  <c r="T19" i="27"/>
  <c r="V19" i="27" s="1"/>
  <c r="Q19" i="27"/>
  <c r="V18" i="27"/>
  <c r="T18" i="27"/>
  <c r="Q18" i="27"/>
  <c r="T17" i="27"/>
  <c r="V17" i="27" s="1"/>
  <c r="Q17" i="27"/>
  <c r="T16" i="27"/>
  <c r="V16" i="27" s="1"/>
  <c r="Q16" i="27"/>
  <c r="T15" i="27"/>
  <c r="V15" i="27" s="1"/>
  <c r="Q15" i="27"/>
  <c r="V14" i="27"/>
  <c r="T14" i="27"/>
  <c r="Q14" i="27"/>
  <c r="T13" i="27"/>
  <c r="V13" i="27" s="1"/>
  <c r="Q13" i="27"/>
  <c r="T12" i="27"/>
  <c r="V12" i="27" s="1"/>
  <c r="Q12" i="27"/>
  <c r="T11" i="27"/>
  <c r="V11" i="27" s="1"/>
  <c r="Q11" i="27"/>
  <c r="V10" i="27"/>
  <c r="T10" i="27"/>
  <c r="Q10" i="27"/>
  <c r="T9" i="27"/>
  <c r="V9" i="27" s="1"/>
  <c r="Q9" i="27"/>
  <c r="T8" i="27"/>
  <c r="V8" i="27" s="1"/>
  <c r="Q8" i="27"/>
  <c r="T7" i="27"/>
  <c r="V7" i="27" s="1"/>
  <c r="Q7" i="27"/>
  <c r="V6" i="27"/>
  <c r="T6" i="27"/>
  <c r="Q6" i="27"/>
  <c r="T5" i="27"/>
  <c r="V5" i="27" s="1"/>
  <c r="Q5" i="27"/>
  <c r="T4" i="27"/>
  <c r="V4" i="27" s="1"/>
  <c r="Q4" i="27"/>
  <c r="T3" i="27"/>
  <c r="V3" i="27" s="1"/>
  <c r="Q3" i="27"/>
  <c r="V2" i="27"/>
  <c r="T2" i="27"/>
  <c r="Q2" i="27"/>
  <c r="T70" i="26" l="1"/>
  <c r="V70" i="26" s="1"/>
  <c r="Q70" i="26"/>
  <c r="T69" i="26"/>
  <c r="V69" i="26" s="1"/>
  <c r="Q69" i="26"/>
  <c r="V68" i="26"/>
  <c r="T68" i="26"/>
  <c r="Q68" i="26"/>
  <c r="T67" i="26"/>
  <c r="V67" i="26" s="1"/>
  <c r="Q67" i="26"/>
  <c r="V66" i="26"/>
  <c r="T66" i="26"/>
  <c r="Q66" i="26"/>
  <c r="T65" i="26"/>
  <c r="V65" i="26" s="1"/>
  <c r="Q65" i="26"/>
  <c r="V64" i="26"/>
  <c r="T64" i="26"/>
  <c r="Q64" i="26"/>
  <c r="T63" i="26"/>
  <c r="V63" i="26" s="1"/>
  <c r="Q63" i="26"/>
  <c r="V62" i="26"/>
  <c r="T62" i="26"/>
  <c r="Q62" i="26"/>
  <c r="T61" i="26"/>
  <c r="V61" i="26" s="1"/>
  <c r="Q61" i="26"/>
  <c r="V60" i="26"/>
  <c r="T60" i="26"/>
  <c r="Q60" i="26"/>
  <c r="T59" i="26"/>
  <c r="V59" i="26" s="1"/>
  <c r="Q59" i="26"/>
  <c r="V58" i="26"/>
  <c r="T58" i="26"/>
  <c r="Q58" i="26"/>
  <c r="T57" i="26"/>
  <c r="V57" i="26" s="1"/>
  <c r="Q57" i="26"/>
  <c r="V56" i="26"/>
  <c r="T56" i="26"/>
  <c r="Q56" i="26"/>
  <c r="T55" i="26"/>
  <c r="V55" i="26" s="1"/>
  <c r="Q55" i="26"/>
  <c r="V54" i="26"/>
  <c r="T54" i="26"/>
  <c r="Q54" i="26"/>
  <c r="T53" i="26"/>
  <c r="V53" i="26" s="1"/>
  <c r="Q53" i="26"/>
  <c r="V52" i="26"/>
  <c r="T52" i="26"/>
  <c r="Q52" i="26"/>
  <c r="T51" i="26"/>
  <c r="V51" i="26" s="1"/>
  <c r="Q51" i="26"/>
  <c r="V50" i="26"/>
  <c r="T50" i="26"/>
  <c r="Q50" i="26"/>
  <c r="T49" i="26"/>
  <c r="V49" i="26" s="1"/>
  <c r="Q49" i="26"/>
  <c r="V48" i="26"/>
  <c r="T48" i="26"/>
  <c r="Q48" i="26"/>
  <c r="T47" i="26"/>
  <c r="V47" i="26" s="1"/>
  <c r="Q47" i="26"/>
  <c r="V46" i="26"/>
  <c r="T46" i="26"/>
  <c r="Q46" i="26"/>
  <c r="T45" i="26"/>
  <c r="V45" i="26" s="1"/>
  <c r="Q45" i="26"/>
  <c r="V44" i="26"/>
  <c r="T44" i="26"/>
  <c r="Q44" i="26"/>
  <c r="T43" i="26"/>
  <c r="V43" i="26" s="1"/>
  <c r="Q43" i="26"/>
  <c r="V42" i="26"/>
  <c r="T42" i="26"/>
  <c r="Q42" i="26"/>
  <c r="T41" i="26"/>
  <c r="V41" i="26" s="1"/>
  <c r="Q41" i="26"/>
  <c r="V40" i="26"/>
  <c r="T40" i="26"/>
  <c r="Q40" i="26"/>
  <c r="T39" i="26"/>
  <c r="V39" i="26" s="1"/>
  <c r="Q39" i="26"/>
  <c r="V38" i="26"/>
  <c r="T38" i="26"/>
  <c r="Q38" i="26"/>
  <c r="T37" i="26"/>
  <c r="V37" i="26" s="1"/>
  <c r="Q37" i="26"/>
  <c r="V36" i="26"/>
  <c r="T36" i="26"/>
  <c r="Q36" i="26"/>
  <c r="T35" i="26"/>
  <c r="V35" i="26" s="1"/>
  <c r="Q35" i="26"/>
  <c r="V34" i="26"/>
  <c r="T34" i="26"/>
  <c r="Q34" i="26"/>
  <c r="T33" i="26"/>
  <c r="V33" i="26" s="1"/>
  <c r="Q33" i="26"/>
  <c r="V32" i="26"/>
  <c r="T32" i="26"/>
  <c r="Q32" i="26"/>
  <c r="T31" i="26"/>
  <c r="V31" i="26" s="1"/>
  <c r="Q31" i="26"/>
  <c r="V30" i="26"/>
  <c r="T30" i="26"/>
  <c r="Q30" i="26"/>
  <c r="T29" i="26"/>
  <c r="V29" i="26" s="1"/>
  <c r="Q29" i="26"/>
  <c r="V28" i="26"/>
  <c r="T28" i="26"/>
  <c r="Q28" i="26"/>
  <c r="T27" i="26"/>
  <c r="V27" i="26" s="1"/>
  <c r="Q27" i="26"/>
  <c r="V26" i="26"/>
  <c r="T26" i="26"/>
  <c r="Q26" i="26"/>
  <c r="T25" i="26"/>
  <c r="V25" i="26" s="1"/>
  <c r="Q25" i="26"/>
  <c r="V24" i="26"/>
  <c r="T24" i="26"/>
  <c r="Q24" i="26"/>
  <c r="T23" i="26"/>
  <c r="V23" i="26" s="1"/>
  <c r="Q23" i="26"/>
  <c r="V22" i="26"/>
  <c r="T22" i="26"/>
  <c r="Q22" i="26"/>
  <c r="T21" i="26"/>
  <c r="V21" i="26" s="1"/>
  <c r="Q21" i="26"/>
  <c r="V20" i="26"/>
  <c r="T20" i="26"/>
  <c r="Q20" i="26"/>
  <c r="T19" i="26"/>
  <c r="V19" i="26" s="1"/>
  <c r="Q19" i="26"/>
  <c r="V18" i="26"/>
  <c r="T18" i="26"/>
  <c r="Q18" i="26"/>
  <c r="T17" i="26"/>
  <c r="V17" i="26" s="1"/>
  <c r="Q17" i="26"/>
  <c r="V16" i="26"/>
  <c r="T16" i="26"/>
  <c r="Q16" i="26"/>
  <c r="T15" i="26"/>
  <c r="V15" i="26" s="1"/>
  <c r="Q15" i="26"/>
  <c r="V14" i="26"/>
  <c r="T14" i="26"/>
  <c r="Q14" i="26"/>
  <c r="T13" i="26"/>
  <c r="V13" i="26" s="1"/>
  <c r="Q13" i="26"/>
  <c r="V12" i="26"/>
  <c r="T12" i="26"/>
  <c r="Q12" i="26"/>
  <c r="T11" i="26"/>
  <c r="V11" i="26" s="1"/>
  <c r="Q11" i="26"/>
  <c r="V10" i="26"/>
  <c r="T10" i="26"/>
  <c r="Q10" i="26"/>
  <c r="T9" i="26"/>
  <c r="V9" i="26" s="1"/>
  <c r="Q9" i="26"/>
  <c r="V8" i="26"/>
  <c r="T8" i="26"/>
  <c r="Q8" i="26"/>
  <c r="T7" i="26"/>
  <c r="V7" i="26" s="1"/>
  <c r="Q7" i="26"/>
  <c r="V6" i="26"/>
  <c r="T6" i="26"/>
  <c r="Q6" i="26"/>
  <c r="T5" i="26"/>
  <c r="V5" i="26" s="1"/>
  <c r="Q5" i="26"/>
  <c r="V4" i="26"/>
  <c r="T4" i="26"/>
  <c r="Q4" i="26"/>
  <c r="T3" i="26"/>
  <c r="V3" i="26" s="1"/>
  <c r="Q3" i="26"/>
  <c r="V2" i="26"/>
  <c r="T2" i="26"/>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<sst xmlns="http://schemas.openxmlformats.org/spreadsheetml/2006/main" count="8904" uniqueCount="567">
  <si>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</si>
  <si>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</si>
  <si>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</si>
  <si>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</si>
  <si>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</si>
  <si>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</si>
  <si>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</si>
  <si>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</si>
  <si>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</si>
  <si>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</si>
  <si>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</si>
  <si>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</si>
  <si>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</si>
  <si>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</si>
  <si>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</si>
  <si>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</si>
  <si>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</si>
  <si>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</si>
  <si>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</si>
  <si>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</si>
  <si>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</si>
  <si>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</si>
  <si>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</si>
  <si>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</si>
  <si>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</si>
  <si>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</si>
  <si>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</si>
  <si>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</si>
  <si>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</si>
  <si>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</si>
  <si>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</si>
  <si>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</si>
  <si>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</si>
  <si>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</si>
  <si>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</si>
  <si>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</si>
  <si>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</si>
  <si>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</si>
  <si>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</si>
  <si>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</si>
  <si>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</si>
  <si>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</si>
  <si>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</si>
  <si>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</si>
  <si>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</si>
  <si>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</si>
  <si>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</si>
  <si>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</si>
  <si>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</si>
  <si>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</si>
  <si>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</si>
  <si>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</si>
  <si>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</si>
  <si>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</si>
  <si>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</si>
  <si>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</si>
  <si>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</si>
  <si>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</si>
  <si>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</si>
  <si>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</si>
  <si>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</si>
  <si>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</si>
  <si>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</si>
  <si>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</si>
  <si>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</si>
  <si>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</si>
  <si>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</si>
  <si>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</si>
  <si>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</si>
  <si>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</si>
  <si>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</si>
  <si>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</si>
  <si>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</si>
  <si>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</si>
  <si>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</si>
  <si>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</si>
  <si>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</si>
  <si>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</si>
  <si>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</si>
  <si>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</si>
  <si>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</si>
  <si>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</si>
  <si>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</si>
  <si>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</si>
  <si>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</si>
  <si>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</si>
  <si>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</si>
  <si>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</si>
  <si>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</si>
  <si>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</si>
  <si>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</si>
  <si>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</si>
  <si>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</si>
  <si>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</si>
  <si>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</si>
  <si>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</si>
  <si>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</si>
  <si>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</si>
  <si>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</si>
  <si>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</si>
  <si>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</si>
  <si>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</si>
  <si>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</si>
  <si>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</si>
  <si>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</si>
  <si>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</si>
  <si>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</si>
  <si>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</si>
  <si>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</si>
  <si>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</si>
  <si>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</si>
  <si>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</si>
  <si>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</si>
  <si>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</si>
  <si>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</si>
  <si>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</si>
  <si>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</si>
  <si>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</si>
  <si>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</si>
  <si>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</si>
  <si>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</si>
  <si>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</si>
  <si>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</si>
  <si>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</si>
  <si>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</si>
  <si>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</si>
  <si>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</si>
  <si>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</si>
  <si>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</si>
  <si>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</si>
  <si>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</si>
  <si>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</si>
  <si>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</si>
  <si>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</si>
  <si>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</si>
  <si>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</si>
  <si>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</si>
  <si>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</si>
  <si>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</si>
  <si>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</si>
  <si>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</si>
  <si>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</si>
  <si>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</si>
  <si>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</si>
  <si>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</si>
  <si>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</si>
  <si>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</si>
  <si>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</si>
  <si>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</si>
  <si>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</si>
  <si>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</si>
  <si>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</si>
  <si>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</si>
  <si>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</si>
  <si>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</si>
  <si>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</si>
  <si>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</si>
  <si>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シーズン</t>
    <phoneticPr fontId="4"/>
  </si>
  <si>
    <t>硬度
１</t>
    <phoneticPr fontId="4"/>
  </si>
  <si>
    <r>
      <t xml:space="preserve">Green
Other
</t>
    </r>
    <r>
      <rPr>
        <b/>
        <sz val="8"/>
        <rFont val="ＭＳ Ｐゴシック"/>
        <family val="3"/>
        <charset val="128"/>
      </rPr>
      <t>最低重量</t>
    </r>
    <phoneticPr fontId="4"/>
  </si>
  <si>
    <r>
      <t xml:space="preserve">Gold
</t>
    </r>
    <r>
      <rPr>
        <b/>
        <sz val="8"/>
        <rFont val="ＭＳ Ｐゴシック"/>
        <family val="3"/>
        <charset val="128"/>
      </rPr>
      <t>最低重量</t>
    </r>
    <phoneticPr fontId="4"/>
  </si>
  <si>
    <t>Gold
SIZE</t>
    <phoneticPr fontId="4"/>
  </si>
  <si>
    <t>D'lish</t>
    <phoneticPr fontId="4"/>
  </si>
  <si>
    <t>GA</t>
  </si>
  <si>
    <t>大阪</t>
    <phoneticPr fontId="4"/>
  </si>
  <si>
    <t>CK</t>
    <phoneticPr fontId="4"/>
  </si>
  <si>
    <t>OB</t>
    <phoneticPr fontId="4"/>
  </si>
  <si>
    <t>西友</t>
  </si>
  <si>
    <t>日進岩藤店</t>
    <rPh sb="0" eb="2">
      <t>ニッシン</t>
    </rPh>
    <phoneticPr fontId="4"/>
  </si>
  <si>
    <t>日進店</t>
    <rPh sb="0" eb="2">
      <t>ニッシン</t>
    </rPh>
    <rPh sb="2" eb="3">
      <t>ミセ</t>
    </rPh>
    <phoneticPr fontId="4"/>
  </si>
  <si>
    <t>その他レッド</t>
    <rPh sb="2" eb="3">
      <t>タ</t>
    </rPh>
    <phoneticPr fontId="4"/>
  </si>
  <si>
    <t>HW</t>
    <phoneticPr fontId="4"/>
  </si>
  <si>
    <t>藤が丘店</t>
    <rPh sb="0" eb="1">
      <t>フジ</t>
    </rPh>
    <rPh sb="2" eb="3">
      <t>オカ</t>
    </rPh>
    <rPh sb="3" eb="4">
      <t>ミセ</t>
    </rPh>
    <phoneticPr fontId="4"/>
  </si>
  <si>
    <t>旬楽膳</t>
    <rPh sb="0" eb="1">
      <t>シュン</t>
    </rPh>
    <rPh sb="1" eb="2">
      <t>ラク</t>
    </rPh>
    <rPh sb="2" eb="3">
      <t>ゼン</t>
    </rPh>
    <phoneticPr fontId="4"/>
  </si>
  <si>
    <t>GK</t>
  </si>
  <si>
    <t>検体
番号</t>
    <phoneticPr fontId="4"/>
  </si>
  <si>
    <t>Currency</t>
    <phoneticPr fontId="4"/>
  </si>
  <si>
    <t>Green
Other
SIZE</t>
    <phoneticPr fontId="4"/>
  </si>
  <si>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</si>
  <si>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</si>
  <si>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</si>
  <si>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</si>
  <si>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</si>
  <si>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</si>
  <si>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</si>
  <si>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</si>
  <si>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</si>
  <si>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</si>
  <si>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</si>
  <si>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</si>
  <si>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</si>
  <si>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マックスバリュ</t>
  </si>
  <si>
    <t>北海道</t>
    <rPh sb="0" eb="3">
      <t>ホッカイドウ</t>
    </rPh>
    <phoneticPr fontId="3"/>
  </si>
  <si>
    <t>JP</t>
  </si>
  <si>
    <t>JP</t>
    <phoneticPr fontId="3"/>
  </si>
  <si>
    <t>JPY</t>
  </si>
  <si>
    <t>JPY</t>
    <phoneticPr fontId="3"/>
  </si>
  <si>
    <t>マックスバリュ</t>
    <phoneticPr fontId="3"/>
  </si>
  <si>
    <t>北40条店</t>
    <rPh sb="4" eb="5">
      <t>テン</t>
    </rPh>
    <phoneticPr fontId="3"/>
  </si>
  <si>
    <t>とんでん店</t>
  </si>
  <si>
    <t>Zespri</t>
    <phoneticPr fontId="3"/>
  </si>
  <si>
    <t>保冷なし</t>
    <phoneticPr fontId="3"/>
  </si>
  <si>
    <t>18.12.2018</t>
  </si>
  <si>
    <t>18.12.2018</t>
    <phoneticPr fontId="3"/>
  </si>
  <si>
    <t>CK</t>
    <phoneticPr fontId="3"/>
  </si>
  <si>
    <t>HW</t>
    <phoneticPr fontId="3"/>
  </si>
  <si>
    <t>Zespri</t>
    <phoneticPr fontId="3"/>
  </si>
  <si>
    <t>17.12.2018</t>
    <phoneticPr fontId="3"/>
  </si>
  <si>
    <t>17.12.2018</t>
  </si>
  <si>
    <t>GA</t>
    <phoneticPr fontId="4"/>
  </si>
  <si>
    <t>いちじく</t>
    <phoneticPr fontId="4"/>
  </si>
  <si>
    <t>ラフランス</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</si>
  <si>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</si>
  <si>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</si>
  <si>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</si>
  <si>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</si>
  <si>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</si>
  <si>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</si>
  <si>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</si>
  <si>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</si>
  <si>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</si>
  <si>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</si>
  <si>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</si>
  <si>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</si>
  <si>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19.12.2018</t>
    <phoneticPr fontId="3"/>
  </si>
  <si>
    <t>アオキスーパー</t>
  </si>
  <si>
    <t>アオキスーパー</t>
    <phoneticPr fontId="4"/>
  </si>
  <si>
    <t>ﾆｭｰｼﾞｰﾗﾝﾄﾞ</t>
    <phoneticPr fontId="4"/>
  </si>
  <si>
    <t>ピアゴ</t>
    <phoneticPr fontId="4"/>
  </si>
  <si>
    <t>長久手南店</t>
    <phoneticPr fontId="4"/>
  </si>
  <si>
    <t>D'lish</t>
    <phoneticPr fontId="4"/>
  </si>
  <si>
    <t>中国</t>
    <phoneticPr fontId="4"/>
  </si>
  <si>
    <t>カネスエ</t>
    <phoneticPr fontId="4"/>
  </si>
  <si>
    <t>長久手店</t>
    <phoneticPr fontId="4"/>
  </si>
  <si>
    <t>HW</t>
    <phoneticPr fontId="4"/>
  </si>
  <si>
    <t>CK</t>
    <phoneticPr fontId="4"/>
  </si>
  <si>
    <t>Del Monte</t>
    <phoneticPr fontId="4"/>
  </si>
  <si>
    <t>JP</t>
    <phoneticPr fontId="3"/>
  </si>
  <si>
    <t>19.12.2018</t>
    <phoneticPr fontId="3"/>
  </si>
  <si>
    <t>アピタ</t>
    <phoneticPr fontId="4"/>
  </si>
  <si>
    <t>GK</t>
    <phoneticPr fontId="4"/>
  </si>
  <si>
    <t>OB</t>
    <phoneticPr fontId="4"/>
  </si>
  <si>
    <t>マックスバリュ</t>
    <phoneticPr fontId="4"/>
  </si>
  <si>
    <t>HE</t>
    <phoneticPr fontId="4"/>
  </si>
  <si>
    <t>JP</t>
    <phoneticPr fontId="3"/>
  </si>
  <si>
    <t>19.12.2018</t>
    <phoneticPr fontId="3"/>
  </si>
  <si>
    <t>カネトク</t>
    <phoneticPr fontId="4"/>
  </si>
  <si>
    <t>JP</t>
    <phoneticPr fontId="3"/>
  </si>
  <si>
    <t>19.12.2018</t>
    <phoneticPr fontId="3"/>
  </si>
  <si>
    <t>マックスバリュ</t>
    <phoneticPr fontId="4"/>
  </si>
  <si>
    <t>長久手店</t>
    <phoneticPr fontId="4"/>
  </si>
  <si>
    <t>アピタ</t>
    <phoneticPr fontId="4"/>
  </si>
  <si>
    <t>アオキスーパー</t>
    <phoneticPr fontId="4"/>
  </si>
  <si>
    <t>JP</t>
    <phoneticPr fontId="3"/>
  </si>
  <si>
    <t>19.12.2018</t>
    <phoneticPr fontId="3"/>
  </si>
  <si>
    <t>JP</t>
    <phoneticPr fontId="3"/>
  </si>
  <si>
    <t>19.12.2018</t>
    <phoneticPr fontId="3"/>
  </si>
  <si>
    <t>ピアゴ</t>
  </si>
  <si>
    <t>長久手南店</t>
  </si>
  <si>
    <t>JP</t>
    <phoneticPr fontId="3"/>
  </si>
  <si>
    <t>19.12.2018</t>
    <phoneticPr fontId="3"/>
  </si>
  <si>
    <t>カネスエ</t>
  </si>
  <si>
    <t>長久手店</t>
  </si>
  <si>
    <t>ラフランス</t>
    <phoneticPr fontId="4"/>
  </si>
  <si>
    <t>キラキラ</t>
    <phoneticPr fontId="4"/>
  </si>
  <si>
    <t>グリーンアイ</t>
    <phoneticPr fontId="4"/>
  </si>
  <si>
    <t>カネトク</t>
  </si>
  <si>
    <t>アピタ</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</si>
  <si>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</si>
  <si>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</si>
  <si>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</si>
  <si>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</si>
  <si>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</si>
  <si>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</si>
  <si>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</si>
  <si>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</si>
  <si>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</si>
  <si>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</si>
  <si>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</si>
  <si>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</si>
  <si>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</si>
  <si>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</si>
  <si>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</si>
  <si>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</si>
  <si>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21.12.2018</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</si>
  <si>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</si>
  <si>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</si>
  <si>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</si>
  <si>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</si>
  <si>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</si>
  <si>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</si>
  <si>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</si>
  <si>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</si>
  <si>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</si>
  <si>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</si>
  <si>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</si>
  <si>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</si>
  <si>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</si>
  <si>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</si>
  <si>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</si>
  <si>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</si>
  <si>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</si>
  <si>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万代</t>
  </si>
  <si>
    <t>HE</t>
  </si>
  <si>
    <t>長野</t>
  </si>
  <si>
    <t>イズミヤ</t>
  </si>
  <si>
    <t>泉北店</t>
  </si>
  <si>
    <t>岩手</t>
  </si>
  <si>
    <t>ダイエーグルメシティ</t>
  </si>
  <si>
    <t>長崎</t>
  </si>
  <si>
    <t>福島</t>
  </si>
  <si>
    <t>和歌山</t>
  </si>
  <si>
    <t>津久野店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</si>
  <si>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</si>
  <si>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</si>
  <si>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</si>
  <si>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</si>
  <si>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</si>
  <si>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</si>
  <si>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</si>
  <si>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</si>
  <si>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</si>
  <si>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</si>
  <si>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</si>
  <si>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</si>
  <si>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</si>
  <si>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</si>
  <si>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</si>
  <si>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</si>
  <si>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</si>
  <si>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キラキラ</t>
  </si>
  <si>
    <t>グリーンアイ</t>
  </si>
  <si>
    <t>ＪＡ大阪</t>
  </si>
  <si>
    <t>宮崎</t>
  </si>
  <si>
    <t>ＪＡ神奈川</t>
  </si>
  <si>
    <t>ＪＡ石川</t>
  </si>
  <si>
    <t>県名</t>
    <phoneticPr fontId="3"/>
  </si>
  <si>
    <t>チェーン名</t>
    <phoneticPr fontId="3"/>
  </si>
  <si>
    <t>品種</t>
    <phoneticPr fontId="3"/>
  </si>
  <si>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</si>
  <si>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</si>
  <si>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</si>
  <si>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</si>
  <si>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</si>
  <si>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19.12.2018</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</si>
  <si>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</si>
  <si>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</si>
  <si>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</si>
  <si>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</si>
  <si>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</si>
  <si>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</si>
  <si>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</si>
  <si>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</si>
  <si>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</si>
  <si>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</si>
  <si>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</si>
  <si>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</si>
  <si>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JP</t>
    <phoneticPr fontId="3"/>
  </si>
  <si>
    <t>19.12.2018</t>
    <phoneticPr fontId="3"/>
  </si>
  <si>
    <t>JPY</t>
    <phoneticPr fontId="3"/>
  </si>
  <si>
    <t>ピュアクック</t>
  </si>
  <si>
    <t>観音店</t>
    <rPh sb="2" eb="3">
      <t>テン</t>
    </rPh>
    <phoneticPr fontId="3"/>
  </si>
  <si>
    <t>GA</t>
    <phoneticPr fontId="4"/>
  </si>
  <si>
    <t>宇品店</t>
    <rPh sb="2" eb="3">
      <t>テン</t>
    </rPh>
    <phoneticPr fontId="3"/>
  </si>
  <si>
    <t>JP</t>
    <phoneticPr fontId="3"/>
  </si>
  <si>
    <t>19.12.2018</t>
    <phoneticPr fontId="3"/>
  </si>
  <si>
    <t>JPY</t>
    <phoneticPr fontId="3"/>
  </si>
  <si>
    <t>イズミゆめタウン</t>
  </si>
  <si>
    <t>広島店</t>
    <rPh sb="2" eb="3">
      <t>テン</t>
    </rPh>
    <phoneticPr fontId="3"/>
  </si>
  <si>
    <t>フジグラン</t>
  </si>
  <si>
    <t>バナナ</t>
    <phoneticPr fontId="4"/>
  </si>
  <si>
    <t>JP</t>
    <phoneticPr fontId="3"/>
  </si>
  <si>
    <t>19.12.2018</t>
    <phoneticPr fontId="3"/>
  </si>
  <si>
    <t>JPY</t>
    <phoneticPr fontId="3"/>
  </si>
  <si>
    <t>パパイヤ</t>
    <phoneticPr fontId="4"/>
  </si>
  <si>
    <t>JP</t>
    <phoneticPr fontId="3"/>
  </si>
  <si>
    <t>19.12.2018</t>
    <phoneticPr fontId="3"/>
  </si>
  <si>
    <t>JPY</t>
    <phoneticPr fontId="3"/>
  </si>
  <si>
    <t>びわ</t>
    <phoneticPr fontId="4"/>
  </si>
  <si>
    <t>JP</t>
    <phoneticPr fontId="3"/>
  </si>
  <si>
    <t>19.12.2018</t>
    <phoneticPr fontId="3"/>
  </si>
  <si>
    <t>JPY</t>
    <phoneticPr fontId="3"/>
  </si>
  <si>
    <t>メロン</t>
    <phoneticPr fontId="4"/>
  </si>
  <si>
    <t>桃</t>
    <phoneticPr fontId="4"/>
  </si>
  <si>
    <t>JP</t>
    <phoneticPr fontId="3"/>
  </si>
  <si>
    <t>19.12.2018</t>
    <phoneticPr fontId="3"/>
  </si>
  <si>
    <t>JPY</t>
    <phoneticPr fontId="3"/>
  </si>
  <si>
    <t>ブドウ</t>
    <phoneticPr fontId="4"/>
  </si>
  <si>
    <t>ラフランス</t>
    <phoneticPr fontId="4"/>
  </si>
  <si>
    <t>いちじく</t>
    <phoneticPr fontId="4"/>
  </si>
  <si>
    <t>りんご</t>
    <phoneticPr fontId="4"/>
  </si>
  <si>
    <t>みかん</t>
    <phoneticPr fontId="4"/>
  </si>
  <si>
    <t>マンゴー</t>
    <phoneticPr fontId="3"/>
  </si>
  <si>
    <t>19.12.2018</t>
  </si>
  <si>
    <t>キラキラ</t>
    <phoneticPr fontId="4"/>
  </si>
  <si>
    <t>グリーンアイ</t>
    <phoneticPr fontId="4"/>
  </si>
  <si>
    <t>ひこさか</t>
    <phoneticPr fontId="3"/>
  </si>
  <si>
    <t>販売
ユニット
個数</t>
    <phoneticPr fontId="4"/>
  </si>
  <si>
    <t>U/P JPY</t>
    <phoneticPr fontId="4"/>
  </si>
  <si>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</si>
  <si>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</si>
  <si>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</si>
  <si>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</si>
  <si>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</si>
  <si>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</si>
  <si>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ﾆｭｰｼﾞｰﾗﾝﾄﾞ</t>
    <phoneticPr fontId="4"/>
  </si>
  <si>
    <t>JP</t>
    <phoneticPr fontId="3"/>
  </si>
  <si>
    <t>19.12.2018</t>
    <phoneticPr fontId="3"/>
  </si>
  <si>
    <t>マルショク</t>
    <phoneticPr fontId="3"/>
  </si>
  <si>
    <t>JPY</t>
    <phoneticPr fontId="4"/>
  </si>
  <si>
    <t>マルショク</t>
  </si>
  <si>
    <t>バナナ</t>
    <phoneticPr fontId="3"/>
  </si>
  <si>
    <t>HW</t>
    <phoneticPr fontId="3"/>
  </si>
  <si>
    <t>CK</t>
    <phoneticPr fontId="3"/>
  </si>
  <si>
    <t>マミーズ</t>
  </si>
  <si>
    <t>美野島</t>
    <rPh sb="0" eb="1">
      <t>ミ</t>
    </rPh>
    <rPh sb="1" eb="2">
      <t>ノ</t>
    </rPh>
    <rPh sb="2" eb="3">
      <t>シマ</t>
    </rPh>
    <phoneticPr fontId="3"/>
  </si>
  <si>
    <t>D'lish</t>
    <phoneticPr fontId="4"/>
  </si>
  <si>
    <t>福岡</t>
    <rPh sb="0" eb="2">
      <t>フクオカ</t>
    </rPh>
    <phoneticPr fontId="4"/>
  </si>
  <si>
    <t>りんご</t>
    <phoneticPr fontId="3"/>
  </si>
  <si>
    <t>西鉄ストア</t>
    <rPh sb="0" eb="2">
      <t>ニシテツ</t>
    </rPh>
    <phoneticPr fontId="3"/>
  </si>
  <si>
    <t>高宮</t>
    <rPh sb="0" eb="2">
      <t>タカミヤ</t>
    </rPh>
    <phoneticPr fontId="3"/>
  </si>
  <si>
    <t>HW</t>
    <phoneticPr fontId="4"/>
  </si>
  <si>
    <t>CK</t>
    <phoneticPr fontId="4"/>
  </si>
  <si>
    <t>Del Monte</t>
    <phoneticPr fontId="4"/>
  </si>
  <si>
    <t>いちご</t>
    <phoneticPr fontId="3"/>
  </si>
  <si>
    <t>レッドキャベツ</t>
  </si>
  <si>
    <t>博多駅南</t>
    <rPh sb="0" eb="3">
      <t>ハカタエキ</t>
    </rPh>
    <rPh sb="3" eb="4">
      <t>ミナミ</t>
    </rPh>
    <phoneticPr fontId="3"/>
  </si>
  <si>
    <t>GK</t>
    <phoneticPr fontId="4"/>
  </si>
  <si>
    <t>OB</t>
    <phoneticPr fontId="4"/>
  </si>
  <si>
    <t>佐賀</t>
    <rPh sb="0" eb="2">
      <t>サガ</t>
    </rPh>
    <phoneticPr fontId="3"/>
  </si>
  <si>
    <t>マルショク</t>
    <phoneticPr fontId="3"/>
  </si>
  <si>
    <t>JPY</t>
    <phoneticPr fontId="4"/>
  </si>
  <si>
    <t>マルキョウ</t>
  </si>
  <si>
    <t>清水</t>
    <rPh sb="0" eb="2">
      <t>シミズ</t>
    </rPh>
    <phoneticPr fontId="3"/>
  </si>
  <si>
    <t>HE</t>
    <phoneticPr fontId="4"/>
  </si>
  <si>
    <t>韓国</t>
    <rPh sb="0" eb="2">
      <t>カンコク</t>
    </rPh>
    <phoneticPr fontId="4"/>
  </si>
  <si>
    <t>JP</t>
    <phoneticPr fontId="3"/>
  </si>
  <si>
    <t>19.12.2018</t>
    <phoneticPr fontId="3"/>
  </si>
  <si>
    <t>HW</t>
    <phoneticPr fontId="4"/>
  </si>
  <si>
    <t>CK</t>
    <phoneticPr fontId="4"/>
  </si>
  <si>
    <t>Del Monte</t>
    <phoneticPr fontId="4"/>
  </si>
  <si>
    <t>いちご</t>
    <phoneticPr fontId="3"/>
  </si>
  <si>
    <t>GK</t>
    <phoneticPr fontId="4"/>
  </si>
  <si>
    <t>OB</t>
    <phoneticPr fontId="4"/>
  </si>
  <si>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</si>
  <si>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</si>
  <si>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</si>
  <si>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</si>
  <si>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</si>
  <si>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JP</t>
    <phoneticPr fontId="3"/>
  </si>
  <si>
    <t>19.12.2018</t>
    <phoneticPr fontId="3"/>
  </si>
  <si>
    <t>JPY</t>
    <phoneticPr fontId="4"/>
  </si>
  <si>
    <t>山神農園</t>
    <rPh sb="0" eb="4">
      <t>ヤマガミノウエン</t>
    </rPh>
    <phoneticPr fontId="3"/>
  </si>
  <si>
    <t>喜芳園</t>
    <rPh sb="0" eb="1">
      <t>ヨロコ</t>
    </rPh>
    <rPh sb="1" eb="2">
      <t>ヨシモト</t>
    </rPh>
    <rPh sb="2" eb="3">
      <t>¥</t>
    </rPh>
    <phoneticPr fontId="3"/>
  </si>
  <si>
    <t>JPY</t>
    <phoneticPr fontId="4"/>
  </si>
  <si>
    <t>ＪＡみなみ筑後</t>
    <rPh sb="5" eb="7">
      <t>チクゴ</t>
    </rPh>
    <phoneticPr fontId="4"/>
  </si>
  <si>
    <t>HW</t>
    <phoneticPr fontId="3"/>
  </si>
  <si>
    <t>柿</t>
    <rPh sb="0" eb="1">
      <t>カキ</t>
    </rPh>
    <phoneticPr fontId="3"/>
  </si>
  <si>
    <t>JP</t>
    <phoneticPr fontId="3"/>
  </si>
  <si>
    <t>19.12.2018</t>
    <phoneticPr fontId="3"/>
  </si>
  <si>
    <t>JPY</t>
    <phoneticPr fontId="4"/>
  </si>
  <si>
    <t>いちじく</t>
    <phoneticPr fontId="4"/>
  </si>
  <si>
    <t>日本生態農業協会</t>
    <rPh sb="0" eb="2">
      <t>ニホンセイタイ</t>
    </rPh>
    <rPh sb="2" eb="4">
      <t>セイタイ</t>
    </rPh>
    <rPh sb="4" eb="6">
      <t>ノウギョウ</t>
    </rPh>
    <rPh sb="6" eb="8">
      <t>キョウカイ</t>
    </rPh>
    <phoneticPr fontId="4"/>
  </si>
  <si>
    <t>ラフランス</t>
    <phoneticPr fontId="3"/>
  </si>
  <si>
    <t>ＪＡ八女</t>
    <rPh sb="2" eb="4">
      <t>ヤメ</t>
    </rPh>
    <phoneticPr fontId="4"/>
  </si>
  <si>
    <t>甘夏</t>
    <rPh sb="0" eb="2">
      <t>アマナツ</t>
    </rPh>
    <phoneticPr fontId="3"/>
  </si>
  <si>
    <t>ボンラパス</t>
  </si>
  <si>
    <t>キラキラ</t>
    <phoneticPr fontId="4"/>
  </si>
  <si>
    <t>プラム</t>
    <phoneticPr fontId="3"/>
  </si>
  <si>
    <t>グリーンアイ</t>
    <phoneticPr fontId="4"/>
  </si>
  <si>
    <t>ぽんかん</t>
    <phoneticPr fontId="3"/>
  </si>
  <si>
    <t>アメリカンチェリー</t>
    <phoneticPr fontId="3"/>
  </si>
  <si>
    <t>ダイキョーバリュー</t>
  </si>
  <si>
    <t>大橋</t>
    <rPh sb="0" eb="2">
      <t>オオハシ</t>
    </rPh>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</si>
  <si>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</si>
  <si>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</si>
  <si>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</si>
  <si>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</si>
  <si>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</si>
  <si>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</si>
  <si>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</si>
  <si>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U/P JPY</t>
    <phoneticPr fontId="4"/>
  </si>
  <si>
    <t>２番人気
果実</t>
    <phoneticPr fontId="3"/>
  </si>
  <si>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</si>
  <si>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</si>
  <si>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</si>
  <si>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</si>
  <si>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</si>
  <si>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17.12.2018</t>
    <phoneticPr fontId="3"/>
  </si>
  <si>
    <t>西瑞江店</t>
  </si>
  <si>
    <t>マルエツ</t>
  </si>
  <si>
    <t>松江店</t>
  </si>
  <si>
    <t>ﾆｭｰｼﾞｰﾗﾝﾄﾞ</t>
    <phoneticPr fontId="4"/>
  </si>
  <si>
    <t>オリンピック</t>
  </si>
  <si>
    <t>西一之江店</t>
  </si>
  <si>
    <t>ヤマイチ</t>
  </si>
  <si>
    <t>今井店</t>
  </si>
  <si>
    <t>D'lish</t>
    <phoneticPr fontId="4"/>
  </si>
  <si>
    <t>中国</t>
    <phoneticPr fontId="4"/>
  </si>
  <si>
    <t>コモディイイダ</t>
  </si>
  <si>
    <t>HW</t>
    <phoneticPr fontId="4"/>
  </si>
  <si>
    <t>CK</t>
    <phoneticPr fontId="4"/>
  </si>
  <si>
    <t>Del Monte</t>
    <phoneticPr fontId="3"/>
  </si>
  <si>
    <t>いなげや</t>
  </si>
  <si>
    <t>江戸川春江店</t>
  </si>
  <si>
    <t>GK</t>
    <phoneticPr fontId="4"/>
  </si>
  <si>
    <t>OB</t>
    <phoneticPr fontId="4"/>
  </si>
  <si>
    <t>鹿骨店</t>
  </si>
  <si>
    <t>HE</t>
    <phoneticPr fontId="4"/>
  </si>
  <si>
    <t>17.12.2018</t>
    <phoneticPr fontId="3"/>
  </si>
  <si>
    <t>東武ストア</t>
  </si>
  <si>
    <t>新小岩店</t>
  </si>
  <si>
    <t>サミットストア</t>
  </si>
  <si>
    <t>本一色店</t>
  </si>
  <si>
    <t>17.12.2018</t>
    <phoneticPr fontId="3"/>
  </si>
  <si>
    <t>ビッグ・エー</t>
  </si>
  <si>
    <t>江戸川本一色店</t>
  </si>
  <si>
    <t>江戸川中央店</t>
  </si>
  <si>
    <t>17.12.2018</t>
    <phoneticPr fontId="3"/>
  </si>
  <si>
    <t>17.12.2018</t>
    <phoneticPr fontId="3"/>
  </si>
  <si>
    <t>17.12.2018</t>
    <phoneticPr fontId="3"/>
  </si>
  <si>
    <t>17.12.2018</t>
    <phoneticPr fontId="3"/>
  </si>
  <si>
    <t>ラフランス</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</si>
  <si>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</si>
  <si>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</si>
  <si>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</si>
  <si>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</si>
  <si>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</si>
  <si>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</si>
  <si>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</si>
  <si>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</si>
  <si>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</si>
  <si>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</si>
  <si>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</si>
  <si>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</si>
  <si>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21.12.2018</t>
    <phoneticPr fontId="3"/>
  </si>
  <si>
    <t>サミット</t>
  </si>
  <si>
    <t>久が原食品館</t>
    <rPh sb="0" eb="1">
      <t>ヒサ</t>
    </rPh>
    <rPh sb="2" eb="3">
      <t>ハラ</t>
    </rPh>
    <rPh sb="3" eb="5">
      <t>ショクヒン</t>
    </rPh>
    <rPh sb="5" eb="6">
      <t>カン</t>
    </rPh>
    <phoneticPr fontId="4"/>
  </si>
  <si>
    <t>JPY</t>
    <phoneticPr fontId="3"/>
  </si>
  <si>
    <t>カドヤ</t>
    <phoneticPr fontId="4"/>
  </si>
  <si>
    <t>大森館</t>
    <rPh sb="2" eb="3">
      <t>カン</t>
    </rPh>
    <phoneticPr fontId="4"/>
  </si>
  <si>
    <t>ﾆｭｰｼﾞｰﾗﾝﾄﾞ</t>
    <phoneticPr fontId="4"/>
  </si>
  <si>
    <t>西友</t>
    <rPh sb="0" eb="2">
      <t>セイユウ</t>
    </rPh>
    <phoneticPr fontId="4"/>
  </si>
  <si>
    <t>大森店</t>
    <rPh sb="0" eb="2">
      <t>オオモリ</t>
    </rPh>
    <rPh sb="2" eb="3">
      <t>テン</t>
    </rPh>
    <phoneticPr fontId="4"/>
  </si>
  <si>
    <t>イオン</t>
    <phoneticPr fontId="4"/>
  </si>
  <si>
    <t>品川シーサイド店</t>
    <rPh sb="0" eb="2">
      <t>シナガワ</t>
    </rPh>
    <rPh sb="7" eb="8">
      <t>テン</t>
    </rPh>
    <phoneticPr fontId="4"/>
  </si>
  <si>
    <t>D'lish</t>
    <phoneticPr fontId="4"/>
  </si>
  <si>
    <t>中国</t>
    <phoneticPr fontId="4"/>
  </si>
  <si>
    <t>東急ストア</t>
    <rPh sb="0" eb="2">
      <t>トウキュウ</t>
    </rPh>
    <phoneticPr fontId="4"/>
  </si>
  <si>
    <t>蒲田店</t>
    <rPh sb="0" eb="2">
      <t>カマタ</t>
    </rPh>
    <rPh sb="2" eb="3">
      <t>テン</t>
    </rPh>
    <phoneticPr fontId="4"/>
  </si>
  <si>
    <t>ライフ</t>
    <phoneticPr fontId="4"/>
  </si>
  <si>
    <t>大崎ﾆｭｰｼﾃｨ店</t>
    <rPh sb="0" eb="2">
      <t>オオサキ</t>
    </rPh>
    <rPh sb="8" eb="9">
      <t>テン</t>
    </rPh>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</si>
  <si>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</si>
  <si>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</si>
  <si>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</si>
  <si>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</si>
  <si>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</si>
  <si>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</si>
  <si>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</si>
  <si>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</si>
  <si>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品川店</t>
    <rPh sb="0" eb="2">
      <t>シナガワ</t>
    </rPh>
    <rPh sb="2" eb="3">
      <t>テン</t>
    </rPh>
    <phoneticPr fontId="4"/>
  </si>
  <si>
    <t>イトーヨーカドー</t>
    <phoneticPr fontId="4"/>
  </si>
  <si>
    <t>大井町店</t>
    <rPh sb="0" eb="4">
      <t>オオイマチテン</t>
    </rPh>
    <phoneticPr fontId="4"/>
  </si>
  <si>
    <t>サミット</t>
    <phoneticPr fontId="4"/>
  </si>
  <si>
    <t>大森西店</t>
    <phoneticPr fontId="4"/>
  </si>
  <si>
    <t>大森西店</t>
  </si>
  <si>
    <t>カドヤ</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</si>
</sst>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53">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0" fontId="1" fillId="0" borderId="0" xfId="1" applyFont="1" applyAlignment="1">
      <alignment horizont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1" applyFont="1" applyBorder="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0" fontId="1" fillId="0" borderId="0" xfId="5" applyFont="1" applyFill="1" applyAlignment="1"/>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0" fontId="1" fillId="0" borderId="0" xfId="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Border="1"/>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1" fillId="0" borderId="0" xfId="7">
      <alignment vertical="center"/>
    </xf>
    <xf numFmtId="0" fontId="1" fillId="0" borderId="0" xfId="1" applyFill="1" applyBorder="1"/>
    <xf numFmtId="49" fontId="2" fillId="5" borderId="25" xfId="1" applyNumberFormat="1" applyFont="1" applyFill="1" applyBorder="1" applyAlignment="1">
      <alignment horizontal="center" vertical="center" wrapText="1"/>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5" xfId="1" applyFont="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Fill="1" applyBorder="1"/>
    <xf numFmtId="0" fontId="1" fillId="3" borderId="0" xfId="1" applyFill="1" applyBorder="1"/>
    <xf numFmtId="0" fontId="1" fillId="0" borderId="42" xfId="1" applyFill="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0" borderId="42" xfId="1" applyBorder="1"/>
    <xf numFmtId="0" fontId="1" fillId="4" borderId="16" xfId="1" applyFill="1" applyBorder="1"/>
    <xf numFmtId="0" fontId="1" fillId="4" borderId="17" xfId="1" applyFill="1" applyBorder="1"/>
    <xf numFmtId="0" fontId="1" fillId="0" borderId="41" xfId="1" applyBorder="1"/>
    <xf numFmtId="0" fontId="1" fillId="0" borderId="43" xfId="1" applyBorder="1"/>
    <xf numFmtId="0" fontId="1" fillId="0" borderId="43" xfId="1" applyFont="1" applyBorder="1"/>
    <xf numFmtId="0" fontId="1" fillId="0" borderId="17" xfId="1" applyFill="1" applyBorder="1"/>
    <xf numFmtId="0" fontId="1" fillId="0" borderId="44" xfId="1" applyFont="1" applyBorder="1"/>
    <xf numFmtId="0" fontId="1" fillId="0" borderId="35" xfId="1" applyBorder="1"/>
    <xf numFmtId="14" fontId="0" fillId="0" borderId="0" xfId="1" applyNumberFormat="1" applyFont="1" applyBorder="1"/>
    <xf numFmtId="14" fontId="0" fillId="0" borderId="0" xfId="1" applyNumberFormat="1" applyFont="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osaka5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hiroshima_5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fukuoka_5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kato_5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2467;&#12500;&#12540;Zespri%20Shopsurvey_ota_5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 val="Sheet1"/>
      <sheetName val="Sheet2"/>
    </sheetNames>
    <sheetDataSet>
      <sheetData sheetId="0"/>
      <sheetData sheetId="1"/>
      <sheetData sheetId="2"/>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A120"/>
  <sheetViews>
    <sheetView tabSelected="1" zoomScale="70" zoomScaleNormal="70" workbookViewId="0">
      <selection activeCell="AB19" sqref="AB19"/>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192</v>
      </c>
      <c r="B2" s="15" t="s">
        <v>194</v>
      </c>
      <c r="C2" s="15">
        <v>2018</v>
      </c>
      <c r="D2" s="50" t="s">
        <v>203</v>
      </c>
      <c r="E2" s="15" t="s">
        <v>141</v>
      </c>
      <c r="F2" s="15" t="s">
        <v>149</v>
      </c>
      <c r="G2" s="15" t="s">
        <v>36</v>
      </c>
      <c r="H2" s="15" t="s">
        <v>155</v>
      </c>
      <c r="I2" s="15" t="s">
        <v>153</v>
      </c>
      <c r="J2" s="15" t="s">
        <v>38</v>
      </c>
      <c r="K2" s="7" t="s">
        <v>154</v>
      </c>
      <c r="L2" s="7">
        <v>1</v>
      </c>
      <c r="N2" s="47">
        <v>1</v>
      </c>
      <c r="O2" s="15">
        <v>0.8</v>
      </c>
      <c r="P2" s="15">
        <v>0.75</v>
      </c>
      <c r="Q2" s="51">
        <f t="shared" ref="Q2:Q65" si="0">IF(OR(O2="",P2=""),"",AVERAGE(O2,P2))</f>
        <v>0.77500000000000002</v>
      </c>
      <c r="R2" s="15">
        <v>14.1</v>
      </c>
      <c r="S2" s="15">
        <v>126</v>
      </c>
      <c r="T2" s="38">
        <f t="shared" ref="T2:T59" si="1">IF(H2="","",IF(OR(H2="GREEN",H2="GK"),IF(S2&gt;=$AX$2,VLOOKUP(S2,$AX$2:$AY$12,2,1),""),IF(S2&gt;=$AZ$2,VLOOKUP(S2,$AZ$2:$BA$12,2,1),"")))</f>
        <v>27</v>
      </c>
      <c r="U2" s="15">
        <v>102</v>
      </c>
      <c r="V2" s="38">
        <f t="shared" ref="V2:V65" si="2">IF(OR(N2="",U2="",T2=""),"",U2/N2*T2)</f>
        <v>2754</v>
      </c>
      <c r="W2" s="15">
        <v>2</v>
      </c>
      <c r="X2" s="15" t="s">
        <v>39</v>
      </c>
      <c r="Y2" s="15" t="s">
        <v>84</v>
      </c>
      <c r="Z2" s="15" t="s">
        <v>90</v>
      </c>
      <c r="AA2" s="15" t="s">
        <v>69</v>
      </c>
      <c r="AB2" s="39" t="s">
        <v>196</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192</v>
      </c>
      <c r="B3" s="15" t="s">
        <v>193</v>
      </c>
      <c r="C3" s="15">
        <v>2018</v>
      </c>
      <c r="D3" s="50" t="s">
        <v>202</v>
      </c>
      <c r="E3" s="15" t="s">
        <v>141</v>
      </c>
      <c r="F3" s="7" t="s">
        <v>149</v>
      </c>
      <c r="G3" s="7" t="s">
        <v>36</v>
      </c>
      <c r="H3" s="15" t="s">
        <v>155</v>
      </c>
      <c r="I3" s="7" t="s">
        <v>153</v>
      </c>
      <c r="J3" s="15" t="s">
        <v>38</v>
      </c>
      <c r="K3" s="7" t="s">
        <v>154</v>
      </c>
      <c r="L3" s="7">
        <v>2</v>
      </c>
      <c r="N3" s="7">
        <v>1</v>
      </c>
      <c r="O3" s="34">
        <v>0.65</v>
      </c>
      <c r="P3" s="7">
        <v>0.75</v>
      </c>
      <c r="Q3" s="52">
        <f t="shared" si="0"/>
        <v>0.7</v>
      </c>
      <c r="R3" s="7">
        <v>12.2</v>
      </c>
      <c r="S3" s="7">
        <v>127</v>
      </c>
      <c r="T3" s="16">
        <f t="shared" si="1"/>
        <v>27</v>
      </c>
      <c r="U3" s="15">
        <v>102</v>
      </c>
      <c r="V3" s="16">
        <f t="shared" si="2"/>
        <v>2754</v>
      </c>
      <c r="W3" s="15">
        <v>2</v>
      </c>
      <c r="X3" s="15" t="s">
        <v>39</v>
      </c>
      <c r="Y3" s="104" t="s">
        <v>84</v>
      </c>
      <c r="Z3" s="104" t="s">
        <v>90</v>
      </c>
      <c r="AA3" s="104" t="s">
        <v>69</v>
      </c>
      <c r="AB3" s="39" t="s">
        <v>195</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192</v>
      </c>
      <c r="B4" s="15" t="s">
        <v>193</v>
      </c>
      <c r="C4" s="15">
        <v>2018</v>
      </c>
      <c r="D4" s="50" t="s">
        <v>202</v>
      </c>
      <c r="E4" s="15" t="s">
        <v>141</v>
      </c>
      <c r="F4" s="7" t="s">
        <v>149</v>
      </c>
      <c r="G4" s="7" t="s">
        <v>36</v>
      </c>
      <c r="H4" s="15" t="s">
        <v>155</v>
      </c>
      <c r="I4" s="96" t="s">
        <v>153</v>
      </c>
      <c r="J4" s="15" t="s">
        <v>38</v>
      </c>
      <c r="K4" s="7" t="s">
        <v>154</v>
      </c>
      <c r="L4" s="7">
        <v>3</v>
      </c>
      <c r="N4" s="7">
        <v>1</v>
      </c>
      <c r="O4" s="7">
        <v>0.75</v>
      </c>
      <c r="P4" s="7">
        <v>0.75</v>
      </c>
      <c r="Q4" s="52">
        <f t="shared" si="0"/>
        <v>0.75</v>
      </c>
      <c r="R4" s="7">
        <v>10.5</v>
      </c>
      <c r="S4" s="7">
        <v>128</v>
      </c>
      <c r="T4" s="16">
        <f t="shared" si="1"/>
        <v>27</v>
      </c>
      <c r="U4" s="15">
        <v>102</v>
      </c>
      <c r="V4" s="16">
        <f t="shared" si="2"/>
        <v>2754</v>
      </c>
      <c r="W4" s="15">
        <v>2</v>
      </c>
      <c r="X4" s="104" t="s">
        <v>39</v>
      </c>
      <c r="Y4" s="104" t="s">
        <v>84</v>
      </c>
      <c r="Z4" s="104" t="s">
        <v>90</v>
      </c>
      <c r="AA4" s="104" t="s">
        <v>69</v>
      </c>
      <c r="AB4" s="39" t="s">
        <v>195</v>
      </c>
      <c r="AE4" s="22" t="s">
        <v>34</v>
      </c>
      <c r="AG4" s="49" t="s">
        <v>197</v>
      </c>
      <c r="AH4" s="49" t="s">
        <v>198</v>
      </c>
      <c r="AJ4" s="27" t="s">
        <v>48</v>
      </c>
      <c r="AL4" s="27" t="s">
        <v>129</v>
      </c>
      <c r="AN4" s="28" t="s">
        <v>49</v>
      </c>
      <c r="AP4" s="23" t="s">
        <v>93</v>
      </c>
      <c r="AR4" s="41" t="s">
        <v>121</v>
      </c>
      <c r="AT4" s="28"/>
      <c r="AV4" s="23" t="s">
        <v>50</v>
      </c>
      <c r="AX4" s="24">
        <v>75</v>
      </c>
      <c r="AY4" s="25">
        <v>42</v>
      </c>
      <c r="AZ4" s="25">
        <v>76</v>
      </c>
      <c r="BA4" s="26">
        <v>39</v>
      </c>
    </row>
    <row r="5" spans="1:53" x14ac:dyDescent="0.15">
      <c r="A5" s="15" t="s">
        <v>192</v>
      </c>
      <c r="B5" s="15" t="s">
        <v>193</v>
      </c>
      <c r="C5" s="15">
        <v>2018</v>
      </c>
      <c r="D5" s="50" t="s">
        <v>202</v>
      </c>
      <c r="E5" s="104" t="s">
        <v>141</v>
      </c>
      <c r="F5" s="96" t="s">
        <v>149</v>
      </c>
      <c r="G5" s="96" t="s">
        <v>36</v>
      </c>
      <c r="H5" s="104" t="s">
        <v>174</v>
      </c>
      <c r="I5" s="96" t="s">
        <v>153</v>
      </c>
      <c r="J5" s="104" t="s">
        <v>38</v>
      </c>
      <c r="K5" s="96" t="s">
        <v>54</v>
      </c>
      <c r="L5" s="96">
        <v>1</v>
      </c>
      <c r="M5" s="96"/>
      <c r="N5" s="96">
        <v>1</v>
      </c>
      <c r="O5" s="7">
        <v>0.7</v>
      </c>
      <c r="P5" s="7">
        <v>0.8</v>
      </c>
      <c r="Q5" s="52">
        <f t="shared" si="0"/>
        <v>0.75</v>
      </c>
      <c r="R5" s="7">
        <v>15.4</v>
      </c>
      <c r="S5" s="7">
        <v>109</v>
      </c>
      <c r="T5" s="16">
        <f t="shared" si="1"/>
        <v>33</v>
      </c>
      <c r="U5" s="15">
        <v>145</v>
      </c>
      <c r="V5" s="16">
        <f t="shared" si="2"/>
        <v>4785</v>
      </c>
      <c r="W5" s="15">
        <v>2</v>
      </c>
      <c r="X5" s="104" t="s">
        <v>39</v>
      </c>
      <c r="Y5" s="104" t="s">
        <v>84</v>
      </c>
      <c r="Z5" s="104" t="s">
        <v>90</v>
      </c>
      <c r="AA5" s="104" t="s">
        <v>69</v>
      </c>
      <c r="AB5" s="39" t="s">
        <v>195</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192</v>
      </c>
      <c r="B6" s="15" t="s">
        <v>193</v>
      </c>
      <c r="C6" s="15">
        <v>2018</v>
      </c>
      <c r="D6" s="50" t="s">
        <v>202</v>
      </c>
      <c r="E6" s="104" t="s">
        <v>141</v>
      </c>
      <c r="F6" s="96" t="s">
        <v>149</v>
      </c>
      <c r="G6" s="96" t="s">
        <v>36</v>
      </c>
      <c r="H6" s="104" t="s">
        <v>174</v>
      </c>
      <c r="I6" s="96" t="s">
        <v>153</v>
      </c>
      <c r="J6" s="104" t="s">
        <v>38</v>
      </c>
      <c r="K6" s="96" t="s">
        <v>54</v>
      </c>
      <c r="L6" s="96">
        <v>2</v>
      </c>
      <c r="M6" s="96"/>
      <c r="N6" s="96">
        <v>1</v>
      </c>
      <c r="O6" s="7">
        <v>0.65</v>
      </c>
      <c r="P6" s="7">
        <v>0.75</v>
      </c>
      <c r="Q6" s="52">
        <f t="shared" si="0"/>
        <v>0.7</v>
      </c>
      <c r="R6" s="7">
        <v>17.899999999999999</v>
      </c>
      <c r="S6" s="7">
        <v>111</v>
      </c>
      <c r="T6" s="16">
        <f t="shared" si="1"/>
        <v>33</v>
      </c>
      <c r="U6" s="104">
        <v>145</v>
      </c>
      <c r="V6" s="16">
        <f t="shared" si="2"/>
        <v>4785</v>
      </c>
      <c r="W6" s="15">
        <v>2</v>
      </c>
      <c r="X6" s="104" t="s">
        <v>39</v>
      </c>
      <c r="Y6" s="104" t="s">
        <v>84</v>
      </c>
      <c r="Z6" s="104" t="s">
        <v>90</v>
      </c>
      <c r="AA6" s="104" t="s">
        <v>69</v>
      </c>
      <c r="AB6" s="39" t="s">
        <v>195</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192</v>
      </c>
      <c r="B7" s="15" t="s">
        <v>193</v>
      </c>
      <c r="C7" s="15">
        <v>2018</v>
      </c>
      <c r="D7" s="50" t="s">
        <v>202</v>
      </c>
      <c r="E7" s="104" t="s">
        <v>141</v>
      </c>
      <c r="F7" s="96" t="s">
        <v>149</v>
      </c>
      <c r="G7" s="96" t="s">
        <v>36</v>
      </c>
      <c r="H7" s="104" t="s">
        <v>174</v>
      </c>
      <c r="I7" s="96" t="s">
        <v>153</v>
      </c>
      <c r="J7" s="104" t="s">
        <v>38</v>
      </c>
      <c r="K7" s="96" t="s">
        <v>54</v>
      </c>
      <c r="L7" s="96">
        <v>3</v>
      </c>
      <c r="M7" s="96"/>
      <c r="N7" s="96">
        <v>1</v>
      </c>
      <c r="O7" s="7">
        <v>0.65</v>
      </c>
      <c r="P7" s="7">
        <v>0.8</v>
      </c>
      <c r="Q7" s="52">
        <f t="shared" si="0"/>
        <v>0.72500000000000009</v>
      </c>
      <c r="R7" s="34">
        <v>17.100000000000001</v>
      </c>
      <c r="S7" s="7">
        <v>105</v>
      </c>
      <c r="T7" s="16">
        <f t="shared" si="1"/>
        <v>36</v>
      </c>
      <c r="U7" s="104">
        <v>145</v>
      </c>
      <c r="V7" s="16">
        <f t="shared" si="2"/>
        <v>5220</v>
      </c>
      <c r="W7" s="15">
        <v>2</v>
      </c>
      <c r="X7" s="104" t="s">
        <v>39</v>
      </c>
      <c r="Y7" s="104" t="s">
        <v>84</v>
      </c>
      <c r="Z7" s="104" t="s">
        <v>90</v>
      </c>
      <c r="AA7" s="104" t="s">
        <v>69</v>
      </c>
      <c r="AB7" s="39" t="s">
        <v>195</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192</v>
      </c>
      <c r="B8" s="15" t="s">
        <v>193</v>
      </c>
      <c r="C8" s="15">
        <v>2018</v>
      </c>
      <c r="D8" s="50" t="s">
        <v>202</v>
      </c>
      <c r="E8" s="104" t="s">
        <v>133</v>
      </c>
      <c r="F8" s="96" t="s">
        <v>150</v>
      </c>
      <c r="G8" s="96" t="s">
        <v>36</v>
      </c>
      <c r="H8" s="104" t="s">
        <v>155</v>
      </c>
      <c r="I8" s="96" t="s">
        <v>153</v>
      </c>
      <c r="J8" s="104" t="s">
        <v>38</v>
      </c>
      <c r="K8" s="96" t="s">
        <v>154</v>
      </c>
      <c r="L8" s="96">
        <v>1</v>
      </c>
      <c r="M8" s="96"/>
      <c r="N8" s="96">
        <v>1</v>
      </c>
      <c r="O8" s="7">
        <v>0.8</v>
      </c>
      <c r="P8" s="7">
        <v>0.75</v>
      </c>
      <c r="Q8" s="52">
        <f t="shared" si="0"/>
        <v>0.77500000000000002</v>
      </c>
      <c r="R8" s="34">
        <v>11.9</v>
      </c>
      <c r="S8" s="7">
        <v>122</v>
      </c>
      <c r="T8" s="16">
        <f t="shared" si="1"/>
        <v>27</v>
      </c>
      <c r="U8" s="15">
        <v>105</v>
      </c>
      <c r="V8" s="16">
        <f t="shared" si="2"/>
        <v>2835</v>
      </c>
      <c r="W8" s="15">
        <v>8</v>
      </c>
      <c r="X8" s="104" t="s">
        <v>46</v>
      </c>
      <c r="Y8" s="104" t="s">
        <v>84</v>
      </c>
      <c r="Z8" s="104" t="s">
        <v>90</v>
      </c>
      <c r="AA8" s="104" t="s">
        <v>69</v>
      </c>
      <c r="AB8" s="39" t="s">
        <v>195</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192</v>
      </c>
      <c r="B9" s="15" t="s">
        <v>193</v>
      </c>
      <c r="C9" s="15">
        <v>2018</v>
      </c>
      <c r="D9" s="50" t="s">
        <v>202</v>
      </c>
      <c r="E9" s="104" t="s">
        <v>133</v>
      </c>
      <c r="F9" s="96" t="s">
        <v>150</v>
      </c>
      <c r="G9" s="96" t="s">
        <v>36</v>
      </c>
      <c r="H9" s="104" t="s">
        <v>155</v>
      </c>
      <c r="I9" s="96" t="s">
        <v>153</v>
      </c>
      <c r="J9" s="104" t="s">
        <v>38</v>
      </c>
      <c r="K9" s="96" t="s">
        <v>154</v>
      </c>
      <c r="L9" s="96">
        <v>2</v>
      </c>
      <c r="M9" s="96"/>
      <c r="N9" s="96">
        <v>1</v>
      </c>
      <c r="O9" s="7">
        <v>1</v>
      </c>
      <c r="P9" s="7">
        <v>0.85</v>
      </c>
      <c r="Q9" s="52">
        <f t="shared" si="0"/>
        <v>0.92500000000000004</v>
      </c>
      <c r="R9" s="7">
        <v>12.4</v>
      </c>
      <c r="S9" s="7">
        <v>117</v>
      </c>
      <c r="T9" s="16">
        <f t="shared" si="1"/>
        <v>30</v>
      </c>
      <c r="U9" s="104">
        <v>105</v>
      </c>
      <c r="V9" s="16">
        <f t="shared" si="2"/>
        <v>3150</v>
      </c>
      <c r="W9" s="15">
        <v>8</v>
      </c>
      <c r="X9" s="104" t="s">
        <v>46</v>
      </c>
      <c r="Y9" s="104" t="s">
        <v>84</v>
      </c>
      <c r="Z9" s="104" t="s">
        <v>90</v>
      </c>
      <c r="AA9" s="104" t="s">
        <v>69</v>
      </c>
      <c r="AB9" s="39" t="s">
        <v>195</v>
      </c>
      <c r="AE9" s="22" t="s">
        <v>98</v>
      </c>
      <c r="AG9" s="49" t="s">
        <v>133</v>
      </c>
      <c r="AH9" s="49" t="s">
        <v>150</v>
      </c>
      <c r="AL9" s="34"/>
      <c r="AP9" s="23" t="s">
        <v>95</v>
      </c>
      <c r="AR9" s="30" t="s">
        <v>89</v>
      </c>
      <c r="AV9" s="23" t="s">
        <v>102</v>
      </c>
      <c r="AX9" s="24">
        <v>128</v>
      </c>
      <c r="AY9" s="25">
        <v>27</v>
      </c>
      <c r="AZ9" s="25">
        <v>129</v>
      </c>
      <c r="BA9" s="26">
        <v>25</v>
      </c>
    </row>
    <row r="10" spans="1:53" x14ac:dyDescent="0.15">
      <c r="A10" s="15" t="s">
        <v>192</v>
      </c>
      <c r="B10" s="15" t="s">
        <v>193</v>
      </c>
      <c r="C10" s="15">
        <v>2018</v>
      </c>
      <c r="D10" s="50" t="s">
        <v>202</v>
      </c>
      <c r="E10" s="104" t="s">
        <v>133</v>
      </c>
      <c r="F10" s="96" t="s">
        <v>150</v>
      </c>
      <c r="G10" s="96" t="s">
        <v>36</v>
      </c>
      <c r="H10" s="104" t="s">
        <v>155</v>
      </c>
      <c r="I10" s="96" t="s">
        <v>153</v>
      </c>
      <c r="J10" s="104" t="s">
        <v>38</v>
      </c>
      <c r="K10" s="96" t="s">
        <v>154</v>
      </c>
      <c r="L10" s="96">
        <v>3</v>
      </c>
      <c r="M10" s="96"/>
      <c r="N10" s="96">
        <v>1</v>
      </c>
      <c r="O10" s="7">
        <v>0.6</v>
      </c>
      <c r="P10" s="7">
        <v>0.5</v>
      </c>
      <c r="Q10" s="52">
        <f t="shared" si="0"/>
        <v>0.55000000000000004</v>
      </c>
      <c r="R10" s="7">
        <v>12.3</v>
      </c>
      <c r="S10" s="7">
        <v>126</v>
      </c>
      <c r="T10" s="16">
        <f t="shared" si="1"/>
        <v>27</v>
      </c>
      <c r="U10" s="104">
        <v>105</v>
      </c>
      <c r="V10" s="16">
        <f t="shared" si="2"/>
        <v>2835</v>
      </c>
      <c r="W10" s="15">
        <v>8</v>
      </c>
      <c r="X10" s="104" t="s">
        <v>46</v>
      </c>
      <c r="Y10" s="104" t="s">
        <v>84</v>
      </c>
      <c r="Z10" s="104" t="s">
        <v>90</v>
      </c>
      <c r="AA10" s="104" t="s">
        <v>69</v>
      </c>
      <c r="AB10" s="39" t="s">
        <v>195</v>
      </c>
      <c r="AE10" s="22" t="s">
        <v>103</v>
      </c>
      <c r="AG10" s="49" t="s">
        <v>142</v>
      </c>
      <c r="AH10" s="49" t="s">
        <v>151</v>
      </c>
      <c r="AP10" s="23" t="s">
        <v>100</v>
      </c>
      <c r="AR10" s="30" t="s">
        <v>123</v>
      </c>
      <c r="AV10" s="23" t="s">
        <v>106</v>
      </c>
      <c r="AX10" s="24">
        <v>138</v>
      </c>
      <c r="AY10" s="25">
        <v>25</v>
      </c>
      <c r="AZ10" s="25">
        <v>138</v>
      </c>
      <c r="BA10" s="26">
        <v>22</v>
      </c>
    </row>
    <row r="11" spans="1:53" x14ac:dyDescent="0.15">
      <c r="A11" s="15" t="s">
        <v>192</v>
      </c>
      <c r="B11" s="15" t="s">
        <v>193</v>
      </c>
      <c r="C11" s="15">
        <v>2018</v>
      </c>
      <c r="D11" s="50" t="s">
        <v>202</v>
      </c>
      <c r="E11" s="104" t="s">
        <v>133</v>
      </c>
      <c r="F11" s="96" t="s">
        <v>150</v>
      </c>
      <c r="G11" s="96" t="s">
        <v>36</v>
      </c>
      <c r="H11" s="104" t="s">
        <v>155</v>
      </c>
      <c r="I11" s="96" t="s">
        <v>156</v>
      </c>
      <c r="J11" s="104" t="s">
        <v>38</v>
      </c>
      <c r="K11" s="96" t="s">
        <v>154</v>
      </c>
      <c r="L11" s="96">
        <v>1</v>
      </c>
      <c r="M11" s="96"/>
      <c r="N11" s="96">
        <v>4</v>
      </c>
      <c r="O11" s="7">
        <v>0.95</v>
      </c>
      <c r="P11" s="7">
        <v>0.9</v>
      </c>
      <c r="Q11" s="52">
        <f t="shared" si="0"/>
        <v>0.92500000000000004</v>
      </c>
      <c r="R11" s="7">
        <v>13.8</v>
      </c>
      <c r="S11" s="7">
        <v>99</v>
      </c>
      <c r="T11" s="16">
        <f t="shared" si="1"/>
        <v>33</v>
      </c>
      <c r="U11" s="7">
        <v>429</v>
      </c>
      <c r="V11" s="16">
        <f t="shared" si="2"/>
        <v>3539.25</v>
      </c>
      <c r="W11" s="7">
        <v>2</v>
      </c>
      <c r="X11" s="104" t="s">
        <v>46</v>
      </c>
      <c r="Y11" s="104" t="s">
        <v>84</v>
      </c>
      <c r="Z11" s="104" t="s">
        <v>90</v>
      </c>
      <c r="AA11" s="104" t="s">
        <v>69</v>
      </c>
      <c r="AB11" s="39" t="s">
        <v>195</v>
      </c>
      <c r="AE11" s="22" t="s">
        <v>65</v>
      </c>
      <c r="AG11" s="49" t="s">
        <v>143</v>
      </c>
      <c r="AH11" s="49" t="s">
        <v>152</v>
      </c>
      <c r="AP11" s="23" t="s">
        <v>104</v>
      </c>
      <c r="AR11" s="30" t="s">
        <v>87</v>
      </c>
      <c r="AV11" s="23" t="s">
        <v>69</v>
      </c>
      <c r="AX11" s="24">
        <v>151</v>
      </c>
      <c r="AY11" s="25">
        <v>22</v>
      </c>
      <c r="AZ11" s="25">
        <v>152</v>
      </c>
      <c r="BA11" s="26">
        <v>18</v>
      </c>
    </row>
    <row r="12" spans="1:53" x14ac:dyDescent="0.15">
      <c r="A12" s="15" t="s">
        <v>192</v>
      </c>
      <c r="B12" s="15" t="s">
        <v>193</v>
      </c>
      <c r="C12" s="15">
        <v>2018</v>
      </c>
      <c r="D12" s="50" t="s">
        <v>202</v>
      </c>
      <c r="E12" s="104" t="s">
        <v>133</v>
      </c>
      <c r="F12" s="96" t="s">
        <v>150</v>
      </c>
      <c r="G12" s="96" t="s">
        <v>36</v>
      </c>
      <c r="H12" s="104" t="s">
        <v>155</v>
      </c>
      <c r="I12" s="96" t="s">
        <v>156</v>
      </c>
      <c r="J12" s="104" t="s">
        <v>38</v>
      </c>
      <c r="K12" s="96" t="s">
        <v>154</v>
      </c>
      <c r="L12" s="96">
        <v>2</v>
      </c>
      <c r="M12" s="96"/>
      <c r="N12" s="96">
        <v>4</v>
      </c>
      <c r="O12" s="7">
        <v>0.5</v>
      </c>
      <c r="P12" s="7">
        <v>0.5</v>
      </c>
      <c r="Q12" s="52">
        <f t="shared" si="0"/>
        <v>0.5</v>
      </c>
      <c r="R12" s="34">
        <v>11</v>
      </c>
      <c r="S12" s="7">
        <v>97</v>
      </c>
      <c r="T12" s="16">
        <f t="shared" si="1"/>
        <v>36</v>
      </c>
      <c r="U12" s="96">
        <v>429</v>
      </c>
      <c r="V12" s="16">
        <f t="shared" si="2"/>
        <v>3861</v>
      </c>
      <c r="W12" s="7">
        <v>2</v>
      </c>
      <c r="X12" s="104" t="s">
        <v>46</v>
      </c>
      <c r="Y12" s="104" t="s">
        <v>84</v>
      </c>
      <c r="Z12" s="104" t="s">
        <v>90</v>
      </c>
      <c r="AA12" s="104" t="s">
        <v>69</v>
      </c>
      <c r="AB12" s="39" t="s">
        <v>195</v>
      </c>
      <c r="AE12" s="22" t="s">
        <v>70</v>
      </c>
      <c r="AG12" s="40"/>
      <c r="AH12" s="40"/>
      <c r="AP12" s="23" t="s">
        <v>67</v>
      </c>
      <c r="AR12" s="30" t="s">
        <v>124</v>
      </c>
      <c r="AV12" s="23" t="s">
        <v>72</v>
      </c>
      <c r="AX12" s="31">
        <v>180</v>
      </c>
      <c r="AY12" s="32">
        <v>18</v>
      </c>
      <c r="AZ12" s="32">
        <v>181</v>
      </c>
      <c r="BA12" s="33">
        <v>16</v>
      </c>
    </row>
    <row r="13" spans="1:53" x14ac:dyDescent="0.15">
      <c r="A13" s="15" t="s">
        <v>192</v>
      </c>
      <c r="B13" s="15" t="s">
        <v>193</v>
      </c>
      <c r="C13" s="15">
        <v>2018</v>
      </c>
      <c r="D13" s="50" t="s">
        <v>202</v>
      </c>
      <c r="E13" s="104" t="s">
        <v>133</v>
      </c>
      <c r="F13" s="96" t="s">
        <v>150</v>
      </c>
      <c r="G13" s="96" t="s">
        <v>36</v>
      </c>
      <c r="H13" s="104" t="s">
        <v>155</v>
      </c>
      <c r="I13" s="96" t="s">
        <v>156</v>
      </c>
      <c r="J13" s="104" t="s">
        <v>38</v>
      </c>
      <c r="K13" s="96" t="s">
        <v>154</v>
      </c>
      <c r="L13" s="96">
        <v>3</v>
      </c>
      <c r="M13" s="96"/>
      <c r="N13" s="96">
        <v>4</v>
      </c>
      <c r="O13" s="7">
        <v>0.7</v>
      </c>
      <c r="P13" s="7">
        <v>0.85</v>
      </c>
      <c r="Q13" s="52">
        <f t="shared" si="0"/>
        <v>0.77499999999999991</v>
      </c>
      <c r="R13" s="7">
        <v>13.5</v>
      </c>
      <c r="S13" s="7">
        <v>97</v>
      </c>
      <c r="T13" s="16">
        <f t="shared" si="1"/>
        <v>36</v>
      </c>
      <c r="U13" s="96">
        <v>429</v>
      </c>
      <c r="V13" s="16">
        <f t="shared" si="2"/>
        <v>3861</v>
      </c>
      <c r="W13" s="7">
        <v>2</v>
      </c>
      <c r="X13" s="104" t="s">
        <v>46</v>
      </c>
      <c r="Y13" s="104" t="s">
        <v>84</v>
      </c>
      <c r="Z13" s="104" t="s">
        <v>90</v>
      </c>
      <c r="AA13" s="104" t="s">
        <v>69</v>
      </c>
      <c r="AB13" s="39" t="s">
        <v>195</v>
      </c>
      <c r="AE13" s="22" t="s">
        <v>73</v>
      </c>
      <c r="AG13" s="23"/>
      <c r="AH13" s="23"/>
      <c r="AP13" s="23" t="s">
        <v>71</v>
      </c>
      <c r="AR13" s="30" t="s">
        <v>103</v>
      </c>
      <c r="AV13" s="23" t="s">
        <v>75</v>
      </c>
    </row>
    <row r="14" spans="1:53" x14ac:dyDescent="0.15">
      <c r="A14" s="15" t="s">
        <v>192</v>
      </c>
      <c r="B14" s="15" t="s">
        <v>193</v>
      </c>
      <c r="C14" s="15">
        <v>2018</v>
      </c>
      <c r="D14" s="50" t="s">
        <v>202</v>
      </c>
      <c r="E14" s="104" t="s">
        <v>142</v>
      </c>
      <c r="F14" s="96" t="s">
        <v>151</v>
      </c>
      <c r="G14" s="96" t="s">
        <v>36</v>
      </c>
      <c r="H14" s="104" t="s">
        <v>155</v>
      </c>
      <c r="I14" s="96" t="s">
        <v>153</v>
      </c>
      <c r="J14" s="104" t="s">
        <v>38</v>
      </c>
      <c r="K14" s="96" t="s">
        <v>154</v>
      </c>
      <c r="L14" s="96">
        <v>1</v>
      </c>
      <c r="M14" s="96"/>
      <c r="N14" s="96">
        <v>1</v>
      </c>
      <c r="O14" s="7">
        <v>0.75</v>
      </c>
      <c r="P14" s="7">
        <v>0.85</v>
      </c>
      <c r="Q14" s="52">
        <f t="shared" si="0"/>
        <v>0.8</v>
      </c>
      <c r="R14" s="7">
        <v>12.1</v>
      </c>
      <c r="S14" s="7">
        <v>120</v>
      </c>
      <c r="T14" s="16">
        <f t="shared" si="1"/>
        <v>30</v>
      </c>
      <c r="U14" s="7">
        <v>149</v>
      </c>
      <c r="V14" s="16">
        <f t="shared" si="2"/>
        <v>4470</v>
      </c>
      <c r="W14" s="7">
        <v>4</v>
      </c>
      <c r="X14" s="15" t="s">
        <v>39</v>
      </c>
      <c r="Y14" s="104" t="s">
        <v>84</v>
      </c>
      <c r="Z14" s="104" t="s">
        <v>69</v>
      </c>
      <c r="AA14" s="104" t="s">
        <v>90</v>
      </c>
      <c r="AB14" s="39" t="s">
        <v>195</v>
      </c>
      <c r="AE14" s="22" t="s">
        <v>76</v>
      </c>
      <c r="AG14" s="23"/>
      <c r="AH14" s="23"/>
      <c r="AP14" s="23" t="s">
        <v>74</v>
      </c>
      <c r="AR14" s="30" t="s">
        <v>125</v>
      </c>
      <c r="AV14" s="23" t="s">
        <v>78</v>
      </c>
    </row>
    <row r="15" spans="1:53" x14ac:dyDescent="0.15">
      <c r="A15" s="15" t="s">
        <v>192</v>
      </c>
      <c r="B15" s="15" t="s">
        <v>193</v>
      </c>
      <c r="C15" s="15">
        <v>2018</v>
      </c>
      <c r="D15" s="50" t="s">
        <v>202</v>
      </c>
      <c r="E15" s="104" t="s">
        <v>142</v>
      </c>
      <c r="F15" s="96" t="s">
        <v>151</v>
      </c>
      <c r="G15" s="96" t="s">
        <v>36</v>
      </c>
      <c r="H15" s="104" t="s">
        <v>155</v>
      </c>
      <c r="I15" s="96" t="s">
        <v>153</v>
      </c>
      <c r="J15" s="104" t="s">
        <v>38</v>
      </c>
      <c r="K15" s="96" t="s">
        <v>154</v>
      </c>
      <c r="L15" s="96">
        <v>2</v>
      </c>
      <c r="M15" s="96"/>
      <c r="N15" s="96">
        <v>1</v>
      </c>
      <c r="O15" s="7">
        <v>0.5</v>
      </c>
      <c r="P15" s="7">
        <v>0.55000000000000004</v>
      </c>
      <c r="Q15" s="52">
        <f t="shared" si="0"/>
        <v>0.52500000000000002</v>
      </c>
      <c r="R15" s="7">
        <v>12.5</v>
      </c>
      <c r="S15" s="7">
        <v>116</v>
      </c>
      <c r="T15" s="16">
        <f t="shared" si="1"/>
        <v>30</v>
      </c>
      <c r="U15" s="96">
        <v>149</v>
      </c>
      <c r="V15" s="16">
        <f t="shared" si="2"/>
        <v>4470</v>
      </c>
      <c r="W15" s="7">
        <v>4</v>
      </c>
      <c r="X15" s="104" t="s">
        <v>39</v>
      </c>
      <c r="Y15" s="104" t="s">
        <v>84</v>
      </c>
      <c r="Z15" s="104" t="s">
        <v>69</v>
      </c>
      <c r="AA15" s="104" t="s">
        <v>90</v>
      </c>
      <c r="AB15" s="39" t="s">
        <v>195</v>
      </c>
      <c r="AE15" s="22" t="s">
        <v>79</v>
      </c>
      <c r="AG15" s="23"/>
      <c r="AH15" s="23"/>
      <c r="AP15" s="23" t="s">
        <v>77</v>
      </c>
      <c r="AR15" s="30" t="s">
        <v>94</v>
      </c>
      <c r="AV15" s="23" t="s">
        <v>107</v>
      </c>
    </row>
    <row r="16" spans="1:53" x14ac:dyDescent="0.15">
      <c r="A16" s="15" t="s">
        <v>192</v>
      </c>
      <c r="B16" s="15" t="s">
        <v>193</v>
      </c>
      <c r="C16" s="15">
        <v>2018</v>
      </c>
      <c r="D16" s="50" t="s">
        <v>202</v>
      </c>
      <c r="E16" s="104" t="s">
        <v>142</v>
      </c>
      <c r="F16" s="96" t="s">
        <v>151</v>
      </c>
      <c r="G16" s="96" t="s">
        <v>36</v>
      </c>
      <c r="H16" s="104" t="s">
        <v>155</v>
      </c>
      <c r="I16" s="96" t="s">
        <v>153</v>
      </c>
      <c r="J16" s="104" t="s">
        <v>38</v>
      </c>
      <c r="K16" s="96" t="s">
        <v>154</v>
      </c>
      <c r="L16" s="96">
        <v>3</v>
      </c>
      <c r="M16" s="96"/>
      <c r="N16" s="96">
        <v>1</v>
      </c>
      <c r="O16" s="7">
        <v>0.5</v>
      </c>
      <c r="P16" s="7">
        <v>0.5</v>
      </c>
      <c r="Q16" s="52">
        <f t="shared" si="0"/>
        <v>0.5</v>
      </c>
      <c r="R16" s="7">
        <v>12.4</v>
      </c>
      <c r="S16" s="7">
        <v>123</v>
      </c>
      <c r="T16" s="16">
        <f t="shared" si="1"/>
        <v>27</v>
      </c>
      <c r="U16" s="96">
        <v>149</v>
      </c>
      <c r="V16" s="16">
        <f t="shared" si="2"/>
        <v>4023</v>
      </c>
      <c r="W16" s="7">
        <v>4</v>
      </c>
      <c r="X16" s="104" t="s">
        <v>39</v>
      </c>
      <c r="Y16" s="104" t="s">
        <v>84</v>
      </c>
      <c r="Z16" s="104" t="s">
        <v>69</v>
      </c>
      <c r="AA16" s="104" t="s">
        <v>90</v>
      </c>
      <c r="AB16" s="39" t="s">
        <v>195</v>
      </c>
      <c r="AE16" s="22" t="s">
        <v>82</v>
      </c>
      <c r="AG16" s="28"/>
      <c r="AH16" s="28"/>
      <c r="AP16" s="23" t="s">
        <v>80</v>
      </c>
      <c r="AR16" s="41" t="s">
        <v>63</v>
      </c>
      <c r="AV16" s="23" t="s">
        <v>84</v>
      </c>
    </row>
    <row r="17" spans="1:48" x14ac:dyDescent="0.15">
      <c r="A17" s="15" t="s">
        <v>192</v>
      </c>
      <c r="B17" s="15" t="s">
        <v>193</v>
      </c>
      <c r="C17" s="15">
        <v>2018</v>
      </c>
      <c r="D17" s="50" t="s">
        <v>202</v>
      </c>
      <c r="E17" s="96" t="s">
        <v>142</v>
      </c>
      <c r="F17" s="96" t="s">
        <v>151</v>
      </c>
      <c r="G17" s="96" t="s">
        <v>36</v>
      </c>
      <c r="H17" s="104" t="s">
        <v>174</v>
      </c>
      <c r="I17" s="96" t="s">
        <v>153</v>
      </c>
      <c r="J17" s="104" t="s">
        <v>38</v>
      </c>
      <c r="K17" s="96" t="s">
        <v>54</v>
      </c>
      <c r="L17" s="96">
        <v>1</v>
      </c>
      <c r="M17" s="96"/>
      <c r="N17" s="96">
        <v>1</v>
      </c>
      <c r="O17" s="7">
        <v>0.6</v>
      </c>
      <c r="P17" s="7">
        <v>0.75</v>
      </c>
      <c r="Q17" s="52">
        <f t="shared" si="0"/>
        <v>0.67500000000000004</v>
      </c>
      <c r="R17" s="7">
        <v>16.600000000000001</v>
      </c>
      <c r="S17" s="7">
        <v>98</v>
      </c>
      <c r="T17" s="16">
        <f t="shared" si="1"/>
        <v>36</v>
      </c>
      <c r="U17" s="7">
        <v>170</v>
      </c>
      <c r="V17" s="16">
        <f t="shared" si="2"/>
        <v>6120</v>
      </c>
      <c r="W17" s="7">
        <v>2</v>
      </c>
      <c r="X17" s="104" t="s">
        <v>39</v>
      </c>
      <c r="Y17" s="104" t="s">
        <v>84</v>
      </c>
      <c r="Z17" s="104" t="s">
        <v>69</v>
      </c>
      <c r="AA17" s="104" t="s">
        <v>90</v>
      </c>
      <c r="AB17" s="39" t="s">
        <v>195</v>
      </c>
      <c r="AE17" s="22" t="s">
        <v>85</v>
      </c>
      <c r="AP17" s="43" t="s">
        <v>110</v>
      </c>
      <c r="AR17" s="41" t="s">
        <v>96</v>
      </c>
      <c r="AV17" s="23" t="s">
        <v>86</v>
      </c>
    </row>
    <row r="18" spans="1:48" x14ac:dyDescent="0.15">
      <c r="A18" s="15" t="s">
        <v>192</v>
      </c>
      <c r="B18" s="15" t="s">
        <v>193</v>
      </c>
      <c r="C18" s="15">
        <v>2018</v>
      </c>
      <c r="D18" s="50" t="s">
        <v>202</v>
      </c>
      <c r="E18" s="96" t="s">
        <v>142</v>
      </c>
      <c r="F18" s="96" t="s">
        <v>151</v>
      </c>
      <c r="G18" s="96" t="s">
        <v>36</v>
      </c>
      <c r="H18" s="104" t="s">
        <v>174</v>
      </c>
      <c r="I18" s="96" t="s">
        <v>153</v>
      </c>
      <c r="J18" s="104" t="s">
        <v>38</v>
      </c>
      <c r="K18" s="96" t="s">
        <v>54</v>
      </c>
      <c r="L18" s="96">
        <v>2</v>
      </c>
      <c r="M18" s="96"/>
      <c r="N18" s="96">
        <v>1</v>
      </c>
      <c r="O18" s="7">
        <v>0.5</v>
      </c>
      <c r="P18" s="7">
        <v>0.55000000000000004</v>
      </c>
      <c r="Q18" s="52">
        <f t="shared" si="0"/>
        <v>0.52500000000000002</v>
      </c>
      <c r="R18" s="7">
        <v>16.2</v>
      </c>
      <c r="S18" s="7">
        <v>97</v>
      </c>
      <c r="T18" s="16">
        <f t="shared" si="1"/>
        <v>36</v>
      </c>
      <c r="U18" s="96">
        <v>170</v>
      </c>
      <c r="V18" s="16">
        <f t="shared" si="2"/>
        <v>6120</v>
      </c>
      <c r="W18" s="7">
        <v>2</v>
      </c>
      <c r="X18" s="104" t="s">
        <v>39</v>
      </c>
      <c r="Y18" s="104" t="s">
        <v>84</v>
      </c>
      <c r="Z18" s="104" t="s">
        <v>69</v>
      </c>
      <c r="AA18" s="104" t="s">
        <v>90</v>
      </c>
      <c r="AB18" s="39" t="s">
        <v>195</v>
      </c>
      <c r="AE18" s="22" t="s">
        <v>87</v>
      </c>
      <c r="AP18" s="43" t="s">
        <v>111</v>
      </c>
      <c r="AR18" s="41" t="s">
        <v>101</v>
      </c>
      <c r="AV18" s="23" t="s">
        <v>88</v>
      </c>
    </row>
    <row r="19" spans="1:48" x14ac:dyDescent="0.15">
      <c r="A19" s="15" t="s">
        <v>192</v>
      </c>
      <c r="B19" s="15" t="s">
        <v>193</v>
      </c>
      <c r="C19" s="15">
        <v>2018</v>
      </c>
      <c r="D19" s="50" t="s">
        <v>202</v>
      </c>
      <c r="E19" s="96" t="s">
        <v>142</v>
      </c>
      <c r="F19" s="96" t="s">
        <v>151</v>
      </c>
      <c r="G19" s="96" t="s">
        <v>36</v>
      </c>
      <c r="H19" s="104" t="s">
        <v>174</v>
      </c>
      <c r="I19" s="96" t="s">
        <v>153</v>
      </c>
      <c r="J19" s="104" t="s">
        <v>200</v>
      </c>
      <c r="K19" s="96" t="s">
        <v>54</v>
      </c>
      <c r="L19" s="96">
        <v>3</v>
      </c>
      <c r="M19" s="96"/>
      <c r="N19" s="96">
        <v>1</v>
      </c>
      <c r="O19" s="7">
        <v>0.75</v>
      </c>
      <c r="P19" s="7">
        <v>0.85</v>
      </c>
      <c r="Q19" s="52">
        <f t="shared" si="0"/>
        <v>0.8</v>
      </c>
      <c r="R19" s="7">
        <v>16.399999999999999</v>
      </c>
      <c r="S19" s="7">
        <v>100</v>
      </c>
      <c r="T19" s="16">
        <f t="shared" si="1"/>
        <v>36</v>
      </c>
      <c r="U19" s="96">
        <v>170</v>
      </c>
      <c r="V19" s="16">
        <f t="shared" si="2"/>
        <v>6120</v>
      </c>
      <c r="W19" s="7">
        <v>2</v>
      </c>
      <c r="X19" s="104" t="s">
        <v>39</v>
      </c>
      <c r="Y19" s="104" t="s">
        <v>84</v>
      </c>
      <c r="Z19" s="104" t="s">
        <v>69</v>
      </c>
      <c r="AA19" s="104" t="s">
        <v>90</v>
      </c>
      <c r="AB19" s="39" t="s">
        <v>195</v>
      </c>
      <c r="AE19" s="35" t="s">
        <v>89</v>
      </c>
      <c r="AP19" s="43" t="s">
        <v>112</v>
      </c>
      <c r="AR19" s="30" t="s">
        <v>126</v>
      </c>
      <c r="AV19" s="23" t="s">
        <v>90</v>
      </c>
    </row>
    <row r="20" spans="1:48" x14ac:dyDescent="0.15">
      <c r="A20" s="15" t="s">
        <v>192</v>
      </c>
      <c r="B20" s="15" t="s">
        <v>193</v>
      </c>
      <c r="C20" s="15">
        <v>2018</v>
      </c>
      <c r="D20" s="50" t="s">
        <v>202</v>
      </c>
      <c r="E20" s="96" t="s">
        <v>143</v>
      </c>
      <c r="F20" s="96" t="s">
        <v>152</v>
      </c>
      <c r="G20" s="96" t="s">
        <v>36</v>
      </c>
      <c r="H20" s="104" t="s">
        <v>155</v>
      </c>
      <c r="I20" s="96" t="s">
        <v>153</v>
      </c>
      <c r="J20" s="104" t="s">
        <v>38</v>
      </c>
      <c r="K20" s="96" t="s">
        <v>154</v>
      </c>
      <c r="L20" s="96">
        <v>1</v>
      </c>
      <c r="M20" s="96"/>
      <c r="N20" s="96">
        <v>1</v>
      </c>
      <c r="O20" s="7">
        <v>0.75</v>
      </c>
      <c r="P20" s="34">
        <v>0.7</v>
      </c>
      <c r="Q20" s="52">
        <f t="shared" si="0"/>
        <v>0.72499999999999998</v>
      </c>
      <c r="R20" s="7">
        <v>12.6</v>
      </c>
      <c r="S20" s="7">
        <v>128</v>
      </c>
      <c r="T20" s="16">
        <f t="shared" si="1"/>
        <v>27</v>
      </c>
      <c r="U20" s="7">
        <v>105</v>
      </c>
      <c r="V20" s="16">
        <f t="shared" si="2"/>
        <v>2835</v>
      </c>
      <c r="W20" s="7">
        <v>2</v>
      </c>
      <c r="X20" s="104" t="s">
        <v>39</v>
      </c>
      <c r="Y20" s="104" t="s">
        <v>84</v>
      </c>
      <c r="Z20" s="104" t="s">
        <v>78</v>
      </c>
      <c r="AA20" s="104" t="s">
        <v>90</v>
      </c>
      <c r="AB20" s="39" t="s">
        <v>195</v>
      </c>
      <c r="AE20" s="22"/>
      <c r="AP20" s="43" t="s">
        <v>113</v>
      </c>
      <c r="AR20" s="41" t="s">
        <v>105</v>
      </c>
      <c r="AV20" s="27" t="s">
        <v>135</v>
      </c>
    </row>
    <row r="21" spans="1:48" x14ac:dyDescent="0.15">
      <c r="A21" s="15" t="s">
        <v>192</v>
      </c>
      <c r="B21" s="15" t="s">
        <v>193</v>
      </c>
      <c r="C21" s="15">
        <v>2018</v>
      </c>
      <c r="D21" s="50" t="s">
        <v>202</v>
      </c>
      <c r="E21" s="96" t="s">
        <v>143</v>
      </c>
      <c r="F21" s="96" t="s">
        <v>152</v>
      </c>
      <c r="G21" s="96" t="s">
        <v>36</v>
      </c>
      <c r="H21" s="104" t="s">
        <v>155</v>
      </c>
      <c r="I21" s="96" t="s">
        <v>153</v>
      </c>
      <c r="J21" s="104" t="s">
        <v>38</v>
      </c>
      <c r="K21" s="96" t="s">
        <v>154</v>
      </c>
      <c r="L21" s="96">
        <v>2</v>
      </c>
      <c r="M21" s="96"/>
      <c r="N21" s="96">
        <v>1</v>
      </c>
      <c r="O21" s="7">
        <v>0.5</v>
      </c>
      <c r="P21" s="7">
        <v>0.55000000000000004</v>
      </c>
      <c r="Q21" s="52">
        <f t="shared" si="0"/>
        <v>0.52500000000000002</v>
      </c>
      <c r="R21" s="7">
        <v>13.6</v>
      </c>
      <c r="S21" s="7">
        <v>129</v>
      </c>
      <c r="T21" s="16">
        <f t="shared" si="1"/>
        <v>25</v>
      </c>
      <c r="U21" s="96">
        <v>105</v>
      </c>
      <c r="V21" s="16">
        <f t="shared" si="2"/>
        <v>2625</v>
      </c>
      <c r="W21" s="7">
        <v>2</v>
      </c>
      <c r="X21" s="104" t="s">
        <v>39</v>
      </c>
      <c r="Y21" s="104" t="s">
        <v>84</v>
      </c>
      <c r="Z21" s="104" t="s">
        <v>78</v>
      </c>
      <c r="AA21" s="104" t="s">
        <v>90</v>
      </c>
      <c r="AB21" s="39" t="s">
        <v>195</v>
      </c>
      <c r="AE21" s="22"/>
      <c r="AP21" s="43" t="s">
        <v>114</v>
      </c>
      <c r="AR21" s="41" t="s">
        <v>68</v>
      </c>
      <c r="AV21" s="27" t="s">
        <v>136</v>
      </c>
    </row>
    <row r="22" spans="1:48" x14ac:dyDescent="0.15">
      <c r="A22" s="15" t="s">
        <v>192</v>
      </c>
      <c r="B22" s="15" t="s">
        <v>193</v>
      </c>
      <c r="C22" s="15">
        <v>2018</v>
      </c>
      <c r="D22" s="50" t="s">
        <v>202</v>
      </c>
      <c r="E22" s="96" t="s">
        <v>143</v>
      </c>
      <c r="F22" s="96" t="s">
        <v>152</v>
      </c>
      <c r="G22" s="96" t="s">
        <v>36</v>
      </c>
      <c r="H22" s="104" t="s">
        <v>155</v>
      </c>
      <c r="I22" s="96" t="s">
        <v>153</v>
      </c>
      <c r="J22" s="104" t="s">
        <v>38</v>
      </c>
      <c r="K22" s="96" t="s">
        <v>154</v>
      </c>
      <c r="L22" s="96">
        <v>3</v>
      </c>
      <c r="M22" s="96"/>
      <c r="N22" s="96">
        <v>1</v>
      </c>
      <c r="O22" s="34">
        <v>0.75</v>
      </c>
      <c r="P22" s="7">
        <v>0.65</v>
      </c>
      <c r="Q22" s="52">
        <f t="shared" si="0"/>
        <v>0.7</v>
      </c>
      <c r="R22" s="7">
        <v>14.1</v>
      </c>
      <c r="S22" s="7">
        <v>130</v>
      </c>
      <c r="T22" s="16">
        <f t="shared" si="1"/>
        <v>25</v>
      </c>
      <c r="U22" s="96">
        <v>105</v>
      </c>
      <c r="V22" s="16">
        <f t="shared" si="2"/>
        <v>2625</v>
      </c>
      <c r="W22" s="7">
        <v>2</v>
      </c>
      <c r="X22" s="104" t="s">
        <v>39</v>
      </c>
      <c r="Y22" s="104" t="s">
        <v>84</v>
      </c>
      <c r="Z22" s="104" t="s">
        <v>78</v>
      </c>
      <c r="AA22" s="104" t="s">
        <v>90</v>
      </c>
      <c r="AB22" s="39" t="s">
        <v>195</v>
      </c>
      <c r="AE22" s="35"/>
      <c r="AP22" s="43" t="s">
        <v>115</v>
      </c>
      <c r="AR22" s="41" t="s">
        <v>83</v>
      </c>
      <c r="AV22" s="27"/>
    </row>
    <row r="23" spans="1:48" x14ac:dyDescent="0.15">
      <c r="A23" s="15" t="s">
        <v>192</v>
      </c>
      <c r="B23" s="15" t="s">
        <v>193</v>
      </c>
      <c r="C23" s="15">
        <v>2018</v>
      </c>
      <c r="D23" s="50" t="s">
        <v>202</v>
      </c>
      <c r="E23" s="96" t="s">
        <v>143</v>
      </c>
      <c r="F23" s="96" t="s">
        <v>152</v>
      </c>
      <c r="G23" s="96" t="s">
        <v>36</v>
      </c>
      <c r="H23" s="104" t="s">
        <v>174</v>
      </c>
      <c r="I23" s="96" t="s">
        <v>153</v>
      </c>
      <c r="J23" s="104" t="s">
        <v>38</v>
      </c>
      <c r="K23" s="96" t="s">
        <v>54</v>
      </c>
      <c r="L23" s="96">
        <v>1</v>
      </c>
      <c r="M23" s="96"/>
      <c r="N23" s="96">
        <v>1</v>
      </c>
      <c r="O23" s="34">
        <v>0.5</v>
      </c>
      <c r="P23" s="7">
        <v>0.65</v>
      </c>
      <c r="Q23" s="52">
        <f t="shared" si="0"/>
        <v>0.57499999999999996</v>
      </c>
      <c r="R23" s="7">
        <v>10.7</v>
      </c>
      <c r="S23" s="7">
        <v>102</v>
      </c>
      <c r="T23" s="16">
        <f t="shared" si="1"/>
        <v>36</v>
      </c>
      <c r="U23" s="7">
        <v>149</v>
      </c>
      <c r="V23" s="16">
        <f t="shared" si="2"/>
        <v>5364</v>
      </c>
      <c r="W23" s="7">
        <v>1</v>
      </c>
      <c r="X23" s="104" t="s">
        <v>39</v>
      </c>
      <c r="Y23" s="104" t="s">
        <v>84</v>
      </c>
      <c r="Z23" s="104" t="s">
        <v>78</v>
      </c>
      <c r="AA23" s="104" t="s">
        <v>90</v>
      </c>
      <c r="AB23" s="39" t="s">
        <v>195</v>
      </c>
      <c r="AE23" s="22"/>
      <c r="AP23" s="43" t="s">
        <v>137</v>
      </c>
      <c r="AR23" s="41" t="s">
        <v>61</v>
      </c>
      <c r="AV23" s="27"/>
    </row>
    <row r="24" spans="1:48" x14ac:dyDescent="0.15">
      <c r="A24" s="15" t="s">
        <v>192</v>
      </c>
      <c r="B24" s="15" t="s">
        <v>193</v>
      </c>
      <c r="C24" s="15">
        <v>2018</v>
      </c>
      <c r="D24" s="50" t="s">
        <v>202</v>
      </c>
      <c r="E24" s="96" t="s">
        <v>143</v>
      </c>
      <c r="F24" s="96" t="s">
        <v>152</v>
      </c>
      <c r="G24" s="96" t="s">
        <v>36</v>
      </c>
      <c r="H24" s="104" t="s">
        <v>174</v>
      </c>
      <c r="I24" s="96" t="s">
        <v>153</v>
      </c>
      <c r="J24" s="104" t="s">
        <v>38</v>
      </c>
      <c r="K24" s="96" t="s">
        <v>54</v>
      </c>
      <c r="L24" s="96">
        <v>2</v>
      </c>
      <c r="M24" s="96"/>
      <c r="N24" s="96">
        <v>1</v>
      </c>
      <c r="O24" s="7">
        <v>0.75</v>
      </c>
      <c r="P24" s="7">
        <v>0.75</v>
      </c>
      <c r="Q24" s="52">
        <f t="shared" si="0"/>
        <v>0.75</v>
      </c>
      <c r="R24" s="7">
        <v>12.2</v>
      </c>
      <c r="S24" s="7">
        <v>104</v>
      </c>
      <c r="T24" s="16">
        <f t="shared" si="1"/>
        <v>36</v>
      </c>
      <c r="U24" s="96">
        <v>149</v>
      </c>
      <c r="V24" s="16">
        <f t="shared" si="2"/>
        <v>5364</v>
      </c>
      <c r="W24" s="7">
        <v>1</v>
      </c>
      <c r="X24" s="104" t="s">
        <v>39</v>
      </c>
      <c r="Y24" s="104" t="s">
        <v>84</v>
      </c>
      <c r="Z24" s="104" t="s">
        <v>78</v>
      </c>
      <c r="AA24" s="104" t="s">
        <v>90</v>
      </c>
      <c r="AB24" s="39" t="s">
        <v>195</v>
      </c>
      <c r="AE24" s="22"/>
      <c r="AP24" s="43" t="s">
        <v>138</v>
      </c>
      <c r="AR24" s="41" t="s">
        <v>91</v>
      </c>
      <c r="AV24" s="27"/>
    </row>
    <row r="25" spans="1:48" x14ac:dyDescent="0.15">
      <c r="A25" s="15" t="s">
        <v>192</v>
      </c>
      <c r="B25" s="15" t="s">
        <v>193</v>
      </c>
      <c r="C25" s="15">
        <v>2018</v>
      </c>
      <c r="D25" s="50" t="s">
        <v>202</v>
      </c>
      <c r="E25" s="96" t="s">
        <v>143</v>
      </c>
      <c r="F25" s="96" t="s">
        <v>152</v>
      </c>
      <c r="G25" s="96" t="s">
        <v>36</v>
      </c>
      <c r="H25" s="104" t="s">
        <v>174</v>
      </c>
      <c r="I25" s="96" t="s">
        <v>153</v>
      </c>
      <c r="J25" s="104" t="s">
        <v>38</v>
      </c>
      <c r="K25" s="96" t="s">
        <v>54</v>
      </c>
      <c r="L25" s="96">
        <v>3</v>
      </c>
      <c r="M25" s="96"/>
      <c r="N25" s="96">
        <v>1</v>
      </c>
      <c r="O25" s="7">
        <v>0.5</v>
      </c>
      <c r="P25" s="7">
        <v>0.5</v>
      </c>
      <c r="Q25" s="52">
        <f t="shared" si="0"/>
        <v>0.5</v>
      </c>
      <c r="R25" s="7">
        <v>12.6</v>
      </c>
      <c r="S25" s="7">
        <v>109</v>
      </c>
      <c r="T25" s="16">
        <f t="shared" si="1"/>
        <v>33</v>
      </c>
      <c r="U25" s="96">
        <v>149</v>
      </c>
      <c r="V25" s="16">
        <f t="shared" si="2"/>
        <v>4917</v>
      </c>
      <c r="W25" s="7">
        <v>1</v>
      </c>
      <c r="X25" s="104" t="s">
        <v>39</v>
      </c>
      <c r="Y25" s="104" t="s">
        <v>84</v>
      </c>
      <c r="Z25" s="104" t="s">
        <v>78</v>
      </c>
      <c r="AA25" s="104" t="s">
        <v>90</v>
      </c>
      <c r="AB25" s="39" t="s">
        <v>195</v>
      </c>
      <c r="AE25" s="35"/>
      <c r="AP25" s="43" t="s">
        <v>116</v>
      </c>
      <c r="AR25" s="42" t="s">
        <v>92</v>
      </c>
      <c r="AV25" s="27"/>
    </row>
    <row r="26" spans="1:48" x14ac:dyDescent="0.15">
      <c r="A26" s="15" t="s">
        <v>192</v>
      </c>
      <c r="B26" s="15" t="s">
        <v>193</v>
      </c>
      <c r="C26" s="15">
        <v>2018</v>
      </c>
      <c r="D26" s="50" t="s">
        <v>202</v>
      </c>
      <c r="E26" s="96" t="s">
        <v>131</v>
      </c>
      <c r="F26" s="96" t="s">
        <v>199</v>
      </c>
      <c r="G26" s="96" t="s">
        <v>36</v>
      </c>
      <c r="H26" s="104" t="s">
        <v>155</v>
      </c>
      <c r="I26" s="96" t="s">
        <v>153</v>
      </c>
      <c r="J26" s="104" t="s">
        <v>38</v>
      </c>
      <c r="K26" s="96" t="s">
        <v>154</v>
      </c>
      <c r="L26" s="96">
        <v>1</v>
      </c>
      <c r="M26" s="96"/>
      <c r="N26" s="96">
        <v>1</v>
      </c>
      <c r="O26" s="7">
        <v>0.7</v>
      </c>
      <c r="P26" s="7">
        <v>0.85</v>
      </c>
      <c r="Q26" s="52">
        <f t="shared" si="0"/>
        <v>0.77499999999999991</v>
      </c>
      <c r="R26" s="7">
        <v>11.8</v>
      </c>
      <c r="S26" s="7">
        <v>104</v>
      </c>
      <c r="T26" s="16">
        <f t="shared" si="1"/>
        <v>33</v>
      </c>
      <c r="U26" s="7">
        <v>108</v>
      </c>
      <c r="V26" s="16">
        <f t="shared" si="2"/>
        <v>3564</v>
      </c>
      <c r="W26" s="7">
        <v>6</v>
      </c>
      <c r="X26" s="104" t="s">
        <v>46</v>
      </c>
      <c r="Y26" s="104" t="s">
        <v>84</v>
      </c>
      <c r="Z26" s="104" t="s">
        <v>90</v>
      </c>
      <c r="AA26" s="104" t="s">
        <v>40</v>
      </c>
      <c r="AB26" s="39" t="s">
        <v>195</v>
      </c>
      <c r="AE26" s="35"/>
      <c r="AP26" s="43" t="s">
        <v>117</v>
      </c>
      <c r="AR26" s="23" t="s">
        <v>178</v>
      </c>
      <c r="AV26" s="28"/>
    </row>
    <row r="27" spans="1:48" x14ac:dyDescent="0.15">
      <c r="A27" s="15" t="s">
        <v>192</v>
      </c>
      <c r="B27" s="15" t="s">
        <v>193</v>
      </c>
      <c r="C27" s="15">
        <v>2018</v>
      </c>
      <c r="D27" s="50" t="s">
        <v>202</v>
      </c>
      <c r="E27" s="96" t="s">
        <v>131</v>
      </c>
      <c r="F27" s="96" t="s">
        <v>199</v>
      </c>
      <c r="G27" s="96" t="s">
        <v>36</v>
      </c>
      <c r="H27" s="104" t="s">
        <v>155</v>
      </c>
      <c r="I27" s="96" t="s">
        <v>153</v>
      </c>
      <c r="J27" s="104" t="s">
        <v>38</v>
      </c>
      <c r="K27" s="96" t="s">
        <v>154</v>
      </c>
      <c r="L27" s="96">
        <v>2</v>
      </c>
      <c r="M27" s="96"/>
      <c r="N27" s="96">
        <v>1</v>
      </c>
      <c r="O27" s="7">
        <v>0.8</v>
      </c>
      <c r="P27" s="7">
        <v>0.75</v>
      </c>
      <c r="Q27" s="52">
        <f t="shared" si="0"/>
        <v>0.77500000000000002</v>
      </c>
      <c r="R27" s="7">
        <v>14</v>
      </c>
      <c r="S27" s="7">
        <v>101</v>
      </c>
      <c r="T27" s="16">
        <f t="shared" si="1"/>
        <v>33</v>
      </c>
      <c r="U27" s="96">
        <v>108</v>
      </c>
      <c r="V27" s="16">
        <f t="shared" si="2"/>
        <v>3564</v>
      </c>
      <c r="W27" s="7">
        <v>6</v>
      </c>
      <c r="X27" s="104" t="s">
        <v>46</v>
      </c>
      <c r="Y27" s="104" t="s">
        <v>84</v>
      </c>
      <c r="Z27" s="104" t="s">
        <v>90</v>
      </c>
      <c r="AA27" s="104" t="s">
        <v>40</v>
      </c>
      <c r="AB27" s="39" t="s">
        <v>195</v>
      </c>
      <c r="AE27" s="28"/>
      <c r="AP27" s="43" t="s">
        <v>118</v>
      </c>
      <c r="AR27" s="23"/>
    </row>
    <row r="28" spans="1:48" x14ac:dyDescent="0.15">
      <c r="A28" s="15" t="s">
        <v>192</v>
      </c>
      <c r="B28" s="15" t="s">
        <v>193</v>
      </c>
      <c r="C28" s="15">
        <v>2018</v>
      </c>
      <c r="D28" s="50" t="s">
        <v>202</v>
      </c>
      <c r="E28" s="96" t="s">
        <v>131</v>
      </c>
      <c r="F28" s="96" t="s">
        <v>199</v>
      </c>
      <c r="G28" s="96" t="s">
        <v>36</v>
      </c>
      <c r="H28" s="104" t="s">
        <v>155</v>
      </c>
      <c r="I28" s="96" t="s">
        <v>153</v>
      </c>
      <c r="J28" s="104" t="s">
        <v>38</v>
      </c>
      <c r="K28" s="96" t="s">
        <v>154</v>
      </c>
      <c r="L28" s="96">
        <v>3</v>
      </c>
      <c r="M28" s="96"/>
      <c r="N28" s="96">
        <v>1</v>
      </c>
      <c r="O28" s="7">
        <v>0.75</v>
      </c>
      <c r="P28" s="7">
        <v>0.9</v>
      </c>
      <c r="Q28" s="52">
        <f t="shared" si="0"/>
        <v>0.82499999999999996</v>
      </c>
      <c r="R28" s="7">
        <v>13.3</v>
      </c>
      <c r="S28" s="7">
        <v>101</v>
      </c>
      <c r="T28" s="16">
        <f t="shared" si="1"/>
        <v>33</v>
      </c>
      <c r="U28" s="96">
        <v>108</v>
      </c>
      <c r="V28" s="16">
        <f t="shared" si="2"/>
        <v>3564</v>
      </c>
      <c r="W28" s="7">
        <v>6</v>
      </c>
      <c r="X28" s="104" t="s">
        <v>201</v>
      </c>
      <c r="Y28" s="104" t="s">
        <v>84</v>
      </c>
      <c r="Z28" s="104" t="s">
        <v>90</v>
      </c>
      <c r="AA28" s="104" t="s">
        <v>40</v>
      </c>
      <c r="AB28" s="39" t="s">
        <v>195</v>
      </c>
      <c r="AP28" s="27"/>
      <c r="AR28" s="23"/>
    </row>
    <row r="29" spans="1:48" x14ac:dyDescent="0.15">
      <c r="A29" s="15" t="s">
        <v>192</v>
      </c>
      <c r="B29" s="15" t="s">
        <v>193</v>
      </c>
      <c r="C29" s="15">
        <v>2018</v>
      </c>
      <c r="D29" s="50" t="s">
        <v>202</v>
      </c>
      <c r="E29" s="96" t="s">
        <v>131</v>
      </c>
      <c r="F29" s="96" t="s">
        <v>199</v>
      </c>
      <c r="G29" s="96" t="s">
        <v>36</v>
      </c>
      <c r="H29" s="104" t="s">
        <v>155</v>
      </c>
      <c r="I29" s="96" t="s">
        <v>156</v>
      </c>
      <c r="J29" s="104" t="s">
        <v>38</v>
      </c>
      <c r="K29" s="96" t="s">
        <v>154</v>
      </c>
      <c r="L29" s="96">
        <v>1</v>
      </c>
      <c r="M29" s="96"/>
      <c r="N29" s="96">
        <v>4</v>
      </c>
      <c r="O29" s="7">
        <v>0.5</v>
      </c>
      <c r="P29" s="7">
        <v>0.6</v>
      </c>
      <c r="Q29" s="52">
        <f t="shared" si="0"/>
        <v>0.55000000000000004</v>
      </c>
      <c r="R29" s="7">
        <v>12</v>
      </c>
      <c r="S29" s="7">
        <v>87</v>
      </c>
      <c r="T29" s="16">
        <f t="shared" si="1"/>
        <v>36</v>
      </c>
      <c r="U29" s="7">
        <v>430</v>
      </c>
      <c r="V29" s="16">
        <f t="shared" si="2"/>
        <v>3870</v>
      </c>
      <c r="W29" s="7">
        <v>2</v>
      </c>
      <c r="X29" s="104" t="s">
        <v>46</v>
      </c>
      <c r="Y29" s="104" t="s">
        <v>84</v>
      </c>
      <c r="Z29" s="104" t="s">
        <v>90</v>
      </c>
      <c r="AA29" s="104" t="s">
        <v>40</v>
      </c>
      <c r="AB29" s="39" t="s">
        <v>195</v>
      </c>
      <c r="AP29" s="27"/>
      <c r="AR29" s="27"/>
      <c r="AV29" s="28"/>
    </row>
    <row r="30" spans="1:48" x14ac:dyDescent="0.15">
      <c r="A30" s="15" t="s">
        <v>192</v>
      </c>
      <c r="B30" s="15" t="s">
        <v>193</v>
      </c>
      <c r="C30" s="15">
        <v>2018</v>
      </c>
      <c r="D30" s="50" t="s">
        <v>202</v>
      </c>
      <c r="E30" s="96" t="s">
        <v>131</v>
      </c>
      <c r="F30" s="96" t="s">
        <v>199</v>
      </c>
      <c r="G30" s="96" t="s">
        <v>36</v>
      </c>
      <c r="H30" s="104" t="s">
        <v>155</v>
      </c>
      <c r="I30" s="96" t="s">
        <v>156</v>
      </c>
      <c r="J30" s="104" t="s">
        <v>38</v>
      </c>
      <c r="K30" s="96" t="s">
        <v>154</v>
      </c>
      <c r="L30" s="96">
        <v>2</v>
      </c>
      <c r="M30" s="96"/>
      <c r="N30" s="96">
        <v>4</v>
      </c>
      <c r="O30" s="7">
        <v>0.6</v>
      </c>
      <c r="P30" s="7">
        <v>0.65</v>
      </c>
      <c r="Q30" s="52">
        <f t="shared" si="0"/>
        <v>0.625</v>
      </c>
      <c r="R30" s="7">
        <v>12.5</v>
      </c>
      <c r="S30" s="7">
        <v>90</v>
      </c>
      <c r="T30" s="16">
        <f t="shared" si="1"/>
        <v>36</v>
      </c>
      <c r="U30" s="96">
        <v>430</v>
      </c>
      <c r="V30" s="16">
        <f t="shared" si="2"/>
        <v>3870</v>
      </c>
      <c r="W30" s="7">
        <v>2</v>
      </c>
      <c r="X30" s="104" t="s">
        <v>46</v>
      </c>
      <c r="Y30" s="104" t="s">
        <v>84</v>
      </c>
      <c r="Z30" s="104" t="s">
        <v>90</v>
      </c>
      <c r="AA30" s="104" t="s">
        <v>40</v>
      </c>
      <c r="AB30" s="39" t="s">
        <v>195</v>
      </c>
      <c r="AP30" s="27"/>
      <c r="AR30" s="27"/>
    </row>
    <row r="31" spans="1:48" x14ac:dyDescent="0.15">
      <c r="A31" s="15" t="s">
        <v>192</v>
      </c>
      <c r="B31" s="15" t="s">
        <v>193</v>
      </c>
      <c r="C31" s="15">
        <v>2018</v>
      </c>
      <c r="D31" s="50" t="s">
        <v>202</v>
      </c>
      <c r="E31" s="96" t="s">
        <v>131</v>
      </c>
      <c r="F31" s="96" t="s">
        <v>199</v>
      </c>
      <c r="G31" s="96" t="s">
        <v>36</v>
      </c>
      <c r="H31" s="104" t="s">
        <v>155</v>
      </c>
      <c r="I31" s="96" t="s">
        <v>156</v>
      </c>
      <c r="J31" s="104" t="s">
        <v>38</v>
      </c>
      <c r="K31" s="96" t="s">
        <v>154</v>
      </c>
      <c r="L31" s="96">
        <v>3</v>
      </c>
      <c r="M31" s="96"/>
      <c r="N31" s="96">
        <v>4</v>
      </c>
      <c r="O31" s="7">
        <v>0.6</v>
      </c>
      <c r="P31" s="7">
        <v>0.65</v>
      </c>
      <c r="Q31" s="52">
        <f t="shared" si="0"/>
        <v>0.625</v>
      </c>
      <c r="R31" s="7">
        <v>11.7</v>
      </c>
      <c r="S31" s="7">
        <v>85</v>
      </c>
      <c r="T31" s="16">
        <f t="shared" si="1"/>
        <v>36</v>
      </c>
      <c r="U31" s="96">
        <v>430</v>
      </c>
      <c r="V31" s="16">
        <f t="shared" si="2"/>
        <v>3870</v>
      </c>
      <c r="W31" s="7">
        <v>2</v>
      </c>
      <c r="X31" s="104" t="s">
        <v>46</v>
      </c>
      <c r="Y31" s="104" t="s">
        <v>84</v>
      </c>
      <c r="Z31" s="104" t="s">
        <v>90</v>
      </c>
      <c r="AA31" s="104" t="s">
        <v>40</v>
      </c>
      <c r="AB31" s="39" t="s">
        <v>195</v>
      </c>
      <c r="AP31" s="27"/>
      <c r="AR31" s="27"/>
    </row>
    <row r="32" spans="1:48" x14ac:dyDescent="0.15">
      <c r="A32" s="15" t="s">
        <v>192</v>
      </c>
      <c r="B32" s="15" t="s">
        <v>193</v>
      </c>
      <c r="C32" s="15">
        <v>2018</v>
      </c>
      <c r="D32" s="50" t="s">
        <v>202</v>
      </c>
      <c r="E32" s="96" t="s">
        <v>139</v>
      </c>
      <c r="F32" s="96" t="s">
        <v>145</v>
      </c>
      <c r="G32" s="96" t="s">
        <v>36</v>
      </c>
      <c r="H32" s="104" t="s">
        <v>155</v>
      </c>
      <c r="I32" s="96" t="s">
        <v>153</v>
      </c>
      <c r="J32" s="104" t="s">
        <v>38</v>
      </c>
      <c r="K32" s="96" t="s">
        <v>154</v>
      </c>
      <c r="L32" s="96">
        <v>1</v>
      </c>
      <c r="M32" s="96"/>
      <c r="N32" s="96">
        <v>1</v>
      </c>
      <c r="O32" s="7">
        <v>0.65</v>
      </c>
      <c r="P32" s="7">
        <v>0.5</v>
      </c>
      <c r="Q32" s="52">
        <f t="shared" si="0"/>
        <v>0.57499999999999996</v>
      </c>
      <c r="R32" s="7">
        <v>12.9</v>
      </c>
      <c r="S32" s="7">
        <v>124</v>
      </c>
      <c r="T32" s="16">
        <f t="shared" si="1"/>
        <v>27</v>
      </c>
      <c r="U32" s="7">
        <v>100</v>
      </c>
      <c r="V32" s="16">
        <f t="shared" si="2"/>
        <v>2700</v>
      </c>
      <c r="W32" s="7">
        <v>4</v>
      </c>
      <c r="X32" s="15" t="s">
        <v>46</v>
      </c>
      <c r="Y32" s="104" t="s">
        <v>84</v>
      </c>
      <c r="Z32" s="104" t="s">
        <v>90</v>
      </c>
      <c r="AA32" s="104" t="s">
        <v>40</v>
      </c>
      <c r="AB32" s="39" t="s">
        <v>195</v>
      </c>
      <c r="AP32" s="28"/>
      <c r="AR32" s="28"/>
    </row>
    <row r="33" spans="1:44" x14ac:dyDescent="0.15">
      <c r="A33" s="15" t="s">
        <v>192</v>
      </c>
      <c r="B33" s="15" t="s">
        <v>193</v>
      </c>
      <c r="C33" s="15">
        <v>2018</v>
      </c>
      <c r="D33" s="50" t="s">
        <v>202</v>
      </c>
      <c r="E33" s="96" t="s">
        <v>139</v>
      </c>
      <c r="F33" s="96" t="s">
        <v>145</v>
      </c>
      <c r="G33" s="96" t="s">
        <v>36</v>
      </c>
      <c r="H33" s="104" t="s">
        <v>155</v>
      </c>
      <c r="I33" s="96" t="s">
        <v>153</v>
      </c>
      <c r="J33" s="104" t="s">
        <v>38</v>
      </c>
      <c r="K33" s="96" t="s">
        <v>154</v>
      </c>
      <c r="L33" s="96">
        <v>2</v>
      </c>
      <c r="M33" s="96"/>
      <c r="N33" s="96">
        <v>1</v>
      </c>
      <c r="O33" s="7">
        <v>0.55000000000000004</v>
      </c>
      <c r="P33" s="7">
        <v>0.5</v>
      </c>
      <c r="Q33" s="52">
        <f t="shared" si="0"/>
        <v>0.52500000000000002</v>
      </c>
      <c r="R33" s="7">
        <v>12.7</v>
      </c>
      <c r="S33" s="7">
        <v>120</v>
      </c>
      <c r="T33" s="16">
        <f t="shared" si="1"/>
        <v>30</v>
      </c>
      <c r="U33" s="96">
        <v>100</v>
      </c>
      <c r="V33" s="16">
        <f t="shared" si="2"/>
        <v>3000</v>
      </c>
      <c r="W33" s="7">
        <v>4</v>
      </c>
      <c r="X33" s="15" t="s">
        <v>46</v>
      </c>
      <c r="Y33" s="104" t="s">
        <v>84</v>
      </c>
      <c r="Z33" s="104" t="s">
        <v>90</v>
      </c>
      <c r="AA33" s="104" t="s">
        <v>40</v>
      </c>
      <c r="AB33" s="39" t="s">
        <v>195</v>
      </c>
    </row>
    <row r="34" spans="1:44" x14ac:dyDescent="0.15">
      <c r="A34" s="15" t="s">
        <v>192</v>
      </c>
      <c r="B34" s="15" t="s">
        <v>193</v>
      </c>
      <c r="C34" s="15">
        <v>2018</v>
      </c>
      <c r="D34" s="50" t="s">
        <v>202</v>
      </c>
      <c r="E34" s="96" t="s">
        <v>139</v>
      </c>
      <c r="F34" s="96" t="s">
        <v>145</v>
      </c>
      <c r="G34" s="96" t="s">
        <v>36</v>
      </c>
      <c r="H34" s="104" t="s">
        <v>155</v>
      </c>
      <c r="I34" s="96" t="s">
        <v>153</v>
      </c>
      <c r="J34" s="104" t="s">
        <v>206</v>
      </c>
      <c r="K34" s="96" t="s">
        <v>154</v>
      </c>
      <c r="L34" s="96">
        <v>3</v>
      </c>
      <c r="M34" s="96"/>
      <c r="N34" s="96">
        <v>1</v>
      </c>
      <c r="O34" s="7">
        <v>0.7</v>
      </c>
      <c r="P34" s="7">
        <v>0.85</v>
      </c>
      <c r="Q34" s="52">
        <f t="shared" si="0"/>
        <v>0.77499999999999991</v>
      </c>
      <c r="R34" s="7">
        <v>12</v>
      </c>
      <c r="S34" s="7">
        <v>116</v>
      </c>
      <c r="T34" s="16">
        <f t="shared" si="1"/>
        <v>30</v>
      </c>
      <c r="U34" s="96">
        <v>100</v>
      </c>
      <c r="V34" s="16">
        <f t="shared" si="2"/>
        <v>3000</v>
      </c>
      <c r="W34" s="7">
        <v>4</v>
      </c>
      <c r="X34" s="15" t="s">
        <v>46</v>
      </c>
      <c r="Y34" s="104" t="s">
        <v>84</v>
      </c>
      <c r="Z34" s="104" t="s">
        <v>90</v>
      </c>
      <c r="AA34" s="104" t="s">
        <v>40</v>
      </c>
      <c r="AB34" s="39" t="s">
        <v>195</v>
      </c>
    </row>
    <row r="35" spans="1:44" x14ac:dyDescent="0.15">
      <c r="A35" s="15" t="s">
        <v>192</v>
      </c>
      <c r="B35" s="15" t="s">
        <v>193</v>
      </c>
      <c r="C35" s="15">
        <v>2018</v>
      </c>
      <c r="D35" s="50" t="s">
        <v>202</v>
      </c>
      <c r="E35" s="96" t="s">
        <v>139</v>
      </c>
      <c r="F35" s="96" t="s">
        <v>145</v>
      </c>
      <c r="G35" s="96" t="s">
        <v>36</v>
      </c>
      <c r="H35" s="104" t="s">
        <v>174</v>
      </c>
      <c r="I35" s="96" t="s">
        <v>153</v>
      </c>
      <c r="J35" s="104" t="s">
        <v>38</v>
      </c>
      <c r="K35" s="96" t="s">
        <v>54</v>
      </c>
      <c r="L35" s="96">
        <v>1</v>
      </c>
      <c r="M35" s="96"/>
      <c r="N35" s="96">
        <v>1</v>
      </c>
      <c r="O35" s="7">
        <v>0.5</v>
      </c>
      <c r="P35" s="7">
        <v>0.65</v>
      </c>
      <c r="Q35" s="52">
        <f t="shared" si="0"/>
        <v>0.57499999999999996</v>
      </c>
      <c r="R35" s="7">
        <v>15.4</v>
      </c>
      <c r="S35" s="7">
        <v>98</v>
      </c>
      <c r="T35" s="16">
        <f t="shared" si="1"/>
        <v>36</v>
      </c>
      <c r="U35" s="7">
        <v>159</v>
      </c>
      <c r="V35" s="16">
        <f t="shared" si="2"/>
        <v>5724</v>
      </c>
      <c r="W35" s="7">
        <v>2</v>
      </c>
      <c r="X35" s="15" t="s">
        <v>46</v>
      </c>
      <c r="Y35" s="104" t="s">
        <v>84</v>
      </c>
      <c r="Z35" s="104" t="s">
        <v>90</v>
      </c>
      <c r="AA35" s="104" t="s">
        <v>40</v>
      </c>
      <c r="AB35" s="39" t="s">
        <v>195</v>
      </c>
      <c r="AP35" s="28"/>
      <c r="AR35" s="28"/>
    </row>
    <row r="36" spans="1:44" x14ac:dyDescent="0.15">
      <c r="A36" s="15" t="s">
        <v>192</v>
      </c>
      <c r="B36" s="15" t="s">
        <v>193</v>
      </c>
      <c r="C36" s="15">
        <v>2018</v>
      </c>
      <c r="D36" s="50" t="s">
        <v>202</v>
      </c>
      <c r="E36" s="96" t="s">
        <v>139</v>
      </c>
      <c r="F36" s="96" t="s">
        <v>145</v>
      </c>
      <c r="G36" s="96" t="s">
        <v>36</v>
      </c>
      <c r="H36" s="104" t="s">
        <v>174</v>
      </c>
      <c r="I36" s="96" t="s">
        <v>204</v>
      </c>
      <c r="J36" s="104" t="s">
        <v>38</v>
      </c>
      <c r="K36" s="96" t="s">
        <v>54</v>
      </c>
      <c r="L36" s="96">
        <v>2</v>
      </c>
      <c r="M36" s="96"/>
      <c r="N36" s="96">
        <v>1</v>
      </c>
      <c r="O36" s="7">
        <v>0.65</v>
      </c>
      <c r="P36" s="7">
        <v>0.7</v>
      </c>
      <c r="Q36" s="52">
        <f t="shared" si="0"/>
        <v>0.67500000000000004</v>
      </c>
      <c r="R36" s="7">
        <v>18.399999999999999</v>
      </c>
      <c r="S36" s="7">
        <v>99</v>
      </c>
      <c r="T36" s="16">
        <f t="shared" si="1"/>
        <v>36</v>
      </c>
      <c r="U36" s="96">
        <v>159</v>
      </c>
      <c r="V36" s="16">
        <f t="shared" si="2"/>
        <v>5724</v>
      </c>
      <c r="W36" s="7">
        <v>2</v>
      </c>
      <c r="X36" s="15" t="s">
        <v>46</v>
      </c>
      <c r="Y36" s="104" t="s">
        <v>84</v>
      </c>
      <c r="Z36" s="104" t="s">
        <v>90</v>
      </c>
      <c r="AA36" s="104" t="s">
        <v>40</v>
      </c>
      <c r="AB36" s="39" t="s">
        <v>195</v>
      </c>
    </row>
    <row r="37" spans="1:44" x14ac:dyDescent="0.15">
      <c r="A37" s="15" t="s">
        <v>192</v>
      </c>
      <c r="B37" s="15" t="s">
        <v>193</v>
      </c>
      <c r="C37" s="15">
        <v>2018</v>
      </c>
      <c r="D37" s="50" t="s">
        <v>202</v>
      </c>
      <c r="E37" s="96" t="s">
        <v>139</v>
      </c>
      <c r="F37" s="96" t="s">
        <v>145</v>
      </c>
      <c r="G37" s="96" t="s">
        <v>36</v>
      </c>
      <c r="H37" s="104" t="s">
        <v>174</v>
      </c>
      <c r="I37" s="96" t="s">
        <v>153</v>
      </c>
      <c r="J37" s="104" t="s">
        <v>38</v>
      </c>
      <c r="K37" s="96" t="s">
        <v>54</v>
      </c>
      <c r="L37" s="96">
        <v>3</v>
      </c>
      <c r="M37" s="96"/>
      <c r="N37" s="96">
        <v>1</v>
      </c>
      <c r="O37" s="34">
        <v>0.8</v>
      </c>
      <c r="P37" s="34">
        <v>0.9</v>
      </c>
      <c r="Q37" s="52">
        <f t="shared" si="0"/>
        <v>0.85000000000000009</v>
      </c>
      <c r="R37" s="7">
        <v>16.100000000000001</v>
      </c>
      <c r="S37" s="7">
        <v>98</v>
      </c>
      <c r="T37" s="16">
        <f t="shared" si="1"/>
        <v>36</v>
      </c>
      <c r="U37" s="96">
        <v>159</v>
      </c>
      <c r="V37" s="16">
        <f t="shared" si="2"/>
        <v>5724</v>
      </c>
      <c r="W37" s="7">
        <v>2</v>
      </c>
      <c r="X37" s="15" t="s">
        <v>46</v>
      </c>
      <c r="Y37" s="104" t="s">
        <v>84</v>
      </c>
      <c r="Z37" s="104" t="s">
        <v>90</v>
      </c>
      <c r="AA37" s="104" t="s">
        <v>40</v>
      </c>
      <c r="AB37" s="39" t="s">
        <v>195</v>
      </c>
    </row>
    <row r="38" spans="1:44" x14ac:dyDescent="0.15">
      <c r="A38" s="15" t="s">
        <v>192</v>
      </c>
      <c r="B38" s="15" t="s">
        <v>193</v>
      </c>
      <c r="C38" s="15">
        <v>2018</v>
      </c>
      <c r="D38" s="50" t="s">
        <v>202</v>
      </c>
      <c r="E38" s="96" t="s">
        <v>191</v>
      </c>
      <c r="F38" s="96" t="s">
        <v>198</v>
      </c>
      <c r="G38" s="96" t="s">
        <v>36</v>
      </c>
      <c r="H38" s="104" t="s">
        <v>155</v>
      </c>
      <c r="I38" s="96" t="s">
        <v>153</v>
      </c>
      <c r="J38" s="104" t="s">
        <v>38</v>
      </c>
      <c r="K38" s="96" t="s">
        <v>154</v>
      </c>
      <c r="L38" s="96">
        <v>1</v>
      </c>
      <c r="M38" s="96"/>
      <c r="N38" s="96">
        <v>1</v>
      </c>
      <c r="O38" s="34">
        <v>0.85</v>
      </c>
      <c r="P38" s="34">
        <v>0.95</v>
      </c>
      <c r="Q38" s="52">
        <f t="shared" si="0"/>
        <v>0.89999999999999991</v>
      </c>
      <c r="R38" s="7">
        <v>12.9</v>
      </c>
      <c r="S38" s="7">
        <v>137</v>
      </c>
      <c r="T38" s="16">
        <f t="shared" si="1"/>
        <v>25</v>
      </c>
      <c r="U38" s="7">
        <v>91</v>
      </c>
      <c r="V38" s="16">
        <f t="shared" si="2"/>
        <v>2275</v>
      </c>
      <c r="W38" s="7">
        <v>3</v>
      </c>
      <c r="X38" s="15" t="s">
        <v>46</v>
      </c>
      <c r="Y38" s="104" t="s">
        <v>84</v>
      </c>
      <c r="Z38" s="104" t="s">
        <v>90</v>
      </c>
      <c r="AA38" s="104" t="s">
        <v>40</v>
      </c>
      <c r="AB38" s="39" t="s">
        <v>195</v>
      </c>
    </row>
    <row r="39" spans="1:44" x14ac:dyDescent="0.15">
      <c r="A39" s="15" t="s">
        <v>192</v>
      </c>
      <c r="B39" s="15" t="s">
        <v>193</v>
      </c>
      <c r="C39" s="15">
        <v>2018</v>
      </c>
      <c r="D39" s="50" t="s">
        <v>202</v>
      </c>
      <c r="E39" s="96" t="s">
        <v>191</v>
      </c>
      <c r="F39" s="96" t="s">
        <v>198</v>
      </c>
      <c r="G39" s="96" t="s">
        <v>36</v>
      </c>
      <c r="H39" s="104" t="s">
        <v>155</v>
      </c>
      <c r="I39" s="96" t="s">
        <v>153</v>
      </c>
      <c r="J39" s="104" t="s">
        <v>38</v>
      </c>
      <c r="K39" s="96" t="s">
        <v>154</v>
      </c>
      <c r="L39" s="96">
        <v>2</v>
      </c>
      <c r="M39" s="96"/>
      <c r="N39" s="96">
        <v>1</v>
      </c>
      <c r="O39" s="7">
        <v>0.7</v>
      </c>
      <c r="P39" s="7">
        <v>0.55000000000000004</v>
      </c>
      <c r="Q39" s="52">
        <f t="shared" si="0"/>
        <v>0.625</v>
      </c>
      <c r="R39" s="34">
        <v>14.9</v>
      </c>
      <c r="S39" s="7">
        <v>148</v>
      </c>
      <c r="T39" s="16">
        <f t="shared" si="1"/>
        <v>22</v>
      </c>
      <c r="U39" s="96">
        <v>91</v>
      </c>
      <c r="V39" s="16">
        <f t="shared" si="2"/>
        <v>2002</v>
      </c>
      <c r="W39" s="7">
        <v>3</v>
      </c>
      <c r="X39" s="15" t="s">
        <v>46</v>
      </c>
      <c r="Y39" s="104" t="s">
        <v>84</v>
      </c>
      <c r="Z39" s="104" t="s">
        <v>90</v>
      </c>
      <c r="AA39" s="104" t="s">
        <v>40</v>
      </c>
      <c r="AB39" s="39" t="s">
        <v>195</v>
      </c>
    </row>
    <row r="40" spans="1:44" x14ac:dyDescent="0.15">
      <c r="A40" s="15" t="s">
        <v>192</v>
      </c>
      <c r="B40" s="15" t="s">
        <v>193</v>
      </c>
      <c r="C40" s="15">
        <v>2018</v>
      </c>
      <c r="D40" s="50" t="s">
        <v>202</v>
      </c>
      <c r="E40" s="96" t="s">
        <v>191</v>
      </c>
      <c r="F40" s="96" t="s">
        <v>198</v>
      </c>
      <c r="G40" s="96" t="s">
        <v>36</v>
      </c>
      <c r="H40" s="104" t="s">
        <v>155</v>
      </c>
      <c r="I40" s="96" t="s">
        <v>153</v>
      </c>
      <c r="J40" s="104" t="s">
        <v>38</v>
      </c>
      <c r="K40" s="96" t="s">
        <v>154</v>
      </c>
      <c r="L40" s="96">
        <v>3</v>
      </c>
      <c r="M40" s="96"/>
      <c r="N40" s="96">
        <v>1</v>
      </c>
      <c r="O40" s="7">
        <v>0.5</v>
      </c>
      <c r="P40" s="7">
        <v>0.5</v>
      </c>
      <c r="Q40" s="52">
        <f t="shared" si="0"/>
        <v>0.5</v>
      </c>
      <c r="R40" s="7">
        <v>13.4</v>
      </c>
      <c r="S40" s="7">
        <v>139</v>
      </c>
      <c r="T40" s="16">
        <f t="shared" si="1"/>
        <v>22</v>
      </c>
      <c r="U40" s="96">
        <v>91</v>
      </c>
      <c r="V40" s="16">
        <f t="shared" si="2"/>
        <v>2002</v>
      </c>
      <c r="W40" s="7">
        <v>3</v>
      </c>
      <c r="X40" s="15" t="s">
        <v>46</v>
      </c>
      <c r="Y40" s="104" t="s">
        <v>84</v>
      </c>
      <c r="Z40" s="104" t="s">
        <v>90</v>
      </c>
      <c r="AA40" s="104" t="s">
        <v>40</v>
      </c>
      <c r="AB40" s="39" t="s">
        <v>195</v>
      </c>
    </row>
    <row r="41" spans="1:44" ht="12.75" customHeight="1" x14ac:dyDescent="0.15">
      <c r="A41" s="15" t="s">
        <v>192</v>
      </c>
      <c r="B41" s="15" t="s">
        <v>193</v>
      </c>
      <c r="C41" s="15">
        <v>2018</v>
      </c>
      <c r="D41" s="50" t="s">
        <v>202</v>
      </c>
      <c r="E41" s="96" t="s">
        <v>130</v>
      </c>
      <c r="F41" s="96" t="s">
        <v>146</v>
      </c>
      <c r="G41" s="96" t="s">
        <v>36</v>
      </c>
      <c r="H41" s="104" t="s">
        <v>155</v>
      </c>
      <c r="I41" s="96" t="s">
        <v>153</v>
      </c>
      <c r="J41" s="104" t="s">
        <v>38</v>
      </c>
      <c r="K41" s="96" t="s">
        <v>154</v>
      </c>
      <c r="L41" s="96">
        <v>1</v>
      </c>
      <c r="M41" s="96"/>
      <c r="N41" s="96">
        <v>1</v>
      </c>
      <c r="O41" s="7">
        <v>0.85</v>
      </c>
      <c r="P41" s="7">
        <v>0.85</v>
      </c>
      <c r="Q41" s="52">
        <f t="shared" si="0"/>
        <v>0.85</v>
      </c>
      <c r="R41" s="7">
        <v>11.1</v>
      </c>
      <c r="S41" s="7">
        <v>128</v>
      </c>
      <c r="T41" s="16">
        <f t="shared" si="1"/>
        <v>27</v>
      </c>
      <c r="U41" s="7">
        <v>102</v>
      </c>
      <c r="V41" s="16">
        <f t="shared" si="2"/>
        <v>2754</v>
      </c>
      <c r="W41" s="7">
        <v>4</v>
      </c>
      <c r="X41" s="15" t="s">
        <v>46</v>
      </c>
      <c r="Y41" s="104" t="s">
        <v>84</v>
      </c>
      <c r="Z41" s="104" t="s">
        <v>90</v>
      </c>
      <c r="AA41" s="104" t="s">
        <v>78</v>
      </c>
      <c r="AB41" s="39" t="s">
        <v>195</v>
      </c>
    </row>
    <row r="42" spans="1:44" x14ac:dyDescent="0.15">
      <c r="A42" s="15" t="s">
        <v>192</v>
      </c>
      <c r="B42" s="15" t="s">
        <v>193</v>
      </c>
      <c r="C42" s="15">
        <v>2018</v>
      </c>
      <c r="D42" s="50" t="s">
        <v>202</v>
      </c>
      <c r="E42" s="96" t="s">
        <v>130</v>
      </c>
      <c r="F42" s="96" t="s">
        <v>146</v>
      </c>
      <c r="G42" s="96" t="s">
        <v>36</v>
      </c>
      <c r="H42" s="104" t="s">
        <v>155</v>
      </c>
      <c r="I42" s="96" t="s">
        <v>153</v>
      </c>
      <c r="J42" s="104" t="s">
        <v>38</v>
      </c>
      <c r="K42" s="96" t="s">
        <v>154</v>
      </c>
      <c r="L42" s="96">
        <v>2</v>
      </c>
      <c r="M42" s="96"/>
      <c r="N42" s="96">
        <v>1</v>
      </c>
      <c r="O42" s="7">
        <v>0.65</v>
      </c>
      <c r="P42" s="7">
        <v>0.8</v>
      </c>
      <c r="Q42" s="52">
        <f t="shared" si="0"/>
        <v>0.72500000000000009</v>
      </c>
      <c r="R42" s="7">
        <v>13.6</v>
      </c>
      <c r="S42" s="7">
        <v>128</v>
      </c>
      <c r="T42" s="16">
        <f t="shared" si="1"/>
        <v>27</v>
      </c>
      <c r="U42" s="96">
        <v>102</v>
      </c>
      <c r="V42" s="16">
        <f t="shared" si="2"/>
        <v>2754</v>
      </c>
      <c r="W42" s="7">
        <v>4</v>
      </c>
      <c r="X42" s="15" t="s">
        <v>46</v>
      </c>
      <c r="Y42" s="104" t="s">
        <v>84</v>
      </c>
      <c r="Z42" s="104" t="s">
        <v>90</v>
      </c>
      <c r="AA42" s="104" t="s">
        <v>78</v>
      </c>
      <c r="AB42" s="39" t="s">
        <v>195</v>
      </c>
    </row>
    <row r="43" spans="1:44" x14ac:dyDescent="0.15">
      <c r="A43" s="15" t="s">
        <v>192</v>
      </c>
      <c r="B43" s="15" t="s">
        <v>193</v>
      </c>
      <c r="C43" s="15">
        <v>2018</v>
      </c>
      <c r="D43" s="50" t="s">
        <v>202</v>
      </c>
      <c r="E43" s="96" t="s">
        <v>130</v>
      </c>
      <c r="F43" s="96" t="s">
        <v>146</v>
      </c>
      <c r="G43" s="96" t="s">
        <v>36</v>
      </c>
      <c r="H43" s="104" t="s">
        <v>205</v>
      </c>
      <c r="I43" s="96" t="s">
        <v>153</v>
      </c>
      <c r="J43" s="104" t="s">
        <v>38</v>
      </c>
      <c r="K43" s="96" t="s">
        <v>154</v>
      </c>
      <c r="L43" s="96">
        <v>3</v>
      </c>
      <c r="M43" s="96"/>
      <c r="N43" s="96">
        <v>1</v>
      </c>
      <c r="O43" s="7">
        <v>0.5</v>
      </c>
      <c r="P43" s="7">
        <v>0.5</v>
      </c>
      <c r="Q43" s="52">
        <f t="shared" si="0"/>
        <v>0.5</v>
      </c>
      <c r="R43" s="7">
        <v>12.6</v>
      </c>
      <c r="S43" s="7">
        <v>136</v>
      </c>
      <c r="T43" s="16">
        <f t="shared" si="1"/>
        <v>25</v>
      </c>
      <c r="U43" s="96">
        <v>102</v>
      </c>
      <c r="V43" s="16">
        <f t="shared" si="2"/>
        <v>2550</v>
      </c>
      <c r="W43" s="7">
        <v>4</v>
      </c>
      <c r="X43" s="15" t="s">
        <v>46</v>
      </c>
      <c r="Y43" s="104" t="s">
        <v>84</v>
      </c>
      <c r="Z43" s="104" t="s">
        <v>90</v>
      </c>
      <c r="AA43" s="104" t="s">
        <v>78</v>
      </c>
      <c r="AB43" s="39" t="s">
        <v>195</v>
      </c>
    </row>
    <row r="44" spans="1:44" x14ac:dyDescent="0.15">
      <c r="A44" s="15" t="s">
        <v>192</v>
      </c>
      <c r="B44" s="15" t="s">
        <v>193</v>
      </c>
      <c r="C44" s="15">
        <v>2018</v>
      </c>
      <c r="D44" s="50" t="s">
        <v>202</v>
      </c>
      <c r="E44" s="96" t="s">
        <v>130</v>
      </c>
      <c r="F44" s="96" t="s">
        <v>146</v>
      </c>
      <c r="G44" s="96" t="s">
        <v>36</v>
      </c>
      <c r="H44" s="104" t="s">
        <v>174</v>
      </c>
      <c r="I44" s="96" t="s">
        <v>153</v>
      </c>
      <c r="J44" s="104" t="s">
        <v>38</v>
      </c>
      <c r="K44" s="96" t="s">
        <v>54</v>
      </c>
      <c r="L44" s="96">
        <v>1</v>
      </c>
      <c r="M44" s="96"/>
      <c r="N44" s="96">
        <v>1</v>
      </c>
      <c r="O44" s="7">
        <v>0.7</v>
      </c>
      <c r="P44" s="7">
        <v>0.7</v>
      </c>
      <c r="Q44" s="52">
        <f t="shared" si="0"/>
        <v>0.7</v>
      </c>
      <c r="R44" s="7">
        <v>15</v>
      </c>
      <c r="S44" s="7">
        <v>105</v>
      </c>
      <c r="T44" s="16">
        <f t="shared" si="1"/>
        <v>36</v>
      </c>
      <c r="U44" s="7">
        <v>145</v>
      </c>
      <c r="V44" s="16">
        <f t="shared" si="2"/>
        <v>5220</v>
      </c>
      <c r="W44" s="7">
        <v>4</v>
      </c>
      <c r="X44" s="15" t="s">
        <v>46</v>
      </c>
      <c r="Y44" s="104" t="s">
        <v>84</v>
      </c>
      <c r="Z44" s="104" t="s">
        <v>90</v>
      </c>
      <c r="AA44" s="104" t="s">
        <v>78</v>
      </c>
      <c r="AB44" s="39" t="s">
        <v>195</v>
      </c>
    </row>
    <row r="45" spans="1:44" x14ac:dyDescent="0.15">
      <c r="A45" s="15" t="s">
        <v>192</v>
      </c>
      <c r="B45" s="15" t="s">
        <v>193</v>
      </c>
      <c r="C45" s="15">
        <v>2018</v>
      </c>
      <c r="D45" s="50" t="s">
        <v>202</v>
      </c>
      <c r="E45" s="96" t="s">
        <v>130</v>
      </c>
      <c r="F45" s="96" t="s">
        <v>146</v>
      </c>
      <c r="G45" s="96" t="s">
        <v>36</v>
      </c>
      <c r="H45" s="104" t="s">
        <v>174</v>
      </c>
      <c r="I45" s="96" t="s">
        <v>153</v>
      </c>
      <c r="J45" s="104" t="s">
        <v>38</v>
      </c>
      <c r="K45" s="96" t="s">
        <v>54</v>
      </c>
      <c r="L45" s="96">
        <v>2</v>
      </c>
      <c r="M45" s="96"/>
      <c r="N45" s="96">
        <v>1</v>
      </c>
      <c r="O45" s="7">
        <v>1</v>
      </c>
      <c r="P45" s="7">
        <v>1.05</v>
      </c>
      <c r="Q45" s="52">
        <f t="shared" si="0"/>
        <v>1.0249999999999999</v>
      </c>
      <c r="R45" s="7">
        <v>18.399999999999999</v>
      </c>
      <c r="S45" s="7">
        <v>95</v>
      </c>
      <c r="T45" s="16">
        <f t="shared" si="1"/>
        <v>39</v>
      </c>
      <c r="U45" s="96">
        <v>145</v>
      </c>
      <c r="V45" s="16">
        <f t="shared" si="2"/>
        <v>5655</v>
      </c>
      <c r="W45" s="7">
        <v>4</v>
      </c>
      <c r="X45" s="15" t="s">
        <v>46</v>
      </c>
      <c r="Y45" s="104" t="s">
        <v>84</v>
      </c>
      <c r="Z45" s="104" t="s">
        <v>90</v>
      </c>
      <c r="AA45" s="104" t="s">
        <v>78</v>
      </c>
      <c r="AB45" s="39" t="s">
        <v>195</v>
      </c>
    </row>
    <row r="46" spans="1:44" x14ac:dyDescent="0.15">
      <c r="A46" s="15" t="s">
        <v>192</v>
      </c>
      <c r="B46" s="15" t="s">
        <v>193</v>
      </c>
      <c r="C46" s="15">
        <v>2018</v>
      </c>
      <c r="D46" s="50" t="s">
        <v>202</v>
      </c>
      <c r="E46" s="96" t="s">
        <v>130</v>
      </c>
      <c r="F46" s="96" t="s">
        <v>146</v>
      </c>
      <c r="G46" s="96" t="s">
        <v>36</v>
      </c>
      <c r="H46" s="104" t="s">
        <v>174</v>
      </c>
      <c r="I46" s="96" t="s">
        <v>153</v>
      </c>
      <c r="J46" s="104" t="s">
        <v>38</v>
      </c>
      <c r="K46" s="96" t="s">
        <v>54</v>
      </c>
      <c r="L46" s="96">
        <v>3</v>
      </c>
      <c r="M46" s="96"/>
      <c r="N46" s="96">
        <v>1</v>
      </c>
      <c r="O46" s="7">
        <v>0.7</v>
      </c>
      <c r="P46" s="34">
        <v>0.75</v>
      </c>
      <c r="Q46" s="52">
        <f t="shared" si="0"/>
        <v>0.72499999999999998</v>
      </c>
      <c r="R46" s="7">
        <v>19.100000000000001</v>
      </c>
      <c r="S46" s="7">
        <v>94</v>
      </c>
      <c r="T46" s="16">
        <f t="shared" si="1"/>
        <v>39</v>
      </c>
      <c r="U46" s="96">
        <v>145</v>
      </c>
      <c r="V46" s="16">
        <f t="shared" si="2"/>
        <v>5655</v>
      </c>
      <c r="W46" s="7">
        <v>4</v>
      </c>
      <c r="X46" s="15" t="s">
        <v>46</v>
      </c>
      <c r="Y46" s="104" t="s">
        <v>84</v>
      </c>
      <c r="Z46" s="104" t="s">
        <v>90</v>
      </c>
      <c r="AA46" s="104" t="s">
        <v>78</v>
      </c>
      <c r="AB46" s="39" t="s">
        <v>195</v>
      </c>
    </row>
    <row r="47" spans="1:44" x14ac:dyDescent="0.15">
      <c r="A47" s="15" t="s">
        <v>192</v>
      </c>
      <c r="B47" s="15" t="s">
        <v>193</v>
      </c>
      <c r="C47" s="15">
        <v>2018</v>
      </c>
      <c r="D47" s="50" t="s">
        <v>202</v>
      </c>
      <c r="E47" s="96" t="s">
        <v>132</v>
      </c>
      <c r="F47" s="96" t="s">
        <v>147</v>
      </c>
      <c r="G47" s="96" t="s">
        <v>36</v>
      </c>
      <c r="H47" s="104" t="s">
        <v>155</v>
      </c>
      <c r="I47" s="96" t="s">
        <v>153</v>
      </c>
      <c r="J47" s="104" t="s">
        <v>38</v>
      </c>
      <c r="K47" s="96" t="s">
        <v>154</v>
      </c>
      <c r="L47" s="96">
        <v>1</v>
      </c>
      <c r="M47" s="96"/>
      <c r="N47" s="96">
        <v>1</v>
      </c>
      <c r="O47" s="7">
        <v>0.5</v>
      </c>
      <c r="P47" s="7">
        <v>0.5</v>
      </c>
      <c r="Q47" s="52">
        <f t="shared" si="0"/>
        <v>0.5</v>
      </c>
      <c r="R47" s="7">
        <v>10.9</v>
      </c>
      <c r="S47" s="7">
        <v>106</v>
      </c>
      <c r="T47" s="16">
        <f t="shared" si="1"/>
        <v>33</v>
      </c>
      <c r="U47" s="7">
        <v>105</v>
      </c>
      <c r="V47" s="16">
        <f t="shared" si="2"/>
        <v>3465</v>
      </c>
      <c r="W47" s="7">
        <v>4</v>
      </c>
      <c r="X47" s="15" t="s">
        <v>46</v>
      </c>
      <c r="Y47" s="104" t="s">
        <v>84</v>
      </c>
      <c r="Z47" s="104" t="s">
        <v>40</v>
      </c>
      <c r="AA47" s="104" t="s">
        <v>78</v>
      </c>
      <c r="AB47" s="39" t="s">
        <v>195</v>
      </c>
    </row>
    <row r="48" spans="1:44" x14ac:dyDescent="0.15">
      <c r="A48" s="15" t="s">
        <v>192</v>
      </c>
      <c r="B48" s="15" t="s">
        <v>193</v>
      </c>
      <c r="C48" s="15">
        <v>2018</v>
      </c>
      <c r="D48" s="50" t="s">
        <v>202</v>
      </c>
      <c r="E48" s="96" t="s">
        <v>132</v>
      </c>
      <c r="F48" s="96" t="s">
        <v>147</v>
      </c>
      <c r="G48" s="96" t="s">
        <v>36</v>
      </c>
      <c r="H48" s="104" t="s">
        <v>155</v>
      </c>
      <c r="I48" s="96" t="s">
        <v>153</v>
      </c>
      <c r="J48" s="104" t="s">
        <v>38</v>
      </c>
      <c r="K48" s="96" t="s">
        <v>154</v>
      </c>
      <c r="L48" s="96">
        <v>2</v>
      </c>
      <c r="M48" s="96"/>
      <c r="N48" s="96">
        <v>1</v>
      </c>
      <c r="O48" s="7">
        <v>0.6</v>
      </c>
      <c r="P48" s="7">
        <v>0.75</v>
      </c>
      <c r="Q48" s="52">
        <f t="shared" si="0"/>
        <v>0.67500000000000004</v>
      </c>
      <c r="R48" s="7">
        <v>12.7</v>
      </c>
      <c r="S48" s="7">
        <v>106</v>
      </c>
      <c r="T48" s="16">
        <f t="shared" si="1"/>
        <v>33</v>
      </c>
      <c r="U48" s="96">
        <v>105</v>
      </c>
      <c r="V48" s="16">
        <f t="shared" si="2"/>
        <v>3465</v>
      </c>
      <c r="W48" s="7">
        <v>4</v>
      </c>
      <c r="X48" s="15" t="s">
        <v>46</v>
      </c>
      <c r="Y48" s="104" t="s">
        <v>84</v>
      </c>
      <c r="Z48" s="104" t="s">
        <v>40</v>
      </c>
      <c r="AA48" s="104" t="s">
        <v>78</v>
      </c>
      <c r="AB48" s="39" t="s">
        <v>195</v>
      </c>
    </row>
    <row r="49" spans="1:29" x14ac:dyDescent="0.15">
      <c r="A49" s="15" t="s">
        <v>192</v>
      </c>
      <c r="B49" s="15" t="s">
        <v>193</v>
      </c>
      <c r="C49" s="15">
        <v>2018</v>
      </c>
      <c r="D49" s="50" t="s">
        <v>202</v>
      </c>
      <c r="E49" s="96" t="s">
        <v>132</v>
      </c>
      <c r="F49" s="96" t="s">
        <v>147</v>
      </c>
      <c r="G49" s="96" t="s">
        <v>36</v>
      </c>
      <c r="H49" s="104" t="s">
        <v>155</v>
      </c>
      <c r="I49" s="96" t="s">
        <v>153</v>
      </c>
      <c r="J49" s="104" t="s">
        <v>38</v>
      </c>
      <c r="K49" s="96" t="s">
        <v>154</v>
      </c>
      <c r="L49" s="96">
        <v>3</v>
      </c>
      <c r="M49" s="96"/>
      <c r="N49" s="96">
        <v>1</v>
      </c>
      <c r="O49" s="7">
        <v>0.65</v>
      </c>
      <c r="P49" s="34">
        <v>0.5</v>
      </c>
      <c r="Q49" s="52">
        <f t="shared" si="0"/>
        <v>0.57499999999999996</v>
      </c>
      <c r="R49" s="7">
        <v>14</v>
      </c>
      <c r="S49" s="7">
        <v>108</v>
      </c>
      <c r="T49" s="16">
        <f t="shared" si="1"/>
        <v>33</v>
      </c>
      <c r="U49" s="96">
        <v>105</v>
      </c>
      <c r="V49" s="16">
        <f t="shared" si="2"/>
        <v>3465</v>
      </c>
      <c r="W49" s="7">
        <v>4</v>
      </c>
      <c r="X49" s="15" t="s">
        <v>46</v>
      </c>
      <c r="Y49" s="104" t="s">
        <v>84</v>
      </c>
      <c r="Z49" s="104" t="s">
        <v>40</v>
      </c>
      <c r="AA49" s="104" t="s">
        <v>78</v>
      </c>
      <c r="AB49" s="39" t="s">
        <v>195</v>
      </c>
    </row>
    <row r="50" spans="1:29" x14ac:dyDescent="0.15">
      <c r="A50" s="15" t="s">
        <v>192</v>
      </c>
      <c r="B50" s="15" t="s">
        <v>193</v>
      </c>
      <c r="C50" s="15">
        <v>2018</v>
      </c>
      <c r="D50" s="50" t="s">
        <v>202</v>
      </c>
      <c r="E50" s="7" t="s">
        <v>132</v>
      </c>
      <c r="F50" s="7" t="s">
        <v>147</v>
      </c>
      <c r="G50" s="7" t="s">
        <v>36</v>
      </c>
      <c r="H50" s="15" t="s">
        <v>174</v>
      </c>
      <c r="I50" s="96" t="s">
        <v>153</v>
      </c>
      <c r="J50" s="15" t="s">
        <v>38</v>
      </c>
      <c r="K50" s="7" t="s">
        <v>54</v>
      </c>
      <c r="L50" s="7">
        <v>1</v>
      </c>
      <c r="N50" s="7">
        <v>1</v>
      </c>
      <c r="O50" s="7">
        <v>0.7</v>
      </c>
      <c r="P50" s="7">
        <v>0.55000000000000004</v>
      </c>
      <c r="Q50" s="52">
        <f t="shared" si="0"/>
        <v>0.625</v>
      </c>
      <c r="R50" s="7">
        <v>18.600000000000001</v>
      </c>
      <c r="S50" s="7">
        <v>101</v>
      </c>
      <c r="T50" s="16">
        <f t="shared" si="1"/>
        <v>36</v>
      </c>
      <c r="U50" s="96">
        <v>170</v>
      </c>
      <c r="V50" s="16">
        <f t="shared" si="2"/>
        <v>6120</v>
      </c>
      <c r="W50" s="7">
        <v>2</v>
      </c>
      <c r="X50" s="104" t="s">
        <v>46</v>
      </c>
      <c r="Y50" s="104" t="s">
        <v>84</v>
      </c>
      <c r="Z50" s="104" t="s">
        <v>40</v>
      </c>
      <c r="AA50" s="104" t="s">
        <v>78</v>
      </c>
      <c r="AB50" s="39" t="s">
        <v>195</v>
      </c>
    </row>
    <row r="51" spans="1:29" x14ac:dyDescent="0.15">
      <c r="A51" s="15" t="s">
        <v>192</v>
      </c>
      <c r="B51" s="15" t="s">
        <v>193</v>
      </c>
      <c r="C51" s="15">
        <v>2018</v>
      </c>
      <c r="D51" s="50" t="s">
        <v>202</v>
      </c>
      <c r="E51" s="7" t="s">
        <v>132</v>
      </c>
      <c r="F51" s="7" t="s">
        <v>147</v>
      </c>
      <c r="G51" s="7" t="s">
        <v>36</v>
      </c>
      <c r="H51" s="104" t="s">
        <v>174</v>
      </c>
      <c r="I51" s="96" t="s">
        <v>153</v>
      </c>
      <c r="J51" s="15" t="s">
        <v>38</v>
      </c>
      <c r="K51" s="7" t="s">
        <v>54</v>
      </c>
      <c r="L51" s="7">
        <v>2</v>
      </c>
      <c r="N51" s="7">
        <v>1</v>
      </c>
      <c r="O51" s="7">
        <v>0.7</v>
      </c>
      <c r="P51" s="7">
        <v>0.7</v>
      </c>
      <c r="Q51" s="52">
        <f t="shared" si="0"/>
        <v>0.7</v>
      </c>
      <c r="R51" s="7">
        <v>16.7</v>
      </c>
      <c r="S51" s="7">
        <v>92</v>
      </c>
      <c r="T51" s="16">
        <f t="shared" si="1"/>
        <v>39</v>
      </c>
      <c r="U51" s="96">
        <v>170</v>
      </c>
      <c r="V51" s="16">
        <f t="shared" si="2"/>
        <v>6630</v>
      </c>
      <c r="W51" s="7">
        <v>2</v>
      </c>
      <c r="X51" s="104" t="s">
        <v>46</v>
      </c>
      <c r="Y51" s="104" t="s">
        <v>84</v>
      </c>
      <c r="Z51" s="104" t="s">
        <v>40</v>
      </c>
      <c r="AA51" s="104" t="s">
        <v>78</v>
      </c>
      <c r="AB51" s="39" t="s">
        <v>195</v>
      </c>
    </row>
    <row r="52" spans="1:29" x14ac:dyDescent="0.15">
      <c r="A52" s="15" t="s">
        <v>192</v>
      </c>
      <c r="B52" s="15" t="s">
        <v>193</v>
      </c>
      <c r="C52" s="15">
        <v>2018</v>
      </c>
      <c r="D52" s="50" t="s">
        <v>202</v>
      </c>
      <c r="E52" s="7" t="s">
        <v>132</v>
      </c>
      <c r="F52" s="7" t="s">
        <v>147</v>
      </c>
      <c r="G52" s="7" t="s">
        <v>36</v>
      </c>
      <c r="H52" s="104" t="s">
        <v>174</v>
      </c>
      <c r="I52" s="96" t="s">
        <v>153</v>
      </c>
      <c r="J52" s="15" t="s">
        <v>38</v>
      </c>
      <c r="K52" s="7" t="s">
        <v>54</v>
      </c>
      <c r="L52" s="7">
        <v>3</v>
      </c>
      <c r="N52" s="7">
        <v>1</v>
      </c>
      <c r="O52" s="7">
        <v>0.65</v>
      </c>
      <c r="P52" s="7">
        <v>0.55000000000000004</v>
      </c>
      <c r="Q52" s="52">
        <f t="shared" si="0"/>
        <v>0.60000000000000009</v>
      </c>
      <c r="R52" s="7">
        <v>15.8</v>
      </c>
      <c r="S52" s="7">
        <v>96</v>
      </c>
      <c r="T52" s="16">
        <f t="shared" si="1"/>
        <v>39</v>
      </c>
      <c r="U52" s="96">
        <v>170</v>
      </c>
      <c r="V52" s="16">
        <f t="shared" si="2"/>
        <v>6630</v>
      </c>
      <c r="W52" s="7">
        <v>2</v>
      </c>
      <c r="X52" s="104" t="s">
        <v>46</v>
      </c>
      <c r="Y52" s="104" t="s">
        <v>84</v>
      </c>
      <c r="Z52" s="104" t="s">
        <v>40</v>
      </c>
      <c r="AA52" s="104" t="s">
        <v>78</v>
      </c>
      <c r="AB52" s="39" t="s">
        <v>195</v>
      </c>
    </row>
    <row r="53" spans="1:29" x14ac:dyDescent="0.15">
      <c r="A53" s="15" t="s">
        <v>192</v>
      </c>
      <c r="B53" s="15" t="s">
        <v>193</v>
      </c>
      <c r="C53" s="15">
        <v>2018</v>
      </c>
      <c r="D53" s="50" t="s">
        <v>202</v>
      </c>
      <c r="E53" s="7" t="s">
        <v>140</v>
      </c>
      <c r="F53" s="7" t="s">
        <v>148</v>
      </c>
      <c r="G53" s="7" t="s">
        <v>36</v>
      </c>
      <c r="H53" s="15" t="s">
        <v>155</v>
      </c>
      <c r="I53" s="96" t="s">
        <v>153</v>
      </c>
      <c r="J53" s="15" t="s">
        <v>38</v>
      </c>
      <c r="K53" s="7" t="s">
        <v>154</v>
      </c>
      <c r="L53" s="7">
        <v>1</v>
      </c>
      <c r="N53" s="7">
        <v>1</v>
      </c>
      <c r="O53" s="7">
        <v>0.5</v>
      </c>
      <c r="P53" s="7">
        <v>0.5</v>
      </c>
      <c r="Q53" s="52">
        <f t="shared" si="0"/>
        <v>0.5</v>
      </c>
      <c r="R53" s="7">
        <v>11.2</v>
      </c>
      <c r="S53" s="7">
        <v>116</v>
      </c>
      <c r="T53" s="16">
        <f t="shared" si="1"/>
        <v>30</v>
      </c>
      <c r="U53" s="7">
        <v>105</v>
      </c>
      <c r="V53" s="16">
        <f t="shared" si="2"/>
        <v>3150</v>
      </c>
      <c r="W53" s="7">
        <v>1</v>
      </c>
      <c r="X53" s="104" t="s">
        <v>46</v>
      </c>
      <c r="Y53" s="104" t="s">
        <v>84</v>
      </c>
      <c r="Z53" s="104" t="s">
        <v>90</v>
      </c>
      <c r="AA53" s="104" t="s">
        <v>69</v>
      </c>
      <c r="AB53" s="39" t="s">
        <v>195</v>
      </c>
      <c r="AC53" s="36"/>
    </row>
    <row r="54" spans="1:29" x14ac:dyDescent="0.15">
      <c r="A54" s="15" t="s">
        <v>192</v>
      </c>
      <c r="B54" s="15" t="s">
        <v>193</v>
      </c>
      <c r="C54" s="15">
        <v>2018</v>
      </c>
      <c r="D54" s="50" t="s">
        <v>202</v>
      </c>
      <c r="E54" s="7" t="s">
        <v>140</v>
      </c>
      <c r="F54" s="7" t="s">
        <v>148</v>
      </c>
      <c r="G54" s="7" t="s">
        <v>36</v>
      </c>
      <c r="H54" s="104" t="s">
        <v>155</v>
      </c>
      <c r="I54" s="96" t="s">
        <v>153</v>
      </c>
      <c r="J54" s="104" t="s">
        <v>38</v>
      </c>
      <c r="K54" s="7" t="s">
        <v>154</v>
      </c>
      <c r="L54" s="7">
        <v>2</v>
      </c>
      <c r="N54" s="7">
        <v>1</v>
      </c>
      <c r="O54" s="7">
        <v>0.65</v>
      </c>
      <c r="P54" s="7">
        <v>0.5</v>
      </c>
      <c r="Q54" s="52">
        <f t="shared" si="0"/>
        <v>0.57499999999999996</v>
      </c>
      <c r="R54" s="7">
        <v>13.6</v>
      </c>
      <c r="S54" s="7">
        <v>114</v>
      </c>
      <c r="T54" s="16">
        <f t="shared" si="1"/>
        <v>30</v>
      </c>
      <c r="U54" s="96">
        <v>105</v>
      </c>
      <c r="V54" s="16">
        <f t="shared" si="2"/>
        <v>3150</v>
      </c>
      <c r="W54" s="7">
        <v>1</v>
      </c>
      <c r="X54" s="104" t="s">
        <v>46</v>
      </c>
      <c r="Y54" s="104" t="s">
        <v>84</v>
      </c>
      <c r="Z54" s="104" t="s">
        <v>90</v>
      </c>
      <c r="AA54" s="104" t="s">
        <v>69</v>
      </c>
      <c r="AB54" s="39" t="s">
        <v>195</v>
      </c>
      <c r="AC54" s="36"/>
    </row>
    <row r="55" spans="1:29" x14ac:dyDescent="0.15">
      <c r="A55" s="15" t="s">
        <v>192</v>
      </c>
      <c r="B55" s="15" t="s">
        <v>193</v>
      </c>
      <c r="C55" s="15">
        <v>2018</v>
      </c>
      <c r="D55" s="50" t="s">
        <v>202</v>
      </c>
      <c r="E55" s="7" t="s">
        <v>140</v>
      </c>
      <c r="F55" s="7" t="s">
        <v>148</v>
      </c>
      <c r="G55" s="7" t="s">
        <v>36</v>
      </c>
      <c r="H55" s="104" t="s">
        <v>155</v>
      </c>
      <c r="I55" s="96" t="s">
        <v>153</v>
      </c>
      <c r="J55" s="104" t="s">
        <v>38</v>
      </c>
      <c r="K55" s="7" t="s">
        <v>154</v>
      </c>
      <c r="L55" s="7">
        <v>3</v>
      </c>
      <c r="N55" s="96">
        <v>1</v>
      </c>
      <c r="O55" s="7">
        <v>0.5</v>
      </c>
      <c r="P55" s="7">
        <v>0.55000000000000004</v>
      </c>
      <c r="Q55" s="52">
        <f t="shared" si="0"/>
        <v>0.52500000000000002</v>
      </c>
      <c r="R55" s="7">
        <v>11</v>
      </c>
      <c r="S55" s="7">
        <v>113</v>
      </c>
      <c r="T55" s="16">
        <f t="shared" si="1"/>
        <v>30</v>
      </c>
      <c r="U55" s="96">
        <v>105</v>
      </c>
      <c r="V55" s="16">
        <f t="shared" si="2"/>
        <v>3150</v>
      </c>
      <c r="W55" s="7">
        <v>1</v>
      </c>
      <c r="X55" s="104" t="s">
        <v>46</v>
      </c>
      <c r="Y55" s="104" t="s">
        <v>84</v>
      </c>
      <c r="Z55" s="104" t="s">
        <v>90</v>
      </c>
      <c r="AA55" s="104" t="s">
        <v>69</v>
      </c>
      <c r="AB55" s="39" t="s">
        <v>195</v>
      </c>
      <c r="AC55" s="36"/>
    </row>
    <row r="56" spans="1:29" x14ac:dyDescent="0.15">
      <c r="A56" s="15" t="s">
        <v>192</v>
      </c>
      <c r="B56" s="15" t="s">
        <v>193</v>
      </c>
      <c r="C56" s="15">
        <v>2018</v>
      </c>
      <c r="D56" s="37" t="s">
        <v>202</v>
      </c>
      <c r="E56" s="7" t="s">
        <v>140</v>
      </c>
      <c r="F56" s="7" t="s">
        <v>148</v>
      </c>
      <c r="G56" s="7" t="s">
        <v>36</v>
      </c>
      <c r="H56" s="15" t="s">
        <v>174</v>
      </c>
      <c r="I56" s="96" t="s">
        <v>153</v>
      </c>
      <c r="J56" s="15" t="s">
        <v>38</v>
      </c>
      <c r="K56" s="7" t="s">
        <v>54</v>
      </c>
      <c r="L56" s="7">
        <v>1</v>
      </c>
      <c r="N56" s="96">
        <v>1</v>
      </c>
      <c r="O56" s="7">
        <v>0.85</v>
      </c>
      <c r="P56" s="7">
        <v>0.75</v>
      </c>
      <c r="Q56" s="52">
        <f t="shared" si="0"/>
        <v>0.8</v>
      </c>
      <c r="R56" s="7">
        <v>17.100000000000001</v>
      </c>
      <c r="S56" s="7">
        <v>102</v>
      </c>
      <c r="T56" s="16">
        <f t="shared" si="1"/>
        <v>36</v>
      </c>
      <c r="U56" s="96">
        <v>213</v>
      </c>
      <c r="V56" s="16">
        <f t="shared" si="2"/>
        <v>7668</v>
      </c>
      <c r="W56" s="7">
        <v>1</v>
      </c>
      <c r="X56" s="15" t="s">
        <v>46</v>
      </c>
      <c r="Y56" s="104" t="s">
        <v>84</v>
      </c>
      <c r="Z56" s="104" t="s">
        <v>90</v>
      </c>
      <c r="AA56" s="104" t="s">
        <v>69</v>
      </c>
      <c r="AB56" s="39" t="s">
        <v>195</v>
      </c>
    </row>
    <row r="57" spans="1:29" x14ac:dyDescent="0.15">
      <c r="A57" s="15" t="s">
        <v>192</v>
      </c>
      <c r="B57" s="15" t="s">
        <v>193</v>
      </c>
      <c r="C57" s="15">
        <v>2018</v>
      </c>
      <c r="D57" s="37" t="s">
        <v>202</v>
      </c>
      <c r="E57" s="7" t="s">
        <v>140</v>
      </c>
      <c r="F57" s="7" t="s">
        <v>148</v>
      </c>
      <c r="G57" s="7" t="s">
        <v>36</v>
      </c>
      <c r="H57" s="104" t="s">
        <v>174</v>
      </c>
      <c r="I57" s="96" t="s">
        <v>153</v>
      </c>
      <c r="J57" s="15" t="s">
        <v>38</v>
      </c>
      <c r="K57" s="96" t="s">
        <v>54</v>
      </c>
      <c r="L57" s="7">
        <v>2</v>
      </c>
      <c r="N57" s="96">
        <v>1</v>
      </c>
      <c r="O57" s="7">
        <v>0.5</v>
      </c>
      <c r="P57" s="7">
        <v>0.6</v>
      </c>
      <c r="Q57" s="52">
        <f t="shared" si="0"/>
        <v>0.55000000000000004</v>
      </c>
      <c r="R57" s="7">
        <v>16.2</v>
      </c>
      <c r="S57" s="7">
        <v>106</v>
      </c>
      <c r="T57" s="16">
        <f t="shared" si="1"/>
        <v>36</v>
      </c>
      <c r="U57" s="96">
        <v>213</v>
      </c>
      <c r="V57" s="16">
        <f t="shared" si="2"/>
        <v>7668</v>
      </c>
      <c r="W57" s="7">
        <v>1</v>
      </c>
      <c r="X57" s="15" t="s">
        <v>46</v>
      </c>
      <c r="Y57" s="104" t="s">
        <v>84</v>
      </c>
      <c r="Z57" s="104" t="s">
        <v>90</v>
      </c>
      <c r="AA57" s="104" t="s">
        <v>69</v>
      </c>
      <c r="AB57" s="39" t="s">
        <v>195</v>
      </c>
    </row>
    <row r="58" spans="1:29" x14ac:dyDescent="0.15">
      <c r="A58" s="15" t="s">
        <v>192</v>
      </c>
      <c r="B58" s="15" t="s">
        <v>193</v>
      </c>
      <c r="C58" s="15">
        <v>2018</v>
      </c>
      <c r="D58" s="37" t="s">
        <v>202</v>
      </c>
      <c r="E58" s="7" t="s">
        <v>140</v>
      </c>
      <c r="F58" s="7" t="s">
        <v>148</v>
      </c>
      <c r="G58" s="7" t="s">
        <v>36</v>
      </c>
      <c r="H58" s="104" t="s">
        <v>174</v>
      </c>
      <c r="I58" s="96" t="s">
        <v>153</v>
      </c>
      <c r="J58" s="15" t="s">
        <v>38</v>
      </c>
      <c r="K58" s="96" t="s">
        <v>54</v>
      </c>
      <c r="L58" s="7">
        <v>3</v>
      </c>
      <c r="N58" s="96">
        <v>1</v>
      </c>
      <c r="O58" s="7">
        <v>0.7</v>
      </c>
      <c r="P58" s="7">
        <v>0.6</v>
      </c>
      <c r="Q58" s="52">
        <f t="shared" si="0"/>
        <v>0.64999999999999991</v>
      </c>
      <c r="R58" s="7">
        <v>16.3</v>
      </c>
      <c r="S58" s="7">
        <v>107</v>
      </c>
      <c r="T58" s="16">
        <f t="shared" si="1"/>
        <v>36</v>
      </c>
      <c r="U58" s="96">
        <v>213</v>
      </c>
      <c r="V58" s="16">
        <f t="shared" si="2"/>
        <v>7668</v>
      </c>
      <c r="W58" s="7">
        <v>1</v>
      </c>
      <c r="X58" s="15" t="s">
        <v>46</v>
      </c>
      <c r="Y58" s="104" t="s">
        <v>84</v>
      </c>
      <c r="Z58" s="104" t="s">
        <v>90</v>
      </c>
      <c r="AA58" s="104" t="s">
        <v>69</v>
      </c>
      <c r="AB58" s="39" t="s">
        <v>195</v>
      </c>
    </row>
    <row r="59" spans="1:29" x14ac:dyDescent="0.15">
      <c r="A59" s="15"/>
      <c r="B59" s="15"/>
      <c r="C59" s="15"/>
      <c r="D59" s="37"/>
      <c r="H59" s="15"/>
      <c r="I59" s="96"/>
      <c r="J59" s="15"/>
      <c r="N59" s="96"/>
      <c r="Q59" s="52" t="str">
        <f t="shared" si="0"/>
        <v/>
      </c>
      <c r="T59" s="16" t="str">
        <f t="shared" si="1"/>
        <v/>
      </c>
      <c r="V59" s="16" t="str">
        <f t="shared" si="2"/>
        <v/>
      </c>
      <c r="X59" s="15"/>
      <c r="Y59" s="104"/>
      <c r="Z59" s="104"/>
      <c r="AA59" s="104"/>
      <c r="AB59" s="39"/>
    </row>
    <row r="60" spans="1:29" x14ac:dyDescent="0.15">
      <c r="A60" s="15"/>
      <c r="B60" s="15"/>
      <c r="C60" s="15"/>
      <c r="D60" s="37"/>
      <c r="H60" s="104"/>
      <c r="I60" s="96"/>
      <c r="J60" s="15"/>
      <c r="Q60" s="52" t="str">
        <f t="shared" si="0"/>
        <v/>
      </c>
      <c r="T60" s="16" t="str">
        <f>IF(H60="","",IF(OR(H60="GREEN",H60="GK"),IF(S60&gt;=$AX$2,VLOOKUP(S60,$AX$2:$AY$12,2,1),""),IF(S60&gt;=$AZ$2,VLOOKUP(S60,$AZ$2:$BA$12,2,1),"")))</f>
        <v/>
      </c>
      <c r="U60" s="96"/>
      <c r="V60" s="16" t="str">
        <f t="shared" si="2"/>
        <v/>
      </c>
      <c r="X60" s="104"/>
      <c r="Y60" s="104"/>
      <c r="Z60" s="104"/>
      <c r="AA60" s="104"/>
      <c r="AB60" s="39"/>
    </row>
    <row r="61" spans="1:29" x14ac:dyDescent="0.15">
      <c r="A61" s="15"/>
      <c r="B61" s="15"/>
      <c r="C61" s="15"/>
      <c r="D61" s="37"/>
      <c r="H61" s="104"/>
      <c r="I61" s="96"/>
      <c r="J61" s="15"/>
      <c r="Q61" s="52" t="str">
        <f t="shared" si="0"/>
        <v/>
      </c>
      <c r="T61" s="16" t="str">
        <f>IF(H61="","",IF(OR(H61="GREEN",H61="GK"),IF(S61&gt;=$AX$2,VLOOKUP(S61,$AX$2:$AY$12,2,1),""),IF(S61&gt;=$AZ$2,VLOOKUP(S61,$AZ$2:$BA$12,2,1),"")))</f>
        <v/>
      </c>
      <c r="U61" s="96"/>
      <c r="V61" s="16" t="str">
        <f t="shared" si="2"/>
        <v/>
      </c>
      <c r="X61" s="104"/>
      <c r="Y61" s="104"/>
      <c r="Z61" s="104"/>
      <c r="AA61" s="104"/>
      <c r="AB61" s="39"/>
    </row>
    <row r="62" spans="1:29" x14ac:dyDescent="0.15">
      <c r="A62" s="15"/>
      <c r="B62" s="15"/>
      <c r="C62" s="15"/>
      <c r="D62" s="37"/>
      <c r="H62" s="15"/>
      <c r="I62" s="96"/>
      <c r="J62" s="15"/>
      <c r="Q62" s="52" t="str">
        <f t="shared" si="0"/>
        <v/>
      </c>
      <c r="T62" s="16" t="str">
        <f t="shared" ref="T62:T120" si="3">IF(H62="","",IF(OR(H62="GREEN",H62="GK"),IF(S62&gt;=$AX$2,VLOOKUP(S62,$AX$2:$AY$12,2,1),""),IF(S62&gt;=$AZ$2,VLOOKUP(S62,$AZ$2:$BA$12,2,1),"")))</f>
        <v/>
      </c>
      <c r="V62" s="16" t="str">
        <f t="shared" si="2"/>
        <v/>
      </c>
      <c r="X62" s="104"/>
      <c r="Y62" s="104"/>
      <c r="Z62" s="104"/>
      <c r="AA62" s="104"/>
      <c r="AB62" s="39"/>
    </row>
    <row r="63" spans="1:29" x14ac:dyDescent="0.15">
      <c r="A63" s="15"/>
      <c r="B63" s="15"/>
      <c r="C63" s="15"/>
      <c r="D63" s="37"/>
      <c r="H63" s="104"/>
      <c r="I63" s="96"/>
      <c r="J63" s="15"/>
      <c r="Q63" s="52" t="str">
        <f t="shared" si="0"/>
        <v/>
      </c>
      <c r="T63" s="16" t="str">
        <f t="shared" si="3"/>
        <v/>
      </c>
      <c r="U63" s="96"/>
      <c r="V63" s="16" t="str">
        <f t="shared" si="2"/>
        <v/>
      </c>
      <c r="X63" s="104"/>
      <c r="Y63" s="104"/>
      <c r="Z63" s="104"/>
      <c r="AA63" s="104"/>
      <c r="AB63" s="39"/>
    </row>
    <row r="64" spans="1:29" x14ac:dyDescent="0.15">
      <c r="A64" s="15"/>
      <c r="B64" s="15"/>
      <c r="C64" s="15"/>
      <c r="D64" s="37"/>
      <c r="H64" s="104"/>
      <c r="I64" s="96"/>
      <c r="J64" s="15"/>
      <c r="Q64" s="52" t="str">
        <f t="shared" si="0"/>
        <v/>
      </c>
      <c r="T64" s="16" t="str">
        <f t="shared" si="3"/>
        <v/>
      </c>
      <c r="U64" s="96"/>
      <c r="V64" s="16" t="str">
        <f t="shared" si="2"/>
        <v/>
      </c>
      <c r="X64" s="104"/>
      <c r="Y64" s="104"/>
      <c r="Z64" s="104"/>
      <c r="AA64" s="104"/>
      <c r="AB64" s="39"/>
    </row>
    <row r="65" spans="1:28" x14ac:dyDescent="0.15">
      <c r="A65" s="15"/>
      <c r="B65" s="15"/>
      <c r="C65" s="15"/>
      <c r="D65" s="37"/>
      <c r="H65" s="15"/>
      <c r="I65" s="96"/>
      <c r="J65" s="15"/>
      <c r="Q65" s="52" t="str">
        <f t="shared" si="0"/>
        <v/>
      </c>
      <c r="T65" s="16" t="str">
        <f t="shared" si="3"/>
        <v/>
      </c>
      <c r="V65" s="16" t="str">
        <f t="shared" si="2"/>
        <v/>
      </c>
      <c r="X65" s="104"/>
      <c r="Y65" s="104"/>
      <c r="Z65" s="104"/>
      <c r="AA65" s="104"/>
      <c r="AB65" s="39"/>
    </row>
    <row r="66" spans="1:28" x14ac:dyDescent="0.15">
      <c r="A66" s="15"/>
      <c r="B66" s="15"/>
      <c r="C66" s="15"/>
      <c r="D66" s="37"/>
      <c r="H66" s="104"/>
      <c r="I66" s="96"/>
      <c r="J66" s="15"/>
      <c r="Q66" s="52" t="str">
        <f t="shared" ref="Q66:Q77" si="4">IF(OR(O66="",P66=""),"",AVERAGE(O66,P66))</f>
        <v/>
      </c>
      <c r="T66" s="16" t="str">
        <f t="shared" si="3"/>
        <v/>
      </c>
      <c r="U66" s="96"/>
      <c r="V66" s="16" t="str">
        <f t="shared" ref="V66:V70" si="5">IF(OR(N66="",U66="",T66=""),"",U66/N66*T66)</f>
        <v/>
      </c>
      <c r="X66" s="104"/>
      <c r="Y66" s="104"/>
      <c r="Z66" s="104"/>
      <c r="AA66" s="104"/>
      <c r="AB66" s="39"/>
    </row>
    <row r="67" spans="1:28" x14ac:dyDescent="0.15">
      <c r="A67" s="15"/>
      <c r="B67" s="15"/>
      <c r="C67" s="15"/>
      <c r="D67" s="37"/>
      <c r="H67" s="104"/>
      <c r="I67" s="96"/>
      <c r="J67" s="15"/>
      <c r="Q67" s="52" t="str">
        <f t="shared" si="4"/>
        <v/>
      </c>
      <c r="T67" s="16" t="str">
        <f t="shared" si="3"/>
        <v/>
      </c>
      <c r="U67" s="96"/>
      <c r="V67" s="16" t="str">
        <f t="shared" si="5"/>
        <v/>
      </c>
      <c r="X67" s="104"/>
      <c r="Y67" s="104"/>
      <c r="Z67" s="104"/>
      <c r="AA67" s="104"/>
      <c r="AB67" s="39"/>
    </row>
    <row r="68" spans="1:28" x14ac:dyDescent="0.15">
      <c r="A68" s="15"/>
      <c r="B68" s="15"/>
      <c r="C68" s="15"/>
      <c r="D68" s="37"/>
      <c r="H68" s="15"/>
      <c r="I68" s="96"/>
      <c r="J68" s="15"/>
      <c r="Q68" s="52" t="str">
        <f t="shared" si="4"/>
        <v/>
      </c>
      <c r="T68" s="16" t="str">
        <f t="shared" si="3"/>
        <v/>
      </c>
      <c r="V68" s="16" t="str">
        <f t="shared" si="5"/>
        <v/>
      </c>
      <c r="X68" s="104"/>
      <c r="Y68" s="104"/>
      <c r="Z68" s="104"/>
      <c r="AA68" s="104"/>
      <c r="AB68" s="39"/>
    </row>
    <row r="69" spans="1:28" x14ac:dyDescent="0.15">
      <c r="A69" s="15"/>
      <c r="B69" s="15"/>
      <c r="C69" s="15"/>
      <c r="D69" s="37"/>
      <c r="H69" s="104"/>
      <c r="I69" s="96"/>
      <c r="J69" s="15"/>
      <c r="N69" s="96"/>
      <c r="Q69" s="52" t="str">
        <f t="shared" si="4"/>
        <v/>
      </c>
      <c r="T69" s="16" t="str">
        <f t="shared" si="3"/>
        <v/>
      </c>
      <c r="U69" s="96"/>
      <c r="V69" s="16" t="str">
        <f t="shared" si="5"/>
        <v/>
      </c>
      <c r="X69" s="104"/>
      <c r="Y69" s="104"/>
      <c r="Z69" s="104"/>
      <c r="AA69" s="104"/>
      <c r="AB69" s="39"/>
    </row>
    <row r="70" spans="1:28" x14ac:dyDescent="0.15">
      <c r="A70" s="15"/>
      <c r="B70" s="15"/>
      <c r="C70" s="15"/>
      <c r="D70" s="37"/>
      <c r="H70" s="104"/>
      <c r="I70" s="96"/>
      <c r="J70" s="15"/>
      <c r="N70" s="96"/>
      <c r="Q70" s="52" t="str">
        <f t="shared" si="4"/>
        <v/>
      </c>
      <c r="T70" s="16" t="str">
        <f t="shared" si="3"/>
        <v/>
      </c>
      <c r="U70" s="96"/>
      <c r="V70" s="16" t="str">
        <f t="shared" si="5"/>
        <v/>
      </c>
      <c r="X70" s="104"/>
      <c r="Y70" s="104"/>
      <c r="Z70" s="104"/>
      <c r="AA70" s="104"/>
      <c r="AB70" s="39"/>
    </row>
    <row r="71" spans="1:28" x14ac:dyDescent="0.15">
      <c r="A71" s="15"/>
      <c r="B71" s="15"/>
      <c r="C71" s="15"/>
      <c r="D71" s="37"/>
      <c r="H71" s="15"/>
      <c r="I71" s="96"/>
      <c r="J71" s="15"/>
      <c r="N71" s="96"/>
      <c r="Q71" s="52" t="str">
        <f t="shared" si="4"/>
        <v/>
      </c>
      <c r="T71" s="16" t="str">
        <f t="shared" si="3"/>
        <v/>
      </c>
      <c r="V71" s="16" t="str">
        <f>IF(OR(N71="",U71="",T71=""),"",U71/N71*T71)</f>
        <v/>
      </c>
      <c r="X71" s="15"/>
      <c r="Y71" s="15"/>
      <c r="Z71" s="15"/>
      <c r="AA71" s="15"/>
      <c r="AB71" s="39"/>
    </row>
    <row r="72" spans="1:28" x14ac:dyDescent="0.15">
      <c r="A72" s="15"/>
      <c r="B72" s="15"/>
      <c r="C72" s="15"/>
      <c r="D72" s="37"/>
      <c r="H72" s="104"/>
      <c r="I72" s="96"/>
      <c r="J72" s="104"/>
      <c r="K72" s="96"/>
      <c r="N72" s="96"/>
      <c r="Q72" s="52" t="str">
        <f t="shared" si="4"/>
        <v/>
      </c>
      <c r="T72" s="16" t="str">
        <f t="shared" si="3"/>
        <v/>
      </c>
      <c r="U72" s="96"/>
      <c r="V72" s="16" t="str">
        <f t="shared" ref="V72:V74" si="6">IF(OR(N72="",U72="",T72=""),"",U72/N72*T72)</f>
        <v/>
      </c>
      <c r="X72" s="15"/>
      <c r="Y72" s="104"/>
      <c r="Z72" s="104"/>
      <c r="AA72" s="104"/>
      <c r="AB72" s="39"/>
    </row>
    <row r="73" spans="1:28" x14ac:dyDescent="0.15">
      <c r="A73" s="15"/>
      <c r="B73" s="15"/>
      <c r="C73" s="15"/>
      <c r="D73" s="37"/>
      <c r="H73" s="104"/>
      <c r="I73" s="96"/>
      <c r="J73" s="104"/>
      <c r="K73" s="96"/>
      <c r="N73" s="96"/>
      <c r="Q73" s="52" t="str">
        <f t="shared" si="4"/>
        <v/>
      </c>
      <c r="T73" s="16" t="str">
        <f t="shared" si="3"/>
        <v/>
      </c>
      <c r="U73" s="96"/>
      <c r="V73" s="16" t="str">
        <f>IF(OR(N73="",U73="",T73=""),"",U73/N73*T73)</f>
        <v/>
      </c>
      <c r="X73" s="15"/>
      <c r="Y73" s="104"/>
      <c r="Z73" s="104"/>
      <c r="AA73" s="104"/>
      <c r="AB73" s="39"/>
    </row>
    <row r="74" spans="1:28" x14ac:dyDescent="0.15">
      <c r="A74" s="15"/>
      <c r="B74" s="15"/>
      <c r="C74" s="15"/>
      <c r="D74" s="37"/>
      <c r="H74" s="15"/>
      <c r="I74" s="96"/>
      <c r="J74" s="15"/>
      <c r="N74" s="96"/>
      <c r="Q74" s="52" t="str">
        <f t="shared" si="4"/>
        <v/>
      </c>
      <c r="T74" s="16" t="str">
        <f t="shared" si="3"/>
        <v/>
      </c>
      <c r="V74" s="16" t="str">
        <f t="shared" si="6"/>
        <v/>
      </c>
      <c r="X74" s="15"/>
      <c r="Y74" s="104"/>
      <c r="Z74" s="104"/>
      <c r="AA74" s="104"/>
      <c r="AB74" s="39"/>
    </row>
    <row r="75" spans="1:28" x14ac:dyDescent="0.15">
      <c r="A75" s="15"/>
      <c r="B75" s="15"/>
      <c r="C75" s="15"/>
      <c r="D75" s="37"/>
      <c r="H75" s="104"/>
      <c r="I75" s="96"/>
      <c r="J75" s="15"/>
      <c r="N75" s="96"/>
      <c r="Q75" s="52" t="str">
        <f t="shared" si="4"/>
        <v/>
      </c>
      <c r="T75" s="16" t="str">
        <f t="shared" si="3"/>
        <v/>
      </c>
      <c r="U75" s="96"/>
      <c r="V75" s="16" t="str">
        <f>IF(OR(N75="",U75="",T75=""),"",U75/N75*T75)</f>
        <v/>
      </c>
      <c r="X75" s="15"/>
      <c r="Y75" s="104"/>
      <c r="Z75" s="104"/>
      <c r="AA75" s="104"/>
      <c r="AB75" s="39"/>
    </row>
    <row r="76" spans="1:28" x14ac:dyDescent="0.15">
      <c r="A76" s="15"/>
      <c r="B76" s="15"/>
      <c r="C76" s="15"/>
      <c r="D76" s="37"/>
      <c r="H76" s="104"/>
      <c r="I76" s="96"/>
      <c r="J76" s="15"/>
      <c r="N76" s="96"/>
      <c r="Q76" s="52" t="str">
        <f t="shared" si="4"/>
        <v/>
      </c>
      <c r="T76" s="16" t="str">
        <f t="shared" si="3"/>
        <v/>
      </c>
      <c r="U76" s="96"/>
      <c r="V76" s="16" t="str">
        <f>IF(OR(N76="",U76="",T76=""),"",U76/N76*T76)</f>
        <v/>
      </c>
      <c r="X76" s="15"/>
      <c r="Y76" s="104"/>
      <c r="Z76" s="104"/>
      <c r="AA76" s="104"/>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A70"/>
  <sheetViews>
    <sheetView zoomScale="80" zoomScaleNormal="80" workbookViewId="0">
      <selection activeCell="AB34" sqref="AB34"/>
    </sheetView>
  </sheetViews>
  <sheetFormatPr defaultColWidth="9" defaultRowHeight="13.5" x14ac:dyDescent="0.15"/>
  <cols>
    <col min="1" max="3" width="9" style="121"/>
    <col min="4" max="4" width="11" style="121" bestFit="1" customWidth="1"/>
    <col min="5" max="5" width="10.875" style="121" bestFit="1" customWidth="1"/>
    <col min="6" max="16" width="9" style="121"/>
    <col min="17" max="17" width="9" style="57"/>
    <col min="18" max="18" width="9" style="121"/>
    <col min="19" max="19" width="11.625" style="121" bestFit="1" customWidth="1"/>
    <col min="20" max="20" width="9" style="57"/>
    <col min="21" max="21" width="9" style="121"/>
    <col min="22" max="22" width="9" style="58"/>
    <col min="23" max="32" width="9" style="121"/>
    <col min="33" max="33" width="14.375" style="121" bestFit="1" customWidth="1"/>
    <col min="34" max="34" width="11.375" style="121" bestFit="1" customWidth="1"/>
    <col min="35" max="16384" width="9" style="121"/>
  </cols>
  <sheetData>
    <row r="1" spans="1:53" ht="45" x14ac:dyDescent="0.15">
      <c r="A1" s="124" t="s">
        <v>0</v>
      </c>
      <c r="B1" s="90" t="s">
        <v>1</v>
      </c>
      <c r="C1" s="90" t="s">
        <v>157</v>
      </c>
      <c r="D1" s="91" t="s">
        <v>3</v>
      </c>
      <c r="E1" s="125" t="s">
        <v>4</v>
      </c>
      <c r="F1" s="125" t="s">
        <v>5</v>
      </c>
      <c r="G1" s="125" t="s">
        <v>6</v>
      </c>
      <c r="H1" s="125" t="s">
        <v>7</v>
      </c>
      <c r="I1" s="125" t="s">
        <v>8</v>
      </c>
      <c r="J1" s="125" t="s">
        <v>9</v>
      </c>
      <c r="K1" s="125" t="s">
        <v>10</v>
      </c>
      <c r="L1" s="91" t="s">
        <v>175</v>
      </c>
      <c r="M1" s="91" t="s">
        <v>12</v>
      </c>
      <c r="N1" s="91" t="s">
        <v>13</v>
      </c>
      <c r="O1" s="91" t="s">
        <v>158</v>
      </c>
      <c r="P1" s="91" t="s">
        <v>15</v>
      </c>
      <c r="Q1" s="53" t="s">
        <v>16</v>
      </c>
      <c r="R1" s="91" t="s">
        <v>17</v>
      </c>
      <c r="S1" s="91" t="s">
        <v>18</v>
      </c>
      <c r="T1" s="53" t="s">
        <v>19</v>
      </c>
      <c r="U1" s="93" t="s">
        <v>108</v>
      </c>
      <c r="V1" s="54" t="s">
        <v>20</v>
      </c>
      <c r="W1" s="91" t="s">
        <v>21</v>
      </c>
      <c r="X1" s="125" t="s">
        <v>22</v>
      </c>
      <c r="Y1" s="125" t="s">
        <v>23</v>
      </c>
      <c r="Z1" s="125" t="s">
        <v>24</v>
      </c>
      <c r="AA1" s="125" t="s">
        <v>25</v>
      </c>
      <c r="AB1" s="126" t="s">
        <v>176</v>
      </c>
      <c r="AE1" s="97" t="s">
        <v>0</v>
      </c>
      <c r="AF1" s="98"/>
      <c r="AG1" s="97" t="s">
        <v>4</v>
      </c>
      <c r="AH1" s="97" t="s">
        <v>5</v>
      </c>
      <c r="AI1" s="98"/>
      <c r="AJ1" s="97" t="s">
        <v>6</v>
      </c>
      <c r="AK1" s="98"/>
      <c r="AL1" s="99" t="s">
        <v>7</v>
      </c>
      <c r="AM1" s="98"/>
      <c r="AN1" s="99" t="s">
        <v>8</v>
      </c>
      <c r="AO1" s="98"/>
      <c r="AP1" s="99" t="s">
        <v>27</v>
      </c>
      <c r="AQ1" s="98"/>
      <c r="AR1" s="99" t="s">
        <v>10</v>
      </c>
      <c r="AS1" s="98"/>
      <c r="AT1" s="100" t="s">
        <v>28</v>
      </c>
      <c r="AU1" s="98"/>
      <c r="AV1" s="99" t="s">
        <v>29</v>
      </c>
      <c r="AX1" s="101" t="s">
        <v>159</v>
      </c>
      <c r="AY1" s="102" t="s">
        <v>177</v>
      </c>
      <c r="AZ1" s="102" t="s">
        <v>160</v>
      </c>
      <c r="BA1" s="103" t="s">
        <v>161</v>
      </c>
    </row>
    <row r="2" spans="1:53" s="55" customFormat="1" x14ac:dyDescent="0.15">
      <c r="A2" s="55" t="s">
        <v>41</v>
      </c>
      <c r="B2" s="121" t="s">
        <v>193</v>
      </c>
      <c r="C2" s="89">
        <v>2018</v>
      </c>
      <c r="D2" s="56" t="s">
        <v>207</v>
      </c>
      <c r="E2" s="121" t="s">
        <v>133</v>
      </c>
      <c r="F2" s="121" t="s">
        <v>184</v>
      </c>
      <c r="G2" s="55" t="s">
        <v>42</v>
      </c>
      <c r="H2" s="55" t="s">
        <v>155</v>
      </c>
      <c r="I2" s="55" t="s">
        <v>153</v>
      </c>
      <c r="J2" s="55" t="s">
        <v>38</v>
      </c>
      <c r="K2" s="55" t="s">
        <v>154</v>
      </c>
      <c r="L2" s="121">
        <v>1</v>
      </c>
      <c r="M2" s="121"/>
      <c r="N2" s="55">
        <v>1</v>
      </c>
      <c r="O2" s="55">
        <v>0.85</v>
      </c>
      <c r="P2" s="55">
        <v>0.9</v>
      </c>
      <c r="Q2" s="82">
        <f t="shared" ref="Q2:Q65" si="0">IF(OR(O2="",P2=""),"",AVERAGE(O2,P2))</f>
        <v>0.875</v>
      </c>
      <c r="R2" s="55">
        <v>13.5</v>
      </c>
      <c r="S2" s="55">
        <v>135</v>
      </c>
      <c r="T2" s="57">
        <f t="shared" ref="T2:T7" si="1">IF(H2="","",IF(OR(H2="GREEN",H2="GK"),IF(S2&gt;=$AX$2,VLOOKUP(S2,$AX$2:$AY$10,2,1),""),IF(S2&gt;=$AZ$2,VLOOKUP(S2,$AZ$2:$BA$10,2,1),"")))</f>
        <v>25</v>
      </c>
      <c r="U2" s="121">
        <v>105</v>
      </c>
      <c r="V2" s="58">
        <f t="shared" ref="V2:V16" si="2">IF(OR(N2="",U2="",T2=""),"",U2/N2*T2)</f>
        <v>2625</v>
      </c>
      <c r="W2" s="121">
        <v>2</v>
      </c>
      <c r="X2" s="55" t="s">
        <v>46</v>
      </c>
      <c r="Y2" s="55" t="s">
        <v>84</v>
      </c>
      <c r="Z2" s="55" t="s">
        <v>90</v>
      </c>
      <c r="AA2" s="55" t="s">
        <v>69</v>
      </c>
      <c r="AB2" s="39" t="s">
        <v>195</v>
      </c>
      <c r="AE2" s="106" t="s">
        <v>35</v>
      </c>
      <c r="AG2" s="59" t="s">
        <v>133</v>
      </c>
      <c r="AH2" s="60" t="s">
        <v>184</v>
      </c>
      <c r="AJ2" s="127" t="s">
        <v>36</v>
      </c>
      <c r="AL2" s="127" t="s">
        <v>127</v>
      </c>
      <c r="AN2" s="127" t="s">
        <v>37</v>
      </c>
      <c r="AP2" s="127" t="s">
        <v>38</v>
      </c>
      <c r="AR2" s="127" t="s">
        <v>120</v>
      </c>
      <c r="AT2" s="127" t="s">
        <v>39</v>
      </c>
      <c r="AV2" s="127" t="s">
        <v>40</v>
      </c>
      <c r="AX2" s="61">
        <v>1</v>
      </c>
      <c r="AY2" s="62">
        <v>50</v>
      </c>
      <c r="AZ2" s="62">
        <v>1</v>
      </c>
      <c r="BA2" s="63">
        <v>50</v>
      </c>
    </row>
    <row r="3" spans="1:53" x14ac:dyDescent="0.15">
      <c r="A3" s="55" t="s">
        <v>41</v>
      </c>
      <c r="B3" s="121" t="s">
        <v>193</v>
      </c>
      <c r="C3" s="89">
        <v>2018</v>
      </c>
      <c r="D3" s="56" t="s">
        <v>207</v>
      </c>
      <c r="E3" s="121" t="s">
        <v>133</v>
      </c>
      <c r="F3" s="121" t="s">
        <v>184</v>
      </c>
      <c r="G3" s="55" t="s">
        <v>42</v>
      </c>
      <c r="H3" s="55" t="s">
        <v>155</v>
      </c>
      <c r="I3" s="55" t="s">
        <v>153</v>
      </c>
      <c r="J3" s="55" t="s">
        <v>38</v>
      </c>
      <c r="K3" s="55" t="s">
        <v>154</v>
      </c>
      <c r="L3" s="121">
        <v>2</v>
      </c>
      <c r="N3" s="55">
        <v>1</v>
      </c>
      <c r="O3" s="55">
        <v>0.9</v>
      </c>
      <c r="P3" s="55">
        <v>1</v>
      </c>
      <c r="Q3" s="82">
        <f t="shared" si="0"/>
        <v>0.95</v>
      </c>
      <c r="R3" s="55">
        <v>12.8</v>
      </c>
      <c r="S3" s="55">
        <v>134</v>
      </c>
      <c r="T3" s="57">
        <f t="shared" si="1"/>
        <v>25</v>
      </c>
      <c r="U3" s="121">
        <v>105</v>
      </c>
      <c r="V3" s="58">
        <f t="shared" si="2"/>
        <v>2625</v>
      </c>
      <c r="W3" s="121">
        <v>2</v>
      </c>
      <c r="X3" s="55" t="s">
        <v>46</v>
      </c>
      <c r="Y3" s="55" t="s">
        <v>84</v>
      </c>
      <c r="Z3" s="55" t="s">
        <v>90</v>
      </c>
      <c r="AA3" s="55" t="s">
        <v>69</v>
      </c>
      <c r="AB3" s="39" t="s">
        <v>195</v>
      </c>
      <c r="AE3" s="111" t="s">
        <v>41</v>
      </c>
      <c r="AG3" s="64" t="s">
        <v>179</v>
      </c>
      <c r="AH3" s="64" t="s">
        <v>184</v>
      </c>
      <c r="AJ3" s="65" t="s">
        <v>42</v>
      </c>
      <c r="AL3" s="65" t="s">
        <v>128</v>
      </c>
      <c r="AN3" s="65" t="s">
        <v>43</v>
      </c>
      <c r="AP3" s="65" t="s">
        <v>44</v>
      </c>
      <c r="AR3" s="119" t="s">
        <v>45</v>
      </c>
      <c r="AT3" s="65" t="s">
        <v>46</v>
      </c>
      <c r="AV3" s="65" t="s">
        <v>47</v>
      </c>
      <c r="AX3" s="66">
        <v>72</v>
      </c>
      <c r="AY3" s="67">
        <v>46</v>
      </c>
      <c r="AZ3" s="67">
        <v>71</v>
      </c>
      <c r="BA3" s="68">
        <v>42</v>
      </c>
    </row>
    <row r="4" spans="1:53" x14ac:dyDescent="0.15">
      <c r="A4" s="55" t="s">
        <v>41</v>
      </c>
      <c r="B4" s="121" t="s">
        <v>193</v>
      </c>
      <c r="C4" s="89">
        <v>2018</v>
      </c>
      <c r="D4" s="56" t="s">
        <v>208</v>
      </c>
      <c r="E4" s="121" t="s">
        <v>133</v>
      </c>
      <c r="F4" s="121" t="s">
        <v>184</v>
      </c>
      <c r="G4" s="55" t="s">
        <v>42</v>
      </c>
      <c r="H4" s="55" t="s">
        <v>155</v>
      </c>
      <c r="I4" s="55" t="s">
        <v>153</v>
      </c>
      <c r="J4" s="55" t="s">
        <v>38</v>
      </c>
      <c r="K4" s="55" t="s">
        <v>154</v>
      </c>
      <c r="L4" s="121">
        <v>3</v>
      </c>
      <c r="N4" s="55">
        <v>1</v>
      </c>
      <c r="O4" s="55">
        <v>1</v>
      </c>
      <c r="P4" s="55">
        <v>1.2</v>
      </c>
      <c r="Q4" s="82">
        <f t="shared" si="0"/>
        <v>1.1000000000000001</v>
      </c>
      <c r="R4" s="55">
        <v>12.7</v>
      </c>
      <c r="S4" s="55">
        <v>132</v>
      </c>
      <c r="T4" s="57">
        <f t="shared" si="1"/>
        <v>25</v>
      </c>
      <c r="U4" s="121">
        <v>105</v>
      </c>
      <c r="V4" s="58">
        <f t="shared" si="2"/>
        <v>2625</v>
      </c>
      <c r="W4" s="121">
        <v>2</v>
      </c>
      <c r="X4" s="55" t="s">
        <v>46</v>
      </c>
      <c r="Y4" s="55" t="s">
        <v>84</v>
      </c>
      <c r="Z4" s="55" t="s">
        <v>90</v>
      </c>
      <c r="AA4" s="55" t="s">
        <v>69</v>
      </c>
      <c r="AB4" s="39" t="s">
        <v>195</v>
      </c>
      <c r="AE4" s="111" t="s">
        <v>34</v>
      </c>
      <c r="AG4" s="64" t="s">
        <v>179</v>
      </c>
      <c r="AH4" s="64" t="s">
        <v>185</v>
      </c>
      <c r="AJ4" s="69" t="s">
        <v>48</v>
      </c>
      <c r="AL4" s="69" t="s">
        <v>129</v>
      </c>
      <c r="AN4" s="128" t="s">
        <v>49</v>
      </c>
      <c r="AP4" s="65" t="s">
        <v>162</v>
      </c>
      <c r="AR4" s="119" t="s">
        <v>121</v>
      </c>
      <c r="AT4" s="128"/>
      <c r="AV4" s="65" t="s">
        <v>50</v>
      </c>
      <c r="AX4" s="66">
        <v>75</v>
      </c>
      <c r="AY4" s="67">
        <v>42</v>
      </c>
      <c r="AZ4" s="67">
        <v>76</v>
      </c>
      <c r="BA4" s="68">
        <v>39</v>
      </c>
    </row>
    <row r="5" spans="1:53" s="55" customFormat="1" ht="13.5" customHeight="1" x14ac:dyDescent="0.15">
      <c r="A5" s="55" t="s">
        <v>41</v>
      </c>
      <c r="B5" s="121" t="s">
        <v>193</v>
      </c>
      <c r="C5" s="89">
        <v>2018</v>
      </c>
      <c r="D5" s="56" t="s">
        <v>208</v>
      </c>
      <c r="E5" s="121" t="s">
        <v>133</v>
      </c>
      <c r="F5" s="121" t="s">
        <v>184</v>
      </c>
      <c r="G5" s="55" t="s">
        <v>42</v>
      </c>
      <c r="H5" s="55" t="s">
        <v>155</v>
      </c>
      <c r="I5" s="55" t="s">
        <v>153</v>
      </c>
      <c r="J5" s="55" t="s">
        <v>38</v>
      </c>
      <c r="K5" s="55" t="s">
        <v>154</v>
      </c>
      <c r="L5" s="121">
        <v>1</v>
      </c>
      <c r="N5" s="55">
        <v>8</v>
      </c>
      <c r="O5" s="55">
        <v>1.2</v>
      </c>
      <c r="P5" s="55">
        <v>1.35</v>
      </c>
      <c r="Q5" s="82">
        <f t="shared" si="0"/>
        <v>1.2749999999999999</v>
      </c>
      <c r="R5" s="55">
        <v>14.5</v>
      </c>
      <c r="S5" s="55">
        <v>110</v>
      </c>
      <c r="T5" s="77">
        <f t="shared" si="1"/>
        <v>33</v>
      </c>
      <c r="U5" s="55">
        <v>753</v>
      </c>
      <c r="V5" s="78">
        <f t="shared" si="2"/>
        <v>3106.125</v>
      </c>
      <c r="W5" s="55">
        <v>1</v>
      </c>
      <c r="X5" s="55" t="s">
        <v>46</v>
      </c>
      <c r="Y5" s="55" t="s">
        <v>84</v>
      </c>
      <c r="Z5" s="55" t="s">
        <v>90</v>
      </c>
      <c r="AA5" s="55" t="s">
        <v>69</v>
      </c>
      <c r="AB5" s="39" t="s">
        <v>195</v>
      </c>
      <c r="AC5" s="121"/>
      <c r="AD5" s="121"/>
      <c r="AE5" s="70" t="s">
        <v>164</v>
      </c>
      <c r="AG5" s="64" t="s">
        <v>180</v>
      </c>
      <c r="AH5" s="64" t="s">
        <v>184</v>
      </c>
      <c r="AJ5" s="71"/>
      <c r="AL5" s="72" t="s">
        <v>171</v>
      </c>
      <c r="AN5" s="72" t="s">
        <v>165</v>
      </c>
      <c r="AP5" s="119" t="s">
        <v>119</v>
      </c>
      <c r="AR5" s="119" t="s">
        <v>54</v>
      </c>
      <c r="AV5" s="119" t="s">
        <v>55</v>
      </c>
      <c r="AX5" s="73">
        <v>84</v>
      </c>
      <c r="AY5" s="74">
        <v>39</v>
      </c>
      <c r="AZ5" s="74">
        <v>84</v>
      </c>
      <c r="BA5" s="75">
        <v>36</v>
      </c>
    </row>
    <row r="6" spans="1:53" x14ac:dyDescent="0.15">
      <c r="A6" s="55" t="s">
        <v>41</v>
      </c>
      <c r="B6" s="121" t="s">
        <v>193</v>
      </c>
      <c r="C6" s="89">
        <v>2018</v>
      </c>
      <c r="D6" s="56" t="s">
        <v>208</v>
      </c>
      <c r="E6" s="121" t="s">
        <v>133</v>
      </c>
      <c r="F6" s="121" t="s">
        <v>184</v>
      </c>
      <c r="G6" s="55" t="s">
        <v>42</v>
      </c>
      <c r="H6" s="55" t="s">
        <v>155</v>
      </c>
      <c r="I6" s="55" t="s">
        <v>153</v>
      </c>
      <c r="J6" s="55" t="s">
        <v>38</v>
      </c>
      <c r="K6" s="55" t="s">
        <v>154</v>
      </c>
      <c r="L6" s="121">
        <v>2</v>
      </c>
      <c r="N6" s="55">
        <v>8</v>
      </c>
      <c r="O6" s="55">
        <v>0.95</v>
      </c>
      <c r="P6" s="55">
        <v>1</v>
      </c>
      <c r="Q6" s="82">
        <f t="shared" si="0"/>
        <v>0.97499999999999998</v>
      </c>
      <c r="R6" s="55">
        <v>12.9</v>
      </c>
      <c r="S6" s="55">
        <v>115</v>
      </c>
      <c r="T6" s="77">
        <f t="shared" si="1"/>
        <v>30</v>
      </c>
      <c r="U6" s="55">
        <v>753</v>
      </c>
      <c r="V6" s="78">
        <f t="shared" si="2"/>
        <v>2823.75</v>
      </c>
      <c r="W6" s="55">
        <v>1</v>
      </c>
      <c r="X6" s="55" t="s">
        <v>46</v>
      </c>
      <c r="Y6" s="55" t="s">
        <v>84</v>
      </c>
      <c r="Z6" s="55" t="s">
        <v>90</v>
      </c>
      <c r="AA6" s="55" t="s">
        <v>69</v>
      </c>
      <c r="AB6" s="39" t="s">
        <v>195</v>
      </c>
      <c r="AE6" s="111" t="s">
        <v>56</v>
      </c>
      <c r="AG6" s="64" t="s">
        <v>180</v>
      </c>
      <c r="AH6" s="64" t="s">
        <v>186</v>
      </c>
      <c r="AL6" s="72" t="s">
        <v>99</v>
      </c>
      <c r="AN6" s="72" t="s">
        <v>166</v>
      </c>
      <c r="AP6" s="65" t="s">
        <v>53</v>
      </c>
      <c r="AR6" s="119" t="s">
        <v>59</v>
      </c>
      <c r="AV6" s="65" t="s">
        <v>60</v>
      </c>
      <c r="AX6" s="66">
        <v>97</v>
      </c>
      <c r="AY6" s="67">
        <v>36</v>
      </c>
      <c r="AZ6" s="67">
        <v>99</v>
      </c>
      <c r="BA6" s="68">
        <v>33</v>
      </c>
    </row>
    <row r="7" spans="1:53" x14ac:dyDescent="0.15">
      <c r="A7" s="55" t="s">
        <v>41</v>
      </c>
      <c r="B7" s="121" t="s">
        <v>193</v>
      </c>
      <c r="C7" s="89">
        <v>2018</v>
      </c>
      <c r="D7" s="56" t="s">
        <v>208</v>
      </c>
      <c r="E7" s="121" t="s">
        <v>133</v>
      </c>
      <c r="F7" s="121" t="s">
        <v>184</v>
      </c>
      <c r="G7" s="55" t="s">
        <v>42</v>
      </c>
      <c r="H7" s="55" t="s">
        <v>155</v>
      </c>
      <c r="I7" s="55" t="s">
        <v>153</v>
      </c>
      <c r="J7" s="55" t="s">
        <v>38</v>
      </c>
      <c r="K7" s="55" t="s">
        <v>154</v>
      </c>
      <c r="L7" s="121">
        <v>3</v>
      </c>
      <c r="N7" s="55">
        <v>8</v>
      </c>
      <c r="O7" s="55">
        <v>1</v>
      </c>
      <c r="P7" s="55">
        <v>0.95</v>
      </c>
      <c r="Q7" s="57">
        <f t="shared" si="0"/>
        <v>0.97499999999999998</v>
      </c>
      <c r="R7" s="121">
        <v>15.1</v>
      </c>
      <c r="S7" s="121">
        <v>112</v>
      </c>
      <c r="T7" s="77">
        <f t="shared" si="1"/>
        <v>33</v>
      </c>
      <c r="U7" s="55">
        <v>753</v>
      </c>
      <c r="V7" s="78">
        <f t="shared" si="2"/>
        <v>3106.125</v>
      </c>
      <c r="W7" s="121">
        <v>1</v>
      </c>
      <c r="X7" s="55" t="s">
        <v>46</v>
      </c>
      <c r="Y7" s="55" t="s">
        <v>84</v>
      </c>
      <c r="Z7" s="55" t="s">
        <v>90</v>
      </c>
      <c r="AA7" s="55" t="s">
        <v>69</v>
      </c>
      <c r="AB7" s="39" t="s">
        <v>195</v>
      </c>
      <c r="AE7" s="111" t="s">
        <v>61</v>
      </c>
      <c r="AG7" s="64" t="s">
        <v>181</v>
      </c>
      <c r="AH7" s="64" t="s">
        <v>186</v>
      </c>
      <c r="AL7" s="76" t="s">
        <v>109</v>
      </c>
      <c r="AP7" s="65" t="s">
        <v>58</v>
      </c>
      <c r="AR7" s="119" t="s">
        <v>122</v>
      </c>
      <c r="AV7" s="65" t="s">
        <v>64</v>
      </c>
      <c r="AX7" s="66">
        <v>109</v>
      </c>
      <c r="AY7" s="67">
        <v>33</v>
      </c>
      <c r="AZ7" s="67">
        <v>113</v>
      </c>
      <c r="BA7" s="68">
        <v>30</v>
      </c>
    </row>
    <row r="8" spans="1:53" x14ac:dyDescent="0.15">
      <c r="A8" s="55" t="s">
        <v>41</v>
      </c>
      <c r="B8" s="121" t="s">
        <v>193</v>
      </c>
      <c r="C8" s="89">
        <v>2018</v>
      </c>
      <c r="D8" s="56" t="s">
        <v>208</v>
      </c>
      <c r="E8" s="121" t="s">
        <v>133</v>
      </c>
      <c r="F8" s="121" t="s">
        <v>184</v>
      </c>
      <c r="G8" s="55" t="s">
        <v>42</v>
      </c>
      <c r="H8" s="55" t="s">
        <v>128</v>
      </c>
      <c r="I8" s="55" t="s">
        <v>153</v>
      </c>
      <c r="J8" s="55" t="s">
        <v>80</v>
      </c>
      <c r="K8" s="55" t="s">
        <v>45</v>
      </c>
      <c r="L8" s="121">
        <v>1</v>
      </c>
      <c r="M8" s="55"/>
      <c r="N8" s="55">
        <v>1</v>
      </c>
      <c r="O8" s="55">
        <v>0.45</v>
      </c>
      <c r="P8" s="55">
        <v>0.45</v>
      </c>
      <c r="Q8" s="57">
        <f t="shared" si="0"/>
        <v>0.45</v>
      </c>
      <c r="R8" s="121">
        <v>12.9</v>
      </c>
      <c r="S8" s="121">
        <v>125</v>
      </c>
      <c r="T8" s="77">
        <f t="shared" ref="T8:T13" si="3">IF(H8="","",IF(OR(H8="GREEN",H8="GK"),IF(S8&gt;=$AX$2,VLOOKUP(S8,$AX$2:$AY$12,2,1),""),IF(S8&gt;=$AZ$2,VLOOKUP(S8,$AZ$2:$BA$12,2,1),"")))</f>
        <v>27</v>
      </c>
      <c r="U8" s="55">
        <v>105</v>
      </c>
      <c r="V8" s="78">
        <f t="shared" si="2"/>
        <v>2835</v>
      </c>
      <c r="W8" s="55">
        <v>2</v>
      </c>
      <c r="X8" s="55" t="s">
        <v>39</v>
      </c>
      <c r="Y8" s="55" t="s">
        <v>84</v>
      </c>
      <c r="Z8" s="55" t="s">
        <v>90</v>
      </c>
      <c r="AA8" s="55" t="s">
        <v>69</v>
      </c>
      <c r="AB8" s="39" t="s">
        <v>195</v>
      </c>
      <c r="AC8" s="55"/>
      <c r="AD8" s="55"/>
      <c r="AE8" s="111" t="s">
        <v>59</v>
      </c>
      <c r="AG8" s="64" t="s">
        <v>182</v>
      </c>
      <c r="AH8" s="64" t="s">
        <v>187</v>
      </c>
      <c r="AL8" s="76" t="s">
        <v>209</v>
      </c>
      <c r="AP8" s="65" t="s">
        <v>62</v>
      </c>
      <c r="AR8" s="119" t="s">
        <v>81</v>
      </c>
      <c r="AV8" s="65" t="s">
        <v>97</v>
      </c>
      <c r="AX8" s="66">
        <v>119</v>
      </c>
      <c r="AY8" s="67">
        <v>30</v>
      </c>
      <c r="AZ8" s="67">
        <v>121</v>
      </c>
      <c r="BA8" s="68">
        <v>27</v>
      </c>
    </row>
    <row r="9" spans="1:53" x14ac:dyDescent="0.15">
      <c r="A9" s="55" t="s">
        <v>41</v>
      </c>
      <c r="B9" s="121" t="s">
        <v>193</v>
      </c>
      <c r="C9" s="89">
        <v>2018</v>
      </c>
      <c r="D9" s="56" t="s">
        <v>208</v>
      </c>
      <c r="E9" s="121" t="s">
        <v>133</v>
      </c>
      <c r="F9" s="121" t="s">
        <v>184</v>
      </c>
      <c r="G9" s="55" t="s">
        <v>42</v>
      </c>
      <c r="H9" s="55" t="s">
        <v>128</v>
      </c>
      <c r="I9" s="55" t="s">
        <v>153</v>
      </c>
      <c r="J9" s="55" t="s">
        <v>80</v>
      </c>
      <c r="K9" s="55" t="s">
        <v>45</v>
      </c>
      <c r="L9" s="121">
        <v>2</v>
      </c>
      <c r="N9" s="55">
        <v>1</v>
      </c>
      <c r="O9" s="55">
        <v>0.35</v>
      </c>
      <c r="P9" s="55">
        <v>0.35</v>
      </c>
      <c r="Q9" s="57">
        <f t="shared" si="0"/>
        <v>0.35</v>
      </c>
      <c r="R9" s="121">
        <v>13.8</v>
      </c>
      <c r="S9" s="121">
        <v>126</v>
      </c>
      <c r="T9" s="77">
        <f t="shared" si="3"/>
        <v>27</v>
      </c>
      <c r="U9" s="55">
        <v>105</v>
      </c>
      <c r="V9" s="58">
        <f t="shared" si="2"/>
        <v>2835</v>
      </c>
      <c r="W9" s="121">
        <v>2</v>
      </c>
      <c r="X9" s="55" t="s">
        <v>39</v>
      </c>
      <c r="Y9" s="55" t="s">
        <v>84</v>
      </c>
      <c r="Z9" s="55" t="s">
        <v>90</v>
      </c>
      <c r="AA9" s="55" t="s">
        <v>69</v>
      </c>
      <c r="AB9" s="39" t="s">
        <v>195</v>
      </c>
      <c r="AE9" s="111" t="s">
        <v>98</v>
      </c>
      <c r="AG9" s="64" t="s">
        <v>182</v>
      </c>
      <c r="AH9" s="64" t="s">
        <v>188</v>
      </c>
      <c r="AL9" s="72"/>
      <c r="AP9" s="65" t="s">
        <v>95</v>
      </c>
      <c r="AR9" s="119" t="s">
        <v>89</v>
      </c>
      <c r="AV9" s="65" t="s">
        <v>102</v>
      </c>
      <c r="AX9" s="66">
        <v>128</v>
      </c>
      <c r="AY9" s="67">
        <v>27</v>
      </c>
      <c r="AZ9" s="67">
        <v>129</v>
      </c>
      <c r="BA9" s="68">
        <v>25</v>
      </c>
    </row>
    <row r="10" spans="1:53" x14ac:dyDescent="0.15">
      <c r="A10" s="55" t="s">
        <v>41</v>
      </c>
      <c r="B10" s="121" t="s">
        <v>193</v>
      </c>
      <c r="C10" s="89">
        <v>2018</v>
      </c>
      <c r="D10" s="56" t="s">
        <v>208</v>
      </c>
      <c r="E10" s="121" t="s">
        <v>133</v>
      </c>
      <c r="F10" s="121" t="s">
        <v>184</v>
      </c>
      <c r="G10" s="55" t="s">
        <v>42</v>
      </c>
      <c r="H10" s="55" t="s">
        <v>128</v>
      </c>
      <c r="I10" s="55" t="s">
        <v>153</v>
      </c>
      <c r="J10" s="55" t="s">
        <v>80</v>
      </c>
      <c r="K10" s="55" t="s">
        <v>45</v>
      </c>
      <c r="L10" s="121">
        <v>3</v>
      </c>
      <c r="N10" s="55">
        <v>1</v>
      </c>
      <c r="O10" s="55">
        <v>0.5</v>
      </c>
      <c r="P10" s="55">
        <v>0.4</v>
      </c>
      <c r="Q10" s="57">
        <f t="shared" si="0"/>
        <v>0.45</v>
      </c>
      <c r="R10" s="121">
        <v>14</v>
      </c>
      <c r="S10" s="121">
        <v>124</v>
      </c>
      <c r="T10" s="77">
        <f t="shared" si="3"/>
        <v>27</v>
      </c>
      <c r="U10" s="55">
        <v>105</v>
      </c>
      <c r="V10" s="58">
        <f t="shared" si="2"/>
        <v>2835</v>
      </c>
      <c r="W10" s="121">
        <v>2</v>
      </c>
      <c r="X10" s="55" t="s">
        <v>39</v>
      </c>
      <c r="Y10" s="55" t="s">
        <v>84</v>
      </c>
      <c r="Z10" s="55" t="s">
        <v>90</v>
      </c>
      <c r="AA10" s="55" t="s">
        <v>69</v>
      </c>
      <c r="AB10" s="39" t="s">
        <v>195</v>
      </c>
      <c r="AE10" s="111" t="s">
        <v>103</v>
      </c>
      <c r="AG10" s="64" t="s">
        <v>183</v>
      </c>
      <c r="AH10" s="64" t="s">
        <v>189</v>
      </c>
      <c r="AL10" s="76"/>
      <c r="AP10" s="65" t="s">
        <v>100</v>
      </c>
      <c r="AR10" s="119" t="s">
        <v>123</v>
      </c>
      <c r="AV10" s="65" t="s">
        <v>106</v>
      </c>
      <c r="AX10" s="66">
        <v>138</v>
      </c>
      <c r="AY10" s="67">
        <v>25</v>
      </c>
      <c r="AZ10" s="67">
        <v>138</v>
      </c>
      <c r="BA10" s="68">
        <v>22</v>
      </c>
    </row>
    <row r="11" spans="1:53" x14ac:dyDescent="0.15">
      <c r="A11" s="55" t="s">
        <v>41</v>
      </c>
      <c r="B11" s="121" t="s">
        <v>193</v>
      </c>
      <c r="C11" s="89">
        <v>2018</v>
      </c>
      <c r="D11" s="56" t="s">
        <v>208</v>
      </c>
      <c r="E11" s="121" t="s">
        <v>179</v>
      </c>
      <c r="F11" s="121" t="s">
        <v>184</v>
      </c>
      <c r="G11" s="55" t="s">
        <v>42</v>
      </c>
      <c r="H11" s="55" t="s">
        <v>155</v>
      </c>
      <c r="I11" s="55" t="s">
        <v>153</v>
      </c>
      <c r="J11" s="55" t="s">
        <v>38</v>
      </c>
      <c r="K11" s="55" t="s">
        <v>154</v>
      </c>
      <c r="L11" s="121">
        <v>1</v>
      </c>
      <c r="M11" s="55"/>
      <c r="N11" s="55">
        <v>1</v>
      </c>
      <c r="O11" s="55">
        <v>0.6</v>
      </c>
      <c r="P11" s="55">
        <v>0.35</v>
      </c>
      <c r="Q11" s="57">
        <f t="shared" si="0"/>
        <v>0.47499999999999998</v>
      </c>
      <c r="R11" s="121">
        <v>12.6</v>
      </c>
      <c r="S11" s="121">
        <v>128</v>
      </c>
      <c r="T11" s="77">
        <f t="shared" si="3"/>
        <v>27</v>
      </c>
      <c r="U11" s="55">
        <v>105</v>
      </c>
      <c r="V11" s="78">
        <f t="shared" si="2"/>
        <v>2835</v>
      </c>
      <c r="W11" s="55">
        <v>1</v>
      </c>
      <c r="X11" s="55" t="s">
        <v>39</v>
      </c>
      <c r="Y11" s="55" t="s">
        <v>84</v>
      </c>
      <c r="Z11" s="55" t="s">
        <v>90</v>
      </c>
      <c r="AA11" s="55" t="s">
        <v>40</v>
      </c>
      <c r="AB11" s="39" t="s">
        <v>195</v>
      </c>
      <c r="AE11" s="111" t="s">
        <v>65</v>
      </c>
      <c r="AG11" s="64" t="s">
        <v>167</v>
      </c>
      <c r="AH11" s="64" t="s">
        <v>190</v>
      </c>
      <c r="AL11" s="76"/>
      <c r="AP11" s="65" t="s">
        <v>104</v>
      </c>
      <c r="AR11" s="119" t="s">
        <v>87</v>
      </c>
      <c r="AV11" s="65" t="s">
        <v>69</v>
      </c>
      <c r="AX11" s="66">
        <v>151</v>
      </c>
      <c r="AY11" s="67">
        <v>22</v>
      </c>
      <c r="AZ11" s="67">
        <v>152</v>
      </c>
      <c r="BA11" s="68">
        <v>18</v>
      </c>
    </row>
    <row r="12" spans="1:53" x14ac:dyDescent="0.15">
      <c r="A12" s="55" t="s">
        <v>41</v>
      </c>
      <c r="B12" s="121" t="s">
        <v>193</v>
      </c>
      <c r="C12" s="89">
        <v>2018</v>
      </c>
      <c r="D12" s="56" t="s">
        <v>208</v>
      </c>
      <c r="E12" s="121" t="s">
        <v>179</v>
      </c>
      <c r="F12" s="121" t="s">
        <v>184</v>
      </c>
      <c r="G12" s="55" t="s">
        <v>42</v>
      </c>
      <c r="H12" s="55" t="s">
        <v>155</v>
      </c>
      <c r="I12" s="55" t="s">
        <v>153</v>
      </c>
      <c r="J12" s="55" t="s">
        <v>38</v>
      </c>
      <c r="K12" s="55" t="s">
        <v>154</v>
      </c>
      <c r="L12" s="121">
        <v>2</v>
      </c>
      <c r="N12" s="55">
        <v>1</v>
      </c>
      <c r="O12" s="55">
        <v>0.65</v>
      </c>
      <c r="P12" s="55">
        <v>0.4</v>
      </c>
      <c r="Q12" s="57">
        <f t="shared" si="0"/>
        <v>0.52500000000000002</v>
      </c>
      <c r="R12" s="121">
        <v>13.8</v>
      </c>
      <c r="S12" s="121">
        <v>130</v>
      </c>
      <c r="T12" s="77">
        <f t="shared" si="3"/>
        <v>25</v>
      </c>
      <c r="U12" s="55">
        <v>105</v>
      </c>
      <c r="V12" s="58">
        <f t="shared" si="2"/>
        <v>2625</v>
      </c>
      <c r="W12" s="121">
        <v>1</v>
      </c>
      <c r="X12" s="55" t="s">
        <v>39</v>
      </c>
      <c r="Y12" s="55" t="s">
        <v>84</v>
      </c>
      <c r="Z12" s="55" t="s">
        <v>90</v>
      </c>
      <c r="AA12" s="55" t="s">
        <v>40</v>
      </c>
      <c r="AB12" s="39" t="s">
        <v>195</v>
      </c>
      <c r="AE12" s="111" t="s">
        <v>70</v>
      </c>
      <c r="AG12" s="70"/>
      <c r="AH12" s="70"/>
      <c r="AL12" s="76"/>
      <c r="AP12" s="65" t="s">
        <v>67</v>
      </c>
      <c r="AR12" s="119" t="s">
        <v>124</v>
      </c>
      <c r="AV12" s="65" t="s">
        <v>72</v>
      </c>
      <c r="AX12" s="79">
        <v>180</v>
      </c>
      <c r="AY12" s="80">
        <v>18</v>
      </c>
      <c r="AZ12" s="80">
        <v>181</v>
      </c>
      <c r="BA12" s="81">
        <v>16</v>
      </c>
    </row>
    <row r="13" spans="1:53" x14ac:dyDescent="0.15">
      <c r="A13" s="55" t="s">
        <v>41</v>
      </c>
      <c r="B13" s="121" t="s">
        <v>193</v>
      </c>
      <c r="C13" s="89">
        <v>2018</v>
      </c>
      <c r="D13" s="56" t="s">
        <v>208</v>
      </c>
      <c r="E13" s="121" t="s">
        <v>179</v>
      </c>
      <c r="F13" s="121" t="s">
        <v>184</v>
      </c>
      <c r="G13" s="55" t="s">
        <v>42</v>
      </c>
      <c r="H13" s="55" t="s">
        <v>155</v>
      </c>
      <c r="I13" s="55" t="s">
        <v>153</v>
      </c>
      <c r="J13" s="55" t="s">
        <v>38</v>
      </c>
      <c r="K13" s="55" t="s">
        <v>154</v>
      </c>
      <c r="L13" s="121">
        <v>3</v>
      </c>
      <c r="N13" s="55">
        <v>1</v>
      </c>
      <c r="O13" s="55">
        <v>0.7</v>
      </c>
      <c r="P13" s="55">
        <v>0.65</v>
      </c>
      <c r="Q13" s="57">
        <f t="shared" si="0"/>
        <v>0.67500000000000004</v>
      </c>
      <c r="R13" s="121">
        <v>15.4</v>
      </c>
      <c r="S13" s="121">
        <v>127</v>
      </c>
      <c r="T13" s="77">
        <f t="shared" si="3"/>
        <v>27</v>
      </c>
      <c r="U13" s="55">
        <v>105</v>
      </c>
      <c r="V13" s="58">
        <f t="shared" si="2"/>
        <v>2835</v>
      </c>
      <c r="W13" s="121">
        <v>1</v>
      </c>
      <c r="X13" s="55" t="s">
        <v>39</v>
      </c>
      <c r="Y13" s="55" t="s">
        <v>84</v>
      </c>
      <c r="Z13" s="55" t="s">
        <v>90</v>
      </c>
      <c r="AA13" s="55" t="s">
        <v>40</v>
      </c>
      <c r="AB13" s="39" t="s">
        <v>195</v>
      </c>
      <c r="AE13" s="111" t="s">
        <v>73</v>
      </c>
      <c r="AG13" s="119"/>
      <c r="AH13" s="119"/>
      <c r="AP13" s="65" t="s">
        <v>71</v>
      </c>
      <c r="AR13" s="119" t="s">
        <v>103</v>
      </c>
      <c r="AV13" s="65" t="s">
        <v>75</v>
      </c>
    </row>
    <row r="14" spans="1:53" x14ac:dyDescent="0.15">
      <c r="A14" s="55" t="s">
        <v>41</v>
      </c>
      <c r="B14" s="121" t="s">
        <v>193</v>
      </c>
      <c r="C14" s="89">
        <v>2018</v>
      </c>
      <c r="D14" s="56" t="s">
        <v>208</v>
      </c>
      <c r="E14" s="121" t="s">
        <v>179</v>
      </c>
      <c r="F14" s="121" t="s">
        <v>184</v>
      </c>
      <c r="G14" s="55" t="s">
        <v>42</v>
      </c>
      <c r="H14" s="55" t="s">
        <v>163</v>
      </c>
      <c r="I14" s="55" t="s">
        <v>153</v>
      </c>
      <c r="J14" s="55" t="s">
        <v>38</v>
      </c>
      <c r="K14" s="55" t="s">
        <v>54</v>
      </c>
      <c r="L14" s="121">
        <v>1</v>
      </c>
      <c r="M14" s="55"/>
      <c r="N14" s="55">
        <v>1</v>
      </c>
      <c r="O14" s="55">
        <v>0.25</v>
      </c>
      <c r="P14" s="55">
        <v>0.25</v>
      </c>
      <c r="Q14" s="57">
        <f t="shared" si="0"/>
        <v>0.25</v>
      </c>
      <c r="R14" s="121">
        <v>14.2</v>
      </c>
      <c r="S14" s="121">
        <v>121</v>
      </c>
      <c r="T14" s="77">
        <f t="shared" ref="T14:T70" si="4">IF(H14="","",IF(OR(H14="GREEN",H14="GK"),IF(S14&gt;=$AX$2,VLOOKUP(S14,$AX$2:$AY$10,2,1),""),IF(S14&gt;=$AZ$2,VLOOKUP(S14,$AZ$2:$BA$10,2,1),"")))</f>
        <v>27</v>
      </c>
      <c r="U14" s="55">
        <v>138</v>
      </c>
      <c r="V14" s="78">
        <f t="shared" si="2"/>
        <v>3726</v>
      </c>
      <c r="W14" s="55">
        <v>1</v>
      </c>
      <c r="X14" s="55" t="s">
        <v>39</v>
      </c>
      <c r="Y14" s="55" t="s">
        <v>84</v>
      </c>
      <c r="Z14" s="55" t="s">
        <v>90</v>
      </c>
      <c r="AA14" s="55" t="s">
        <v>40</v>
      </c>
      <c r="AB14" s="39" t="s">
        <v>195</v>
      </c>
      <c r="AE14" s="111" t="s">
        <v>76</v>
      </c>
      <c r="AG14" s="119"/>
      <c r="AH14" s="119"/>
      <c r="AP14" s="65" t="s">
        <v>74</v>
      </c>
      <c r="AR14" s="119" t="s">
        <v>125</v>
      </c>
      <c r="AV14" s="65" t="s">
        <v>78</v>
      </c>
    </row>
    <row r="15" spans="1:53" x14ac:dyDescent="0.15">
      <c r="A15" s="55" t="s">
        <v>41</v>
      </c>
      <c r="B15" s="121" t="s">
        <v>193</v>
      </c>
      <c r="C15" s="89">
        <v>2018</v>
      </c>
      <c r="D15" s="56" t="s">
        <v>208</v>
      </c>
      <c r="E15" s="121" t="s">
        <v>179</v>
      </c>
      <c r="F15" s="121" t="s">
        <v>184</v>
      </c>
      <c r="G15" s="55" t="s">
        <v>42</v>
      </c>
      <c r="H15" s="55" t="s">
        <v>163</v>
      </c>
      <c r="I15" s="55" t="s">
        <v>153</v>
      </c>
      <c r="J15" s="55" t="s">
        <v>38</v>
      </c>
      <c r="K15" s="55" t="s">
        <v>54</v>
      </c>
      <c r="L15" s="121">
        <v>2</v>
      </c>
      <c r="N15" s="55">
        <v>1</v>
      </c>
      <c r="O15" s="55">
        <v>0.3</v>
      </c>
      <c r="P15" s="55">
        <v>0.25</v>
      </c>
      <c r="Q15" s="57">
        <f t="shared" si="0"/>
        <v>0.27500000000000002</v>
      </c>
      <c r="R15" s="121">
        <v>16.5</v>
      </c>
      <c r="S15" s="121">
        <v>124</v>
      </c>
      <c r="T15" s="77">
        <f t="shared" si="4"/>
        <v>27</v>
      </c>
      <c r="U15" s="55">
        <v>138</v>
      </c>
      <c r="V15" s="58">
        <f t="shared" si="2"/>
        <v>3726</v>
      </c>
      <c r="W15" s="121">
        <v>1</v>
      </c>
      <c r="X15" s="55" t="s">
        <v>39</v>
      </c>
      <c r="Y15" s="55" t="s">
        <v>84</v>
      </c>
      <c r="Z15" s="55" t="s">
        <v>90</v>
      </c>
      <c r="AA15" s="55" t="s">
        <v>40</v>
      </c>
      <c r="AB15" s="39" t="s">
        <v>195</v>
      </c>
      <c r="AE15" s="111" t="s">
        <v>79</v>
      </c>
      <c r="AG15" s="119"/>
      <c r="AH15" s="119"/>
      <c r="AP15" s="65" t="s">
        <v>77</v>
      </c>
      <c r="AR15" s="119" t="s">
        <v>94</v>
      </c>
      <c r="AV15" s="65" t="s">
        <v>107</v>
      </c>
    </row>
    <row r="16" spans="1:53" x14ac:dyDescent="0.15">
      <c r="A16" s="55" t="s">
        <v>41</v>
      </c>
      <c r="B16" s="121" t="s">
        <v>193</v>
      </c>
      <c r="C16" s="89">
        <v>2018</v>
      </c>
      <c r="D16" s="56" t="s">
        <v>208</v>
      </c>
      <c r="E16" s="121" t="s">
        <v>179</v>
      </c>
      <c r="F16" s="121" t="s">
        <v>184</v>
      </c>
      <c r="G16" s="55" t="s">
        <v>42</v>
      </c>
      <c r="H16" s="55" t="s">
        <v>163</v>
      </c>
      <c r="I16" s="55" t="s">
        <v>153</v>
      </c>
      <c r="J16" s="55" t="s">
        <v>38</v>
      </c>
      <c r="K16" s="55" t="s">
        <v>54</v>
      </c>
      <c r="L16" s="121">
        <v>3</v>
      </c>
      <c r="N16" s="55">
        <v>1</v>
      </c>
      <c r="O16" s="55">
        <v>0.5</v>
      </c>
      <c r="P16" s="55">
        <v>0.3</v>
      </c>
      <c r="Q16" s="57">
        <f t="shared" si="0"/>
        <v>0.4</v>
      </c>
      <c r="R16" s="121">
        <v>15</v>
      </c>
      <c r="S16" s="121">
        <v>123</v>
      </c>
      <c r="T16" s="77">
        <f t="shared" si="4"/>
        <v>27</v>
      </c>
      <c r="U16" s="55">
        <v>138</v>
      </c>
      <c r="V16" s="58">
        <f t="shared" si="2"/>
        <v>3726</v>
      </c>
      <c r="W16" s="121">
        <v>1</v>
      </c>
      <c r="X16" s="55" t="s">
        <v>39</v>
      </c>
      <c r="Y16" s="55" t="s">
        <v>84</v>
      </c>
      <c r="Z16" s="55" t="s">
        <v>90</v>
      </c>
      <c r="AA16" s="55" t="s">
        <v>40</v>
      </c>
      <c r="AB16" s="39" t="s">
        <v>195</v>
      </c>
      <c r="AE16" s="111" t="s">
        <v>82</v>
      </c>
      <c r="AG16" s="71"/>
      <c r="AH16" s="71"/>
      <c r="AP16" s="65" t="s">
        <v>80</v>
      </c>
      <c r="AR16" s="119" t="s">
        <v>63</v>
      </c>
      <c r="AV16" s="65" t="s">
        <v>84</v>
      </c>
    </row>
    <row r="17" spans="1:49" x14ac:dyDescent="0.15">
      <c r="A17" s="55" t="s">
        <v>41</v>
      </c>
      <c r="B17" s="121" t="s">
        <v>193</v>
      </c>
      <c r="C17" s="89">
        <v>2018</v>
      </c>
      <c r="D17" s="56" t="s">
        <v>208</v>
      </c>
      <c r="E17" s="121" t="s">
        <v>179</v>
      </c>
      <c r="F17" s="121" t="s">
        <v>185</v>
      </c>
      <c r="G17" s="55" t="s">
        <v>42</v>
      </c>
      <c r="H17" s="55" t="s">
        <v>127</v>
      </c>
      <c r="I17" s="55" t="s">
        <v>153</v>
      </c>
      <c r="J17" s="55" t="s">
        <v>80</v>
      </c>
      <c r="K17" s="55" t="s">
        <v>68</v>
      </c>
      <c r="L17" s="121">
        <v>1</v>
      </c>
      <c r="M17" s="55"/>
      <c r="N17" s="55">
        <v>1</v>
      </c>
      <c r="O17" s="55">
        <v>0.95</v>
      </c>
      <c r="P17" s="55">
        <v>0.8</v>
      </c>
      <c r="Q17" s="82">
        <f t="shared" si="0"/>
        <v>0.875</v>
      </c>
      <c r="R17" s="55">
        <v>12.6</v>
      </c>
      <c r="S17" s="55">
        <v>130</v>
      </c>
      <c r="T17" s="77">
        <f t="shared" si="4"/>
        <v>25</v>
      </c>
      <c r="U17" s="55">
        <v>105</v>
      </c>
      <c r="V17" s="78">
        <f>IF(OR(N17="",U17="",T17=""),"",U17/N17*T17)</f>
        <v>2625</v>
      </c>
      <c r="W17" s="55">
        <v>2</v>
      </c>
      <c r="X17" s="55" t="s">
        <v>39</v>
      </c>
      <c r="Y17" s="55" t="s">
        <v>84</v>
      </c>
      <c r="Z17" s="55" t="s">
        <v>90</v>
      </c>
      <c r="AA17" s="55" t="s">
        <v>40</v>
      </c>
      <c r="AB17" s="39" t="s">
        <v>195</v>
      </c>
      <c r="AE17" s="111" t="s">
        <v>85</v>
      </c>
      <c r="AP17" s="123" t="s">
        <v>110</v>
      </c>
      <c r="AR17" s="119" t="s">
        <v>96</v>
      </c>
      <c r="AV17" s="65" t="s">
        <v>86</v>
      </c>
    </row>
    <row r="18" spans="1:49" x14ac:dyDescent="0.15">
      <c r="A18" s="55" t="s">
        <v>41</v>
      </c>
      <c r="B18" s="121" t="s">
        <v>193</v>
      </c>
      <c r="C18" s="89">
        <v>2018</v>
      </c>
      <c r="D18" s="56" t="s">
        <v>208</v>
      </c>
      <c r="E18" s="121" t="s">
        <v>179</v>
      </c>
      <c r="F18" s="121" t="s">
        <v>185</v>
      </c>
      <c r="G18" s="55" t="s">
        <v>42</v>
      </c>
      <c r="H18" s="55" t="s">
        <v>127</v>
      </c>
      <c r="I18" s="55" t="s">
        <v>153</v>
      </c>
      <c r="J18" s="55" t="s">
        <v>80</v>
      </c>
      <c r="K18" s="55" t="s">
        <v>68</v>
      </c>
      <c r="L18" s="121">
        <v>2</v>
      </c>
      <c r="N18" s="55">
        <v>1</v>
      </c>
      <c r="O18" s="55">
        <v>1.2</v>
      </c>
      <c r="P18" s="55">
        <v>1</v>
      </c>
      <c r="Q18" s="82">
        <f t="shared" si="0"/>
        <v>1.1000000000000001</v>
      </c>
      <c r="R18" s="55">
        <v>13.1</v>
      </c>
      <c r="S18" s="55">
        <v>129</v>
      </c>
      <c r="T18" s="77">
        <f t="shared" si="4"/>
        <v>25</v>
      </c>
      <c r="U18" s="55">
        <v>105</v>
      </c>
      <c r="V18" s="58">
        <f>IF(OR(N18="",U18="",T18=""),"",U18/N18*T18)</f>
        <v>2625</v>
      </c>
      <c r="W18" s="121">
        <v>2</v>
      </c>
      <c r="X18" s="55" t="s">
        <v>39</v>
      </c>
      <c r="Y18" s="55" t="s">
        <v>84</v>
      </c>
      <c r="Z18" s="55" t="s">
        <v>90</v>
      </c>
      <c r="AA18" s="55" t="s">
        <v>40</v>
      </c>
      <c r="AB18" s="39" t="s">
        <v>195</v>
      </c>
      <c r="AE18" s="111" t="s">
        <v>87</v>
      </c>
      <c r="AP18" s="123" t="s">
        <v>111</v>
      </c>
      <c r="AR18" s="119" t="s">
        <v>101</v>
      </c>
      <c r="AV18" s="65" t="s">
        <v>88</v>
      </c>
    </row>
    <row r="19" spans="1:49" x14ac:dyDescent="0.15">
      <c r="A19" s="55" t="s">
        <v>41</v>
      </c>
      <c r="B19" s="121" t="s">
        <v>193</v>
      </c>
      <c r="C19" s="89">
        <v>2018</v>
      </c>
      <c r="D19" s="56" t="s">
        <v>208</v>
      </c>
      <c r="E19" s="121" t="s">
        <v>179</v>
      </c>
      <c r="F19" s="121" t="s">
        <v>185</v>
      </c>
      <c r="G19" s="55" t="s">
        <v>42</v>
      </c>
      <c r="H19" s="55" t="s">
        <v>127</v>
      </c>
      <c r="I19" s="55" t="s">
        <v>153</v>
      </c>
      <c r="J19" s="55" t="s">
        <v>80</v>
      </c>
      <c r="K19" s="55" t="s">
        <v>68</v>
      </c>
      <c r="L19" s="121">
        <v>3</v>
      </c>
      <c r="N19" s="55">
        <v>1</v>
      </c>
      <c r="O19" s="55">
        <v>1.2</v>
      </c>
      <c r="P19" s="55">
        <v>1.2</v>
      </c>
      <c r="Q19" s="82">
        <f t="shared" si="0"/>
        <v>1.2</v>
      </c>
      <c r="R19" s="55">
        <v>14.1</v>
      </c>
      <c r="S19" s="55">
        <v>132</v>
      </c>
      <c r="T19" s="77">
        <f t="shared" si="4"/>
        <v>25</v>
      </c>
      <c r="U19" s="55">
        <v>105</v>
      </c>
      <c r="V19" s="58">
        <f>IF(OR(N19="",U19="",T19=""),"",U19/N19*T19)</f>
        <v>2625</v>
      </c>
      <c r="W19" s="121">
        <v>2</v>
      </c>
      <c r="X19" s="55" t="s">
        <v>39</v>
      </c>
      <c r="Y19" s="55" t="s">
        <v>84</v>
      </c>
      <c r="Z19" s="55" t="s">
        <v>90</v>
      </c>
      <c r="AA19" s="55" t="s">
        <v>40</v>
      </c>
      <c r="AB19" s="39" t="s">
        <v>195</v>
      </c>
      <c r="AE19" s="120" t="s">
        <v>89</v>
      </c>
      <c r="AP19" s="123" t="s">
        <v>112</v>
      </c>
      <c r="AR19" s="119" t="s">
        <v>126</v>
      </c>
      <c r="AV19" s="65" t="s">
        <v>90</v>
      </c>
    </row>
    <row r="20" spans="1:49" x14ac:dyDescent="0.15">
      <c r="A20" s="55" t="s">
        <v>41</v>
      </c>
      <c r="B20" s="121" t="s">
        <v>193</v>
      </c>
      <c r="C20" s="89">
        <v>2018</v>
      </c>
      <c r="D20" s="56" t="s">
        <v>208</v>
      </c>
      <c r="E20" s="121" t="s">
        <v>179</v>
      </c>
      <c r="F20" s="121" t="s">
        <v>185</v>
      </c>
      <c r="G20" s="55" t="s">
        <v>42</v>
      </c>
      <c r="H20" s="55" t="s">
        <v>155</v>
      </c>
      <c r="I20" s="55" t="s">
        <v>153</v>
      </c>
      <c r="J20" s="55" t="s">
        <v>38</v>
      </c>
      <c r="K20" s="55" t="s">
        <v>154</v>
      </c>
      <c r="L20" s="121">
        <v>1</v>
      </c>
      <c r="M20" s="55"/>
      <c r="N20" s="55">
        <v>6</v>
      </c>
      <c r="O20" s="55">
        <v>1.5</v>
      </c>
      <c r="P20" s="55">
        <v>1.3</v>
      </c>
      <c r="Q20" s="82">
        <f t="shared" si="0"/>
        <v>1.4</v>
      </c>
      <c r="R20" s="55">
        <v>12.9</v>
      </c>
      <c r="S20" s="55">
        <v>100</v>
      </c>
      <c r="T20" s="77">
        <f t="shared" si="4"/>
        <v>33</v>
      </c>
      <c r="U20" s="55">
        <v>540</v>
      </c>
      <c r="V20" s="78">
        <f t="shared" ref="V20:V70" si="5">IF(OR(N20="",U20="",T20=""),"",U20/N20*T20)</f>
        <v>2970</v>
      </c>
      <c r="W20" s="55">
        <v>1</v>
      </c>
      <c r="X20" s="55" t="s">
        <v>39</v>
      </c>
      <c r="Y20" s="55" t="s">
        <v>84</v>
      </c>
      <c r="Z20" s="55" t="s">
        <v>90</v>
      </c>
      <c r="AA20" s="55" t="s">
        <v>40</v>
      </c>
      <c r="AB20" s="39" t="s">
        <v>195</v>
      </c>
      <c r="AE20" s="120"/>
      <c r="AP20" s="123" t="s">
        <v>113</v>
      </c>
      <c r="AR20" s="119" t="s">
        <v>105</v>
      </c>
      <c r="AV20" s="69" t="s">
        <v>210</v>
      </c>
    </row>
    <row r="21" spans="1:49" x14ac:dyDescent="0.15">
      <c r="A21" s="55" t="s">
        <v>41</v>
      </c>
      <c r="B21" s="121" t="s">
        <v>193</v>
      </c>
      <c r="C21" s="89">
        <v>2018</v>
      </c>
      <c r="D21" s="56" t="s">
        <v>208</v>
      </c>
      <c r="E21" s="121" t="s">
        <v>179</v>
      </c>
      <c r="F21" s="121" t="s">
        <v>185</v>
      </c>
      <c r="G21" s="55" t="s">
        <v>42</v>
      </c>
      <c r="H21" s="55" t="s">
        <v>155</v>
      </c>
      <c r="I21" s="55" t="s">
        <v>153</v>
      </c>
      <c r="J21" s="55" t="s">
        <v>38</v>
      </c>
      <c r="K21" s="55" t="s">
        <v>154</v>
      </c>
      <c r="L21" s="121">
        <v>2</v>
      </c>
      <c r="N21" s="55">
        <v>6</v>
      </c>
      <c r="O21" s="55">
        <v>1.3</v>
      </c>
      <c r="P21" s="55">
        <v>1.1499999999999999</v>
      </c>
      <c r="Q21" s="82">
        <f t="shared" si="0"/>
        <v>1.2250000000000001</v>
      </c>
      <c r="R21" s="55">
        <v>13.3</v>
      </c>
      <c r="S21" s="55">
        <v>105</v>
      </c>
      <c r="T21" s="77">
        <f t="shared" si="4"/>
        <v>33</v>
      </c>
      <c r="U21" s="55">
        <v>540</v>
      </c>
      <c r="V21" s="58">
        <f t="shared" si="5"/>
        <v>2970</v>
      </c>
      <c r="W21" s="121">
        <v>1</v>
      </c>
      <c r="X21" s="55" t="s">
        <v>39</v>
      </c>
      <c r="Y21" s="55" t="s">
        <v>84</v>
      </c>
      <c r="Z21" s="55" t="s">
        <v>90</v>
      </c>
      <c r="AA21" s="55" t="s">
        <v>40</v>
      </c>
      <c r="AB21" s="39" t="s">
        <v>195</v>
      </c>
      <c r="AE21" s="128"/>
      <c r="AP21" s="123" t="s">
        <v>114</v>
      </c>
      <c r="AR21" s="119" t="s">
        <v>68</v>
      </c>
      <c r="AV21" s="69" t="s">
        <v>211</v>
      </c>
    </row>
    <row r="22" spans="1:49" x14ac:dyDescent="0.15">
      <c r="A22" s="55" t="s">
        <v>41</v>
      </c>
      <c r="B22" s="121" t="s">
        <v>193</v>
      </c>
      <c r="C22" s="89">
        <v>2018</v>
      </c>
      <c r="D22" s="56" t="s">
        <v>208</v>
      </c>
      <c r="E22" s="121" t="s">
        <v>179</v>
      </c>
      <c r="F22" s="121" t="s">
        <v>185</v>
      </c>
      <c r="G22" s="55" t="s">
        <v>42</v>
      </c>
      <c r="H22" s="55" t="s">
        <v>155</v>
      </c>
      <c r="I22" s="55" t="s">
        <v>153</v>
      </c>
      <c r="J22" s="55" t="s">
        <v>38</v>
      </c>
      <c r="K22" s="55" t="s">
        <v>154</v>
      </c>
      <c r="L22" s="121">
        <v>3</v>
      </c>
      <c r="N22" s="55">
        <v>6</v>
      </c>
      <c r="O22" s="55">
        <v>1</v>
      </c>
      <c r="P22" s="55">
        <v>1.05</v>
      </c>
      <c r="Q22" s="82">
        <f t="shared" si="0"/>
        <v>1.0249999999999999</v>
      </c>
      <c r="R22" s="55">
        <v>13.7</v>
      </c>
      <c r="S22" s="55">
        <v>108</v>
      </c>
      <c r="T22" s="77">
        <f t="shared" si="4"/>
        <v>33</v>
      </c>
      <c r="U22" s="55">
        <v>540</v>
      </c>
      <c r="V22" s="58">
        <f t="shared" si="5"/>
        <v>2970</v>
      </c>
      <c r="W22" s="121">
        <v>1</v>
      </c>
      <c r="X22" s="55" t="s">
        <v>39</v>
      </c>
      <c r="Y22" s="55" t="s">
        <v>84</v>
      </c>
      <c r="Z22" s="55" t="s">
        <v>90</v>
      </c>
      <c r="AA22" s="55" t="s">
        <v>40</v>
      </c>
      <c r="AB22" s="39" t="s">
        <v>195</v>
      </c>
      <c r="AP22" s="123" t="s">
        <v>115</v>
      </c>
      <c r="AR22" s="119" t="s">
        <v>83</v>
      </c>
      <c r="AV22" s="69"/>
    </row>
    <row r="23" spans="1:49" x14ac:dyDescent="0.15">
      <c r="A23" s="55" t="s">
        <v>41</v>
      </c>
      <c r="B23" s="121" t="s">
        <v>193</v>
      </c>
      <c r="C23" s="89">
        <v>2018</v>
      </c>
      <c r="D23" s="56" t="s">
        <v>208</v>
      </c>
      <c r="E23" s="121" t="s">
        <v>180</v>
      </c>
      <c r="F23" s="121" t="s">
        <v>184</v>
      </c>
      <c r="G23" s="55" t="s">
        <v>42</v>
      </c>
      <c r="H23" s="55" t="s">
        <v>155</v>
      </c>
      <c r="I23" s="55" t="s">
        <v>153</v>
      </c>
      <c r="J23" s="55" t="s">
        <v>38</v>
      </c>
      <c r="K23" s="55" t="s">
        <v>154</v>
      </c>
      <c r="L23" s="121">
        <v>1</v>
      </c>
      <c r="N23" s="55">
        <v>1</v>
      </c>
      <c r="O23" s="55">
        <v>0.65</v>
      </c>
      <c r="P23" s="55">
        <v>0.5</v>
      </c>
      <c r="Q23" s="82">
        <f t="shared" si="0"/>
        <v>0.57499999999999996</v>
      </c>
      <c r="R23" s="55">
        <v>13.8</v>
      </c>
      <c r="S23" s="55">
        <v>127</v>
      </c>
      <c r="T23" s="57">
        <f t="shared" si="4"/>
        <v>27</v>
      </c>
      <c r="U23" s="121">
        <v>95</v>
      </c>
      <c r="V23" s="58">
        <f t="shared" si="5"/>
        <v>2565</v>
      </c>
      <c r="W23" s="121">
        <v>2</v>
      </c>
      <c r="X23" s="55" t="s">
        <v>46</v>
      </c>
      <c r="Y23" s="55" t="s">
        <v>84</v>
      </c>
      <c r="Z23" s="55" t="s">
        <v>90</v>
      </c>
      <c r="AA23" s="55" t="s">
        <v>60</v>
      </c>
      <c r="AB23" s="39" t="s">
        <v>195</v>
      </c>
      <c r="AP23" s="123" t="s">
        <v>117</v>
      </c>
      <c r="AR23" s="128" t="s">
        <v>178</v>
      </c>
      <c r="AV23" s="128"/>
    </row>
    <row r="24" spans="1:49" x14ac:dyDescent="0.15">
      <c r="A24" s="55" t="s">
        <v>41</v>
      </c>
      <c r="B24" s="121" t="s">
        <v>193</v>
      </c>
      <c r="C24" s="89">
        <v>2018</v>
      </c>
      <c r="D24" s="56" t="s">
        <v>208</v>
      </c>
      <c r="E24" s="121" t="s">
        <v>180</v>
      </c>
      <c r="F24" s="121" t="s">
        <v>184</v>
      </c>
      <c r="G24" s="55" t="s">
        <v>42</v>
      </c>
      <c r="H24" s="55" t="s">
        <v>155</v>
      </c>
      <c r="I24" s="55" t="s">
        <v>153</v>
      </c>
      <c r="J24" s="55" t="s">
        <v>38</v>
      </c>
      <c r="K24" s="55" t="s">
        <v>154</v>
      </c>
      <c r="L24" s="121">
        <v>2</v>
      </c>
      <c r="N24" s="55">
        <v>1</v>
      </c>
      <c r="O24" s="121">
        <v>0.9</v>
      </c>
      <c r="P24" s="121">
        <v>0.85</v>
      </c>
      <c r="Q24" s="57">
        <f t="shared" si="0"/>
        <v>0.875</v>
      </c>
      <c r="R24" s="121">
        <v>12.9</v>
      </c>
      <c r="S24" s="121">
        <v>124</v>
      </c>
      <c r="T24" s="57">
        <f t="shared" si="4"/>
        <v>27</v>
      </c>
      <c r="U24" s="121">
        <v>95</v>
      </c>
      <c r="V24" s="58">
        <f t="shared" si="5"/>
        <v>2565</v>
      </c>
      <c r="W24" s="121">
        <v>2</v>
      </c>
      <c r="X24" s="55" t="s">
        <v>46</v>
      </c>
      <c r="Y24" s="55" t="s">
        <v>84</v>
      </c>
      <c r="Z24" s="55" t="s">
        <v>90</v>
      </c>
      <c r="AA24" s="55" t="s">
        <v>60</v>
      </c>
      <c r="AB24" s="39" t="s">
        <v>195</v>
      </c>
      <c r="AP24" s="123" t="s">
        <v>118</v>
      </c>
    </row>
    <row r="25" spans="1:49" x14ac:dyDescent="0.15">
      <c r="A25" s="55" t="s">
        <v>41</v>
      </c>
      <c r="B25" s="121" t="s">
        <v>193</v>
      </c>
      <c r="C25" s="89">
        <v>2018</v>
      </c>
      <c r="D25" s="56" t="s">
        <v>208</v>
      </c>
      <c r="E25" s="121" t="s">
        <v>180</v>
      </c>
      <c r="F25" s="121" t="s">
        <v>184</v>
      </c>
      <c r="G25" s="55" t="s">
        <v>42</v>
      </c>
      <c r="H25" s="55" t="s">
        <v>155</v>
      </c>
      <c r="I25" s="55" t="s">
        <v>153</v>
      </c>
      <c r="J25" s="55" t="s">
        <v>38</v>
      </c>
      <c r="K25" s="55" t="s">
        <v>154</v>
      </c>
      <c r="L25" s="121">
        <v>3</v>
      </c>
      <c r="N25" s="55">
        <v>1</v>
      </c>
      <c r="O25" s="121">
        <v>0.8</v>
      </c>
      <c r="P25" s="121">
        <v>0.65</v>
      </c>
      <c r="Q25" s="57">
        <f t="shared" si="0"/>
        <v>0.72500000000000009</v>
      </c>
      <c r="R25" s="121">
        <v>12</v>
      </c>
      <c r="S25" s="121">
        <v>123</v>
      </c>
      <c r="T25" s="57">
        <f t="shared" si="4"/>
        <v>27</v>
      </c>
      <c r="U25" s="121">
        <v>95</v>
      </c>
      <c r="V25" s="58">
        <f t="shared" si="5"/>
        <v>2565</v>
      </c>
      <c r="W25" s="121">
        <v>2</v>
      </c>
      <c r="X25" s="55" t="s">
        <v>46</v>
      </c>
      <c r="Y25" s="55" t="s">
        <v>84</v>
      </c>
      <c r="Z25" s="55" t="s">
        <v>90</v>
      </c>
      <c r="AA25" s="55" t="s">
        <v>60</v>
      </c>
      <c r="AB25" s="39" t="s">
        <v>195</v>
      </c>
    </row>
    <row r="26" spans="1:49" x14ac:dyDescent="0.15">
      <c r="A26" s="55" t="s">
        <v>41</v>
      </c>
      <c r="B26" s="121" t="s">
        <v>193</v>
      </c>
      <c r="C26" s="89">
        <v>2018</v>
      </c>
      <c r="D26" s="56" t="s">
        <v>208</v>
      </c>
      <c r="E26" s="121" t="s">
        <v>180</v>
      </c>
      <c r="F26" s="121" t="s">
        <v>184</v>
      </c>
      <c r="G26" s="55" t="s">
        <v>42</v>
      </c>
      <c r="H26" s="55" t="s">
        <v>155</v>
      </c>
      <c r="I26" s="55" t="s">
        <v>153</v>
      </c>
      <c r="J26" s="55" t="s">
        <v>38</v>
      </c>
      <c r="K26" s="55" t="s">
        <v>154</v>
      </c>
      <c r="L26" s="121">
        <v>1</v>
      </c>
      <c r="N26" s="55">
        <v>5</v>
      </c>
      <c r="O26" s="121">
        <v>0.35</v>
      </c>
      <c r="P26" s="121">
        <v>0.4</v>
      </c>
      <c r="Q26" s="57">
        <f t="shared" si="0"/>
        <v>0.375</v>
      </c>
      <c r="R26" s="121">
        <v>14.2</v>
      </c>
      <c r="S26" s="121">
        <v>120</v>
      </c>
      <c r="T26" s="57">
        <f t="shared" si="4"/>
        <v>30</v>
      </c>
      <c r="U26" s="121">
        <v>429</v>
      </c>
      <c r="V26" s="58">
        <f t="shared" si="5"/>
        <v>2574</v>
      </c>
      <c r="W26" s="121">
        <v>1</v>
      </c>
      <c r="X26" s="55" t="s">
        <v>46</v>
      </c>
      <c r="Y26" s="55" t="s">
        <v>84</v>
      </c>
      <c r="Z26" s="55" t="s">
        <v>90</v>
      </c>
      <c r="AA26" s="55" t="s">
        <v>60</v>
      </c>
      <c r="AB26" s="39" t="s">
        <v>195</v>
      </c>
    </row>
    <row r="27" spans="1:49" x14ac:dyDescent="0.15">
      <c r="A27" s="55" t="s">
        <v>41</v>
      </c>
      <c r="B27" s="121" t="s">
        <v>193</v>
      </c>
      <c r="C27" s="89">
        <v>2018</v>
      </c>
      <c r="D27" s="56" t="s">
        <v>208</v>
      </c>
      <c r="E27" s="121" t="s">
        <v>180</v>
      </c>
      <c r="F27" s="121" t="s">
        <v>184</v>
      </c>
      <c r="G27" s="55" t="s">
        <v>42</v>
      </c>
      <c r="H27" s="55" t="s">
        <v>155</v>
      </c>
      <c r="I27" s="55" t="s">
        <v>153</v>
      </c>
      <c r="J27" s="55" t="s">
        <v>38</v>
      </c>
      <c r="K27" s="55" t="s">
        <v>154</v>
      </c>
      <c r="L27" s="121">
        <v>2</v>
      </c>
      <c r="N27" s="55">
        <v>5</v>
      </c>
      <c r="O27" s="55">
        <v>0.25</v>
      </c>
      <c r="P27" s="55">
        <v>0.3</v>
      </c>
      <c r="Q27" s="82">
        <f t="shared" si="0"/>
        <v>0.27500000000000002</v>
      </c>
      <c r="R27" s="55">
        <v>15.1</v>
      </c>
      <c r="S27" s="55">
        <v>115</v>
      </c>
      <c r="T27" s="57">
        <f t="shared" si="4"/>
        <v>30</v>
      </c>
      <c r="U27" s="121">
        <v>429</v>
      </c>
      <c r="V27" s="58">
        <f t="shared" si="5"/>
        <v>2574</v>
      </c>
      <c r="W27" s="121">
        <v>1</v>
      </c>
      <c r="X27" s="55" t="s">
        <v>46</v>
      </c>
      <c r="Y27" s="55" t="s">
        <v>84</v>
      </c>
      <c r="Z27" s="55" t="s">
        <v>90</v>
      </c>
      <c r="AA27" s="55" t="s">
        <v>60</v>
      </c>
      <c r="AB27" s="39" t="s">
        <v>195</v>
      </c>
      <c r="AE27" s="130"/>
      <c r="AF27" s="130"/>
      <c r="AG27" s="130"/>
      <c r="AH27" s="130"/>
      <c r="AI27" s="130"/>
      <c r="AJ27" s="130"/>
      <c r="AK27" s="130"/>
      <c r="AL27" s="130"/>
      <c r="AM27" s="130"/>
      <c r="AN27" s="130"/>
      <c r="AO27" s="130"/>
      <c r="AP27" s="130"/>
      <c r="AQ27" s="130"/>
      <c r="AR27" s="130"/>
      <c r="AS27" s="130"/>
      <c r="AT27" s="130"/>
      <c r="AU27" s="130"/>
      <c r="AV27" s="130"/>
      <c r="AW27" s="130"/>
    </row>
    <row r="28" spans="1:49" x14ac:dyDescent="0.15">
      <c r="A28" s="55" t="s">
        <v>41</v>
      </c>
      <c r="B28" s="121" t="s">
        <v>193</v>
      </c>
      <c r="C28" s="89">
        <v>2018</v>
      </c>
      <c r="D28" s="56" t="s">
        <v>208</v>
      </c>
      <c r="E28" s="121" t="s">
        <v>180</v>
      </c>
      <c r="F28" s="121" t="s">
        <v>184</v>
      </c>
      <c r="G28" s="55" t="s">
        <v>42</v>
      </c>
      <c r="H28" s="55" t="s">
        <v>155</v>
      </c>
      <c r="I28" s="55" t="s">
        <v>153</v>
      </c>
      <c r="J28" s="55" t="s">
        <v>38</v>
      </c>
      <c r="K28" s="55" t="s">
        <v>154</v>
      </c>
      <c r="L28" s="121">
        <v>3</v>
      </c>
      <c r="N28" s="55">
        <v>5</v>
      </c>
      <c r="O28" s="55">
        <v>0.25</v>
      </c>
      <c r="P28" s="55">
        <v>0.25</v>
      </c>
      <c r="Q28" s="82">
        <f t="shared" si="0"/>
        <v>0.25</v>
      </c>
      <c r="R28" s="55">
        <v>12.7</v>
      </c>
      <c r="S28" s="55">
        <v>117</v>
      </c>
      <c r="T28" s="57">
        <f t="shared" si="4"/>
        <v>30</v>
      </c>
      <c r="U28" s="55">
        <v>429</v>
      </c>
      <c r="V28" s="58">
        <f t="shared" si="5"/>
        <v>2574</v>
      </c>
      <c r="W28" s="121">
        <v>1</v>
      </c>
      <c r="X28" s="55" t="s">
        <v>46</v>
      </c>
      <c r="Y28" s="55" t="s">
        <v>84</v>
      </c>
      <c r="Z28" s="55" t="s">
        <v>90</v>
      </c>
      <c r="AA28" s="55" t="s">
        <v>60</v>
      </c>
      <c r="AB28" s="39" t="s">
        <v>195</v>
      </c>
      <c r="AE28" s="130"/>
      <c r="AF28" s="130"/>
      <c r="AG28" s="130"/>
      <c r="AH28" s="130"/>
      <c r="AI28" s="130"/>
      <c r="AJ28" s="130"/>
      <c r="AK28" s="130"/>
      <c r="AL28" s="130"/>
      <c r="AM28" s="130"/>
      <c r="AN28" s="130"/>
      <c r="AO28" s="130"/>
      <c r="AP28" s="130"/>
      <c r="AQ28" s="130"/>
      <c r="AR28" s="130"/>
      <c r="AS28" s="130"/>
      <c r="AT28" s="130"/>
      <c r="AU28" s="130"/>
      <c r="AV28" s="130"/>
      <c r="AW28" s="130"/>
    </row>
    <row r="29" spans="1:49" x14ac:dyDescent="0.15">
      <c r="A29" s="55" t="s">
        <v>41</v>
      </c>
      <c r="B29" s="121" t="s">
        <v>193</v>
      </c>
      <c r="C29" s="89">
        <v>2018</v>
      </c>
      <c r="D29" s="56" t="s">
        <v>208</v>
      </c>
      <c r="E29" s="121" t="s">
        <v>180</v>
      </c>
      <c r="F29" s="121" t="s">
        <v>184</v>
      </c>
      <c r="G29" s="55" t="s">
        <v>42</v>
      </c>
      <c r="H29" s="55" t="s">
        <v>155</v>
      </c>
      <c r="I29" s="55" t="s">
        <v>153</v>
      </c>
      <c r="J29" s="55" t="s">
        <v>38</v>
      </c>
      <c r="K29" s="55" t="s">
        <v>154</v>
      </c>
      <c r="L29" s="121">
        <v>1</v>
      </c>
      <c r="N29" s="121">
        <v>8</v>
      </c>
      <c r="O29" s="55">
        <v>0.45</v>
      </c>
      <c r="P29" s="55">
        <v>0.65</v>
      </c>
      <c r="Q29" s="82">
        <f t="shared" si="0"/>
        <v>0.55000000000000004</v>
      </c>
      <c r="R29" s="55">
        <v>13.2</v>
      </c>
      <c r="S29" s="55">
        <v>112</v>
      </c>
      <c r="T29" s="57">
        <f t="shared" si="4"/>
        <v>33</v>
      </c>
      <c r="U29" s="121">
        <v>753</v>
      </c>
      <c r="V29" s="58">
        <f t="shared" si="5"/>
        <v>3106.125</v>
      </c>
      <c r="W29" s="121">
        <v>2</v>
      </c>
      <c r="X29" s="55" t="s">
        <v>46</v>
      </c>
      <c r="Y29" s="55" t="s">
        <v>84</v>
      </c>
      <c r="Z29" s="55" t="s">
        <v>90</v>
      </c>
      <c r="AA29" s="55" t="s">
        <v>60</v>
      </c>
      <c r="AB29" s="39" t="s">
        <v>195</v>
      </c>
    </row>
    <row r="30" spans="1:49" x14ac:dyDescent="0.15">
      <c r="A30" s="55" t="s">
        <v>41</v>
      </c>
      <c r="B30" s="121" t="s">
        <v>193</v>
      </c>
      <c r="C30" s="89">
        <v>2018</v>
      </c>
      <c r="D30" s="56" t="s">
        <v>208</v>
      </c>
      <c r="E30" s="121" t="s">
        <v>180</v>
      </c>
      <c r="F30" s="121" t="s">
        <v>184</v>
      </c>
      <c r="G30" s="55" t="s">
        <v>42</v>
      </c>
      <c r="H30" s="55" t="s">
        <v>155</v>
      </c>
      <c r="I30" s="55" t="s">
        <v>153</v>
      </c>
      <c r="J30" s="55" t="s">
        <v>38</v>
      </c>
      <c r="K30" s="55" t="s">
        <v>154</v>
      </c>
      <c r="L30" s="121">
        <v>2</v>
      </c>
      <c r="N30" s="121">
        <v>8</v>
      </c>
      <c r="O30" s="55">
        <v>0.35</v>
      </c>
      <c r="P30" s="55">
        <v>0.4</v>
      </c>
      <c r="Q30" s="57">
        <f t="shared" si="0"/>
        <v>0.375</v>
      </c>
      <c r="R30" s="121">
        <v>14</v>
      </c>
      <c r="S30" s="55">
        <v>110</v>
      </c>
      <c r="T30" s="57">
        <f t="shared" si="4"/>
        <v>33</v>
      </c>
      <c r="U30" s="121">
        <v>753</v>
      </c>
      <c r="V30" s="58">
        <f t="shared" si="5"/>
        <v>3106.125</v>
      </c>
      <c r="W30" s="121">
        <v>2</v>
      </c>
      <c r="X30" s="55" t="s">
        <v>46</v>
      </c>
      <c r="Y30" s="55" t="s">
        <v>84</v>
      </c>
      <c r="Z30" s="55" t="s">
        <v>90</v>
      </c>
      <c r="AA30" s="55" t="s">
        <v>60</v>
      </c>
      <c r="AB30" s="39" t="s">
        <v>195</v>
      </c>
    </row>
    <row r="31" spans="1:49" x14ac:dyDescent="0.15">
      <c r="A31" s="55" t="s">
        <v>41</v>
      </c>
      <c r="B31" s="121" t="s">
        <v>193</v>
      </c>
      <c r="C31" s="89">
        <v>2018</v>
      </c>
      <c r="D31" s="56" t="s">
        <v>208</v>
      </c>
      <c r="E31" s="121" t="s">
        <v>180</v>
      </c>
      <c r="F31" s="121" t="s">
        <v>184</v>
      </c>
      <c r="G31" s="55" t="s">
        <v>42</v>
      </c>
      <c r="H31" s="55" t="s">
        <v>155</v>
      </c>
      <c r="I31" s="55" t="s">
        <v>153</v>
      </c>
      <c r="J31" s="55" t="s">
        <v>38</v>
      </c>
      <c r="K31" s="55" t="s">
        <v>154</v>
      </c>
      <c r="L31" s="121">
        <v>3</v>
      </c>
      <c r="N31" s="121">
        <v>8</v>
      </c>
      <c r="O31" s="55">
        <v>0.25</v>
      </c>
      <c r="P31" s="55">
        <v>0.25</v>
      </c>
      <c r="Q31" s="57">
        <f t="shared" si="0"/>
        <v>0.25</v>
      </c>
      <c r="R31" s="121">
        <v>12.9</v>
      </c>
      <c r="S31" s="55">
        <v>113</v>
      </c>
      <c r="T31" s="57">
        <f t="shared" si="4"/>
        <v>30</v>
      </c>
      <c r="U31" s="121">
        <v>753</v>
      </c>
      <c r="V31" s="58">
        <f t="shared" si="5"/>
        <v>2823.75</v>
      </c>
      <c r="W31" s="121">
        <v>2</v>
      </c>
      <c r="X31" s="55" t="s">
        <v>46</v>
      </c>
      <c r="Y31" s="55" t="s">
        <v>84</v>
      </c>
      <c r="Z31" s="55" t="s">
        <v>90</v>
      </c>
      <c r="AA31" s="55" t="s">
        <v>60</v>
      </c>
      <c r="AB31" s="39" t="s">
        <v>195</v>
      </c>
    </row>
    <row r="32" spans="1:49" x14ac:dyDescent="0.15">
      <c r="A32" s="55" t="s">
        <v>41</v>
      </c>
      <c r="B32" s="121" t="s">
        <v>193</v>
      </c>
      <c r="C32" s="89">
        <v>2018</v>
      </c>
      <c r="D32" s="56" t="s">
        <v>208</v>
      </c>
      <c r="E32" s="121" t="s">
        <v>180</v>
      </c>
      <c r="F32" s="121" t="s">
        <v>186</v>
      </c>
      <c r="G32" s="55" t="s">
        <v>42</v>
      </c>
      <c r="H32" s="55" t="s">
        <v>155</v>
      </c>
      <c r="I32" s="55" t="s">
        <v>153</v>
      </c>
      <c r="J32" s="55" t="s">
        <v>38</v>
      </c>
      <c r="K32" s="55" t="s">
        <v>154</v>
      </c>
      <c r="L32" s="121">
        <v>1</v>
      </c>
      <c r="N32" s="55">
        <v>1</v>
      </c>
      <c r="O32" s="55">
        <v>0.35</v>
      </c>
      <c r="P32" s="55">
        <v>0.25</v>
      </c>
      <c r="Q32" s="57">
        <f t="shared" si="0"/>
        <v>0.3</v>
      </c>
      <c r="R32" s="55">
        <v>14.1</v>
      </c>
      <c r="S32" s="55">
        <v>121</v>
      </c>
      <c r="T32" s="57">
        <f t="shared" si="4"/>
        <v>27</v>
      </c>
      <c r="U32" s="121">
        <v>96</v>
      </c>
      <c r="V32" s="58">
        <f t="shared" si="5"/>
        <v>2592</v>
      </c>
      <c r="W32" s="121">
        <v>2</v>
      </c>
      <c r="X32" s="55" t="s">
        <v>46</v>
      </c>
      <c r="Y32" s="55" t="s">
        <v>84</v>
      </c>
      <c r="Z32" s="55" t="s">
        <v>90</v>
      </c>
      <c r="AA32" s="55" t="s">
        <v>40</v>
      </c>
      <c r="AB32" s="39" t="s">
        <v>195</v>
      </c>
    </row>
    <row r="33" spans="1:30" x14ac:dyDescent="0.15">
      <c r="A33" s="55" t="s">
        <v>41</v>
      </c>
      <c r="B33" s="121" t="s">
        <v>193</v>
      </c>
      <c r="C33" s="89">
        <v>2018</v>
      </c>
      <c r="D33" s="56" t="s">
        <v>208</v>
      </c>
      <c r="E33" s="121" t="s">
        <v>180</v>
      </c>
      <c r="F33" s="121" t="s">
        <v>186</v>
      </c>
      <c r="G33" s="55" t="s">
        <v>42</v>
      </c>
      <c r="H33" s="55" t="s">
        <v>155</v>
      </c>
      <c r="I33" s="55" t="s">
        <v>153</v>
      </c>
      <c r="J33" s="55" t="s">
        <v>38</v>
      </c>
      <c r="K33" s="55" t="s">
        <v>154</v>
      </c>
      <c r="L33" s="121">
        <v>2</v>
      </c>
      <c r="N33" s="55">
        <v>1</v>
      </c>
      <c r="O33" s="121">
        <v>0.4</v>
      </c>
      <c r="P33" s="121">
        <v>0.45</v>
      </c>
      <c r="Q33" s="57">
        <f t="shared" si="0"/>
        <v>0.42500000000000004</v>
      </c>
      <c r="R33" s="121">
        <v>13.2</v>
      </c>
      <c r="S33" s="121">
        <v>124</v>
      </c>
      <c r="T33" s="57">
        <f t="shared" si="4"/>
        <v>27</v>
      </c>
      <c r="U33" s="121">
        <v>96</v>
      </c>
      <c r="V33" s="58">
        <f t="shared" si="5"/>
        <v>2592</v>
      </c>
      <c r="W33" s="121">
        <v>2</v>
      </c>
      <c r="X33" s="55" t="s">
        <v>46</v>
      </c>
      <c r="Y33" s="55" t="s">
        <v>84</v>
      </c>
      <c r="Z33" s="55" t="s">
        <v>90</v>
      </c>
      <c r="AA33" s="55" t="s">
        <v>40</v>
      </c>
      <c r="AB33" s="39" t="s">
        <v>195</v>
      </c>
    </row>
    <row r="34" spans="1:30" x14ac:dyDescent="0.15">
      <c r="A34" s="55" t="s">
        <v>41</v>
      </c>
      <c r="B34" s="121" t="s">
        <v>193</v>
      </c>
      <c r="C34" s="89">
        <v>2018</v>
      </c>
      <c r="D34" s="56" t="s">
        <v>208</v>
      </c>
      <c r="E34" s="121" t="s">
        <v>180</v>
      </c>
      <c r="F34" s="121" t="s">
        <v>186</v>
      </c>
      <c r="G34" s="55" t="s">
        <v>42</v>
      </c>
      <c r="H34" s="55" t="s">
        <v>155</v>
      </c>
      <c r="I34" s="55" t="s">
        <v>153</v>
      </c>
      <c r="J34" s="55" t="s">
        <v>38</v>
      </c>
      <c r="K34" s="55" t="s">
        <v>154</v>
      </c>
      <c r="L34" s="121">
        <v>3</v>
      </c>
      <c r="N34" s="55">
        <v>1</v>
      </c>
      <c r="O34" s="121">
        <v>0.25</v>
      </c>
      <c r="P34" s="121">
        <v>0.3</v>
      </c>
      <c r="Q34" s="57">
        <f t="shared" si="0"/>
        <v>0.27500000000000002</v>
      </c>
      <c r="R34" s="121">
        <v>13</v>
      </c>
      <c r="S34" s="121">
        <v>128</v>
      </c>
      <c r="T34" s="57">
        <f t="shared" si="4"/>
        <v>27</v>
      </c>
      <c r="U34" s="55">
        <v>96</v>
      </c>
      <c r="V34" s="58">
        <f t="shared" si="5"/>
        <v>2592</v>
      </c>
      <c r="W34" s="121">
        <v>2</v>
      </c>
      <c r="X34" s="55" t="s">
        <v>46</v>
      </c>
      <c r="Y34" s="55" t="s">
        <v>84</v>
      </c>
      <c r="Z34" s="55" t="s">
        <v>90</v>
      </c>
      <c r="AA34" s="55" t="s">
        <v>40</v>
      </c>
      <c r="AB34" s="39" t="s">
        <v>195</v>
      </c>
    </row>
    <row r="35" spans="1:30" x14ac:dyDescent="0.15">
      <c r="A35" s="55" t="s">
        <v>41</v>
      </c>
      <c r="B35" s="121" t="s">
        <v>193</v>
      </c>
      <c r="C35" s="89">
        <v>2018</v>
      </c>
      <c r="D35" s="56" t="s">
        <v>208</v>
      </c>
      <c r="E35" s="121" t="s">
        <v>180</v>
      </c>
      <c r="F35" s="121" t="s">
        <v>186</v>
      </c>
      <c r="G35" s="55" t="s">
        <v>42</v>
      </c>
      <c r="H35" s="55" t="s">
        <v>155</v>
      </c>
      <c r="I35" s="55" t="s">
        <v>153</v>
      </c>
      <c r="J35" s="55" t="s">
        <v>38</v>
      </c>
      <c r="K35" s="55" t="s">
        <v>154</v>
      </c>
      <c r="L35" s="121">
        <v>1</v>
      </c>
      <c r="N35" s="55">
        <v>8</v>
      </c>
      <c r="O35" s="121">
        <v>0.95</v>
      </c>
      <c r="P35" s="121">
        <v>1</v>
      </c>
      <c r="Q35" s="57">
        <f t="shared" si="0"/>
        <v>0.97499999999999998</v>
      </c>
      <c r="R35" s="121">
        <v>12.8</v>
      </c>
      <c r="S35" s="121">
        <v>115</v>
      </c>
      <c r="T35" s="57">
        <f t="shared" si="4"/>
        <v>30</v>
      </c>
      <c r="U35" s="121">
        <v>858</v>
      </c>
      <c r="V35" s="58">
        <f t="shared" si="5"/>
        <v>3217.5</v>
      </c>
      <c r="W35" s="121">
        <v>1</v>
      </c>
      <c r="X35" s="55" t="s">
        <v>46</v>
      </c>
      <c r="Y35" s="55" t="s">
        <v>84</v>
      </c>
      <c r="Z35" s="55" t="s">
        <v>90</v>
      </c>
      <c r="AA35" s="55" t="s">
        <v>40</v>
      </c>
      <c r="AB35" s="39" t="s">
        <v>195</v>
      </c>
    </row>
    <row r="36" spans="1:30" x14ac:dyDescent="0.15">
      <c r="A36" s="55" t="s">
        <v>41</v>
      </c>
      <c r="B36" s="121" t="s">
        <v>193</v>
      </c>
      <c r="C36" s="89">
        <v>2018</v>
      </c>
      <c r="D36" s="56" t="s">
        <v>208</v>
      </c>
      <c r="E36" s="121" t="s">
        <v>180</v>
      </c>
      <c r="F36" s="121" t="s">
        <v>186</v>
      </c>
      <c r="G36" s="55" t="s">
        <v>42</v>
      </c>
      <c r="H36" s="55" t="s">
        <v>155</v>
      </c>
      <c r="I36" s="55" t="s">
        <v>153</v>
      </c>
      <c r="J36" s="55" t="s">
        <v>38</v>
      </c>
      <c r="K36" s="55" t="s">
        <v>154</v>
      </c>
      <c r="L36" s="121">
        <v>2</v>
      </c>
      <c r="N36" s="55">
        <v>8</v>
      </c>
      <c r="O36" s="121">
        <v>0.7</v>
      </c>
      <c r="P36" s="121">
        <v>0.9</v>
      </c>
      <c r="Q36" s="57">
        <f t="shared" si="0"/>
        <v>0.8</v>
      </c>
      <c r="R36" s="121">
        <v>13.5</v>
      </c>
      <c r="S36" s="121">
        <v>118</v>
      </c>
      <c r="T36" s="57">
        <f t="shared" si="4"/>
        <v>30</v>
      </c>
      <c r="U36" s="121">
        <v>858</v>
      </c>
      <c r="V36" s="58">
        <f t="shared" si="5"/>
        <v>3217.5</v>
      </c>
      <c r="W36" s="121">
        <v>1</v>
      </c>
      <c r="X36" s="55" t="s">
        <v>46</v>
      </c>
      <c r="Y36" s="55" t="s">
        <v>84</v>
      </c>
      <c r="Z36" s="55" t="s">
        <v>90</v>
      </c>
      <c r="AA36" s="55" t="s">
        <v>40</v>
      </c>
      <c r="AB36" s="39" t="s">
        <v>195</v>
      </c>
    </row>
    <row r="37" spans="1:30" x14ac:dyDescent="0.15">
      <c r="A37" s="55" t="s">
        <v>41</v>
      </c>
      <c r="B37" s="121" t="s">
        <v>193</v>
      </c>
      <c r="C37" s="89">
        <v>2018</v>
      </c>
      <c r="D37" s="56" t="s">
        <v>208</v>
      </c>
      <c r="E37" s="121" t="s">
        <v>180</v>
      </c>
      <c r="F37" s="121" t="s">
        <v>186</v>
      </c>
      <c r="G37" s="55" t="s">
        <v>42</v>
      </c>
      <c r="H37" s="55" t="s">
        <v>155</v>
      </c>
      <c r="I37" s="55" t="s">
        <v>153</v>
      </c>
      <c r="J37" s="55" t="s">
        <v>38</v>
      </c>
      <c r="K37" s="55" t="s">
        <v>154</v>
      </c>
      <c r="L37" s="121">
        <v>3</v>
      </c>
      <c r="N37" s="55">
        <v>8</v>
      </c>
      <c r="O37" s="55">
        <v>0.65</v>
      </c>
      <c r="P37" s="55">
        <v>0.75</v>
      </c>
      <c r="Q37" s="82">
        <f t="shared" si="0"/>
        <v>0.7</v>
      </c>
      <c r="R37" s="55">
        <v>14.1</v>
      </c>
      <c r="S37" s="55">
        <v>120</v>
      </c>
      <c r="T37" s="57">
        <f t="shared" si="4"/>
        <v>30</v>
      </c>
      <c r="U37" s="55">
        <v>858</v>
      </c>
      <c r="V37" s="58">
        <f t="shared" si="5"/>
        <v>3217.5</v>
      </c>
      <c r="W37" s="121">
        <v>1</v>
      </c>
      <c r="X37" s="55" t="s">
        <v>46</v>
      </c>
      <c r="Y37" s="55" t="s">
        <v>84</v>
      </c>
      <c r="Z37" s="55" t="s">
        <v>90</v>
      </c>
      <c r="AA37" s="55" t="s">
        <v>40</v>
      </c>
      <c r="AB37" s="39" t="s">
        <v>195</v>
      </c>
    </row>
    <row r="38" spans="1:30" x14ac:dyDescent="0.15">
      <c r="A38" s="55" t="s">
        <v>41</v>
      </c>
      <c r="B38" s="121" t="s">
        <v>193</v>
      </c>
      <c r="C38" s="89">
        <v>2018</v>
      </c>
      <c r="D38" s="56" t="s">
        <v>208</v>
      </c>
      <c r="E38" s="55" t="s">
        <v>182</v>
      </c>
      <c r="F38" s="121" t="s">
        <v>187</v>
      </c>
      <c r="G38" s="55" t="s">
        <v>42</v>
      </c>
      <c r="H38" s="55" t="s">
        <v>155</v>
      </c>
      <c r="I38" s="55" t="s">
        <v>153</v>
      </c>
      <c r="J38" s="55" t="s">
        <v>38</v>
      </c>
      <c r="K38" s="55" t="s">
        <v>154</v>
      </c>
      <c r="L38" s="121">
        <v>1</v>
      </c>
      <c r="N38" s="121">
        <v>1</v>
      </c>
      <c r="O38" s="55">
        <v>0.35</v>
      </c>
      <c r="P38" s="55">
        <v>0.4</v>
      </c>
      <c r="Q38" s="82">
        <f t="shared" si="0"/>
        <v>0.375</v>
      </c>
      <c r="R38" s="55">
        <v>14.1</v>
      </c>
      <c r="S38" s="55">
        <v>128</v>
      </c>
      <c r="T38" s="57">
        <f t="shared" si="4"/>
        <v>27</v>
      </c>
      <c r="U38" s="121">
        <v>138</v>
      </c>
      <c r="V38" s="58">
        <f t="shared" si="5"/>
        <v>3726</v>
      </c>
      <c r="W38" s="121">
        <v>2</v>
      </c>
      <c r="X38" s="55" t="s">
        <v>46</v>
      </c>
      <c r="Y38" s="55" t="s">
        <v>90</v>
      </c>
      <c r="Z38" s="55" t="s">
        <v>84</v>
      </c>
      <c r="AA38" s="55" t="s">
        <v>40</v>
      </c>
      <c r="AB38" s="39" t="s">
        <v>195</v>
      </c>
    </row>
    <row r="39" spans="1:30" x14ac:dyDescent="0.15">
      <c r="A39" s="55" t="s">
        <v>41</v>
      </c>
      <c r="B39" s="121" t="s">
        <v>193</v>
      </c>
      <c r="C39" s="89">
        <v>2018</v>
      </c>
      <c r="D39" s="56" t="s">
        <v>208</v>
      </c>
      <c r="E39" s="55" t="s">
        <v>182</v>
      </c>
      <c r="F39" s="121" t="s">
        <v>187</v>
      </c>
      <c r="G39" s="55" t="s">
        <v>42</v>
      </c>
      <c r="H39" s="55" t="s">
        <v>155</v>
      </c>
      <c r="I39" s="55" t="s">
        <v>153</v>
      </c>
      <c r="J39" s="55" t="s">
        <v>38</v>
      </c>
      <c r="K39" s="55" t="s">
        <v>154</v>
      </c>
      <c r="L39" s="121">
        <v>2</v>
      </c>
      <c r="N39" s="121">
        <v>1</v>
      </c>
      <c r="O39" s="55">
        <v>0.7</v>
      </c>
      <c r="P39" s="55">
        <v>0.8</v>
      </c>
      <c r="Q39" s="82">
        <f t="shared" si="0"/>
        <v>0.75</v>
      </c>
      <c r="R39" s="55">
        <v>12.6</v>
      </c>
      <c r="S39" s="55">
        <v>124</v>
      </c>
      <c r="T39" s="57">
        <f t="shared" si="4"/>
        <v>27</v>
      </c>
      <c r="U39" s="121">
        <v>138</v>
      </c>
      <c r="V39" s="58">
        <f t="shared" si="5"/>
        <v>3726</v>
      </c>
      <c r="W39" s="121">
        <v>2</v>
      </c>
      <c r="X39" s="55" t="s">
        <v>46</v>
      </c>
      <c r="Y39" s="55" t="s">
        <v>90</v>
      </c>
      <c r="Z39" s="55" t="s">
        <v>84</v>
      </c>
      <c r="AA39" s="55" t="s">
        <v>40</v>
      </c>
      <c r="AB39" s="39" t="s">
        <v>195</v>
      </c>
    </row>
    <row r="40" spans="1:30" x14ac:dyDescent="0.15">
      <c r="A40" s="55" t="s">
        <v>41</v>
      </c>
      <c r="B40" s="121" t="s">
        <v>193</v>
      </c>
      <c r="C40" s="89">
        <v>2018</v>
      </c>
      <c r="D40" s="56" t="s">
        <v>208</v>
      </c>
      <c r="E40" s="55" t="s">
        <v>182</v>
      </c>
      <c r="F40" s="121" t="s">
        <v>187</v>
      </c>
      <c r="G40" s="55" t="s">
        <v>42</v>
      </c>
      <c r="H40" s="55" t="s">
        <v>155</v>
      </c>
      <c r="I40" s="55" t="s">
        <v>153</v>
      </c>
      <c r="J40" s="55" t="s">
        <v>38</v>
      </c>
      <c r="K40" s="55" t="s">
        <v>154</v>
      </c>
      <c r="L40" s="121">
        <v>3</v>
      </c>
      <c r="N40" s="121">
        <v>1</v>
      </c>
      <c r="O40" s="55">
        <v>0.85</v>
      </c>
      <c r="P40" s="55">
        <v>0.8</v>
      </c>
      <c r="Q40" s="82">
        <f t="shared" si="0"/>
        <v>0.82499999999999996</v>
      </c>
      <c r="R40" s="55">
        <v>12.9</v>
      </c>
      <c r="S40" s="55">
        <v>126</v>
      </c>
      <c r="T40" s="57">
        <f t="shared" si="4"/>
        <v>27</v>
      </c>
      <c r="U40" s="121">
        <v>138</v>
      </c>
      <c r="V40" s="58">
        <f t="shared" si="5"/>
        <v>3726</v>
      </c>
      <c r="W40" s="121">
        <v>2</v>
      </c>
      <c r="X40" s="55" t="s">
        <v>46</v>
      </c>
      <c r="Y40" s="55" t="s">
        <v>90</v>
      </c>
      <c r="Z40" s="55" t="s">
        <v>84</v>
      </c>
      <c r="AA40" s="55" t="s">
        <v>40</v>
      </c>
      <c r="AB40" s="39" t="s">
        <v>195</v>
      </c>
    </row>
    <row r="41" spans="1:30" x14ac:dyDescent="0.15">
      <c r="A41" s="55" t="s">
        <v>41</v>
      </c>
      <c r="B41" s="121" t="s">
        <v>193</v>
      </c>
      <c r="C41" s="89">
        <v>2018</v>
      </c>
      <c r="D41" s="56" t="s">
        <v>208</v>
      </c>
      <c r="E41" s="55" t="s">
        <v>182</v>
      </c>
      <c r="F41" s="121" t="s">
        <v>188</v>
      </c>
      <c r="G41" s="55" t="s">
        <v>42</v>
      </c>
      <c r="H41" s="55" t="s">
        <v>155</v>
      </c>
      <c r="I41" s="55" t="s">
        <v>153</v>
      </c>
      <c r="J41" s="55" t="s">
        <v>38</v>
      </c>
      <c r="K41" s="55" t="s">
        <v>154</v>
      </c>
      <c r="L41" s="121">
        <v>1</v>
      </c>
      <c r="N41" s="121">
        <v>5</v>
      </c>
      <c r="O41" s="55">
        <v>0.3</v>
      </c>
      <c r="P41" s="55">
        <v>0.25</v>
      </c>
      <c r="Q41" s="82">
        <f t="shared" si="0"/>
        <v>0.27500000000000002</v>
      </c>
      <c r="R41" s="55">
        <v>13.3</v>
      </c>
      <c r="S41" s="55">
        <v>118</v>
      </c>
      <c r="T41" s="57">
        <f t="shared" si="4"/>
        <v>30</v>
      </c>
      <c r="U41" s="121">
        <v>527</v>
      </c>
      <c r="V41" s="58">
        <f t="shared" si="5"/>
        <v>3162</v>
      </c>
      <c r="W41" s="121">
        <v>1</v>
      </c>
      <c r="X41" s="55" t="s">
        <v>46</v>
      </c>
      <c r="Y41" s="55" t="s">
        <v>84</v>
      </c>
      <c r="Z41" s="55" t="s">
        <v>40</v>
      </c>
      <c r="AA41" s="55" t="s">
        <v>90</v>
      </c>
      <c r="AB41" s="39" t="s">
        <v>195</v>
      </c>
      <c r="AC41" s="55"/>
      <c r="AD41" s="55"/>
    </row>
    <row r="42" spans="1:30" x14ac:dyDescent="0.15">
      <c r="A42" s="55" t="s">
        <v>41</v>
      </c>
      <c r="B42" s="121" t="s">
        <v>193</v>
      </c>
      <c r="C42" s="89">
        <v>2018</v>
      </c>
      <c r="D42" s="56" t="s">
        <v>208</v>
      </c>
      <c r="E42" s="55" t="s">
        <v>182</v>
      </c>
      <c r="F42" s="121" t="s">
        <v>188</v>
      </c>
      <c r="G42" s="55" t="s">
        <v>42</v>
      </c>
      <c r="H42" s="55" t="s">
        <v>155</v>
      </c>
      <c r="I42" s="55" t="s">
        <v>153</v>
      </c>
      <c r="J42" s="55" t="s">
        <v>38</v>
      </c>
      <c r="K42" s="55" t="s">
        <v>154</v>
      </c>
      <c r="L42" s="121">
        <v>2</v>
      </c>
      <c r="N42" s="121">
        <v>5</v>
      </c>
      <c r="O42" s="55">
        <v>0.25</v>
      </c>
      <c r="P42" s="55">
        <v>0.35</v>
      </c>
      <c r="Q42" s="82">
        <f t="shared" si="0"/>
        <v>0.3</v>
      </c>
      <c r="R42" s="55">
        <v>14.2</v>
      </c>
      <c r="S42" s="55">
        <v>120</v>
      </c>
      <c r="T42" s="57">
        <f t="shared" si="4"/>
        <v>30</v>
      </c>
      <c r="U42" s="121">
        <v>527</v>
      </c>
      <c r="V42" s="58">
        <f t="shared" si="5"/>
        <v>3162</v>
      </c>
      <c r="W42" s="121">
        <v>1</v>
      </c>
      <c r="X42" s="55" t="s">
        <v>46</v>
      </c>
      <c r="Y42" s="55" t="s">
        <v>84</v>
      </c>
      <c r="Z42" s="55" t="s">
        <v>40</v>
      </c>
      <c r="AA42" s="55" t="s">
        <v>90</v>
      </c>
      <c r="AB42" s="39" t="s">
        <v>195</v>
      </c>
      <c r="AC42" s="55"/>
      <c r="AD42" s="55"/>
    </row>
    <row r="43" spans="1:30" x14ac:dyDescent="0.15">
      <c r="A43" s="55" t="s">
        <v>41</v>
      </c>
      <c r="B43" s="121" t="s">
        <v>193</v>
      </c>
      <c r="C43" s="89">
        <v>2018</v>
      </c>
      <c r="D43" s="56" t="s">
        <v>208</v>
      </c>
      <c r="E43" s="55" t="s">
        <v>182</v>
      </c>
      <c r="F43" s="121" t="s">
        <v>188</v>
      </c>
      <c r="G43" s="55" t="s">
        <v>42</v>
      </c>
      <c r="H43" s="55" t="s">
        <v>155</v>
      </c>
      <c r="I43" s="55" t="s">
        <v>153</v>
      </c>
      <c r="J43" s="55" t="s">
        <v>38</v>
      </c>
      <c r="K43" s="55" t="s">
        <v>154</v>
      </c>
      <c r="L43" s="121">
        <v>3</v>
      </c>
      <c r="N43" s="121">
        <v>5</v>
      </c>
      <c r="O43" s="55">
        <v>0.4</v>
      </c>
      <c r="P43" s="55">
        <v>0.45</v>
      </c>
      <c r="Q43" s="82">
        <f t="shared" si="0"/>
        <v>0.42500000000000004</v>
      </c>
      <c r="R43" s="55">
        <v>13</v>
      </c>
      <c r="S43" s="55">
        <v>120</v>
      </c>
      <c r="T43" s="57">
        <f t="shared" si="4"/>
        <v>30</v>
      </c>
      <c r="U43" s="121">
        <v>527</v>
      </c>
      <c r="V43" s="58">
        <f t="shared" si="5"/>
        <v>3162</v>
      </c>
      <c r="W43" s="121">
        <v>1</v>
      </c>
      <c r="X43" s="55" t="s">
        <v>46</v>
      </c>
      <c r="Y43" s="55" t="s">
        <v>84</v>
      </c>
      <c r="Z43" s="55" t="s">
        <v>40</v>
      </c>
      <c r="AA43" s="55" t="s">
        <v>90</v>
      </c>
      <c r="AB43" s="39" t="s">
        <v>195</v>
      </c>
      <c r="AC43" s="55"/>
      <c r="AD43" s="55"/>
    </row>
    <row r="44" spans="1:30" x14ac:dyDescent="0.15">
      <c r="A44" s="55" t="s">
        <v>41</v>
      </c>
      <c r="B44" s="121" t="s">
        <v>193</v>
      </c>
      <c r="C44" s="89">
        <v>2018</v>
      </c>
      <c r="D44" s="56" t="s">
        <v>208</v>
      </c>
      <c r="E44" s="55" t="s">
        <v>182</v>
      </c>
      <c r="F44" s="121" t="s">
        <v>188</v>
      </c>
      <c r="G44" s="55" t="s">
        <v>42</v>
      </c>
      <c r="H44" s="55" t="s">
        <v>155</v>
      </c>
      <c r="I44" s="55" t="s">
        <v>153</v>
      </c>
      <c r="J44" s="55" t="s">
        <v>38</v>
      </c>
      <c r="K44" s="55" t="s">
        <v>154</v>
      </c>
      <c r="L44" s="121">
        <v>1</v>
      </c>
      <c r="N44" s="121">
        <v>1</v>
      </c>
      <c r="O44" s="55">
        <v>0.45</v>
      </c>
      <c r="P44" s="55">
        <v>0.35</v>
      </c>
      <c r="Q44" s="82">
        <f t="shared" si="0"/>
        <v>0.4</v>
      </c>
      <c r="R44" s="55">
        <v>12.9</v>
      </c>
      <c r="S44" s="55">
        <v>119</v>
      </c>
      <c r="T44" s="57">
        <f t="shared" si="4"/>
        <v>30</v>
      </c>
      <c r="U44" s="121">
        <v>105</v>
      </c>
      <c r="V44" s="58">
        <f t="shared" si="5"/>
        <v>3150</v>
      </c>
      <c r="W44" s="121">
        <v>2</v>
      </c>
      <c r="X44" s="55" t="s">
        <v>46</v>
      </c>
      <c r="Y44" s="55" t="s">
        <v>84</v>
      </c>
      <c r="Z44" s="55" t="s">
        <v>40</v>
      </c>
      <c r="AA44" s="55" t="s">
        <v>90</v>
      </c>
      <c r="AB44" s="39" t="s">
        <v>195</v>
      </c>
    </row>
    <row r="45" spans="1:30" x14ac:dyDescent="0.15">
      <c r="A45" s="55" t="s">
        <v>41</v>
      </c>
      <c r="B45" s="121" t="s">
        <v>193</v>
      </c>
      <c r="C45" s="89">
        <v>2018</v>
      </c>
      <c r="D45" s="56" t="s">
        <v>208</v>
      </c>
      <c r="E45" s="55" t="s">
        <v>182</v>
      </c>
      <c r="F45" s="121" t="s">
        <v>188</v>
      </c>
      <c r="G45" s="55" t="s">
        <v>42</v>
      </c>
      <c r="H45" s="55" t="s">
        <v>155</v>
      </c>
      <c r="I45" s="55" t="s">
        <v>153</v>
      </c>
      <c r="J45" s="55" t="s">
        <v>38</v>
      </c>
      <c r="K45" s="55" t="s">
        <v>154</v>
      </c>
      <c r="L45" s="121">
        <v>2</v>
      </c>
      <c r="N45" s="121">
        <v>1</v>
      </c>
      <c r="O45" s="55">
        <v>0.4</v>
      </c>
      <c r="P45" s="55">
        <v>0.45</v>
      </c>
      <c r="Q45" s="82">
        <f t="shared" si="0"/>
        <v>0.42500000000000004</v>
      </c>
      <c r="R45" s="55">
        <v>15.1</v>
      </c>
      <c r="S45" s="55">
        <v>120</v>
      </c>
      <c r="T45" s="57">
        <f t="shared" si="4"/>
        <v>30</v>
      </c>
      <c r="U45" s="121">
        <v>105</v>
      </c>
      <c r="V45" s="58">
        <f t="shared" si="5"/>
        <v>3150</v>
      </c>
      <c r="W45" s="121">
        <v>2</v>
      </c>
      <c r="X45" s="55" t="s">
        <v>46</v>
      </c>
      <c r="Y45" s="55" t="s">
        <v>84</v>
      </c>
      <c r="Z45" s="55" t="s">
        <v>40</v>
      </c>
      <c r="AA45" s="55" t="s">
        <v>90</v>
      </c>
      <c r="AB45" s="39" t="s">
        <v>195</v>
      </c>
    </row>
    <row r="46" spans="1:30" x14ac:dyDescent="0.15">
      <c r="A46" s="55" t="s">
        <v>41</v>
      </c>
      <c r="B46" s="121" t="s">
        <v>193</v>
      </c>
      <c r="C46" s="89">
        <v>2018</v>
      </c>
      <c r="D46" s="56" t="s">
        <v>208</v>
      </c>
      <c r="E46" s="55" t="s">
        <v>182</v>
      </c>
      <c r="F46" s="121" t="s">
        <v>188</v>
      </c>
      <c r="G46" s="55" t="s">
        <v>42</v>
      </c>
      <c r="H46" s="55" t="s">
        <v>155</v>
      </c>
      <c r="I46" s="55" t="s">
        <v>153</v>
      </c>
      <c r="J46" s="55" t="s">
        <v>38</v>
      </c>
      <c r="K46" s="55" t="s">
        <v>154</v>
      </c>
      <c r="L46" s="121">
        <v>3</v>
      </c>
      <c r="N46" s="121">
        <v>1</v>
      </c>
      <c r="O46" s="55">
        <v>0.45</v>
      </c>
      <c r="P46" s="55">
        <v>0.3</v>
      </c>
      <c r="Q46" s="82">
        <f t="shared" si="0"/>
        <v>0.375</v>
      </c>
      <c r="R46" s="55">
        <v>14.7</v>
      </c>
      <c r="S46" s="55">
        <v>117</v>
      </c>
      <c r="T46" s="57">
        <f t="shared" si="4"/>
        <v>30</v>
      </c>
      <c r="U46" s="121">
        <v>105</v>
      </c>
      <c r="V46" s="58">
        <f t="shared" si="5"/>
        <v>3150</v>
      </c>
      <c r="W46" s="121">
        <v>2</v>
      </c>
      <c r="X46" s="55" t="s">
        <v>46</v>
      </c>
      <c r="Y46" s="55" t="s">
        <v>84</v>
      </c>
      <c r="Z46" s="55" t="s">
        <v>40</v>
      </c>
      <c r="AA46" s="55" t="s">
        <v>90</v>
      </c>
      <c r="AB46" s="39" t="s">
        <v>195</v>
      </c>
    </row>
    <row r="47" spans="1:30" x14ac:dyDescent="0.15">
      <c r="A47" s="55" t="s">
        <v>41</v>
      </c>
      <c r="B47" s="121" t="s">
        <v>193</v>
      </c>
      <c r="C47" s="89">
        <v>2018</v>
      </c>
      <c r="D47" s="56" t="s">
        <v>208</v>
      </c>
      <c r="E47" s="121" t="s">
        <v>183</v>
      </c>
      <c r="F47" s="121" t="s">
        <v>189</v>
      </c>
      <c r="G47" s="55" t="s">
        <v>42</v>
      </c>
      <c r="H47" s="55" t="s">
        <v>174</v>
      </c>
      <c r="I47" s="55" t="s">
        <v>153</v>
      </c>
      <c r="J47" s="55" t="s">
        <v>38</v>
      </c>
      <c r="K47" s="55" t="s">
        <v>178</v>
      </c>
      <c r="L47" s="121">
        <v>1</v>
      </c>
      <c r="N47" s="121">
        <v>1</v>
      </c>
      <c r="O47" s="55">
        <v>0.25</v>
      </c>
      <c r="P47" s="55">
        <v>0.25</v>
      </c>
      <c r="Q47" s="82">
        <f t="shared" si="0"/>
        <v>0.25</v>
      </c>
      <c r="R47" s="55">
        <v>16.5</v>
      </c>
      <c r="S47" s="55">
        <v>120</v>
      </c>
      <c r="T47" s="57">
        <f t="shared" si="4"/>
        <v>30</v>
      </c>
      <c r="U47" s="121">
        <v>105</v>
      </c>
      <c r="V47" s="58">
        <f t="shared" si="5"/>
        <v>3150</v>
      </c>
      <c r="W47" s="121">
        <v>2</v>
      </c>
      <c r="X47" s="55" t="s">
        <v>46</v>
      </c>
      <c r="Y47" s="55" t="s">
        <v>84</v>
      </c>
      <c r="Z47" s="55" t="s">
        <v>90</v>
      </c>
      <c r="AA47" s="55" t="s">
        <v>69</v>
      </c>
      <c r="AB47" s="39" t="s">
        <v>195</v>
      </c>
    </row>
    <row r="48" spans="1:30" x14ac:dyDescent="0.15">
      <c r="A48" s="55" t="s">
        <v>41</v>
      </c>
      <c r="B48" s="121" t="s">
        <v>193</v>
      </c>
      <c r="C48" s="89">
        <v>2018</v>
      </c>
      <c r="D48" s="56" t="s">
        <v>208</v>
      </c>
      <c r="E48" s="121" t="s">
        <v>183</v>
      </c>
      <c r="F48" s="121" t="s">
        <v>189</v>
      </c>
      <c r="G48" s="55" t="s">
        <v>42</v>
      </c>
      <c r="H48" s="55" t="s">
        <v>174</v>
      </c>
      <c r="I48" s="55" t="s">
        <v>153</v>
      </c>
      <c r="J48" s="55" t="s">
        <v>38</v>
      </c>
      <c r="K48" s="55" t="s">
        <v>178</v>
      </c>
      <c r="L48" s="121">
        <v>2</v>
      </c>
      <c r="N48" s="121">
        <v>1</v>
      </c>
      <c r="O48" s="55">
        <v>0.25</v>
      </c>
      <c r="P48" s="55">
        <v>0.25</v>
      </c>
      <c r="Q48" s="57">
        <f t="shared" si="0"/>
        <v>0.25</v>
      </c>
      <c r="R48" s="121">
        <v>15.8</v>
      </c>
      <c r="S48" s="121">
        <v>121</v>
      </c>
      <c r="T48" s="57">
        <f t="shared" si="4"/>
        <v>30</v>
      </c>
      <c r="U48" s="121">
        <v>105</v>
      </c>
      <c r="V48" s="58">
        <f t="shared" si="5"/>
        <v>3150</v>
      </c>
      <c r="W48" s="121">
        <v>2</v>
      </c>
      <c r="X48" s="55" t="s">
        <v>46</v>
      </c>
      <c r="Y48" s="55" t="s">
        <v>84</v>
      </c>
      <c r="Z48" s="55" t="s">
        <v>90</v>
      </c>
      <c r="AA48" s="55" t="s">
        <v>69</v>
      </c>
      <c r="AB48" s="39" t="s">
        <v>195</v>
      </c>
    </row>
    <row r="49" spans="1:28" x14ac:dyDescent="0.15">
      <c r="A49" s="55" t="s">
        <v>41</v>
      </c>
      <c r="B49" s="121" t="s">
        <v>193</v>
      </c>
      <c r="C49" s="89">
        <v>2018</v>
      </c>
      <c r="D49" s="56" t="s">
        <v>208</v>
      </c>
      <c r="E49" s="121" t="s">
        <v>183</v>
      </c>
      <c r="F49" s="121" t="s">
        <v>189</v>
      </c>
      <c r="G49" s="55" t="s">
        <v>42</v>
      </c>
      <c r="H49" s="55" t="s">
        <v>174</v>
      </c>
      <c r="I49" s="55" t="s">
        <v>153</v>
      </c>
      <c r="J49" s="55" t="s">
        <v>38</v>
      </c>
      <c r="K49" s="55" t="s">
        <v>178</v>
      </c>
      <c r="L49" s="121">
        <v>3</v>
      </c>
      <c r="N49" s="121">
        <v>1</v>
      </c>
      <c r="O49" s="55">
        <v>0.25</v>
      </c>
      <c r="P49" s="55">
        <v>0.25</v>
      </c>
      <c r="Q49" s="57">
        <f t="shared" si="0"/>
        <v>0.25</v>
      </c>
      <c r="R49" s="121">
        <v>14.5</v>
      </c>
      <c r="S49" s="121">
        <v>123</v>
      </c>
      <c r="T49" s="57">
        <f t="shared" si="4"/>
        <v>30</v>
      </c>
      <c r="U49" s="121">
        <v>105</v>
      </c>
      <c r="V49" s="58">
        <f t="shared" si="5"/>
        <v>3150</v>
      </c>
      <c r="W49" s="121">
        <v>2</v>
      </c>
      <c r="X49" s="55" t="s">
        <v>46</v>
      </c>
      <c r="Y49" s="55" t="s">
        <v>84</v>
      </c>
      <c r="Z49" s="55" t="s">
        <v>90</v>
      </c>
      <c r="AA49" s="55" t="s">
        <v>69</v>
      </c>
      <c r="AB49" s="39" t="s">
        <v>195</v>
      </c>
    </row>
    <row r="50" spans="1:28" x14ac:dyDescent="0.15">
      <c r="A50" s="55" t="s">
        <v>41</v>
      </c>
      <c r="B50" s="121" t="s">
        <v>193</v>
      </c>
      <c r="C50" s="89">
        <v>2018</v>
      </c>
      <c r="D50" s="56" t="s">
        <v>208</v>
      </c>
      <c r="E50" s="121" t="s">
        <v>183</v>
      </c>
      <c r="F50" s="121" t="s">
        <v>189</v>
      </c>
      <c r="G50" s="55" t="s">
        <v>42</v>
      </c>
      <c r="H50" s="55" t="s">
        <v>155</v>
      </c>
      <c r="I50" s="55" t="s">
        <v>153</v>
      </c>
      <c r="J50" s="55" t="s">
        <v>38</v>
      </c>
      <c r="K50" s="55" t="s">
        <v>154</v>
      </c>
      <c r="L50" s="121">
        <v>1</v>
      </c>
      <c r="N50" s="121">
        <v>1</v>
      </c>
      <c r="O50" s="55">
        <v>0.75</v>
      </c>
      <c r="P50" s="55">
        <v>0.9</v>
      </c>
      <c r="Q50" s="57">
        <f t="shared" si="0"/>
        <v>0.82499999999999996</v>
      </c>
      <c r="R50" s="121">
        <v>15.1</v>
      </c>
      <c r="S50" s="121">
        <v>125</v>
      </c>
      <c r="T50" s="57">
        <f t="shared" si="4"/>
        <v>27</v>
      </c>
      <c r="U50" s="121">
        <v>105</v>
      </c>
      <c r="V50" s="58">
        <f t="shared" si="5"/>
        <v>2835</v>
      </c>
      <c r="W50" s="121">
        <v>2</v>
      </c>
      <c r="X50" s="55" t="s">
        <v>46</v>
      </c>
      <c r="Y50" s="55" t="s">
        <v>84</v>
      </c>
      <c r="Z50" s="55" t="s">
        <v>90</v>
      </c>
      <c r="AA50" s="55" t="s">
        <v>69</v>
      </c>
      <c r="AB50" s="39" t="s">
        <v>195</v>
      </c>
    </row>
    <row r="51" spans="1:28" x14ac:dyDescent="0.15">
      <c r="A51" s="55" t="s">
        <v>41</v>
      </c>
      <c r="B51" s="121" t="s">
        <v>193</v>
      </c>
      <c r="C51" s="89">
        <v>2018</v>
      </c>
      <c r="D51" s="56" t="s">
        <v>208</v>
      </c>
      <c r="E51" s="121" t="s">
        <v>183</v>
      </c>
      <c r="F51" s="121" t="s">
        <v>189</v>
      </c>
      <c r="G51" s="55" t="s">
        <v>42</v>
      </c>
      <c r="H51" s="55" t="s">
        <v>155</v>
      </c>
      <c r="I51" s="55" t="s">
        <v>153</v>
      </c>
      <c r="J51" s="55" t="s">
        <v>38</v>
      </c>
      <c r="K51" s="55" t="s">
        <v>154</v>
      </c>
      <c r="L51" s="121">
        <v>2</v>
      </c>
      <c r="N51" s="121">
        <v>1</v>
      </c>
      <c r="O51" s="55">
        <v>0.8</v>
      </c>
      <c r="P51" s="55">
        <v>0.85</v>
      </c>
      <c r="Q51" s="57">
        <f t="shared" si="0"/>
        <v>0.82499999999999996</v>
      </c>
      <c r="R51" s="121">
        <v>12.9</v>
      </c>
      <c r="S51" s="55">
        <v>124</v>
      </c>
      <c r="T51" s="57">
        <f t="shared" si="4"/>
        <v>27</v>
      </c>
      <c r="U51" s="121">
        <v>105</v>
      </c>
      <c r="V51" s="58">
        <f t="shared" si="5"/>
        <v>2835</v>
      </c>
      <c r="W51" s="121">
        <v>2</v>
      </c>
      <c r="X51" s="55" t="s">
        <v>46</v>
      </c>
      <c r="Y51" s="55" t="s">
        <v>84</v>
      </c>
      <c r="Z51" s="55" t="s">
        <v>90</v>
      </c>
      <c r="AA51" s="55" t="s">
        <v>69</v>
      </c>
      <c r="AB51" s="39" t="s">
        <v>195</v>
      </c>
    </row>
    <row r="52" spans="1:28" x14ac:dyDescent="0.15">
      <c r="A52" s="55" t="s">
        <v>41</v>
      </c>
      <c r="B52" s="121" t="s">
        <v>193</v>
      </c>
      <c r="C52" s="89">
        <v>2018</v>
      </c>
      <c r="D52" s="56" t="s">
        <v>208</v>
      </c>
      <c r="E52" s="121" t="s">
        <v>183</v>
      </c>
      <c r="F52" s="121" t="s">
        <v>189</v>
      </c>
      <c r="G52" s="55" t="s">
        <v>42</v>
      </c>
      <c r="H52" s="55" t="s">
        <v>155</v>
      </c>
      <c r="I52" s="55" t="s">
        <v>153</v>
      </c>
      <c r="J52" s="55" t="s">
        <v>38</v>
      </c>
      <c r="K52" s="55" t="s">
        <v>154</v>
      </c>
      <c r="L52" s="121">
        <v>3</v>
      </c>
      <c r="N52" s="121">
        <v>1</v>
      </c>
      <c r="O52" s="55">
        <v>1</v>
      </c>
      <c r="P52" s="55">
        <v>0.95</v>
      </c>
      <c r="Q52" s="57">
        <f t="shared" si="0"/>
        <v>0.97499999999999998</v>
      </c>
      <c r="R52" s="121">
        <v>13</v>
      </c>
      <c r="S52" s="55">
        <v>123</v>
      </c>
      <c r="T52" s="57">
        <f t="shared" si="4"/>
        <v>27</v>
      </c>
      <c r="U52" s="121">
        <v>105</v>
      </c>
      <c r="V52" s="58">
        <f t="shared" si="5"/>
        <v>2835</v>
      </c>
      <c r="W52" s="121">
        <v>2</v>
      </c>
      <c r="X52" s="55" t="s">
        <v>46</v>
      </c>
      <c r="Y52" s="55" t="s">
        <v>84</v>
      </c>
      <c r="Z52" s="55" t="s">
        <v>90</v>
      </c>
      <c r="AA52" s="55" t="s">
        <v>69</v>
      </c>
      <c r="AB52" s="39" t="s">
        <v>195</v>
      </c>
    </row>
    <row r="53" spans="1:28" x14ac:dyDescent="0.15">
      <c r="A53" s="55" t="s">
        <v>41</v>
      </c>
      <c r="B53" s="121" t="s">
        <v>193</v>
      </c>
      <c r="C53" s="89">
        <v>2018</v>
      </c>
      <c r="D53" s="56" t="s">
        <v>208</v>
      </c>
      <c r="E53" s="121" t="s">
        <v>167</v>
      </c>
      <c r="F53" s="121" t="s">
        <v>190</v>
      </c>
      <c r="G53" s="55" t="s">
        <v>42</v>
      </c>
      <c r="H53" s="55" t="s">
        <v>174</v>
      </c>
      <c r="I53" s="55" t="s">
        <v>153</v>
      </c>
      <c r="J53" s="55" t="s">
        <v>38</v>
      </c>
      <c r="K53" s="55" t="s">
        <v>178</v>
      </c>
      <c r="L53" s="121">
        <v>1</v>
      </c>
      <c r="N53" s="121">
        <v>1</v>
      </c>
      <c r="O53" s="55">
        <v>0.35</v>
      </c>
      <c r="P53" s="55">
        <v>0.25</v>
      </c>
      <c r="Q53" s="57">
        <f t="shared" si="0"/>
        <v>0.3</v>
      </c>
      <c r="R53" s="121">
        <v>15.1</v>
      </c>
      <c r="S53" s="55">
        <v>134</v>
      </c>
      <c r="T53" s="57">
        <f t="shared" si="4"/>
        <v>27</v>
      </c>
      <c r="U53" s="121">
        <v>137</v>
      </c>
      <c r="V53" s="58">
        <f t="shared" si="5"/>
        <v>3699</v>
      </c>
      <c r="W53" s="121">
        <v>2</v>
      </c>
      <c r="X53" s="55" t="s">
        <v>39</v>
      </c>
      <c r="Y53" s="55" t="s">
        <v>84</v>
      </c>
      <c r="Z53" s="55" t="s">
        <v>90</v>
      </c>
      <c r="AA53" s="55" t="s">
        <v>55</v>
      </c>
      <c r="AB53" s="39" t="s">
        <v>195</v>
      </c>
    </row>
    <row r="54" spans="1:28" x14ac:dyDescent="0.15">
      <c r="A54" s="55" t="s">
        <v>41</v>
      </c>
      <c r="B54" s="121" t="s">
        <v>193</v>
      </c>
      <c r="C54" s="89">
        <v>2018</v>
      </c>
      <c r="D54" s="56" t="s">
        <v>208</v>
      </c>
      <c r="E54" s="121" t="s">
        <v>167</v>
      </c>
      <c r="F54" s="121" t="s">
        <v>190</v>
      </c>
      <c r="G54" s="55" t="s">
        <v>42</v>
      </c>
      <c r="H54" s="55" t="s">
        <v>174</v>
      </c>
      <c r="I54" s="55" t="s">
        <v>153</v>
      </c>
      <c r="J54" s="55" t="s">
        <v>38</v>
      </c>
      <c r="K54" s="55" t="s">
        <v>178</v>
      </c>
      <c r="L54" s="121">
        <v>2</v>
      </c>
      <c r="N54" s="121">
        <v>1</v>
      </c>
      <c r="O54" s="121">
        <v>0.45</v>
      </c>
      <c r="P54" s="121">
        <v>0.3</v>
      </c>
      <c r="Q54" s="57">
        <f t="shared" si="0"/>
        <v>0.375</v>
      </c>
      <c r="R54" s="121">
        <v>13.1</v>
      </c>
      <c r="S54" s="121">
        <v>132</v>
      </c>
      <c r="T54" s="57">
        <f t="shared" si="4"/>
        <v>27</v>
      </c>
      <c r="U54" s="121">
        <v>137</v>
      </c>
      <c r="V54" s="58">
        <f t="shared" si="5"/>
        <v>3699</v>
      </c>
      <c r="W54" s="121">
        <v>2</v>
      </c>
      <c r="X54" s="55" t="s">
        <v>39</v>
      </c>
      <c r="Y54" s="55" t="s">
        <v>84</v>
      </c>
      <c r="Z54" s="55" t="s">
        <v>90</v>
      </c>
      <c r="AA54" s="55" t="s">
        <v>55</v>
      </c>
      <c r="AB54" s="39" t="s">
        <v>195</v>
      </c>
    </row>
    <row r="55" spans="1:28" x14ac:dyDescent="0.15">
      <c r="A55" s="55" t="s">
        <v>41</v>
      </c>
      <c r="B55" s="121" t="s">
        <v>193</v>
      </c>
      <c r="C55" s="89">
        <v>2018</v>
      </c>
      <c r="D55" s="56" t="s">
        <v>208</v>
      </c>
      <c r="E55" s="121" t="s">
        <v>167</v>
      </c>
      <c r="F55" s="121" t="s">
        <v>190</v>
      </c>
      <c r="G55" s="55" t="s">
        <v>42</v>
      </c>
      <c r="H55" s="55" t="s">
        <v>174</v>
      </c>
      <c r="I55" s="55" t="s">
        <v>153</v>
      </c>
      <c r="J55" s="55" t="s">
        <v>38</v>
      </c>
      <c r="K55" s="55" t="s">
        <v>178</v>
      </c>
      <c r="L55" s="121">
        <v>3</v>
      </c>
      <c r="N55" s="121">
        <v>1</v>
      </c>
      <c r="O55" s="121">
        <v>0.6</v>
      </c>
      <c r="P55" s="121">
        <v>0.45</v>
      </c>
      <c r="Q55" s="57">
        <f t="shared" si="0"/>
        <v>0.52500000000000002</v>
      </c>
      <c r="R55" s="121">
        <v>12.8</v>
      </c>
      <c r="S55" s="121">
        <v>133</v>
      </c>
      <c r="T55" s="57">
        <f t="shared" si="4"/>
        <v>27</v>
      </c>
      <c r="U55" s="121">
        <v>137</v>
      </c>
      <c r="V55" s="58">
        <f t="shared" si="5"/>
        <v>3699</v>
      </c>
      <c r="W55" s="121">
        <v>2</v>
      </c>
      <c r="X55" s="55" t="s">
        <v>39</v>
      </c>
      <c r="Y55" s="55" t="s">
        <v>84</v>
      </c>
      <c r="Z55" s="55" t="s">
        <v>90</v>
      </c>
      <c r="AA55" s="55" t="s">
        <v>55</v>
      </c>
      <c r="AB55" s="39" t="s">
        <v>195</v>
      </c>
    </row>
    <row r="56" spans="1:28" x14ac:dyDescent="0.15">
      <c r="A56" s="55" t="s">
        <v>41</v>
      </c>
      <c r="B56" s="121" t="s">
        <v>193</v>
      </c>
      <c r="C56" s="89">
        <v>2018</v>
      </c>
      <c r="D56" s="56" t="s">
        <v>208</v>
      </c>
      <c r="E56" s="121" t="s">
        <v>167</v>
      </c>
      <c r="F56" s="121" t="s">
        <v>190</v>
      </c>
      <c r="G56" s="55" t="s">
        <v>42</v>
      </c>
      <c r="H56" s="55" t="s">
        <v>174</v>
      </c>
      <c r="I56" s="55" t="s">
        <v>153</v>
      </c>
      <c r="J56" s="55" t="s">
        <v>38</v>
      </c>
      <c r="K56" s="55" t="s">
        <v>178</v>
      </c>
      <c r="L56" s="121">
        <v>1</v>
      </c>
      <c r="N56" s="121">
        <v>4</v>
      </c>
      <c r="O56" s="121">
        <v>0.25</v>
      </c>
      <c r="P56" s="121">
        <v>0.35</v>
      </c>
      <c r="Q56" s="57">
        <f t="shared" si="0"/>
        <v>0.3</v>
      </c>
      <c r="R56" s="121">
        <v>14.4</v>
      </c>
      <c r="S56" s="121">
        <v>131</v>
      </c>
      <c r="T56" s="57">
        <f t="shared" si="4"/>
        <v>27</v>
      </c>
      <c r="U56" s="121">
        <v>428</v>
      </c>
      <c r="V56" s="58">
        <f t="shared" si="5"/>
        <v>2889</v>
      </c>
      <c r="W56" s="121">
        <v>2</v>
      </c>
      <c r="X56" s="55" t="s">
        <v>39</v>
      </c>
      <c r="Y56" s="55" t="s">
        <v>84</v>
      </c>
      <c r="Z56" s="55" t="s">
        <v>90</v>
      </c>
      <c r="AA56" s="55" t="s">
        <v>55</v>
      </c>
      <c r="AB56" s="39" t="s">
        <v>195</v>
      </c>
    </row>
    <row r="57" spans="1:28" x14ac:dyDescent="0.15">
      <c r="A57" s="55" t="s">
        <v>41</v>
      </c>
      <c r="B57" s="121" t="s">
        <v>193</v>
      </c>
      <c r="C57" s="89">
        <v>2018</v>
      </c>
      <c r="D57" s="56" t="s">
        <v>208</v>
      </c>
      <c r="E57" s="121" t="s">
        <v>167</v>
      </c>
      <c r="F57" s="121" t="s">
        <v>190</v>
      </c>
      <c r="G57" s="55" t="s">
        <v>42</v>
      </c>
      <c r="H57" s="55" t="s">
        <v>174</v>
      </c>
      <c r="I57" s="55" t="s">
        <v>153</v>
      </c>
      <c r="J57" s="55" t="s">
        <v>38</v>
      </c>
      <c r="K57" s="55" t="s">
        <v>178</v>
      </c>
      <c r="L57" s="121">
        <v>2</v>
      </c>
      <c r="N57" s="121">
        <v>4</v>
      </c>
      <c r="O57" s="121">
        <v>0.35</v>
      </c>
      <c r="P57" s="121">
        <v>0.3</v>
      </c>
      <c r="Q57" s="57">
        <f t="shared" si="0"/>
        <v>0.32499999999999996</v>
      </c>
      <c r="R57" s="121">
        <v>14.9</v>
      </c>
      <c r="S57" s="121">
        <v>129</v>
      </c>
      <c r="T57" s="57">
        <f t="shared" si="4"/>
        <v>27</v>
      </c>
      <c r="U57" s="121">
        <v>428</v>
      </c>
      <c r="V57" s="58">
        <f t="shared" si="5"/>
        <v>2889</v>
      </c>
      <c r="W57" s="121">
        <v>2</v>
      </c>
      <c r="X57" s="55" t="s">
        <v>39</v>
      </c>
      <c r="Y57" s="55" t="s">
        <v>84</v>
      </c>
      <c r="Z57" s="55" t="s">
        <v>90</v>
      </c>
      <c r="AA57" s="55" t="s">
        <v>55</v>
      </c>
      <c r="AB57" s="39" t="s">
        <v>195</v>
      </c>
    </row>
    <row r="58" spans="1:28" x14ac:dyDescent="0.15">
      <c r="A58" s="55" t="s">
        <v>41</v>
      </c>
      <c r="B58" s="121" t="s">
        <v>193</v>
      </c>
      <c r="C58" s="89">
        <v>2018</v>
      </c>
      <c r="D58" s="56" t="s">
        <v>208</v>
      </c>
      <c r="E58" s="121" t="s">
        <v>167</v>
      </c>
      <c r="F58" s="121" t="s">
        <v>190</v>
      </c>
      <c r="G58" s="55" t="s">
        <v>42</v>
      </c>
      <c r="H58" s="55" t="s">
        <v>174</v>
      </c>
      <c r="I58" s="55" t="s">
        <v>153</v>
      </c>
      <c r="J58" s="55" t="s">
        <v>38</v>
      </c>
      <c r="K58" s="55" t="s">
        <v>178</v>
      </c>
      <c r="L58" s="121">
        <v>3</v>
      </c>
      <c r="N58" s="121">
        <v>4</v>
      </c>
      <c r="O58" s="121">
        <v>0.45</v>
      </c>
      <c r="P58" s="121">
        <v>0.45</v>
      </c>
      <c r="Q58" s="57">
        <f t="shared" si="0"/>
        <v>0.45</v>
      </c>
      <c r="R58" s="121">
        <v>15.1</v>
      </c>
      <c r="S58" s="121">
        <v>128</v>
      </c>
      <c r="T58" s="57">
        <f t="shared" si="4"/>
        <v>27</v>
      </c>
      <c r="U58" s="121">
        <v>428</v>
      </c>
      <c r="V58" s="58">
        <f t="shared" si="5"/>
        <v>2889</v>
      </c>
      <c r="W58" s="121">
        <v>2</v>
      </c>
      <c r="X58" s="55" t="s">
        <v>39</v>
      </c>
      <c r="Y58" s="55" t="s">
        <v>84</v>
      </c>
      <c r="Z58" s="55" t="s">
        <v>90</v>
      </c>
      <c r="AA58" s="55" t="s">
        <v>55</v>
      </c>
      <c r="AB58" s="39" t="s">
        <v>195</v>
      </c>
    </row>
    <row r="59" spans="1:28" x14ac:dyDescent="0.15">
      <c r="A59" s="55" t="s">
        <v>41</v>
      </c>
      <c r="B59" s="121" t="s">
        <v>193</v>
      </c>
      <c r="C59" s="89">
        <v>2018</v>
      </c>
      <c r="D59" s="56" t="s">
        <v>208</v>
      </c>
      <c r="E59" s="121" t="s">
        <v>167</v>
      </c>
      <c r="F59" s="121" t="s">
        <v>190</v>
      </c>
      <c r="G59" s="55" t="s">
        <v>42</v>
      </c>
      <c r="H59" s="55" t="s">
        <v>155</v>
      </c>
      <c r="I59" s="55" t="s">
        <v>153</v>
      </c>
      <c r="J59" s="55" t="s">
        <v>38</v>
      </c>
      <c r="K59" s="55" t="s">
        <v>154</v>
      </c>
      <c r="L59" s="121">
        <v>1</v>
      </c>
      <c r="N59" s="121">
        <v>1</v>
      </c>
      <c r="O59" s="55">
        <v>1.2</v>
      </c>
      <c r="P59" s="55">
        <v>1.5</v>
      </c>
      <c r="Q59" s="57">
        <f t="shared" si="0"/>
        <v>1.35</v>
      </c>
      <c r="R59" s="121">
        <v>12.8</v>
      </c>
      <c r="S59" s="55">
        <v>135</v>
      </c>
      <c r="T59" s="57">
        <f t="shared" si="4"/>
        <v>25</v>
      </c>
      <c r="U59" s="121">
        <v>137</v>
      </c>
      <c r="V59" s="58">
        <f t="shared" si="5"/>
        <v>3425</v>
      </c>
      <c r="W59" s="121">
        <v>6</v>
      </c>
      <c r="X59" s="55" t="s">
        <v>39</v>
      </c>
      <c r="Y59" s="55" t="s">
        <v>84</v>
      </c>
      <c r="Z59" s="55" t="s">
        <v>90</v>
      </c>
      <c r="AA59" s="55" t="s">
        <v>55</v>
      </c>
      <c r="AB59" s="39" t="s">
        <v>195</v>
      </c>
    </row>
    <row r="60" spans="1:28" x14ac:dyDescent="0.15">
      <c r="A60" s="55" t="s">
        <v>41</v>
      </c>
      <c r="B60" s="121" t="s">
        <v>193</v>
      </c>
      <c r="C60" s="89">
        <v>2018</v>
      </c>
      <c r="D60" s="56" t="s">
        <v>208</v>
      </c>
      <c r="E60" s="121" t="s">
        <v>167</v>
      </c>
      <c r="F60" s="121" t="s">
        <v>190</v>
      </c>
      <c r="G60" s="55" t="s">
        <v>42</v>
      </c>
      <c r="H60" s="55" t="s">
        <v>155</v>
      </c>
      <c r="I60" s="55" t="s">
        <v>153</v>
      </c>
      <c r="J60" s="55" t="s">
        <v>38</v>
      </c>
      <c r="K60" s="55" t="s">
        <v>154</v>
      </c>
      <c r="L60" s="121">
        <v>2</v>
      </c>
      <c r="N60" s="121">
        <v>1</v>
      </c>
      <c r="O60" s="121">
        <v>0.95</v>
      </c>
      <c r="P60" s="121">
        <v>1</v>
      </c>
      <c r="Q60" s="57">
        <f t="shared" si="0"/>
        <v>0.97499999999999998</v>
      </c>
      <c r="R60" s="121">
        <v>13</v>
      </c>
      <c r="S60" s="121">
        <v>130</v>
      </c>
      <c r="T60" s="57">
        <f t="shared" si="4"/>
        <v>25</v>
      </c>
      <c r="U60" s="121">
        <v>137</v>
      </c>
      <c r="V60" s="58">
        <f t="shared" si="5"/>
        <v>3425</v>
      </c>
      <c r="W60" s="121">
        <v>6</v>
      </c>
      <c r="X60" s="55" t="s">
        <v>39</v>
      </c>
      <c r="Y60" s="55" t="s">
        <v>84</v>
      </c>
      <c r="Z60" s="55" t="s">
        <v>90</v>
      </c>
      <c r="AA60" s="55" t="s">
        <v>55</v>
      </c>
      <c r="AB60" s="39" t="s">
        <v>195</v>
      </c>
    </row>
    <row r="61" spans="1:28" x14ac:dyDescent="0.15">
      <c r="A61" s="55" t="s">
        <v>41</v>
      </c>
      <c r="B61" s="121" t="s">
        <v>193</v>
      </c>
      <c r="C61" s="89">
        <v>2018</v>
      </c>
      <c r="D61" s="56" t="s">
        <v>208</v>
      </c>
      <c r="E61" s="121" t="s">
        <v>167</v>
      </c>
      <c r="F61" s="121" t="s">
        <v>190</v>
      </c>
      <c r="G61" s="55" t="s">
        <v>42</v>
      </c>
      <c r="H61" s="55" t="s">
        <v>155</v>
      </c>
      <c r="I61" s="55" t="s">
        <v>153</v>
      </c>
      <c r="J61" s="55" t="s">
        <v>38</v>
      </c>
      <c r="K61" s="55" t="s">
        <v>154</v>
      </c>
      <c r="L61" s="121">
        <v>3</v>
      </c>
      <c r="N61" s="121">
        <v>1</v>
      </c>
      <c r="O61" s="121">
        <v>0.8</v>
      </c>
      <c r="P61" s="121">
        <v>0.9</v>
      </c>
      <c r="Q61" s="57">
        <f t="shared" si="0"/>
        <v>0.85000000000000009</v>
      </c>
      <c r="R61" s="121">
        <v>15.7</v>
      </c>
      <c r="S61" s="121">
        <v>133</v>
      </c>
      <c r="T61" s="57">
        <f t="shared" si="4"/>
        <v>25</v>
      </c>
      <c r="U61" s="121">
        <v>137</v>
      </c>
      <c r="V61" s="58">
        <f t="shared" si="5"/>
        <v>3425</v>
      </c>
      <c r="W61" s="121">
        <v>6</v>
      </c>
      <c r="X61" s="55" t="s">
        <v>39</v>
      </c>
      <c r="Y61" s="55" t="s">
        <v>84</v>
      </c>
      <c r="Z61" s="55" t="s">
        <v>90</v>
      </c>
      <c r="AA61" s="55" t="s">
        <v>55</v>
      </c>
      <c r="AB61" s="39" t="s">
        <v>195</v>
      </c>
    </row>
    <row r="62" spans="1:28" x14ac:dyDescent="0.15">
      <c r="A62" s="55" t="s">
        <v>41</v>
      </c>
      <c r="B62" s="121" t="s">
        <v>193</v>
      </c>
      <c r="C62" s="89">
        <v>2018</v>
      </c>
      <c r="D62" s="56" t="s">
        <v>208</v>
      </c>
      <c r="E62" s="121" t="s">
        <v>167</v>
      </c>
      <c r="F62" s="121" t="s">
        <v>190</v>
      </c>
      <c r="G62" s="55" t="s">
        <v>42</v>
      </c>
      <c r="H62" s="55" t="s">
        <v>155</v>
      </c>
      <c r="I62" s="55" t="s">
        <v>153</v>
      </c>
      <c r="J62" s="55" t="s">
        <v>38</v>
      </c>
      <c r="K62" s="55" t="s">
        <v>154</v>
      </c>
      <c r="L62" s="121">
        <v>1</v>
      </c>
      <c r="N62" s="121">
        <v>4</v>
      </c>
      <c r="O62" s="121">
        <v>1</v>
      </c>
      <c r="P62" s="121">
        <v>1.2</v>
      </c>
      <c r="Q62" s="57">
        <f t="shared" si="0"/>
        <v>1.1000000000000001</v>
      </c>
      <c r="R62" s="121">
        <v>14.9</v>
      </c>
      <c r="S62" s="121">
        <v>130</v>
      </c>
      <c r="T62" s="57">
        <f t="shared" si="4"/>
        <v>25</v>
      </c>
      <c r="U62" s="121">
        <v>537</v>
      </c>
      <c r="V62" s="58">
        <f t="shared" si="5"/>
        <v>3356.25</v>
      </c>
      <c r="W62" s="121">
        <v>2</v>
      </c>
      <c r="X62" s="55" t="s">
        <v>39</v>
      </c>
      <c r="Y62" s="55" t="s">
        <v>84</v>
      </c>
      <c r="Z62" s="55" t="s">
        <v>90</v>
      </c>
      <c r="AA62" s="55" t="s">
        <v>55</v>
      </c>
      <c r="AB62" s="39" t="s">
        <v>195</v>
      </c>
    </row>
    <row r="63" spans="1:28" x14ac:dyDescent="0.15">
      <c r="A63" s="55" t="s">
        <v>41</v>
      </c>
      <c r="B63" s="121" t="s">
        <v>193</v>
      </c>
      <c r="C63" s="89">
        <v>2018</v>
      </c>
      <c r="D63" s="56" t="s">
        <v>208</v>
      </c>
      <c r="E63" s="121" t="s">
        <v>167</v>
      </c>
      <c r="F63" s="121" t="s">
        <v>190</v>
      </c>
      <c r="G63" s="55" t="s">
        <v>42</v>
      </c>
      <c r="H63" s="55" t="s">
        <v>155</v>
      </c>
      <c r="I63" s="55" t="s">
        <v>153</v>
      </c>
      <c r="J63" s="55" t="s">
        <v>38</v>
      </c>
      <c r="K63" s="55" t="s">
        <v>154</v>
      </c>
      <c r="L63" s="121">
        <v>2</v>
      </c>
      <c r="N63" s="121">
        <v>4</v>
      </c>
      <c r="O63" s="121">
        <v>0.95</v>
      </c>
      <c r="P63" s="121">
        <v>1.05</v>
      </c>
      <c r="Q63" s="57">
        <f t="shared" si="0"/>
        <v>1</v>
      </c>
      <c r="R63" s="121">
        <v>16.100000000000001</v>
      </c>
      <c r="S63" s="121">
        <v>129</v>
      </c>
      <c r="T63" s="57">
        <f t="shared" si="4"/>
        <v>25</v>
      </c>
      <c r="U63" s="121">
        <v>537</v>
      </c>
      <c r="V63" s="58">
        <f t="shared" si="5"/>
        <v>3356.25</v>
      </c>
      <c r="W63" s="121">
        <v>2</v>
      </c>
      <c r="X63" s="55" t="s">
        <v>39</v>
      </c>
      <c r="Y63" s="55" t="s">
        <v>84</v>
      </c>
      <c r="Z63" s="55" t="s">
        <v>90</v>
      </c>
      <c r="AA63" s="55" t="s">
        <v>55</v>
      </c>
      <c r="AB63" s="39" t="s">
        <v>195</v>
      </c>
    </row>
    <row r="64" spans="1:28" x14ac:dyDescent="0.15">
      <c r="A64" s="55" t="s">
        <v>41</v>
      </c>
      <c r="B64" s="121" t="s">
        <v>193</v>
      </c>
      <c r="C64" s="89">
        <v>2018</v>
      </c>
      <c r="D64" s="56" t="s">
        <v>208</v>
      </c>
      <c r="E64" s="121" t="s">
        <v>167</v>
      </c>
      <c r="F64" s="121" t="s">
        <v>190</v>
      </c>
      <c r="G64" s="55" t="s">
        <v>42</v>
      </c>
      <c r="H64" s="55" t="s">
        <v>155</v>
      </c>
      <c r="I64" s="55" t="s">
        <v>153</v>
      </c>
      <c r="J64" s="55" t="s">
        <v>38</v>
      </c>
      <c r="K64" s="55" t="s">
        <v>154</v>
      </c>
      <c r="L64" s="121">
        <v>3</v>
      </c>
      <c r="N64" s="121">
        <v>4</v>
      </c>
      <c r="O64" s="121">
        <v>1</v>
      </c>
      <c r="P64" s="121">
        <v>0.95</v>
      </c>
      <c r="Q64" s="57">
        <f t="shared" si="0"/>
        <v>0.97499999999999998</v>
      </c>
      <c r="R64" s="121">
        <v>12.9</v>
      </c>
      <c r="S64" s="121">
        <v>130</v>
      </c>
      <c r="T64" s="57">
        <f t="shared" si="4"/>
        <v>25</v>
      </c>
      <c r="U64" s="121">
        <v>537</v>
      </c>
      <c r="V64" s="58">
        <f t="shared" si="5"/>
        <v>3356.25</v>
      </c>
      <c r="W64" s="121">
        <v>2</v>
      </c>
      <c r="X64" s="55" t="s">
        <v>39</v>
      </c>
      <c r="Y64" s="55" t="s">
        <v>84</v>
      </c>
      <c r="Z64" s="55" t="s">
        <v>90</v>
      </c>
      <c r="AA64" s="55" t="s">
        <v>55</v>
      </c>
      <c r="AB64" s="39" t="s">
        <v>195</v>
      </c>
    </row>
    <row r="65" spans="1:28" x14ac:dyDescent="0.15">
      <c r="A65" s="55" t="s">
        <v>41</v>
      </c>
      <c r="B65" s="121" t="s">
        <v>193</v>
      </c>
      <c r="C65" s="89">
        <v>2018</v>
      </c>
      <c r="D65" s="56" t="s">
        <v>208</v>
      </c>
      <c r="E65" s="121" t="s">
        <v>181</v>
      </c>
      <c r="F65" s="121" t="s">
        <v>186</v>
      </c>
      <c r="G65" s="55" t="s">
        <v>42</v>
      </c>
      <c r="H65" s="55" t="s">
        <v>155</v>
      </c>
      <c r="I65" s="55" t="s">
        <v>153</v>
      </c>
      <c r="J65" s="55" t="s">
        <v>38</v>
      </c>
      <c r="K65" s="55" t="s">
        <v>154</v>
      </c>
      <c r="L65" s="121">
        <v>1</v>
      </c>
      <c r="N65" s="121">
        <v>1</v>
      </c>
      <c r="O65" s="121">
        <v>0.85</v>
      </c>
      <c r="P65" s="121">
        <v>0.85</v>
      </c>
      <c r="Q65" s="57">
        <f t="shared" si="0"/>
        <v>0.85</v>
      </c>
      <c r="R65" s="121">
        <v>12.9</v>
      </c>
      <c r="S65" s="121">
        <v>120</v>
      </c>
      <c r="T65" s="57">
        <f t="shared" si="4"/>
        <v>30</v>
      </c>
      <c r="U65" s="121">
        <v>104</v>
      </c>
      <c r="V65" s="58">
        <f t="shared" si="5"/>
        <v>3120</v>
      </c>
      <c r="W65" s="121">
        <v>2</v>
      </c>
      <c r="X65" s="55" t="s">
        <v>46</v>
      </c>
      <c r="Y65" s="55" t="s">
        <v>84</v>
      </c>
      <c r="Z65" s="55" t="s">
        <v>90</v>
      </c>
      <c r="AA65" s="55" t="s">
        <v>69</v>
      </c>
      <c r="AB65" s="39" t="s">
        <v>195</v>
      </c>
    </row>
    <row r="66" spans="1:28" x14ac:dyDescent="0.15">
      <c r="A66" s="55" t="s">
        <v>41</v>
      </c>
      <c r="B66" s="121" t="s">
        <v>193</v>
      </c>
      <c r="C66" s="89">
        <v>2018</v>
      </c>
      <c r="D66" s="56" t="s">
        <v>208</v>
      </c>
      <c r="E66" s="121" t="s">
        <v>181</v>
      </c>
      <c r="F66" s="121" t="s">
        <v>186</v>
      </c>
      <c r="G66" s="55" t="s">
        <v>42</v>
      </c>
      <c r="H66" s="55" t="s">
        <v>155</v>
      </c>
      <c r="I66" s="55" t="s">
        <v>153</v>
      </c>
      <c r="J66" s="55" t="s">
        <v>38</v>
      </c>
      <c r="K66" s="55" t="s">
        <v>154</v>
      </c>
      <c r="L66" s="121">
        <v>2</v>
      </c>
      <c r="N66" s="121">
        <v>1</v>
      </c>
      <c r="O66" s="121">
        <v>0.95</v>
      </c>
      <c r="P66" s="121">
        <v>0.9</v>
      </c>
      <c r="Q66" s="57">
        <f t="shared" ref="Q66:Q70" si="6">IF(OR(O66="",P66=""),"",AVERAGE(O66,P66))</f>
        <v>0.92500000000000004</v>
      </c>
      <c r="R66" s="121">
        <v>13.5</v>
      </c>
      <c r="S66" s="121">
        <v>118</v>
      </c>
      <c r="T66" s="57">
        <f t="shared" si="4"/>
        <v>30</v>
      </c>
      <c r="U66" s="121">
        <v>104</v>
      </c>
      <c r="V66" s="58">
        <f t="shared" si="5"/>
        <v>3120</v>
      </c>
      <c r="W66" s="121">
        <v>2</v>
      </c>
      <c r="X66" s="55" t="s">
        <v>46</v>
      </c>
      <c r="Y66" s="55" t="s">
        <v>84</v>
      </c>
      <c r="Z66" s="55" t="s">
        <v>90</v>
      </c>
      <c r="AA66" s="55" t="s">
        <v>69</v>
      </c>
      <c r="AB66" s="39" t="s">
        <v>195</v>
      </c>
    </row>
    <row r="67" spans="1:28" x14ac:dyDescent="0.15">
      <c r="A67" s="55" t="s">
        <v>41</v>
      </c>
      <c r="B67" s="121" t="s">
        <v>193</v>
      </c>
      <c r="C67" s="89">
        <v>2018</v>
      </c>
      <c r="D67" s="56" t="s">
        <v>208</v>
      </c>
      <c r="E67" s="121" t="s">
        <v>181</v>
      </c>
      <c r="F67" s="121" t="s">
        <v>186</v>
      </c>
      <c r="G67" s="55" t="s">
        <v>42</v>
      </c>
      <c r="H67" s="55" t="s">
        <v>155</v>
      </c>
      <c r="I67" s="55" t="s">
        <v>153</v>
      </c>
      <c r="J67" s="55" t="s">
        <v>38</v>
      </c>
      <c r="K67" s="55" t="s">
        <v>154</v>
      </c>
      <c r="L67" s="121">
        <v>3</v>
      </c>
      <c r="N67" s="121">
        <v>1</v>
      </c>
      <c r="O67" s="121">
        <v>1.2</v>
      </c>
      <c r="P67" s="121">
        <v>0.65</v>
      </c>
      <c r="Q67" s="57">
        <f t="shared" si="6"/>
        <v>0.92500000000000004</v>
      </c>
      <c r="R67" s="121">
        <v>15.1</v>
      </c>
      <c r="S67" s="121">
        <v>120</v>
      </c>
      <c r="T67" s="57">
        <f t="shared" si="4"/>
        <v>30</v>
      </c>
      <c r="U67" s="121">
        <v>104</v>
      </c>
      <c r="V67" s="58">
        <f t="shared" si="5"/>
        <v>3120</v>
      </c>
      <c r="W67" s="121">
        <v>2</v>
      </c>
      <c r="X67" s="55" t="s">
        <v>46</v>
      </c>
      <c r="Y67" s="55" t="s">
        <v>84</v>
      </c>
      <c r="Z67" s="55" t="s">
        <v>90</v>
      </c>
      <c r="AA67" s="55" t="s">
        <v>69</v>
      </c>
      <c r="AB67" s="39" t="s">
        <v>195</v>
      </c>
    </row>
    <row r="68" spans="1:28" x14ac:dyDescent="0.15">
      <c r="A68" s="55" t="s">
        <v>41</v>
      </c>
      <c r="B68" s="121" t="s">
        <v>193</v>
      </c>
      <c r="C68" s="89">
        <v>2018</v>
      </c>
      <c r="D68" s="56" t="s">
        <v>208</v>
      </c>
      <c r="E68" s="121" t="s">
        <v>181</v>
      </c>
      <c r="F68" s="121" t="s">
        <v>186</v>
      </c>
      <c r="G68" s="55" t="s">
        <v>42</v>
      </c>
      <c r="H68" s="55" t="s">
        <v>128</v>
      </c>
      <c r="I68" s="55" t="s">
        <v>153</v>
      </c>
      <c r="J68" s="55" t="s">
        <v>80</v>
      </c>
      <c r="K68" s="55" t="s">
        <v>94</v>
      </c>
      <c r="L68" s="121">
        <v>1</v>
      </c>
      <c r="N68" s="121">
        <v>1</v>
      </c>
      <c r="O68" s="121">
        <v>0.35</v>
      </c>
      <c r="P68" s="121">
        <v>0.5</v>
      </c>
      <c r="Q68" s="57">
        <f t="shared" si="6"/>
        <v>0.42499999999999999</v>
      </c>
      <c r="R68" s="121">
        <v>14.4</v>
      </c>
      <c r="S68" s="121">
        <v>119</v>
      </c>
      <c r="T68" s="57">
        <f t="shared" si="4"/>
        <v>30</v>
      </c>
      <c r="U68" s="121">
        <v>104</v>
      </c>
      <c r="V68" s="58">
        <f t="shared" si="5"/>
        <v>3120</v>
      </c>
      <c r="W68" s="121">
        <v>4</v>
      </c>
      <c r="X68" s="55" t="s">
        <v>46</v>
      </c>
      <c r="Y68" s="55" t="s">
        <v>84</v>
      </c>
      <c r="Z68" s="55" t="s">
        <v>90</v>
      </c>
      <c r="AA68" s="55" t="s">
        <v>69</v>
      </c>
      <c r="AB68" s="39" t="s">
        <v>195</v>
      </c>
    </row>
    <row r="69" spans="1:28" x14ac:dyDescent="0.15">
      <c r="A69" s="55" t="s">
        <v>41</v>
      </c>
      <c r="B69" s="121" t="s">
        <v>193</v>
      </c>
      <c r="C69" s="89">
        <v>2018</v>
      </c>
      <c r="D69" s="56" t="s">
        <v>208</v>
      </c>
      <c r="E69" s="121" t="s">
        <v>181</v>
      </c>
      <c r="F69" s="121" t="s">
        <v>186</v>
      </c>
      <c r="G69" s="55" t="s">
        <v>42</v>
      </c>
      <c r="H69" s="55" t="s">
        <v>128</v>
      </c>
      <c r="I69" s="55" t="s">
        <v>153</v>
      </c>
      <c r="J69" s="55" t="s">
        <v>80</v>
      </c>
      <c r="K69" s="55" t="s">
        <v>94</v>
      </c>
      <c r="L69" s="121">
        <v>2</v>
      </c>
      <c r="N69" s="121">
        <v>1</v>
      </c>
      <c r="O69" s="121">
        <v>0.45</v>
      </c>
      <c r="P69" s="121">
        <v>0.35</v>
      </c>
      <c r="Q69" s="57">
        <f t="shared" si="6"/>
        <v>0.4</v>
      </c>
      <c r="R69" s="121">
        <v>14</v>
      </c>
      <c r="S69" s="121">
        <v>118</v>
      </c>
      <c r="T69" s="57">
        <f t="shared" si="4"/>
        <v>30</v>
      </c>
      <c r="U69" s="121">
        <v>104</v>
      </c>
      <c r="V69" s="58">
        <f t="shared" si="5"/>
        <v>3120</v>
      </c>
      <c r="W69" s="121">
        <v>4</v>
      </c>
      <c r="X69" s="55" t="s">
        <v>46</v>
      </c>
      <c r="Y69" s="55" t="s">
        <v>84</v>
      </c>
      <c r="Z69" s="55" t="s">
        <v>90</v>
      </c>
      <c r="AA69" s="55" t="s">
        <v>69</v>
      </c>
      <c r="AB69" s="39" t="s">
        <v>195</v>
      </c>
    </row>
    <row r="70" spans="1:28" x14ac:dyDescent="0.15">
      <c r="A70" s="55" t="s">
        <v>41</v>
      </c>
      <c r="B70" s="121" t="s">
        <v>193</v>
      </c>
      <c r="C70" s="89">
        <v>2018</v>
      </c>
      <c r="D70" s="56" t="s">
        <v>208</v>
      </c>
      <c r="E70" s="121" t="s">
        <v>181</v>
      </c>
      <c r="F70" s="121" t="s">
        <v>186</v>
      </c>
      <c r="G70" s="55" t="s">
        <v>42</v>
      </c>
      <c r="H70" s="55" t="s">
        <v>128</v>
      </c>
      <c r="I70" s="55" t="s">
        <v>153</v>
      </c>
      <c r="J70" s="55" t="s">
        <v>80</v>
      </c>
      <c r="K70" s="55" t="s">
        <v>94</v>
      </c>
      <c r="L70" s="121">
        <v>3</v>
      </c>
      <c r="N70" s="121">
        <v>1</v>
      </c>
      <c r="O70" s="121">
        <v>0.25</v>
      </c>
      <c r="P70" s="121">
        <v>0.3</v>
      </c>
      <c r="Q70" s="57">
        <f t="shared" si="6"/>
        <v>0.27500000000000002</v>
      </c>
      <c r="R70" s="121">
        <v>12.9</v>
      </c>
      <c r="S70" s="121">
        <v>115</v>
      </c>
      <c r="T70" s="57">
        <f t="shared" si="4"/>
        <v>30</v>
      </c>
      <c r="U70" s="121">
        <v>104</v>
      </c>
      <c r="V70" s="58">
        <f t="shared" si="5"/>
        <v>3120</v>
      </c>
      <c r="W70" s="121">
        <v>4</v>
      </c>
      <c r="X70" s="55" t="s">
        <v>46</v>
      </c>
      <c r="Y70" s="55" t="s">
        <v>84</v>
      </c>
      <c r="Z70" s="55" t="s">
        <v>90</v>
      </c>
      <c r="AA70" s="55" t="s">
        <v>69</v>
      </c>
      <c r="AB70" s="39" t="s">
        <v>195</v>
      </c>
    </row>
  </sheetData>
  <autoFilter ref="A1:BA82"/>
  <dataConsolidate/>
  <phoneticPr fontId="3"/>
  <dataValidations count="13">
    <dataValidation operator="equal" allowBlank="1" showInputMessage="1" showErrorMessage="1" sqref="B2:B70"/>
    <dataValidation type="list" allowBlank="1" showInputMessage="1" showErrorMessage="1" sqref="K2:K70">
      <formula1>$AR$2:$AR$23</formula1>
    </dataValidation>
    <dataValidation type="decimal" allowBlank="1" showInputMessage="1" showErrorMessage="1" error="硬度を正しく入力して下さい。" sqref="O83:P265 O2:P70">
      <formula1>0</formula1>
      <formula2>7</formula2>
    </dataValidation>
    <dataValidation type="list" allowBlank="1" showInputMessage="1" showErrorMessage="1" sqref="Y83:AA1048576 Y1:AA70">
      <formula1>$AV$2:$AV$21</formula1>
    </dataValidation>
    <dataValidation type="list" allowBlank="1" showInputMessage="1" showErrorMessage="1" sqref="F83:F1048576 F1:F70">
      <formula1>$AH$2:$AH$11</formula1>
    </dataValidation>
    <dataValidation type="list" allowBlank="1" showInputMessage="1" showErrorMessage="1" sqref="E83:E1048576 E1:E70">
      <formula1>$AG$2:$AG$11</formula1>
    </dataValidation>
    <dataValidation type="list" allowBlank="1" showInputMessage="1" showErrorMessage="1" sqref="J83:J265 J2:J70">
      <formula1>$AP$2:$AP$19</formula1>
    </dataValidation>
    <dataValidation type="list" allowBlank="1" showInputMessage="1" showErrorMessage="1" sqref="A83:A265 A2:A70">
      <formula1>$AE$2:$AE$16</formula1>
    </dataValidation>
    <dataValidation type="list" allowBlank="1" showInputMessage="1" showErrorMessage="1" sqref="X83:X265 X2:X70">
      <formula1>$AT$2:$AT$3</formula1>
    </dataValidation>
    <dataValidation type="list" allowBlank="1" showInputMessage="1" showErrorMessage="1" sqref="I83:I265 I2:I70">
      <formula1>$AN$5:$AN$6</formula1>
    </dataValidation>
    <dataValidation type="list" allowBlank="1" showInputMessage="1" showErrorMessage="1" sqref="G83:G265 G2:G70">
      <formula1>$AJ$2:$AJ$4</formula1>
    </dataValidation>
    <dataValidation type="list" allowBlank="1" showInputMessage="1" showErrorMessage="1" sqref="H83:H265 H2:H70">
      <formula1>$AL$2:$AL$8</formula1>
    </dataValidation>
    <dataValidation type="list" allowBlank="1" showInputMessage="1" showErrorMessage="1" sqref="K83:K265">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A450"/>
  <sheetViews>
    <sheetView topLeftCell="A4" zoomScale="85" zoomScaleNormal="85" workbookViewId="0">
      <selection activeCell="R37" sqref="R37"/>
    </sheetView>
  </sheetViews>
  <sheetFormatPr defaultRowHeight="13.5" x14ac:dyDescent="0.15"/>
  <cols>
    <col min="1" max="1" width="9" style="96"/>
    <col min="2" max="2" width="9" style="104"/>
    <col min="3" max="3" width="9" style="96"/>
    <col min="4" max="4" width="10.5" style="96" bestFit="1" customWidth="1"/>
    <col min="5" max="13" width="9" style="96"/>
    <col min="14" max="14" width="9.5" style="96" bestFit="1" customWidth="1"/>
    <col min="15" max="16" width="9" style="96"/>
    <col min="17" max="17" width="9" style="105"/>
    <col min="18" max="19" width="9" style="96"/>
    <col min="20" max="20" width="9" style="105"/>
    <col min="21" max="21" width="9" style="96"/>
    <col min="22" max="22" width="9" style="105"/>
    <col min="23" max="27" width="9" style="96"/>
    <col min="28" max="28" width="9" style="104"/>
    <col min="29" max="32" width="9" style="96"/>
    <col min="33" max="33" width="15.875" style="96" bestFit="1" customWidth="1"/>
    <col min="34" max="34" width="11.375" style="96" bestFit="1" customWidth="1"/>
    <col min="35" max="259" width="9" style="96"/>
    <col min="260" max="260" width="10.5" style="96" bestFit="1" customWidth="1"/>
    <col min="261" max="269" width="9" style="96"/>
    <col min="270" max="270" width="9.5" style="96" bestFit="1" customWidth="1"/>
    <col min="271" max="288" width="9" style="96"/>
    <col min="289" max="289" width="15.875" style="96" bestFit="1" customWidth="1"/>
    <col min="290" max="290" width="11.375" style="96" bestFit="1" customWidth="1"/>
    <col min="291" max="515" width="9" style="96"/>
    <col min="516" max="516" width="10.5" style="96" bestFit="1" customWidth="1"/>
    <col min="517" max="525" width="9" style="96"/>
    <col min="526" max="526" width="9.5" style="96" bestFit="1" customWidth="1"/>
    <col min="527" max="544" width="9" style="96"/>
    <col min="545" max="545" width="15.875" style="96" bestFit="1" customWidth="1"/>
    <col min="546" max="546" width="11.375" style="96" bestFit="1" customWidth="1"/>
    <col min="547" max="771" width="9" style="96"/>
    <col min="772" max="772" width="10.5" style="96" bestFit="1" customWidth="1"/>
    <col min="773" max="781" width="9" style="96"/>
    <col min="782" max="782" width="9.5" style="96" bestFit="1" customWidth="1"/>
    <col min="783" max="800" width="9" style="96"/>
    <col min="801" max="801" width="15.875" style="96" bestFit="1" customWidth="1"/>
    <col min="802" max="802" width="11.375" style="96" bestFit="1" customWidth="1"/>
    <col min="803" max="1027" width="9" style="96"/>
    <col min="1028" max="1028" width="10.5" style="96" bestFit="1" customWidth="1"/>
    <col min="1029" max="1037" width="9" style="96"/>
    <col min="1038" max="1038" width="9.5" style="96" bestFit="1" customWidth="1"/>
    <col min="1039" max="1056" width="9" style="96"/>
    <col min="1057" max="1057" width="15.875" style="96" bestFit="1" customWidth="1"/>
    <col min="1058" max="1058" width="11.375" style="96" bestFit="1" customWidth="1"/>
    <col min="1059" max="1283" width="9" style="96"/>
    <col min="1284" max="1284" width="10.5" style="96" bestFit="1" customWidth="1"/>
    <col min="1285" max="1293" width="9" style="96"/>
    <col min="1294" max="1294" width="9.5" style="96" bestFit="1" customWidth="1"/>
    <col min="1295" max="1312" width="9" style="96"/>
    <col min="1313" max="1313" width="15.875" style="96" bestFit="1" customWidth="1"/>
    <col min="1314" max="1314" width="11.375" style="96" bestFit="1" customWidth="1"/>
    <col min="1315" max="1539" width="9" style="96"/>
    <col min="1540" max="1540" width="10.5" style="96" bestFit="1" customWidth="1"/>
    <col min="1541" max="1549" width="9" style="96"/>
    <col min="1550" max="1550" width="9.5" style="96" bestFit="1" customWidth="1"/>
    <col min="1551" max="1568" width="9" style="96"/>
    <col min="1569" max="1569" width="15.875" style="96" bestFit="1" customWidth="1"/>
    <col min="1570" max="1570" width="11.375" style="96" bestFit="1" customWidth="1"/>
    <col min="1571" max="1795" width="9" style="96"/>
    <col min="1796" max="1796" width="10.5" style="96" bestFit="1" customWidth="1"/>
    <col min="1797" max="1805" width="9" style="96"/>
    <col min="1806" max="1806" width="9.5" style="96" bestFit="1" customWidth="1"/>
    <col min="1807" max="1824" width="9" style="96"/>
    <col min="1825" max="1825" width="15.875" style="96" bestFit="1" customWidth="1"/>
    <col min="1826" max="1826" width="11.375" style="96" bestFit="1" customWidth="1"/>
    <col min="1827" max="2051" width="9" style="96"/>
    <col min="2052" max="2052" width="10.5" style="96" bestFit="1" customWidth="1"/>
    <col min="2053" max="2061" width="9" style="96"/>
    <col min="2062" max="2062" width="9.5" style="96" bestFit="1" customWidth="1"/>
    <col min="2063" max="2080" width="9" style="96"/>
    <col min="2081" max="2081" width="15.875" style="96" bestFit="1" customWidth="1"/>
    <col min="2082" max="2082" width="11.375" style="96" bestFit="1" customWidth="1"/>
    <col min="2083" max="2307" width="9" style="96"/>
    <col min="2308" max="2308" width="10.5" style="96" bestFit="1" customWidth="1"/>
    <col min="2309" max="2317" width="9" style="96"/>
    <col min="2318" max="2318" width="9.5" style="96" bestFit="1" customWidth="1"/>
    <col min="2319" max="2336" width="9" style="96"/>
    <col min="2337" max="2337" width="15.875" style="96" bestFit="1" customWidth="1"/>
    <col min="2338" max="2338" width="11.375" style="96" bestFit="1" customWidth="1"/>
    <col min="2339" max="2563" width="9" style="96"/>
    <col min="2564" max="2564" width="10.5" style="96" bestFit="1" customWidth="1"/>
    <col min="2565" max="2573" width="9" style="96"/>
    <col min="2574" max="2574" width="9.5" style="96" bestFit="1" customWidth="1"/>
    <col min="2575" max="2592" width="9" style="96"/>
    <col min="2593" max="2593" width="15.875" style="96" bestFit="1" customWidth="1"/>
    <col min="2594" max="2594" width="11.375" style="96" bestFit="1" customWidth="1"/>
    <col min="2595" max="2819" width="9" style="96"/>
    <col min="2820" max="2820" width="10.5" style="96" bestFit="1" customWidth="1"/>
    <col min="2821" max="2829" width="9" style="96"/>
    <col min="2830" max="2830" width="9.5" style="96" bestFit="1" customWidth="1"/>
    <col min="2831" max="2848" width="9" style="96"/>
    <col min="2849" max="2849" width="15.875" style="96" bestFit="1" customWidth="1"/>
    <col min="2850" max="2850" width="11.375" style="96" bestFit="1" customWidth="1"/>
    <col min="2851" max="3075" width="9" style="96"/>
    <col min="3076" max="3076" width="10.5" style="96" bestFit="1" customWidth="1"/>
    <col min="3077" max="3085" width="9" style="96"/>
    <col min="3086" max="3086" width="9.5" style="96" bestFit="1" customWidth="1"/>
    <col min="3087" max="3104" width="9" style="96"/>
    <col min="3105" max="3105" width="15.875" style="96" bestFit="1" customWidth="1"/>
    <col min="3106" max="3106" width="11.375" style="96" bestFit="1" customWidth="1"/>
    <col min="3107" max="3331" width="9" style="96"/>
    <col min="3332" max="3332" width="10.5" style="96" bestFit="1" customWidth="1"/>
    <col min="3333" max="3341" width="9" style="96"/>
    <col min="3342" max="3342" width="9.5" style="96" bestFit="1" customWidth="1"/>
    <col min="3343" max="3360" width="9" style="96"/>
    <col min="3361" max="3361" width="15.875" style="96" bestFit="1" customWidth="1"/>
    <col min="3362" max="3362" width="11.375" style="96" bestFit="1" customWidth="1"/>
    <col min="3363" max="3587" width="9" style="96"/>
    <col min="3588" max="3588" width="10.5" style="96" bestFit="1" customWidth="1"/>
    <col min="3589" max="3597" width="9" style="96"/>
    <col min="3598" max="3598" width="9.5" style="96" bestFit="1" customWidth="1"/>
    <col min="3599" max="3616" width="9" style="96"/>
    <col min="3617" max="3617" width="15.875" style="96" bestFit="1" customWidth="1"/>
    <col min="3618" max="3618" width="11.375" style="96" bestFit="1" customWidth="1"/>
    <col min="3619" max="3843" width="9" style="96"/>
    <col min="3844" max="3844" width="10.5" style="96" bestFit="1" customWidth="1"/>
    <col min="3845" max="3853" width="9" style="96"/>
    <col min="3854" max="3854" width="9.5" style="96" bestFit="1" customWidth="1"/>
    <col min="3855" max="3872" width="9" style="96"/>
    <col min="3873" max="3873" width="15.875" style="96" bestFit="1" customWidth="1"/>
    <col min="3874" max="3874" width="11.375" style="96" bestFit="1" customWidth="1"/>
    <col min="3875" max="4099" width="9" style="96"/>
    <col min="4100" max="4100" width="10.5" style="96" bestFit="1" customWidth="1"/>
    <col min="4101" max="4109" width="9" style="96"/>
    <col min="4110" max="4110" width="9.5" style="96" bestFit="1" customWidth="1"/>
    <col min="4111" max="4128" width="9" style="96"/>
    <col min="4129" max="4129" width="15.875" style="96" bestFit="1" customWidth="1"/>
    <col min="4130" max="4130" width="11.375" style="96" bestFit="1" customWidth="1"/>
    <col min="4131" max="4355" width="9" style="96"/>
    <col min="4356" max="4356" width="10.5" style="96" bestFit="1" customWidth="1"/>
    <col min="4357" max="4365" width="9" style="96"/>
    <col min="4366" max="4366" width="9.5" style="96" bestFit="1" customWidth="1"/>
    <col min="4367" max="4384" width="9" style="96"/>
    <col min="4385" max="4385" width="15.875" style="96" bestFit="1" customWidth="1"/>
    <col min="4386" max="4386" width="11.375" style="96" bestFit="1" customWidth="1"/>
    <col min="4387" max="4611" width="9" style="96"/>
    <col min="4612" max="4612" width="10.5" style="96" bestFit="1" customWidth="1"/>
    <col min="4613" max="4621" width="9" style="96"/>
    <col min="4622" max="4622" width="9.5" style="96" bestFit="1" customWidth="1"/>
    <col min="4623" max="4640" width="9" style="96"/>
    <col min="4641" max="4641" width="15.875" style="96" bestFit="1" customWidth="1"/>
    <col min="4642" max="4642" width="11.375" style="96" bestFit="1" customWidth="1"/>
    <col min="4643" max="4867" width="9" style="96"/>
    <col min="4868" max="4868" width="10.5" style="96" bestFit="1" customWidth="1"/>
    <col min="4869" max="4877" width="9" style="96"/>
    <col min="4878" max="4878" width="9.5" style="96" bestFit="1" customWidth="1"/>
    <col min="4879" max="4896" width="9" style="96"/>
    <col min="4897" max="4897" width="15.875" style="96" bestFit="1" customWidth="1"/>
    <col min="4898" max="4898" width="11.375" style="96" bestFit="1" customWidth="1"/>
    <col min="4899" max="5123" width="9" style="96"/>
    <col min="5124" max="5124" width="10.5" style="96" bestFit="1" customWidth="1"/>
    <col min="5125" max="5133" width="9" style="96"/>
    <col min="5134" max="5134" width="9.5" style="96" bestFit="1" customWidth="1"/>
    <col min="5135" max="5152" width="9" style="96"/>
    <col min="5153" max="5153" width="15.875" style="96" bestFit="1" customWidth="1"/>
    <col min="5154" max="5154" width="11.375" style="96" bestFit="1" customWidth="1"/>
    <col min="5155" max="5379" width="9" style="96"/>
    <col min="5380" max="5380" width="10.5" style="96" bestFit="1" customWidth="1"/>
    <col min="5381" max="5389" width="9" style="96"/>
    <col min="5390" max="5390" width="9.5" style="96" bestFit="1" customWidth="1"/>
    <col min="5391" max="5408" width="9" style="96"/>
    <col min="5409" max="5409" width="15.875" style="96" bestFit="1" customWidth="1"/>
    <col min="5410" max="5410" width="11.375" style="96" bestFit="1" customWidth="1"/>
    <col min="5411" max="5635" width="9" style="96"/>
    <col min="5636" max="5636" width="10.5" style="96" bestFit="1" customWidth="1"/>
    <col min="5637" max="5645" width="9" style="96"/>
    <col min="5646" max="5646" width="9.5" style="96" bestFit="1" customWidth="1"/>
    <col min="5647" max="5664" width="9" style="96"/>
    <col min="5665" max="5665" width="15.875" style="96" bestFit="1" customWidth="1"/>
    <col min="5666" max="5666" width="11.375" style="96" bestFit="1" customWidth="1"/>
    <col min="5667" max="5891" width="9" style="96"/>
    <col min="5892" max="5892" width="10.5" style="96" bestFit="1" customWidth="1"/>
    <col min="5893" max="5901" width="9" style="96"/>
    <col min="5902" max="5902" width="9.5" style="96" bestFit="1" customWidth="1"/>
    <col min="5903" max="5920" width="9" style="96"/>
    <col min="5921" max="5921" width="15.875" style="96" bestFit="1" customWidth="1"/>
    <col min="5922" max="5922" width="11.375" style="96" bestFit="1" customWidth="1"/>
    <col min="5923" max="6147" width="9" style="96"/>
    <col min="6148" max="6148" width="10.5" style="96" bestFit="1" customWidth="1"/>
    <col min="6149" max="6157" width="9" style="96"/>
    <col min="6158" max="6158" width="9.5" style="96" bestFit="1" customWidth="1"/>
    <col min="6159" max="6176" width="9" style="96"/>
    <col min="6177" max="6177" width="15.875" style="96" bestFit="1" customWidth="1"/>
    <col min="6178" max="6178" width="11.375" style="96" bestFit="1" customWidth="1"/>
    <col min="6179" max="6403" width="9" style="96"/>
    <col min="6404" max="6404" width="10.5" style="96" bestFit="1" customWidth="1"/>
    <col min="6405" max="6413" width="9" style="96"/>
    <col min="6414" max="6414" width="9.5" style="96" bestFit="1" customWidth="1"/>
    <col min="6415" max="6432" width="9" style="96"/>
    <col min="6433" max="6433" width="15.875" style="96" bestFit="1" customWidth="1"/>
    <col min="6434" max="6434" width="11.375" style="96" bestFit="1" customWidth="1"/>
    <col min="6435" max="6659" width="9" style="96"/>
    <col min="6660" max="6660" width="10.5" style="96" bestFit="1" customWidth="1"/>
    <col min="6661" max="6669" width="9" style="96"/>
    <col min="6670" max="6670" width="9.5" style="96" bestFit="1" customWidth="1"/>
    <col min="6671" max="6688" width="9" style="96"/>
    <col min="6689" max="6689" width="15.875" style="96" bestFit="1" customWidth="1"/>
    <col min="6690" max="6690" width="11.375" style="96" bestFit="1" customWidth="1"/>
    <col min="6691" max="6915" width="9" style="96"/>
    <col min="6916" max="6916" width="10.5" style="96" bestFit="1" customWidth="1"/>
    <col min="6917" max="6925" width="9" style="96"/>
    <col min="6926" max="6926" width="9.5" style="96" bestFit="1" customWidth="1"/>
    <col min="6927" max="6944" width="9" style="96"/>
    <col min="6945" max="6945" width="15.875" style="96" bestFit="1" customWidth="1"/>
    <col min="6946" max="6946" width="11.375" style="96" bestFit="1" customWidth="1"/>
    <col min="6947" max="7171" width="9" style="96"/>
    <col min="7172" max="7172" width="10.5" style="96" bestFit="1" customWidth="1"/>
    <col min="7173" max="7181" width="9" style="96"/>
    <col min="7182" max="7182" width="9.5" style="96" bestFit="1" customWidth="1"/>
    <col min="7183" max="7200" width="9" style="96"/>
    <col min="7201" max="7201" width="15.875" style="96" bestFit="1" customWidth="1"/>
    <col min="7202" max="7202" width="11.375" style="96" bestFit="1" customWidth="1"/>
    <col min="7203" max="7427" width="9" style="96"/>
    <col min="7428" max="7428" width="10.5" style="96" bestFit="1" customWidth="1"/>
    <col min="7429" max="7437" width="9" style="96"/>
    <col min="7438" max="7438" width="9.5" style="96" bestFit="1" customWidth="1"/>
    <col min="7439" max="7456" width="9" style="96"/>
    <col min="7457" max="7457" width="15.875" style="96" bestFit="1" customWidth="1"/>
    <col min="7458" max="7458" width="11.375" style="96" bestFit="1" customWidth="1"/>
    <col min="7459" max="7683" width="9" style="96"/>
    <col min="7684" max="7684" width="10.5" style="96" bestFit="1" customWidth="1"/>
    <col min="7685" max="7693" width="9" style="96"/>
    <col min="7694" max="7694" width="9.5" style="96" bestFit="1" customWidth="1"/>
    <col min="7695" max="7712" width="9" style="96"/>
    <col min="7713" max="7713" width="15.875" style="96" bestFit="1" customWidth="1"/>
    <col min="7714" max="7714" width="11.375" style="96" bestFit="1" customWidth="1"/>
    <col min="7715" max="7939" width="9" style="96"/>
    <col min="7940" max="7940" width="10.5" style="96" bestFit="1" customWidth="1"/>
    <col min="7941" max="7949" width="9" style="96"/>
    <col min="7950" max="7950" width="9.5" style="96" bestFit="1" customWidth="1"/>
    <col min="7951" max="7968" width="9" style="96"/>
    <col min="7969" max="7969" width="15.875" style="96" bestFit="1" customWidth="1"/>
    <col min="7970" max="7970" width="11.375" style="96" bestFit="1" customWidth="1"/>
    <col min="7971" max="8195" width="9" style="96"/>
    <col min="8196" max="8196" width="10.5" style="96" bestFit="1" customWidth="1"/>
    <col min="8197" max="8205" width="9" style="96"/>
    <col min="8206" max="8206" width="9.5" style="96" bestFit="1" customWidth="1"/>
    <col min="8207" max="8224" width="9" style="96"/>
    <col min="8225" max="8225" width="15.875" style="96" bestFit="1" customWidth="1"/>
    <col min="8226" max="8226" width="11.375" style="96" bestFit="1" customWidth="1"/>
    <col min="8227" max="8451" width="9" style="96"/>
    <col min="8452" max="8452" width="10.5" style="96" bestFit="1" customWidth="1"/>
    <col min="8453" max="8461" width="9" style="96"/>
    <col min="8462" max="8462" width="9.5" style="96" bestFit="1" customWidth="1"/>
    <col min="8463" max="8480" width="9" style="96"/>
    <col min="8481" max="8481" width="15.875" style="96" bestFit="1" customWidth="1"/>
    <col min="8482" max="8482" width="11.375" style="96" bestFit="1" customWidth="1"/>
    <col min="8483" max="8707" width="9" style="96"/>
    <col min="8708" max="8708" width="10.5" style="96" bestFit="1" customWidth="1"/>
    <col min="8709" max="8717" width="9" style="96"/>
    <col min="8718" max="8718" width="9.5" style="96" bestFit="1" customWidth="1"/>
    <col min="8719" max="8736" width="9" style="96"/>
    <col min="8737" max="8737" width="15.875" style="96" bestFit="1" customWidth="1"/>
    <col min="8738" max="8738" width="11.375" style="96" bestFit="1" customWidth="1"/>
    <col min="8739" max="8963" width="9" style="96"/>
    <col min="8964" max="8964" width="10.5" style="96" bestFit="1" customWidth="1"/>
    <col min="8965" max="8973" width="9" style="96"/>
    <col min="8974" max="8974" width="9.5" style="96" bestFit="1" customWidth="1"/>
    <col min="8975" max="8992" width="9" style="96"/>
    <col min="8993" max="8993" width="15.875" style="96" bestFit="1" customWidth="1"/>
    <col min="8994" max="8994" width="11.375" style="96" bestFit="1" customWidth="1"/>
    <col min="8995" max="9219" width="9" style="96"/>
    <col min="9220" max="9220" width="10.5" style="96" bestFit="1" customWidth="1"/>
    <col min="9221" max="9229" width="9" style="96"/>
    <col min="9230" max="9230" width="9.5" style="96" bestFit="1" customWidth="1"/>
    <col min="9231" max="9248" width="9" style="96"/>
    <col min="9249" max="9249" width="15.875" style="96" bestFit="1" customWidth="1"/>
    <col min="9250" max="9250" width="11.375" style="96" bestFit="1" customWidth="1"/>
    <col min="9251" max="9475" width="9" style="96"/>
    <col min="9476" max="9476" width="10.5" style="96" bestFit="1" customWidth="1"/>
    <col min="9477" max="9485" width="9" style="96"/>
    <col min="9486" max="9486" width="9.5" style="96" bestFit="1" customWidth="1"/>
    <col min="9487" max="9504" width="9" style="96"/>
    <col min="9505" max="9505" width="15.875" style="96" bestFit="1" customWidth="1"/>
    <col min="9506" max="9506" width="11.375" style="96" bestFit="1" customWidth="1"/>
    <col min="9507" max="9731" width="9" style="96"/>
    <col min="9732" max="9732" width="10.5" style="96" bestFit="1" customWidth="1"/>
    <col min="9733" max="9741" width="9" style="96"/>
    <col min="9742" max="9742" width="9.5" style="96" bestFit="1" customWidth="1"/>
    <col min="9743" max="9760" width="9" style="96"/>
    <col min="9761" max="9761" width="15.875" style="96" bestFit="1" customWidth="1"/>
    <col min="9762" max="9762" width="11.375" style="96" bestFit="1" customWidth="1"/>
    <col min="9763" max="9987" width="9" style="96"/>
    <col min="9988" max="9988" width="10.5" style="96" bestFit="1" customWidth="1"/>
    <col min="9989" max="9997" width="9" style="96"/>
    <col min="9998" max="9998" width="9.5" style="96" bestFit="1" customWidth="1"/>
    <col min="9999" max="10016" width="9" style="96"/>
    <col min="10017" max="10017" width="15.875" style="96" bestFit="1" customWidth="1"/>
    <col min="10018" max="10018" width="11.375" style="96" bestFit="1" customWidth="1"/>
    <col min="10019" max="10243" width="9" style="96"/>
    <col min="10244" max="10244" width="10.5" style="96" bestFit="1" customWidth="1"/>
    <col min="10245" max="10253" width="9" style="96"/>
    <col min="10254" max="10254" width="9.5" style="96" bestFit="1" customWidth="1"/>
    <col min="10255" max="10272" width="9" style="96"/>
    <col min="10273" max="10273" width="15.875" style="96" bestFit="1" customWidth="1"/>
    <col min="10274" max="10274" width="11.375" style="96" bestFit="1" customWidth="1"/>
    <col min="10275" max="10499" width="9" style="96"/>
    <col min="10500" max="10500" width="10.5" style="96" bestFit="1" customWidth="1"/>
    <col min="10501" max="10509" width="9" style="96"/>
    <col min="10510" max="10510" width="9.5" style="96" bestFit="1" customWidth="1"/>
    <col min="10511" max="10528" width="9" style="96"/>
    <col min="10529" max="10529" width="15.875" style="96" bestFit="1" customWidth="1"/>
    <col min="10530" max="10530" width="11.375" style="96" bestFit="1" customWidth="1"/>
    <col min="10531" max="10755" width="9" style="96"/>
    <col min="10756" max="10756" width="10.5" style="96" bestFit="1" customWidth="1"/>
    <col min="10757" max="10765" width="9" style="96"/>
    <col min="10766" max="10766" width="9.5" style="96" bestFit="1" customWidth="1"/>
    <col min="10767" max="10784" width="9" style="96"/>
    <col min="10785" max="10785" width="15.875" style="96" bestFit="1" customWidth="1"/>
    <col min="10786" max="10786" width="11.375" style="96" bestFit="1" customWidth="1"/>
    <col min="10787" max="11011" width="9" style="96"/>
    <col min="11012" max="11012" width="10.5" style="96" bestFit="1" customWidth="1"/>
    <col min="11013" max="11021" width="9" style="96"/>
    <col min="11022" max="11022" width="9.5" style="96" bestFit="1" customWidth="1"/>
    <col min="11023" max="11040" width="9" style="96"/>
    <col min="11041" max="11041" width="15.875" style="96" bestFit="1" customWidth="1"/>
    <col min="11042" max="11042" width="11.375" style="96" bestFit="1" customWidth="1"/>
    <col min="11043" max="11267" width="9" style="96"/>
    <col min="11268" max="11268" width="10.5" style="96" bestFit="1" customWidth="1"/>
    <col min="11269" max="11277" width="9" style="96"/>
    <col min="11278" max="11278" width="9.5" style="96" bestFit="1" customWidth="1"/>
    <col min="11279" max="11296" width="9" style="96"/>
    <col min="11297" max="11297" width="15.875" style="96" bestFit="1" customWidth="1"/>
    <col min="11298" max="11298" width="11.375" style="96" bestFit="1" customWidth="1"/>
    <col min="11299" max="11523" width="9" style="96"/>
    <col min="11524" max="11524" width="10.5" style="96" bestFit="1" customWidth="1"/>
    <col min="11525" max="11533" width="9" style="96"/>
    <col min="11534" max="11534" width="9.5" style="96" bestFit="1" customWidth="1"/>
    <col min="11535" max="11552" width="9" style="96"/>
    <col min="11553" max="11553" width="15.875" style="96" bestFit="1" customWidth="1"/>
    <col min="11554" max="11554" width="11.375" style="96" bestFit="1" customWidth="1"/>
    <col min="11555" max="11779" width="9" style="96"/>
    <col min="11780" max="11780" width="10.5" style="96" bestFit="1" customWidth="1"/>
    <col min="11781" max="11789" width="9" style="96"/>
    <col min="11790" max="11790" width="9.5" style="96" bestFit="1" customWidth="1"/>
    <col min="11791" max="11808" width="9" style="96"/>
    <col min="11809" max="11809" width="15.875" style="96" bestFit="1" customWidth="1"/>
    <col min="11810" max="11810" width="11.375" style="96" bestFit="1" customWidth="1"/>
    <col min="11811" max="12035" width="9" style="96"/>
    <col min="12036" max="12036" width="10.5" style="96" bestFit="1" customWidth="1"/>
    <col min="12037" max="12045" width="9" style="96"/>
    <col min="12046" max="12046" width="9.5" style="96" bestFit="1" customWidth="1"/>
    <col min="12047" max="12064" width="9" style="96"/>
    <col min="12065" max="12065" width="15.875" style="96" bestFit="1" customWidth="1"/>
    <col min="12066" max="12066" width="11.375" style="96" bestFit="1" customWidth="1"/>
    <col min="12067" max="12291" width="9" style="96"/>
    <col min="12292" max="12292" width="10.5" style="96" bestFit="1" customWidth="1"/>
    <col min="12293" max="12301" width="9" style="96"/>
    <col min="12302" max="12302" width="9.5" style="96" bestFit="1" customWidth="1"/>
    <col min="12303" max="12320" width="9" style="96"/>
    <col min="12321" max="12321" width="15.875" style="96" bestFit="1" customWidth="1"/>
    <col min="12322" max="12322" width="11.375" style="96" bestFit="1" customWidth="1"/>
    <col min="12323" max="12547" width="9" style="96"/>
    <col min="12548" max="12548" width="10.5" style="96" bestFit="1" customWidth="1"/>
    <col min="12549" max="12557" width="9" style="96"/>
    <col min="12558" max="12558" width="9.5" style="96" bestFit="1" customWidth="1"/>
    <col min="12559" max="12576" width="9" style="96"/>
    <col min="12577" max="12577" width="15.875" style="96" bestFit="1" customWidth="1"/>
    <col min="12578" max="12578" width="11.375" style="96" bestFit="1" customWidth="1"/>
    <col min="12579" max="12803" width="9" style="96"/>
    <col min="12804" max="12804" width="10.5" style="96" bestFit="1" customWidth="1"/>
    <col min="12805" max="12813" width="9" style="96"/>
    <col min="12814" max="12814" width="9.5" style="96" bestFit="1" customWidth="1"/>
    <col min="12815" max="12832" width="9" style="96"/>
    <col min="12833" max="12833" width="15.875" style="96" bestFit="1" customWidth="1"/>
    <col min="12834" max="12834" width="11.375" style="96" bestFit="1" customWidth="1"/>
    <col min="12835" max="13059" width="9" style="96"/>
    <col min="13060" max="13060" width="10.5" style="96" bestFit="1" customWidth="1"/>
    <col min="13061" max="13069" width="9" style="96"/>
    <col min="13070" max="13070" width="9.5" style="96" bestFit="1" customWidth="1"/>
    <col min="13071" max="13088" width="9" style="96"/>
    <col min="13089" max="13089" width="15.875" style="96" bestFit="1" customWidth="1"/>
    <col min="13090" max="13090" width="11.375" style="96" bestFit="1" customWidth="1"/>
    <col min="13091" max="13315" width="9" style="96"/>
    <col min="13316" max="13316" width="10.5" style="96" bestFit="1" customWidth="1"/>
    <col min="13317" max="13325" width="9" style="96"/>
    <col min="13326" max="13326" width="9.5" style="96" bestFit="1" customWidth="1"/>
    <col min="13327" max="13344" width="9" style="96"/>
    <col min="13345" max="13345" width="15.875" style="96" bestFit="1" customWidth="1"/>
    <col min="13346" max="13346" width="11.375" style="96" bestFit="1" customWidth="1"/>
    <col min="13347" max="13571" width="9" style="96"/>
    <col min="13572" max="13572" width="10.5" style="96" bestFit="1" customWidth="1"/>
    <col min="13573" max="13581" width="9" style="96"/>
    <col min="13582" max="13582" width="9.5" style="96" bestFit="1" customWidth="1"/>
    <col min="13583" max="13600" width="9" style="96"/>
    <col min="13601" max="13601" width="15.875" style="96" bestFit="1" customWidth="1"/>
    <col min="13602" max="13602" width="11.375" style="96" bestFit="1" customWidth="1"/>
    <col min="13603" max="13827" width="9" style="96"/>
    <col min="13828" max="13828" width="10.5" style="96" bestFit="1" customWidth="1"/>
    <col min="13829" max="13837" width="9" style="96"/>
    <col min="13838" max="13838" width="9.5" style="96" bestFit="1" customWidth="1"/>
    <col min="13839" max="13856" width="9" style="96"/>
    <col min="13857" max="13857" width="15.875" style="96" bestFit="1" customWidth="1"/>
    <col min="13858" max="13858" width="11.375" style="96" bestFit="1" customWidth="1"/>
    <col min="13859" max="14083" width="9" style="96"/>
    <col min="14084" max="14084" width="10.5" style="96" bestFit="1" customWidth="1"/>
    <col min="14085" max="14093" width="9" style="96"/>
    <col min="14094" max="14094" width="9.5" style="96" bestFit="1" customWidth="1"/>
    <col min="14095" max="14112" width="9" style="96"/>
    <col min="14113" max="14113" width="15.875" style="96" bestFit="1" customWidth="1"/>
    <col min="14114" max="14114" width="11.375" style="96" bestFit="1" customWidth="1"/>
    <col min="14115" max="14339" width="9" style="96"/>
    <col min="14340" max="14340" width="10.5" style="96" bestFit="1" customWidth="1"/>
    <col min="14341" max="14349" width="9" style="96"/>
    <col min="14350" max="14350" width="9.5" style="96" bestFit="1" customWidth="1"/>
    <col min="14351" max="14368" width="9" style="96"/>
    <col min="14369" max="14369" width="15.875" style="96" bestFit="1" customWidth="1"/>
    <col min="14370" max="14370" width="11.375" style="96" bestFit="1" customWidth="1"/>
    <col min="14371" max="14595" width="9" style="96"/>
    <col min="14596" max="14596" width="10.5" style="96" bestFit="1" customWidth="1"/>
    <col min="14597" max="14605" width="9" style="96"/>
    <col min="14606" max="14606" width="9.5" style="96" bestFit="1" customWidth="1"/>
    <col min="14607" max="14624" width="9" style="96"/>
    <col min="14625" max="14625" width="15.875" style="96" bestFit="1" customWidth="1"/>
    <col min="14626" max="14626" width="11.375" style="96" bestFit="1" customWidth="1"/>
    <col min="14627" max="14851" width="9" style="96"/>
    <col min="14852" max="14852" width="10.5" style="96" bestFit="1" customWidth="1"/>
    <col min="14853" max="14861" width="9" style="96"/>
    <col min="14862" max="14862" width="9.5" style="96" bestFit="1" customWidth="1"/>
    <col min="14863" max="14880" width="9" style="96"/>
    <col min="14881" max="14881" width="15.875" style="96" bestFit="1" customWidth="1"/>
    <col min="14882" max="14882" width="11.375" style="96" bestFit="1" customWidth="1"/>
    <col min="14883" max="15107" width="9" style="96"/>
    <col min="15108" max="15108" width="10.5" style="96" bestFit="1" customWidth="1"/>
    <col min="15109" max="15117" width="9" style="96"/>
    <col min="15118" max="15118" width="9.5" style="96" bestFit="1" customWidth="1"/>
    <col min="15119" max="15136" width="9" style="96"/>
    <col min="15137" max="15137" width="15.875" style="96" bestFit="1" customWidth="1"/>
    <col min="15138" max="15138" width="11.375" style="96" bestFit="1" customWidth="1"/>
    <col min="15139" max="15363" width="9" style="96"/>
    <col min="15364" max="15364" width="10.5" style="96" bestFit="1" customWidth="1"/>
    <col min="15365" max="15373" width="9" style="96"/>
    <col min="15374" max="15374" width="9.5" style="96" bestFit="1" customWidth="1"/>
    <col min="15375" max="15392" width="9" style="96"/>
    <col min="15393" max="15393" width="15.875" style="96" bestFit="1" customWidth="1"/>
    <col min="15394" max="15394" width="11.375" style="96" bestFit="1" customWidth="1"/>
    <col min="15395" max="15619" width="9" style="96"/>
    <col min="15620" max="15620" width="10.5" style="96" bestFit="1" customWidth="1"/>
    <col min="15621" max="15629" width="9" style="96"/>
    <col min="15630" max="15630" width="9.5" style="96" bestFit="1" customWidth="1"/>
    <col min="15631" max="15648" width="9" style="96"/>
    <col min="15649" max="15649" width="15.875" style="96" bestFit="1" customWidth="1"/>
    <col min="15650" max="15650" width="11.375" style="96" bestFit="1" customWidth="1"/>
    <col min="15651" max="15875" width="9" style="96"/>
    <col min="15876" max="15876" width="10.5" style="96" bestFit="1" customWidth="1"/>
    <col min="15877" max="15885" width="9" style="96"/>
    <col min="15886" max="15886" width="9.5" style="96" bestFit="1" customWidth="1"/>
    <col min="15887" max="15904" width="9" style="96"/>
    <col min="15905" max="15905" width="15.875" style="96" bestFit="1" customWidth="1"/>
    <col min="15906" max="15906" width="11.375" style="96" bestFit="1" customWidth="1"/>
    <col min="15907" max="16131" width="9" style="96"/>
    <col min="16132" max="16132" width="10.5" style="96" bestFit="1" customWidth="1"/>
    <col min="16133" max="16141" width="9" style="96"/>
    <col min="16142" max="16142" width="9.5" style="96" bestFit="1" customWidth="1"/>
    <col min="16143" max="16160" width="9" style="96"/>
    <col min="16161" max="16161" width="15.875" style="96" bestFit="1" customWidth="1"/>
    <col min="16162" max="16162" width="11.375" style="96" bestFit="1" customWidth="1"/>
    <col min="16163" max="16384" width="9" style="96"/>
  </cols>
  <sheetData>
    <row r="1" spans="1:53" ht="45" x14ac:dyDescent="0.15">
      <c r="A1" s="83" t="s">
        <v>0</v>
      </c>
      <c r="B1" s="90" t="s">
        <v>1</v>
      </c>
      <c r="C1" s="90" t="s">
        <v>212</v>
      </c>
      <c r="D1" s="91" t="s">
        <v>3</v>
      </c>
      <c r="E1" s="84" t="s">
        <v>4</v>
      </c>
      <c r="F1" s="84" t="s">
        <v>5</v>
      </c>
      <c r="G1" s="84" t="s">
        <v>6</v>
      </c>
      <c r="H1" s="84" t="s">
        <v>7</v>
      </c>
      <c r="I1" s="84" t="s">
        <v>8</v>
      </c>
      <c r="J1" s="84" t="s">
        <v>9</v>
      </c>
      <c r="K1" s="84" t="s">
        <v>10</v>
      </c>
      <c r="L1" s="91" t="s">
        <v>213</v>
      </c>
      <c r="M1" s="91" t="s">
        <v>12</v>
      </c>
      <c r="N1" s="91" t="s">
        <v>13</v>
      </c>
      <c r="O1" s="91" t="s">
        <v>214</v>
      </c>
      <c r="P1" s="91" t="s">
        <v>215</v>
      </c>
      <c r="Q1" s="92" t="s">
        <v>16</v>
      </c>
      <c r="R1" s="91" t="s">
        <v>216</v>
      </c>
      <c r="S1" s="91" t="s">
        <v>217</v>
      </c>
      <c r="T1" s="92" t="s">
        <v>19</v>
      </c>
      <c r="U1" s="93" t="s">
        <v>108</v>
      </c>
      <c r="V1" s="94" t="s">
        <v>20</v>
      </c>
      <c r="W1" s="91" t="s">
        <v>21</v>
      </c>
      <c r="X1" s="84" t="s">
        <v>22</v>
      </c>
      <c r="Y1" s="84" t="s">
        <v>23</v>
      </c>
      <c r="Z1" s="84" t="s">
        <v>24</v>
      </c>
      <c r="AA1" s="85" t="s">
        <v>25</v>
      </c>
      <c r="AB1" s="95" t="s">
        <v>218</v>
      </c>
      <c r="AE1" s="97" t="s">
        <v>0</v>
      </c>
      <c r="AF1" s="98"/>
      <c r="AG1" s="97" t="s">
        <v>4</v>
      </c>
      <c r="AH1" s="97" t="s">
        <v>5</v>
      </c>
      <c r="AI1" s="98"/>
      <c r="AJ1" s="97" t="s">
        <v>6</v>
      </c>
      <c r="AK1" s="98"/>
      <c r="AL1" s="99" t="s">
        <v>7</v>
      </c>
      <c r="AM1" s="98"/>
      <c r="AN1" s="99" t="s">
        <v>8</v>
      </c>
      <c r="AO1" s="98"/>
      <c r="AP1" s="99" t="s">
        <v>27</v>
      </c>
      <c r="AQ1" s="98"/>
      <c r="AR1" s="99" t="s">
        <v>10</v>
      </c>
      <c r="AS1" s="98"/>
      <c r="AT1" s="100" t="s">
        <v>28</v>
      </c>
      <c r="AU1" s="98"/>
      <c r="AV1" s="99" t="s">
        <v>29</v>
      </c>
      <c r="AX1" s="101" t="s">
        <v>219</v>
      </c>
      <c r="AY1" s="102" t="s">
        <v>220</v>
      </c>
      <c r="AZ1" s="102" t="s">
        <v>221</v>
      </c>
      <c r="BA1" s="103" t="s">
        <v>222</v>
      </c>
    </row>
    <row r="2" spans="1:53" s="104" customFormat="1" x14ac:dyDescent="0.15">
      <c r="A2" s="55" t="s">
        <v>56</v>
      </c>
      <c r="B2" s="55" t="s">
        <v>223</v>
      </c>
      <c r="C2" s="104">
        <v>2018</v>
      </c>
      <c r="D2" s="86" t="s">
        <v>224</v>
      </c>
      <c r="E2" s="104" t="s">
        <v>225</v>
      </c>
      <c r="F2" s="104" t="s">
        <v>168</v>
      </c>
      <c r="G2" s="55" t="s">
        <v>42</v>
      </c>
      <c r="H2" s="104" t="s">
        <v>155</v>
      </c>
      <c r="I2" s="55" t="s">
        <v>153</v>
      </c>
      <c r="J2" s="104" t="s">
        <v>38</v>
      </c>
      <c r="K2" s="104" t="s">
        <v>154</v>
      </c>
      <c r="L2" s="104">
        <v>1</v>
      </c>
      <c r="N2" s="96">
        <v>1</v>
      </c>
      <c r="O2" s="104">
        <v>0.6</v>
      </c>
      <c r="P2" s="96">
        <v>0.5</v>
      </c>
      <c r="Q2" s="129">
        <f t="shared" ref="Q2:Q52" si="0">IF(OR(O2="",P2=""),"",AVERAGE(O2,P2))</f>
        <v>0.55000000000000004</v>
      </c>
      <c r="R2" s="104">
        <v>14.5</v>
      </c>
      <c r="S2" s="104">
        <v>127</v>
      </c>
      <c r="T2" s="105">
        <f t="shared" ref="T2:T52" si="1">IF(H2="","",IF(OR(H2="GREEN",H2="GK"),IF(S2&gt;=$AX$2,VLOOKUP(S2,$AX$2:$AY$10,2,1),""),IF(S2&gt;=$AZ$2,VLOOKUP(S2,$AZ$2:$BA$10,2,1),"")))</f>
        <v>27</v>
      </c>
      <c r="U2" s="104">
        <v>108</v>
      </c>
      <c r="V2" s="105">
        <f t="shared" ref="V2:V52" si="2">IF(OR(N2="",U2="",T2=""),"",U2/N2*T2)</f>
        <v>2916</v>
      </c>
      <c r="W2" s="104">
        <v>2</v>
      </c>
      <c r="X2" s="55" t="s">
        <v>46</v>
      </c>
      <c r="Y2" s="55" t="s">
        <v>84</v>
      </c>
      <c r="Z2" s="104" t="s">
        <v>90</v>
      </c>
      <c r="AA2" s="55" t="s">
        <v>40</v>
      </c>
      <c r="AB2" s="39" t="s">
        <v>195</v>
      </c>
      <c r="AE2" s="106" t="s">
        <v>35</v>
      </c>
      <c r="AG2" s="119" t="s">
        <v>226</v>
      </c>
      <c r="AH2" s="87" t="s">
        <v>168</v>
      </c>
      <c r="AJ2" s="107" t="s">
        <v>36</v>
      </c>
      <c r="AL2" s="107" t="s">
        <v>127</v>
      </c>
      <c r="AN2" s="107" t="s">
        <v>37</v>
      </c>
      <c r="AP2" s="107" t="s">
        <v>38</v>
      </c>
      <c r="AR2" s="107" t="s">
        <v>227</v>
      </c>
      <c r="AT2" s="107" t="s">
        <v>39</v>
      </c>
      <c r="AV2" s="107" t="s">
        <v>40</v>
      </c>
      <c r="AX2" s="108">
        <v>1</v>
      </c>
      <c r="AY2" s="109">
        <v>50</v>
      </c>
      <c r="AZ2" s="109">
        <v>1</v>
      </c>
      <c r="BA2" s="110">
        <v>50</v>
      </c>
    </row>
    <row r="3" spans="1:53" x14ac:dyDescent="0.15">
      <c r="A3" s="55" t="s">
        <v>56</v>
      </c>
      <c r="B3" s="55" t="s">
        <v>223</v>
      </c>
      <c r="C3" s="104">
        <v>2018</v>
      </c>
      <c r="D3" s="86" t="s">
        <v>224</v>
      </c>
      <c r="E3" s="104" t="s">
        <v>225</v>
      </c>
      <c r="F3" s="104" t="s">
        <v>168</v>
      </c>
      <c r="G3" s="55" t="s">
        <v>42</v>
      </c>
      <c r="H3" s="104" t="s">
        <v>155</v>
      </c>
      <c r="I3" s="55" t="s">
        <v>153</v>
      </c>
      <c r="J3" s="104" t="s">
        <v>38</v>
      </c>
      <c r="K3" s="104" t="s">
        <v>154</v>
      </c>
      <c r="L3" s="96">
        <v>2</v>
      </c>
      <c r="N3" s="96">
        <v>1</v>
      </c>
      <c r="O3" s="96">
        <v>0.9</v>
      </c>
      <c r="P3" s="96">
        <v>1.05</v>
      </c>
      <c r="Q3" s="129">
        <f t="shared" si="0"/>
        <v>0.97500000000000009</v>
      </c>
      <c r="R3" s="96">
        <v>11.7</v>
      </c>
      <c r="S3" s="96">
        <v>123</v>
      </c>
      <c r="T3" s="105">
        <f t="shared" si="1"/>
        <v>27</v>
      </c>
      <c r="U3" s="96">
        <v>108</v>
      </c>
      <c r="V3" s="105">
        <f t="shared" si="2"/>
        <v>2916</v>
      </c>
      <c r="W3" s="96">
        <v>2</v>
      </c>
      <c r="X3" s="55" t="s">
        <v>46</v>
      </c>
      <c r="Y3" s="55" t="s">
        <v>84</v>
      </c>
      <c r="Z3" s="104" t="s">
        <v>90</v>
      </c>
      <c r="AA3" s="55" t="s">
        <v>40</v>
      </c>
      <c r="AB3" s="39" t="s">
        <v>195</v>
      </c>
      <c r="AE3" s="111" t="s">
        <v>41</v>
      </c>
      <c r="AG3" s="119" t="s">
        <v>226</v>
      </c>
      <c r="AH3" s="87" t="s">
        <v>169</v>
      </c>
      <c r="AJ3" s="112" t="s">
        <v>42</v>
      </c>
      <c r="AL3" s="112" t="s">
        <v>128</v>
      </c>
      <c r="AN3" s="112" t="s">
        <v>43</v>
      </c>
      <c r="AP3" s="112" t="s">
        <v>44</v>
      </c>
      <c r="AR3" s="122" t="s">
        <v>45</v>
      </c>
      <c r="AT3" s="112" t="s">
        <v>46</v>
      </c>
      <c r="AV3" s="112" t="s">
        <v>47</v>
      </c>
      <c r="AX3" s="113">
        <v>72</v>
      </c>
      <c r="AY3" s="114">
        <v>46</v>
      </c>
      <c r="AZ3" s="114">
        <v>71</v>
      </c>
      <c r="BA3" s="115">
        <v>42</v>
      </c>
    </row>
    <row r="4" spans="1:53" x14ac:dyDescent="0.15">
      <c r="A4" s="55" t="s">
        <v>56</v>
      </c>
      <c r="B4" s="55" t="s">
        <v>223</v>
      </c>
      <c r="C4" s="104">
        <v>2018</v>
      </c>
      <c r="D4" s="86" t="s">
        <v>224</v>
      </c>
      <c r="E4" s="104" t="s">
        <v>225</v>
      </c>
      <c r="F4" s="104" t="s">
        <v>168</v>
      </c>
      <c r="G4" s="55" t="s">
        <v>42</v>
      </c>
      <c r="H4" s="104" t="s">
        <v>155</v>
      </c>
      <c r="I4" s="55" t="s">
        <v>153</v>
      </c>
      <c r="J4" s="104" t="s">
        <v>38</v>
      </c>
      <c r="K4" s="104" t="s">
        <v>154</v>
      </c>
      <c r="L4" s="96">
        <v>3</v>
      </c>
      <c r="N4" s="96">
        <v>1</v>
      </c>
      <c r="O4" s="96">
        <v>0.85</v>
      </c>
      <c r="P4" s="96">
        <v>0.95</v>
      </c>
      <c r="Q4" s="129">
        <f t="shared" si="0"/>
        <v>0.89999999999999991</v>
      </c>
      <c r="R4" s="96">
        <v>14.3</v>
      </c>
      <c r="S4" s="96">
        <v>126</v>
      </c>
      <c r="T4" s="105">
        <f t="shared" si="1"/>
        <v>27</v>
      </c>
      <c r="U4" s="96">
        <v>108</v>
      </c>
      <c r="V4" s="105">
        <f t="shared" si="2"/>
        <v>2916</v>
      </c>
      <c r="W4" s="96">
        <v>2</v>
      </c>
      <c r="X4" s="55" t="s">
        <v>46</v>
      </c>
      <c r="Y4" s="55" t="s">
        <v>84</v>
      </c>
      <c r="Z4" s="104" t="s">
        <v>90</v>
      </c>
      <c r="AA4" s="55" t="s">
        <v>40</v>
      </c>
      <c r="AB4" s="39" t="s">
        <v>195</v>
      </c>
      <c r="AE4" s="111" t="s">
        <v>34</v>
      </c>
      <c r="AG4" s="119" t="s">
        <v>228</v>
      </c>
      <c r="AH4" s="87" t="s">
        <v>229</v>
      </c>
      <c r="AJ4" s="116" t="s">
        <v>48</v>
      </c>
      <c r="AL4" s="116" t="s">
        <v>170</v>
      </c>
      <c r="AN4" s="117" t="s">
        <v>49</v>
      </c>
      <c r="AP4" s="112" t="s">
        <v>230</v>
      </c>
      <c r="AR4" s="122" t="s">
        <v>231</v>
      </c>
      <c r="AT4" s="117"/>
      <c r="AV4" s="112" t="s">
        <v>50</v>
      </c>
      <c r="AX4" s="113">
        <v>75</v>
      </c>
      <c r="AY4" s="114">
        <v>42</v>
      </c>
      <c r="AZ4" s="114">
        <v>76</v>
      </c>
      <c r="BA4" s="115">
        <v>39</v>
      </c>
    </row>
    <row r="5" spans="1:53" x14ac:dyDescent="0.15">
      <c r="A5" s="55" t="s">
        <v>56</v>
      </c>
      <c r="B5" s="55" t="s">
        <v>223</v>
      </c>
      <c r="C5" s="104">
        <v>2018</v>
      </c>
      <c r="D5" s="86" t="s">
        <v>224</v>
      </c>
      <c r="E5" s="104" t="s">
        <v>225</v>
      </c>
      <c r="F5" s="104" t="s">
        <v>168</v>
      </c>
      <c r="G5" s="55" t="s">
        <v>42</v>
      </c>
      <c r="H5" s="104" t="s">
        <v>174</v>
      </c>
      <c r="I5" s="55" t="s">
        <v>153</v>
      </c>
      <c r="J5" s="104" t="s">
        <v>38</v>
      </c>
      <c r="K5" s="104" t="s">
        <v>87</v>
      </c>
      <c r="L5" s="104">
        <v>1</v>
      </c>
      <c r="M5" s="104"/>
      <c r="N5" s="96">
        <v>1</v>
      </c>
      <c r="O5" s="104">
        <v>0.65</v>
      </c>
      <c r="P5" s="96">
        <v>0.6</v>
      </c>
      <c r="Q5" s="129">
        <f t="shared" si="0"/>
        <v>0.625</v>
      </c>
      <c r="R5" s="104">
        <v>17.5</v>
      </c>
      <c r="S5" s="104">
        <v>110</v>
      </c>
      <c r="T5" s="105">
        <f t="shared" si="1"/>
        <v>33</v>
      </c>
      <c r="U5" s="104">
        <v>108</v>
      </c>
      <c r="V5" s="105">
        <f t="shared" si="2"/>
        <v>3564</v>
      </c>
      <c r="W5" s="104">
        <v>1</v>
      </c>
      <c r="X5" s="55" t="s">
        <v>46</v>
      </c>
      <c r="Y5" s="55" t="s">
        <v>84</v>
      </c>
      <c r="Z5" s="104" t="s">
        <v>90</v>
      </c>
      <c r="AA5" s="55" t="s">
        <v>40</v>
      </c>
      <c r="AB5" s="39" t="s">
        <v>195</v>
      </c>
      <c r="AE5" s="111" t="s">
        <v>51</v>
      </c>
      <c r="AG5" s="119" t="s">
        <v>232</v>
      </c>
      <c r="AH5" s="87" t="s">
        <v>233</v>
      </c>
      <c r="AJ5" s="117"/>
      <c r="AL5" s="118" t="s">
        <v>234</v>
      </c>
      <c r="AN5" s="118" t="s">
        <v>235</v>
      </c>
      <c r="AP5" s="112" t="s">
        <v>236</v>
      </c>
      <c r="AR5" s="122" t="s">
        <v>54</v>
      </c>
      <c r="AV5" s="112" t="s">
        <v>55</v>
      </c>
      <c r="AX5" s="113">
        <v>84</v>
      </c>
      <c r="AY5" s="114">
        <v>39</v>
      </c>
      <c r="AZ5" s="114">
        <v>84</v>
      </c>
      <c r="BA5" s="115">
        <v>36</v>
      </c>
    </row>
    <row r="6" spans="1:53" x14ac:dyDescent="0.15">
      <c r="A6" s="55" t="s">
        <v>56</v>
      </c>
      <c r="B6" s="55" t="s">
        <v>237</v>
      </c>
      <c r="C6" s="104">
        <v>2018</v>
      </c>
      <c r="D6" s="86" t="s">
        <v>238</v>
      </c>
      <c r="E6" s="104" t="s">
        <v>225</v>
      </c>
      <c r="F6" s="104" t="s">
        <v>168</v>
      </c>
      <c r="G6" s="55" t="s">
        <v>42</v>
      </c>
      <c r="H6" s="104" t="s">
        <v>174</v>
      </c>
      <c r="I6" s="55" t="s">
        <v>153</v>
      </c>
      <c r="J6" s="104" t="s">
        <v>38</v>
      </c>
      <c r="K6" s="104" t="s">
        <v>87</v>
      </c>
      <c r="L6" s="96">
        <v>2</v>
      </c>
      <c r="N6" s="96">
        <v>1</v>
      </c>
      <c r="O6" s="96">
        <v>0.55000000000000004</v>
      </c>
      <c r="P6" s="96">
        <v>0.5</v>
      </c>
      <c r="Q6" s="129">
        <f t="shared" si="0"/>
        <v>0.52500000000000002</v>
      </c>
      <c r="R6" s="96">
        <v>16.5</v>
      </c>
      <c r="S6" s="96">
        <v>117</v>
      </c>
      <c r="T6" s="105">
        <f t="shared" si="1"/>
        <v>33</v>
      </c>
      <c r="U6" s="96">
        <v>108</v>
      </c>
      <c r="V6" s="105">
        <f t="shared" si="2"/>
        <v>3564</v>
      </c>
      <c r="W6" s="96">
        <v>1</v>
      </c>
      <c r="X6" s="55" t="s">
        <v>46</v>
      </c>
      <c r="Y6" s="55" t="s">
        <v>84</v>
      </c>
      <c r="Z6" s="104" t="s">
        <v>90</v>
      </c>
      <c r="AA6" s="55" t="s">
        <v>40</v>
      </c>
      <c r="AB6" s="39" t="s">
        <v>195</v>
      </c>
      <c r="AE6" s="111" t="s">
        <v>56</v>
      </c>
      <c r="AG6" s="119" t="s">
        <v>239</v>
      </c>
      <c r="AH6" s="87" t="s">
        <v>233</v>
      </c>
      <c r="AL6" s="118" t="s">
        <v>240</v>
      </c>
      <c r="AN6" s="118" t="s">
        <v>241</v>
      </c>
      <c r="AP6" s="112" t="s">
        <v>53</v>
      </c>
      <c r="AR6" s="122" t="s">
        <v>59</v>
      </c>
      <c r="AV6" s="112" t="s">
        <v>60</v>
      </c>
      <c r="AX6" s="113">
        <v>97</v>
      </c>
      <c r="AY6" s="114">
        <v>36</v>
      </c>
      <c r="AZ6" s="114">
        <v>99</v>
      </c>
      <c r="BA6" s="115">
        <v>33</v>
      </c>
    </row>
    <row r="7" spans="1:53" x14ac:dyDescent="0.15">
      <c r="A7" s="55" t="s">
        <v>56</v>
      </c>
      <c r="B7" s="55" t="s">
        <v>237</v>
      </c>
      <c r="C7" s="104">
        <v>2018</v>
      </c>
      <c r="D7" s="86" t="s">
        <v>238</v>
      </c>
      <c r="E7" s="104" t="s">
        <v>225</v>
      </c>
      <c r="F7" s="104" t="s">
        <v>168</v>
      </c>
      <c r="G7" s="55" t="s">
        <v>42</v>
      </c>
      <c r="H7" s="104" t="s">
        <v>174</v>
      </c>
      <c r="I7" s="55" t="s">
        <v>153</v>
      </c>
      <c r="J7" s="104" t="s">
        <v>38</v>
      </c>
      <c r="K7" s="104" t="s">
        <v>87</v>
      </c>
      <c r="L7" s="96">
        <v>3</v>
      </c>
      <c r="N7" s="96">
        <v>1</v>
      </c>
      <c r="O7" s="96">
        <v>0.75</v>
      </c>
      <c r="P7" s="96">
        <v>0.8</v>
      </c>
      <c r="Q7" s="129">
        <f t="shared" si="0"/>
        <v>0.77500000000000002</v>
      </c>
      <c r="R7" s="96">
        <v>17.600000000000001</v>
      </c>
      <c r="S7" s="96">
        <v>114</v>
      </c>
      <c r="T7" s="105">
        <f t="shared" si="1"/>
        <v>33</v>
      </c>
      <c r="U7" s="96">
        <v>108</v>
      </c>
      <c r="V7" s="105">
        <f t="shared" si="2"/>
        <v>3564</v>
      </c>
      <c r="W7" s="96">
        <v>1</v>
      </c>
      <c r="X7" s="55" t="s">
        <v>46</v>
      </c>
      <c r="Y7" s="55" t="s">
        <v>84</v>
      </c>
      <c r="Z7" s="104" t="s">
        <v>90</v>
      </c>
      <c r="AA7" s="55" t="s">
        <v>40</v>
      </c>
      <c r="AB7" s="39" t="s">
        <v>195</v>
      </c>
      <c r="AE7" s="111" t="s">
        <v>61</v>
      </c>
      <c r="AG7" s="119" t="s">
        <v>242</v>
      </c>
      <c r="AH7" s="87" t="s">
        <v>172</v>
      </c>
      <c r="AL7" s="88" t="s">
        <v>243</v>
      </c>
      <c r="AP7" s="112" t="s">
        <v>58</v>
      </c>
      <c r="AR7" s="119" t="s">
        <v>122</v>
      </c>
      <c r="AV7" s="112" t="s">
        <v>64</v>
      </c>
      <c r="AX7" s="113">
        <v>109</v>
      </c>
      <c r="AY7" s="114">
        <v>33</v>
      </c>
      <c r="AZ7" s="114">
        <v>113</v>
      </c>
      <c r="BA7" s="115">
        <v>30</v>
      </c>
    </row>
    <row r="8" spans="1:53" x14ac:dyDescent="0.15">
      <c r="A8" s="55" t="s">
        <v>56</v>
      </c>
      <c r="B8" s="55" t="s">
        <v>244</v>
      </c>
      <c r="C8" s="104">
        <v>2018</v>
      </c>
      <c r="D8" s="86" t="s">
        <v>245</v>
      </c>
      <c r="E8" s="104" t="s">
        <v>225</v>
      </c>
      <c r="F8" s="104" t="s">
        <v>169</v>
      </c>
      <c r="G8" s="55" t="s">
        <v>42</v>
      </c>
      <c r="H8" s="104" t="s">
        <v>155</v>
      </c>
      <c r="I8" s="55" t="s">
        <v>153</v>
      </c>
      <c r="J8" s="104" t="s">
        <v>38</v>
      </c>
      <c r="K8" s="104" t="s">
        <v>154</v>
      </c>
      <c r="L8" s="96">
        <v>1</v>
      </c>
      <c r="N8" s="96">
        <v>1</v>
      </c>
      <c r="O8" s="96">
        <v>0.8</v>
      </c>
      <c r="P8" s="96">
        <v>0.75</v>
      </c>
      <c r="Q8" s="129">
        <f t="shared" si="0"/>
        <v>0.77500000000000002</v>
      </c>
      <c r="R8" s="96">
        <v>13.1</v>
      </c>
      <c r="S8" s="96">
        <v>124</v>
      </c>
      <c r="T8" s="105">
        <f t="shared" si="1"/>
        <v>27</v>
      </c>
      <c r="U8" s="96">
        <v>138</v>
      </c>
      <c r="V8" s="105">
        <f t="shared" si="2"/>
        <v>3726</v>
      </c>
      <c r="W8" s="96">
        <v>2</v>
      </c>
      <c r="X8" s="55" t="s">
        <v>46</v>
      </c>
      <c r="Y8" s="55" t="s">
        <v>84</v>
      </c>
      <c r="Z8" s="104" t="s">
        <v>90</v>
      </c>
      <c r="AA8" s="55" t="s">
        <v>40</v>
      </c>
      <c r="AB8" s="39" t="s">
        <v>195</v>
      </c>
      <c r="AE8" s="111" t="s">
        <v>59</v>
      </c>
      <c r="AG8" s="119" t="s">
        <v>246</v>
      </c>
      <c r="AH8" s="87" t="s">
        <v>172</v>
      </c>
      <c r="AL8" s="88" t="s">
        <v>209</v>
      </c>
      <c r="AP8" s="112" t="s">
        <v>62</v>
      </c>
      <c r="AR8" s="122" t="s">
        <v>81</v>
      </c>
      <c r="AV8" s="112" t="s">
        <v>97</v>
      </c>
      <c r="AX8" s="113">
        <v>119</v>
      </c>
      <c r="AY8" s="114">
        <v>30</v>
      </c>
      <c r="AZ8" s="114">
        <v>121</v>
      </c>
      <c r="BA8" s="115">
        <v>27</v>
      </c>
    </row>
    <row r="9" spans="1:53" x14ac:dyDescent="0.15">
      <c r="A9" s="55" t="s">
        <v>56</v>
      </c>
      <c r="B9" s="55" t="s">
        <v>244</v>
      </c>
      <c r="C9" s="104">
        <v>2018</v>
      </c>
      <c r="D9" s="86" t="s">
        <v>245</v>
      </c>
      <c r="E9" s="104" t="s">
        <v>225</v>
      </c>
      <c r="F9" s="104" t="s">
        <v>169</v>
      </c>
      <c r="G9" s="55" t="s">
        <v>42</v>
      </c>
      <c r="H9" s="104" t="s">
        <v>155</v>
      </c>
      <c r="I9" s="55" t="s">
        <v>153</v>
      </c>
      <c r="J9" s="104" t="s">
        <v>38</v>
      </c>
      <c r="K9" s="104" t="s">
        <v>154</v>
      </c>
      <c r="L9" s="96">
        <v>2</v>
      </c>
      <c r="N9" s="96">
        <v>1</v>
      </c>
      <c r="O9" s="96">
        <v>1</v>
      </c>
      <c r="P9" s="96">
        <v>1.1000000000000001</v>
      </c>
      <c r="Q9" s="129">
        <f t="shared" si="0"/>
        <v>1.05</v>
      </c>
      <c r="R9" s="96">
        <v>13.1</v>
      </c>
      <c r="S9" s="96">
        <v>131</v>
      </c>
      <c r="T9" s="105">
        <f t="shared" si="1"/>
        <v>25</v>
      </c>
      <c r="U9" s="96">
        <v>138</v>
      </c>
      <c r="V9" s="105">
        <f t="shared" si="2"/>
        <v>3450</v>
      </c>
      <c r="W9" s="96">
        <v>2</v>
      </c>
      <c r="X9" s="55" t="s">
        <v>46</v>
      </c>
      <c r="Y9" s="55" t="s">
        <v>84</v>
      </c>
      <c r="Z9" s="104" t="s">
        <v>90</v>
      </c>
      <c r="AA9" s="55" t="s">
        <v>40</v>
      </c>
      <c r="AB9" s="39" t="s">
        <v>195</v>
      </c>
      <c r="AE9" s="111" t="s">
        <v>98</v>
      </c>
      <c r="AG9" s="119" t="s">
        <v>173</v>
      </c>
      <c r="AH9" s="119" t="s">
        <v>169</v>
      </c>
      <c r="AL9" s="118"/>
      <c r="AP9" s="112" t="s">
        <v>95</v>
      </c>
      <c r="AR9" s="119" t="s">
        <v>89</v>
      </c>
      <c r="AV9" s="112" t="s">
        <v>102</v>
      </c>
      <c r="AX9" s="113">
        <v>128</v>
      </c>
      <c r="AY9" s="114">
        <v>27</v>
      </c>
      <c r="AZ9" s="114">
        <v>129</v>
      </c>
      <c r="BA9" s="115">
        <v>25</v>
      </c>
    </row>
    <row r="10" spans="1:53" x14ac:dyDescent="0.15">
      <c r="A10" s="55" t="s">
        <v>56</v>
      </c>
      <c r="B10" s="55" t="s">
        <v>247</v>
      </c>
      <c r="C10" s="104">
        <v>2018</v>
      </c>
      <c r="D10" s="86" t="s">
        <v>248</v>
      </c>
      <c r="E10" s="104" t="s">
        <v>225</v>
      </c>
      <c r="F10" s="104" t="s">
        <v>169</v>
      </c>
      <c r="G10" s="55" t="s">
        <v>42</v>
      </c>
      <c r="H10" s="104" t="s">
        <v>155</v>
      </c>
      <c r="I10" s="55" t="s">
        <v>153</v>
      </c>
      <c r="J10" s="104" t="s">
        <v>38</v>
      </c>
      <c r="K10" s="104" t="s">
        <v>154</v>
      </c>
      <c r="L10" s="96">
        <v>3</v>
      </c>
      <c r="N10" s="96">
        <v>1</v>
      </c>
      <c r="O10" s="96">
        <v>1.05</v>
      </c>
      <c r="P10" s="96">
        <v>1.05</v>
      </c>
      <c r="Q10" s="129">
        <f t="shared" si="0"/>
        <v>1.05</v>
      </c>
      <c r="R10" s="121">
        <v>12</v>
      </c>
      <c r="S10" s="96">
        <v>134</v>
      </c>
      <c r="T10" s="105">
        <f t="shared" si="1"/>
        <v>25</v>
      </c>
      <c r="U10" s="96">
        <v>138</v>
      </c>
      <c r="V10" s="105">
        <f t="shared" si="2"/>
        <v>3450</v>
      </c>
      <c r="W10" s="96">
        <v>2</v>
      </c>
      <c r="X10" s="55" t="s">
        <v>46</v>
      </c>
      <c r="Y10" s="55" t="s">
        <v>84</v>
      </c>
      <c r="Z10" s="104" t="s">
        <v>90</v>
      </c>
      <c r="AA10" s="55" t="s">
        <v>40</v>
      </c>
      <c r="AB10" s="39" t="s">
        <v>195</v>
      </c>
      <c r="AE10" s="111" t="s">
        <v>103</v>
      </c>
      <c r="AG10" s="119" t="s">
        <v>249</v>
      </c>
      <c r="AH10" s="87" t="s">
        <v>250</v>
      </c>
      <c r="AL10" s="88"/>
      <c r="AP10" s="112" t="s">
        <v>100</v>
      </c>
      <c r="AR10" s="119" t="s">
        <v>123</v>
      </c>
      <c r="AV10" s="112" t="s">
        <v>106</v>
      </c>
      <c r="AX10" s="113">
        <v>138</v>
      </c>
      <c r="AY10" s="114">
        <v>25</v>
      </c>
      <c r="AZ10" s="114">
        <v>138</v>
      </c>
      <c r="BA10" s="115">
        <v>22</v>
      </c>
    </row>
    <row r="11" spans="1:53" x14ac:dyDescent="0.15">
      <c r="A11" s="55" t="s">
        <v>56</v>
      </c>
      <c r="B11" s="55" t="s">
        <v>247</v>
      </c>
      <c r="C11" s="104">
        <v>2018</v>
      </c>
      <c r="D11" s="86" t="s">
        <v>248</v>
      </c>
      <c r="E11" s="104" t="s">
        <v>225</v>
      </c>
      <c r="F11" s="104" t="s">
        <v>169</v>
      </c>
      <c r="G11" s="55" t="s">
        <v>42</v>
      </c>
      <c r="H11" s="104" t="s">
        <v>155</v>
      </c>
      <c r="I11" s="55" t="s">
        <v>156</v>
      </c>
      <c r="J11" s="104" t="s">
        <v>38</v>
      </c>
      <c r="K11" s="104" t="s">
        <v>154</v>
      </c>
      <c r="L11" s="96">
        <v>1</v>
      </c>
      <c r="N11" s="96">
        <v>4</v>
      </c>
      <c r="O11" s="96">
        <v>0.5</v>
      </c>
      <c r="P11" s="96">
        <v>0.5</v>
      </c>
      <c r="Q11" s="129">
        <f t="shared" si="0"/>
        <v>0.5</v>
      </c>
      <c r="R11" s="96">
        <v>13.3</v>
      </c>
      <c r="S11" s="96">
        <v>97</v>
      </c>
      <c r="T11" s="105">
        <f t="shared" si="1"/>
        <v>36</v>
      </c>
      <c r="U11" s="96">
        <v>430</v>
      </c>
      <c r="V11" s="105">
        <f t="shared" si="2"/>
        <v>3870</v>
      </c>
      <c r="W11" s="96">
        <v>2</v>
      </c>
      <c r="X11" s="55" t="s">
        <v>46</v>
      </c>
      <c r="Y11" s="55" t="s">
        <v>84</v>
      </c>
      <c r="Z11" s="104" t="s">
        <v>90</v>
      </c>
      <c r="AA11" s="55" t="s">
        <v>40</v>
      </c>
      <c r="AB11" s="39" t="s">
        <v>195</v>
      </c>
      <c r="AE11" s="111" t="s">
        <v>65</v>
      </c>
      <c r="AG11" s="119" t="s">
        <v>251</v>
      </c>
      <c r="AH11" s="87" t="s">
        <v>250</v>
      </c>
      <c r="AJ11" s="88"/>
      <c r="AP11" s="112" t="s">
        <v>104</v>
      </c>
      <c r="AR11" s="119" t="s">
        <v>87</v>
      </c>
      <c r="AV11" s="112" t="s">
        <v>69</v>
      </c>
    </row>
    <row r="12" spans="1:53" x14ac:dyDescent="0.15">
      <c r="A12" s="55" t="s">
        <v>56</v>
      </c>
      <c r="B12" s="55" t="s">
        <v>237</v>
      </c>
      <c r="C12" s="104">
        <v>2018</v>
      </c>
      <c r="D12" s="86" t="s">
        <v>238</v>
      </c>
      <c r="E12" s="104" t="s">
        <v>225</v>
      </c>
      <c r="F12" s="104" t="s">
        <v>169</v>
      </c>
      <c r="G12" s="55" t="s">
        <v>42</v>
      </c>
      <c r="H12" s="104" t="s">
        <v>155</v>
      </c>
      <c r="I12" s="55" t="s">
        <v>156</v>
      </c>
      <c r="J12" s="104" t="s">
        <v>38</v>
      </c>
      <c r="K12" s="104" t="s">
        <v>154</v>
      </c>
      <c r="L12" s="96">
        <v>2</v>
      </c>
      <c r="N12" s="96">
        <v>4</v>
      </c>
      <c r="O12" s="96">
        <v>0.5</v>
      </c>
      <c r="P12" s="96">
        <v>0.5</v>
      </c>
      <c r="Q12" s="129">
        <f t="shared" si="0"/>
        <v>0.5</v>
      </c>
      <c r="R12" s="96">
        <v>12.3</v>
      </c>
      <c r="S12" s="96">
        <v>98</v>
      </c>
      <c r="T12" s="105">
        <f t="shared" si="1"/>
        <v>36</v>
      </c>
      <c r="U12" s="96">
        <v>430</v>
      </c>
      <c r="V12" s="105">
        <f t="shared" si="2"/>
        <v>3870</v>
      </c>
      <c r="W12" s="96">
        <v>2</v>
      </c>
      <c r="X12" s="55" t="s">
        <v>46</v>
      </c>
      <c r="Y12" s="55" t="s">
        <v>84</v>
      </c>
      <c r="Z12" s="104" t="s">
        <v>90</v>
      </c>
      <c r="AA12" s="55" t="s">
        <v>40</v>
      </c>
      <c r="AB12" s="39" t="s">
        <v>195</v>
      </c>
      <c r="AE12" s="111" t="s">
        <v>70</v>
      </c>
      <c r="AG12" s="119" t="s">
        <v>252</v>
      </c>
      <c r="AH12" s="87" t="s">
        <v>233</v>
      </c>
      <c r="AJ12" s="88"/>
      <c r="AP12" s="112" t="s">
        <v>67</v>
      </c>
      <c r="AR12" s="119" t="s">
        <v>124</v>
      </c>
      <c r="AV12" s="112" t="s">
        <v>72</v>
      </c>
    </row>
    <row r="13" spans="1:53" x14ac:dyDescent="0.15">
      <c r="A13" s="55" t="s">
        <v>56</v>
      </c>
      <c r="B13" s="55" t="s">
        <v>253</v>
      </c>
      <c r="C13" s="104">
        <v>2018</v>
      </c>
      <c r="D13" s="86" t="s">
        <v>254</v>
      </c>
      <c r="E13" s="104" t="s">
        <v>225</v>
      </c>
      <c r="F13" s="104" t="s">
        <v>169</v>
      </c>
      <c r="G13" s="55" t="s">
        <v>42</v>
      </c>
      <c r="H13" s="104" t="s">
        <v>155</v>
      </c>
      <c r="I13" s="55" t="s">
        <v>156</v>
      </c>
      <c r="J13" s="104" t="s">
        <v>38</v>
      </c>
      <c r="K13" s="104" t="s">
        <v>154</v>
      </c>
      <c r="L13" s="96">
        <v>3</v>
      </c>
      <c r="N13" s="96">
        <v>4</v>
      </c>
      <c r="O13" s="96">
        <v>0.55000000000000004</v>
      </c>
      <c r="P13" s="96">
        <v>0.55000000000000004</v>
      </c>
      <c r="Q13" s="129">
        <f t="shared" si="0"/>
        <v>0.55000000000000004</v>
      </c>
      <c r="R13" s="121">
        <v>12.3</v>
      </c>
      <c r="S13" s="96">
        <v>103</v>
      </c>
      <c r="T13" s="105">
        <f t="shared" si="1"/>
        <v>33</v>
      </c>
      <c r="U13" s="96">
        <v>430</v>
      </c>
      <c r="V13" s="105">
        <f t="shared" si="2"/>
        <v>3547.5</v>
      </c>
      <c r="W13" s="96">
        <v>2</v>
      </c>
      <c r="X13" s="55" t="s">
        <v>46</v>
      </c>
      <c r="Y13" s="55" t="s">
        <v>84</v>
      </c>
      <c r="Z13" s="104" t="s">
        <v>90</v>
      </c>
      <c r="AA13" s="55" t="s">
        <v>40</v>
      </c>
      <c r="AB13" s="39" t="s">
        <v>195</v>
      </c>
      <c r="AE13" s="111" t="s">
        <v>73</v>
      </c>
      <c r="AP13" s="112" t="s">
        <v>71</v>
      </c>
      <c r="AR13" s="119" t="s">
        <v>103</v>
      </c>
      <c r="AV13" s="112" t="s">
        <v>75</v>
      </c>
    </row>
    <row r="14" spans="1:53" x14ac:dyDescent="0.15">
      <c r="A14" s="55" t="s">
        <v>56</v>
      </c>
      <c r="B14" s="55" t="s">
        <v>255</v>
      </c>
      <c r="C14" s="104">
        <v>2018</v>
      </c>
      <c r="D14" s="86" t="s">
        <v>256</v>
      </c>
      <c r="E14" s="104" t="s">
        <v>257</v>
      </c>
      <c r="F14" s="104" t="s">
        <v>258</v>
      </c>
      <c r="G14" s="55" t="s">
        <v>42</v>
      </c>
      <c r="H14" s="104" t="s">
        <v>155</v>
      </c>
      <c r="I14" s="55" t="s">
        <v>153</v>
      </c>
      <c r="J14" s="104" t="s">
        <v>38</v>
      </c>
      <c r="K14" s="104" t="s">
        <v>154</v>
      </c>
      <c r="L14" s="96">
        <v>1</v>
      </c>
      <c r="N14" s="96">
        <v>1</v>
      </c>
      <c r="O14" s="96">
        <v>0.5</v>
      </c>
      <c r="P14" s="96">
        <v>0.5</v>
      </c>
      <c r="Q14" s="129">
        <f t="shared" si="0"/>
        <v>0.5</v>
      </c>
      <c r="R14" s="96">
        <v>13.7</v>
      </c>
      <c r="S14" s="96">
        <v>134</v>
      </c>
      <c r="T14" s="105">
        <f t="shared" si="1"/>
        <v>25</v>
      </c>
      <c r="U14" s="96">
        <v>106</v>
      </c>
      <c r="V14" s="105">
        <f t="shared" si="2"/>
        <v>2650</v>
      </c>
      <c r="W14" s="96">
        <v>4</v>
      </c>
      <c r="X14" s="55" t="s">
        <v>46</v>
      </c>
      <c r="Y14" s="55" t="s">
        <v>84</v>
      </c>
      <c r="Z14" s="104" t="s">
        <v>40</v>
      </c>
      <c r="AA14" s="55" t="s">
        <v>55</v>
      </c>
      <c r="AB14" s="39" t="s">
        <v>195</v>
      </c>
      <c r="AE14" s="111" t="s">
        <v>76</v>
      </c>
      <c r="AP14" s="112" t="s">
        <v>74</v>
      </c>
      <c r="AR14" s="119" t="s">
        <v>125</v>
      </c>
      <c r="AV14" s="112" t="s">
        <v>78</v>
      </c>
    </row>
    <row r="15" spans="1:53" x14ac:dyDescent="0.15">
      <c r="A15" s="55" t="s">
        <v>56</v>
      </c>
      <c r="B15" s="55" t="s">
        <v>255</v>
      </c>
      <c r="C15" s="104">
        <v>2018</v>
      </c>
      <c r="D15" s="86" t="s">
        <v>256</v>
      </c>
      <c r="E15" s="104" t="s">
        <v>257</v>
      </c>
      <c r="F15" s="104" t="s">
        <v>258</v>
      </c>
      <c r="G15" s="55" t="s">
        <v>42</v>
      </c>
      <c r="H15" s="104" t="s">
        <v>155</v>
      </c>
      <c r="I15" s="55" t="s">
        <v>153</v>
      </c>
      <c r="J15" s="104" t="s">
        <v>38</v>
      </c>
      <c r="K15" s="104" t="s">
        <v>154</v>
      </c>
      <c r="L15" s="96">
        <v>2</v>
      </c>
      <c r="N15" s="96">
        <v>1</v>
      </c>
      <c r="O15" s="96">
        <v>0.5</v>
      </c>
      <c r="P15" s="96">
        <v>0.5</v>
      </c>
      <c r="Q15" s="129">
        <f t="shared" si="0"/>
        <v>0.5</v>
      </c>
      <c r="R15" s="96">
        <v>14.4</v>
      </c>
      <c r="S15" s="96">
        <v>133</v>
      </c>
      <c r="T15" s="105">
        <f t="shared" si="1"/>
        <v>25</v>
      </c>
      <c r="U15" s="96">
        <v>106</v>
      </c>
      <c r="V15" s="105">
        <f t="shared" si="2"/>
        <v>2650</v>
      </c>
      <c r="W15" s="96">
        <v>4</v>
      </c>
      <c r="X15" s="55" t="s">
        <v>46</v>
      </c>
      <c r="Y15" s="55" t="s">
        <v>84</v>
      </c>
      <c r="Z15" s="104" t="s">
        <v>40</v>
      </c>
      <c r="AA15" s="55" t="s">
        <v>55</v>
      </c>
      <c r="AB15" s="39" t="s">
        <v>195</v>
      </c>
      <c r="AE15" s="111" t="s">
        <v>79</v>
      </c>
      <c r="AP15" s="112" t="s">
        <v>77</v>
      </c>
      <c r="AR15" s="119" t="s">
        <v>94</v>
      </c>
      <c r="AV15" s="112" t="s">
        <v>107</v>
      </c>
    </row>
    <row r="16" spans="1:53" x14ac:dyDescent="0.15">
      <c r="A16" s="55" t="s">
        <v>56</v>
      </c>
      <c r="B16" s="55" t="s">
        <v>259</v>
      </c>
      <c r="C16" s="104">
        <v>2018</v>
      </c>
      <c r="D16" s="86" t="s">
        <v>260</v>
      </c>
      <c r="E16" s="104" t="s">
        <v>257</v>
      </c>
      <c r="F16" s="104" t="s">
        <v>258</v>
      </c>
      <c r="G16" s="55" t="s">
        <v>42</v>
      </c>
      <c r="H16" s="104" t="s">
        <v>155</v>
      </c>
      <c r="I16" s="55" t="s">
        <v>153</v>
      </c>
      <c r="J16" s="104" t="s">
        <v>38</v>
      </c>
      <c r="K16" s="104" t="s">
        <v>154</v>
      </c>
      <c r="L16" s="96">
        <v>3</v>
      </c>
      <c r="N16" s="96">
        <v>1</v>
      </c>
      <c r="O16" s="96">
        <v>0.85</v>
      </c>
      <c r="P16" s="96">
        <v>0.95</v>
      </c>
      <c r="Q16" s="129">
        <f t="shared" si="0"/>
        <v>0.89999999999999991</v>
      </c>
      <c r="R16" s="121">
        <v>14.4</v>
      </c>
      <c r="S16" s="96">
        <v>132</v>
      </c>
      <c r="T16" s="105">
        <f t="shared" si="1"/>
        <v>25</v>
      </c>
      <c r="U16" s="96">
        <v>106</v>
      </c>
      <c r="V16" s="105">
        <f t="shared" si="2"/>
        <v>2650</v>
      </c>
      <c r="W16" s="96">
        <v>4</v>
      </c>
      <c r="X16" s="55" t="s">
        <v>46</v>
      </c>
      <c r="Y16" s="55" t="s">
        <v>84</v>
      </c>
      <c r="Z16" s="104" t="s">
        <v>40</v>
      </c>
      <c r="AA16" s="55" t="s">
        <v>55</v>
      </c>
      <c r="AB16" s="39" t="s">
        <v>195</v>
      </c>
      <c r="AE16" s="111" t="s">
        <v>82</v>
      </c>
      <c r="AP16" s="112" t="s">
        <v>80</v>
      </c>
      <c r="AR16" s="122" t="s">
        <v>63</v>
      </c>
      <c r="AV16" s="112" t="s">
        <v>84</v>
      </c>
    </row>
    <row r="17" spans="1:48" x14ac:dyDescent="0.15">
      <c r="A17" s="55" t="s">
        <v>56</v>
      </c>
      <c r="B17" s="55" t="s">
        <v>259</v>
      </c>
      <c r="C17" s="104">
        <v>2018</v>
      </c>
      <c r="D17" s="86" t="s">
        <v>260</v>
      </c>
      <c r="E17" s="104" t="s">
        <v>257</v>
      </c>
      <c r="F17" s="104" t="s">
        <v>258</v>
      </c>
      <c r="G17" s="55" t="s">
        <v>42</v>
      </c>
      <c r="H17" s="104" t="s">
        <v>174</v>
      </c>
      <c r="I17" s="55" t="s">
        <v>153</v>
      </c>
      <c r="J17" s="104" t="s">
        <v>38</v>
      </c>
      <c r="K17" s="104" t="s">
        <v>87</v>
      </c>
      <c r="L17" s="96">
        <v>1</v>
      </c>
      <c r="N17" s="96">
        <v>5</v>
      </c>
      <c r="O17" s="96">
        <v>0.8</v>
      </c>
      <c r="P17" s="96">
        <v>0.7</v>
      </c>
      <c r="Q17" s="129">
        <f t="shared" si="0"/>
        <v>0.75</v>
      </c>
      <c r="R17" s="96">
        <v>14</v>
      </c>
      <c r="S17" s="96">
        <v>89</v>
      </c>
      <c r="T17" s="105">
        <f t="shared" si="1"/>
        <v>39</v>
      </c>
      <c r="U17" s="96">
        <v>646</v>
      </c>
      <c r="V17" s="105">
        <f t="shared" si="2"/>
        <v>5038.7999999999993</v>
      </c>
      <c r="W17" s="96">
        <v>1</v>
      </c>
      <c r="X17" s="55" t="s">
        <v>46</v>
      </c>
      <c r="Y17" s="55" t="s">
        <v>84</v>
      </c>
      <c r="Z17" s="104" t="s">
        <v>40</v>
      </c>
      <c r="AA17" s="55" t="s">
        <v>55</v>
      </c>
      <c r="AB17" s="39" t="s">
        <v>195</v>
      </c>
      <c r="AE17" s="111" t="s">
        <v>85</v>
      </c>
      <c r="AP17" s="123" t="s">
        <v>110</v>
      </c>
      <c r="AR17" s="122" t="s">
        <v>96</v>
      </c>
      <c r="AV17" s="112" t="s">
        <v>86</v>
      </c>
    </row>
    <row r="18" spans="1:48" x14ac:dyDescent="0.15">
      <c r="A18" s="55" t="s">
        <v>56</v>
      </c>
      <c r="B18" s="55" t="s">
        <v>237</v>
      </c>
      <c r="C18" s="104">
        <v>2018</v>
      </c>
      <c r="D18" s="86" t="s">
        <v>238</v>
      </c>
      <c r="E18" s="104" t="s">
        <v>257</v>
      </c>
      <c r="F18" s="104" t="s">
        <v>258</v>
      </c>
      <c r="G18" s="55" t="s">
        <v>42</v>
      </c>
      <c r="H18" s="104" t="s">
        <v>174</v>
      </c>
      <c r="I18" s="55" t="s">
        <v>153</v>
      </c>
      <c r="J18" s="104" t="s">
        <v>38</v>
      </c>
      <c r="K18" s="104" t="s">
        <v>87</v>
      </c>
      <c r="L18" s="96">
        <v>2</v>
      </c>
      <c r="N18" s="96">
        <v>5</v>
      </c>
      <c r="O18" s="96">
        <v>0.65</v>
      </c>
      <c r="P18" s="96">
        <v>0.65</v>
      </c>
      <c r="Q18" s="129">
        <f t="shared" si="0"/>
        <v>0.65</v>
      </c>
      <c r="R18" s="96">
        <v>13.7</v>
      </c>
      <c r="S18" s="96">
        <v>95</v>
      </c>
      <c r="T18" s="105">
        <f t="shared" si="1"/>
        <v>39</v>
      </c>
      <c r="U18" s="96">
        <v>646</v>
      </c>
      <c r="V18" s="105">
        <f t="shared" si="2"/>
        <v>5038.7999999999993</v>
      </c>
      <c r="W18" s="96">
        <v>1</v>
      </c>
      <c r="X18" s="55" t="s">
        <v>46</v>
      </c>
      <c r="Y18" s="55" t="s">
        <v>84</v>
      </c>
      <c r="Z18" s="104" t="s">
        <v>40</v>
      </c>
      <c r="AA18" s="55" t="s">
        <v>55</v>
      </c>
      <c r="AB18" s="39" t="s">
        <v>195</v>
      </c>
      <c r="AE18" s="111" t="s">
        <v>87</v>
      </c>
      <c r="AP18" s="123" t="s">
        <v>111</v>
      </c>
      <c r="AR18" s="122" t="s">
        <v>101</v>
      </c>
      <c r="AV18" s="112" t="s">
        <v>88</v>
      </c>
    </row>
    <row r="19" spans="1:48" x14ac:dyDescent="0.15">
      <c r="A19" s="55" t="s">
        <v>56</v>
      </c>
      <c r="B19" s="55" t="s">
        <v>237</v>
      </c>
      <c r="C19" s="104">
        <v>2018</v>
      </c>
      <c r="D19" s="86" t="s">
        <v>238</v>
      </c>
      <c r="E19" s="104" t="s">
        <v>257</v>
      </c>
      <c r="F19" s="104" t="s">
        <v>258</v>
      </c>
      <c r="G19" s="55" t="s">
        <v>42</v>
      </c>
      <c r="H19" s="104" t="s">
        <v>174</v>
      </c>
      <c r="I19" s="55" t="s">
        <v>153</v>
      </c>
      <c r="J19" s="104" t="s">
        <v>38</v>
      </c>
      <c r="K19" s="104" t="s">
        <v>87</v>
      </c>
      <c r="L19" s="96">
        <v>3</v>
      </c>
      <c r="N19" s="96">
        <v>5</v>
      </c>
      <c r="O19" s="96">
        <v>0.6</v>
      </c>
      <c r="P19" s="96">
        <v>0.6</v>
      </c>
      <c r="Q19" s="129">
        <f t="shared" si="0"/>
        <v>0.6</v>
      </c>
      <c r="R19" s="121">
        <v>15.4</v>
      </c>
      <c r="S19" s="96">
        <v>83</v>
      </c>
      <c r="T19" s="105">
        <f t="shared" si="1"/>
        <v>42</v>
      </c>
      <c r="U19" s="96">
        <v>646</v>
      </c>
      <c r="V19" s="105">
        <f t="shared" si="2"/>
        <v>5426.4</v>
      </c>
      <c r="W19" s="96">
        <v>1</v>
      </c>
      <c r="X19" s="55" t="s">
        <v>46</v>
      </c>
      <c r="Y19" s="55" t="s">
        <v>84</v>
      </c>
      <c r="Z19" s="104" t="s">
        <v>40</v>
      </c>
      <c r="AA19" s="55" t="s">
        <v>55</v>
      </c>
      <c r="AB19" s="39" t="s">
        <v>195</v>
      </c>
      <c r="AE19" s="120" t="s">
        <v>89</v>
      </c>
      <c r="AP19" s="123" t="s">
        <v>112</v>
      </c>
      <c r="AR19" s="119" t="s">
        <v>126</v>
      </c>
      <c r="AV19" s="112" t="s">
        <v>90</v>
      </c>
    </row>
    <row r="20" spans="1:48" x14ac:dyDescent="0.15">
      <c r="A20" s="55" t="s">
        <v>56</v>
      </c>
      <c r="B20" s="55" t="s">
        <v>237</v>
      </c>
      <c r="C20" s="104">
        <v>2018</v>
      </c>
      <c r="D20" s="86" t="s">
        <v>238</v>
      </c>
      <c r="E20" s="104" t="s">
        <v>261</v>
      </c>
      <c r="F20" s="104" t="s">
        <v>262</v>
      </c>
      <c r="G20" s="55" t="s">
        <v>42</v>
      </c>
      <c r="H20" s="104" t="s">
        <v>155</v>
      </c>
      <c r="I20" s="55" t="s">
        <v>153</v>
      </c>
      <c r="J20" s="104" t="s">
        <v>38</v>
      </c>
      <c r="K20" s="104" t="s">
        <v>154</v>
      </c>
      <c r="L20" s="96">
        <v>1</v>
      </c>
      <c r="N20" s="96">
        <v>8</v>
      </c>
      <c r="O20" s="96">
        <v>0.9</v>
      </c>
      <c r="P20" s="96">
        <v>0.8</v>
      </c>
      <c r="Q20" s="129">
        <f t="shared" si="0"/>
        <v>0.85000000000000009</v>
      </c>
      <c r="R20" s="96">
        <v>11.1</v>
      </c>
      <c r="S20" s="96">
        <v>99</v>
      </c>
      <c r="T20" s="105">
        <f t="shared" si="1"/>
        <v>33</v>
      </c>
      <c r="U20" s="96">
        <v>524</v>
      </c>
      <c r="V20" s="105">
        <f t="shared" si="2"/>
        <v>2161.5</v>
      </c>
      <c r="W20" s="96">
        <v>3</v>
      </c>
      <c r="X20" s="55" t="s">
        <v>46</v>
      </c>
      <c r="Y20" s="55" t="s">
        <v>84</v>
      </c>
      <c r="Z20" s="104" t="s">
        <v>78</v>
      </c>
      <c r="AA20" s="55" t="s">
        <v>90</v>
      </c>
      <c r="AB20" s="39" t="s">
        <v>195</v>
      </c>
      <c r="AP20" s="123" t="s">
        <v>113</v>
      </c>
      <c r="AR20" s="122" t="s">
        <v>105</v>
      </c>
      <c r="AV20" s="116" t="s">
        <v>210</v>
      </c>
    </row>
    <row r="21" spans="1:48" x14ac:dyDescent="0.15">
      <c r="A21" s="55" t="s">
        <v>56</v>
      </c>
      <c r="B21" s="55" t="s">
        <v>237</v>
      </c>
      <c r="C21" s="104">
        <v>2018</v>
      </c>
      <c r="D21" s="86" t="s">
        <v>238</v>
      </c>
      <c r="E21" s="104" t="s">
        <v>261</v>
      </c>
      <c r="F21" s="104" t="s">
        <v>262</v>
      </c>
      <c r="G21" s="55" t="s">
        <v>42</v>
      </c>
      <c r="H21" s="104" t="s">
        <v>155</v>
      </c>
      <c r="I21" s="55" t="s">
        <v>153</v>
      </c>
      <c r="J21" s="104" t="s">
        <v>38</v>
      </c>
      <c r="K21" s="104" t="s">
        <v>154</v>
      </c>
      <c r="L21" s="96">
        <v>2</v>
      </c>
      <c r="N21" s="96">
        <v>8</v>
      </c>
      <c r="O21" s="96">
        <v>0.9</v>
      </c>
      <c r="P21" s="96">
        <v>0.9</v>
      </c>
      <c r="Q21" s="129">
        <f t="shared" si="0"/>
        <v>0.9</v>
      </c>
      <c r="R21" s="96">
        <v>11.6</v>
      </c>
      <c r="S21" s="96">
        <v>96</v>
      </c>
      <c r="T21" s="105">
        <f t="shared" si="1"/>
        <v>36</v>
      </c>
      <c r="U21" s="96">
        <v>524</v>
      </c>
      <c r="V21" s="105">
        <f t="shared" si="2"/>
        <v>2358</v>
      </c>
      <c r="W21" s="96">
        <v>3</v>
      </c>
      <c r="X21" s="55" t="s">
        <v>46</v>
      </c>
      <c r="Y21" s="55" t="s">
        <v>84</v>
      </c>
      <c r="Z21" s="104" t="s">
        <v>78</v>
      </c>
      <c r="AA21" s="55" t="s">
        <v>90</v>
      </c>
      <c r="AB21" s="39" t="s">
        <v>195</v>
      </c>
      <c r="AP21" s="123" t="s">
        <v>114</v>
      </c>
      <c r="AR21" s="122" t="s">
        <v>68</v>
      </c>
      <c r="AV21" s="117" t="s">
        <v>263</v>
      </c>
    </row>
    <row r="22" spans="1:48" x14ac:dyDescent="0.15">
      <c r="A22" s="55" t="s">
        <v>56</v>
      </c>
      <c r="B22" s="55" t="s">
        <v>237</v>
      </c>
      <c r="C22" s="104">
        <v>2018</v>
      </c>
      <c r="D22" s="86" t="s">
        <v>238</v>
      </c>
      <c r="E22" s="104" t="s">
        <v>261</v>
      </c>
      <c r="F22" s="104" t="s">
        <v>262</v>
      </c>
      <c r="G22" s="55" t="s">
        <v>42</v>
      </c>
      <c r="H22" s="104" t="s">
        <v>155</v>
      </c>
      <c r="I22" s="55" t="s">
        <v>153</v>
      </c>
      <c r="J22" s="104" t="s">
        <v>38</v>
      </c>
      <c r="K22" s="104" t="s">
        <v>154</v>
      </c>
      <c r="L22" s="96">
        <v>3</v>
      </c>
      <c r="N22" s="96">
        <v>8</v>
      </c>
      <c r="O22" s="96">
        <v>0.75</v>
      </c>
      <c r="P22" s="96">
        <v>0.75</v>
      </c>
      <c r="Q22" s="129">
        <f t="shared" si="0"/>
        <v>0.75</v>
      </c>
      <c r="R22" s="121">
        <v>13</v>
      </c>
      <c r="S22" s="96">
        <v>98</v>
      </c>
      <c r="T22" s="105">
        <f t="shared" si="1"/>
        <v>36</v>
      </c>
      <c r="U22" s="96">
        <v>524</v>
      </c>
      <c r="V22" s="105">
        <f t="shared" si="2"/>
        <v>2358</v>
      </c>
      <c r="W22" s="96">
        <v>3</v>
      </c>
      <c r="X22" s="55" t="s">
        <v>46</v>
      </c>
      <c r="Y22" s="55" t="s">
        <v>84</v>
      </c>
      <c r="Z22" s="104" t="s">
        <v>78</v>
      </c>
      <c r="AA22" s="55" t="s">
        <v>90</v>
      </c>
      <c r="AB22" s="39" t="s">
        <v>195</v>
      </c>
      <c r="AP22" s="123" t="s">
        <v>115</v>
      </c>
      <c r="AR22" s="122" t="s">
        <v>83</v>
      </c>
    </row>
    <row r="23" spans="1:48" x14ac:dyDescent="0.15">
      <c r="A23" s="55" t="s">
        <v>56</v>
      </c>
      <c r="B23" s="55" t="s">
        <v>237</v>
      </c>
      <c r="C23" s="104">
        <v>2018</v>
      </c>
      <c r="D23" s="86" t="s">
        <v>238</v>
      </c>
      <c r="E23" s="104" t="s">
        <v>191</v>
      </c>
      <c r="F23" s="104" t="s">
        <v>172</v>
      </c>
      <c r="G23" s="55" t="s">
        <v>42</v>
      </c>
      <c r="H23" s="104" t="s">
        <v>155</v>
      </c>
      <c r="I23" s="55" t="s">
        <v>153</v>
      </c>
      <c r="J23" s="104" t="s">
        <v>38</v>
      </c>
      <c r="K23" s="104" t="s">
        <v>154</v>
      </c>
      <c r="L23" s="96">
        <v>1</v>
      </c>
      <c r="N23" s="96">
        <v>1</v>
      </c>
      <c r="O23" s="96">
        <v>0.75</v>
      </c>
      <c r="P23" s="96">
        <v>0.8</v>
      </c>
      <c r="Q23" s="129">
        <f t="shared" si="0"/>
        <v>0.77500000000000002</v>
      </c>
      <c r="R23" s="96">
        <v>13.3</v>
      </c>
      <c r="S23" s="96">
        <v>124</v>
      </c>
      <c r="T23" s="105">
        <f t="shared" si="1"/>
        <v>27</v>
      </c>
      <c r="U23" s="96">
        <v>105</v>
      </c>
      <c r="V23" s="105">
        <f t="shared" si="2"/>
        <v>2835</v>
      </c>
      <c r="W23" s="96">
        <v>2</v>
      </c>
      <c r="X23" s="55" t="s">
        <v>46</v>
      </c>
      <c r="Y23" s="55" t="s">
        <v>84</v>
      </c>
      <c r="Z23" s="104" t="s">
        <v>90</v>
      </c>
      <c r="AA23" s="55" t="s">
        <v>78</v>
      </c>
      <c r="AB23" s="39" t="s">
        <v>195</v>
      </c>
      <c r="AP23" s="123" t="s">
        <v>264</v>
      </c>
      <c r="AR23" s="122" t="s">
        <v>61</v>
      </c>
    </row>
    <row r="24" spans="1:48" x14ac:dyDescent="0.15">
      <c r="A24" s="55" t="s">
        <v>56</v>
      </c>
      <c r="B24" s="55" t="s">
        <v>237</v>
      </c>
      <c r="C24" s="104">
        <v>2018</v>
      </c>
      <c r="D24" s="86" t="s">
        <v>238</v>
      </c>
      <c r="E24" s="104" t="s">
        <v>191</v>
      </c>
      <c r="F24" s="104" t="s">
        <v>172</v>
      </c>
      <c r="G24" s="55" t="s">
        <v>42</v>
      </c>
      <c r="H24" s="104" t="s">
        <v>155</v>
      </c>
      <c r="I24" s="55" t="s">
        <v>153</v>
      </c>
      <c r="J24" s="104" t="s">
        <v>38</v>
      </c>
      <c r="K24" s="104" t="s">
        <v>154</v>
      </c>
      <c r="L24" s="96">
        <v>2</v>
      </c>
      <c r="N24" s="96">
        <v>1</v>
      </c>
      <c r="O24" s="96">
        <v>0.9</v>
      </c>
      <c r="P24" s="96">
        <v>0.9</v>
      </c>
      <c r="Q24" s="129">
        <f t="shared" si="0"/>
        <v>0.9</v>
      </c>
      <c r="R24" s="96">
        <v>13.2</v>
      </c>
      <c r="S24" s="96">
        <v>125</v>
      </c>
      <c r="T24" s="105">
        <f t="shared" si="1"/>
        <v>27</v>
      </c>
      <c r="U24" s="96">
        <v>105</v>
      </c>
      <c r="V24" s="105">
        <f t="shared" si="2"/>
        <v>2835</v>
      </c>
      <c r="W24" s="96">
        <v>2</v>
      </c>
      <c r="X24" s="55" t="s">
        <v>46</v>
      </c>
      <c r="Y24" s="55" t="s">
        <v>84</v>
      </c>
      <c r="Z24" s="104" t="s">
        <v>90</v>
      </c>
      <c r="AA24" s="55" t="s">
        <v>78</v>
      </c>
      <c r="AB24" s="39" t="s">
        <v>195</v>
      </c>
      <c r="AP24" s="123" t="s">
        <v>265</v>
      </c>
      <c r="AR24" s="122" t="s">
        <v>91</v>
      </c>
    </row>
    <row r="25" spans="1:48" x14ac:dyDescent="0.15">
      <c r="A25" s="55" t="s">
        <v>56</v>
      </c>
      <c r="B25" s="55" t="s">
        <v>237</v>
      </c>
      <c r="C25" s="104">
        <v>2018</v>
      </c>
      <c r="D25" s="86" t="s">
        <v>238</v>
      </c>
      <c r="E25" s="104" t="s">
        <v>191</v>
      </c>
      <c r="F25" s="104" t="s">
        <v>172</v>
      </c>
      <c r="G25" s="55" t="s">
        <v>42</v>
      </c>
      <c r="H25" s="104" t="s">
        <v>155</v>
      </c>
      <c r="I25" s="55" t="s">
        <v>153</v>
      </c>
      <c r="J25" s="104" t="s">
        <v>38</v>
      </c>
      <c r="K25" s="104" t="s">
        <v>154</v>
      </c>
      <c r="L25" s="96">
        <v>3</v>
      </c>
      <c r="N25" s="96">
        <v>1</v>
      </c>
      <c r="O25" s="96">
        <v>0.95</v>
      </c>
      <c r="P25" s="96">
        <v>1</v>
      </c>
      <c r="Q25" s="129">
        <f t="shared" si="0"/>
        <v>0.97499999999999998</v>
      </c>
      <c r="R25" s="96">
        <v>13.9</v>
      </c>
      <c r="S25" s="96">
        <v>122</v>
      </c>
      <c r="T25" s="105">
        <f t="shared" si="1"/>
        <v>27</v>
      </c>
      <c r="U25" s="96">
        <v>105</v>
      </c>
      <c r="V25" s="105">
        <f t="shared" si="2"/>
        <v>2835</v>
      </c>
      <c r="W25" s="96">
        <v>2</v>
      </c>
      <c r="X25" s="55" t="s">
        <v>46</v>
      </c>
      <c r="Y25" s="55" t="s">
        <v>84</v>
      </c>
      <c r="Z25" s="104" t="s">
        <v>90</v>
      </c>
      <c r="AA25" s="55" t="s">
        <v>78</v>
      </c>
      <c r="AB25" s="39" t="s">
        <v>195</v>
      </c>
      <c r="AP25" s="123" t="s">
        <v>116</v>
      </c>
      <c r="AR25" s="42" t="s">
        <v>92</v>
      </c>
    </row>
    <row r="26" spans="1:48" x14ac:dyDescent="0.15">
      <c r="A26" s="55" t="s">
        <v>56</v>
      </c>
      <c r="B26" s="55" t="s">
        <v>237</v>
      </c>
      <c r="C26" s="104">
        <v>2018</v>
      </c>
      <c r="D26" s="86" t="s">
        <v>238</v>
      </c>
      <c r="E26" s="104" t="s">
        <v>191</v>
      </c>
      <c r="F26" s="104" t="s">
        <v>172</v>
      </c>
      <c r="G26" s="55" t="s">
        <v>42</v>
      </c>
      <c r="H26" s="104" t="s">
        <v>128</v>
      </c>
      <c r="I26" s="55" t="s">
        <v>153</v>
      </c>
      <c r="J26" s="104" t="s">
        <v>80</v>
      </c>
      <c r="K26" s="104" t="s">
        <v>63</v>
      </c>
      <c r="L26" s="96">
        <v>1</v>
      </c>
      <c r="N26" s="96">
        <v>1</v>
      </c>
      <c r="O26" s="96">
        <v>0.85</v>
      </c>
      <c r="P26" s="96">
        <v>0.8</v>
      </c>
      <c r="Q26" s="129">
        <f t="shared" si="0"/>
        <v>0.82499999999999996</v>
      </c>
      <c r="R26" s="96">
        <v>11.5</v>
      </c>
      <c r="S26" s="96">
        <v>102</v>
      </c>
      <c r="T26" s="105">
        <f t="shared" si="1"/>
        <v>33</v>
      </c>
      <c r="U26" s="96">
        <v>105</v>
      </c>
      <c r="V26" s="105">
        <f t="shared" si="2"/>
        <v>3465</v>
      </c>
      <c r="W26" s="96">
        <v>2</v>
      </c>
      <c r="X26" s="55" t="s">
        <v>46</v>
      </c>
      <c r="Y26" s="55" t="s">
        <v>84</v>
      </c>
      <c r="Z26" s="104" t="s">
        <v>90</v>
      </c>
      <c r="AA26" s="55" t="s">
        <v>78</v>
      </c>
      <c r="AB26" s="39" t="s">
        <v>195</v>
      </c>
      <c r="AP26" s="123" t="s">
        <v>117</v>
      </c>
      <c r="AR26" s="96" t="s">
        <v>178</v>
      </c>
    </row>
    <row r="27" spans="1:48" x14ac:dyDescent="0.15">
      <c r="A27" s="55" t="s">
        <v>56</v>
      </c>
      <c r="B27" s="55" t="s">
        <v>237</v>
      </c>
      <c r="C27" s="104">
        <v>2018</v>
      </c>
      <c r="D27" s="86" t="s">
        <v>238</v>
      </c>
      <c r="E27" s="104" t="s">
        <v>191</v>
      </c>
      <c r="F27" s="104" t="s">
        <v>172</v>
      </c>
      <c r="G27" s="55" t="s">
        <v>42</v>
      </c>
      <c r="H27" s="104" t="s">
        <v>128</v>
      </c>
      <c r="I27" s="55" t="s">
        <v>153</v>
      </c>
      <c r="J27" s="104" t="s">
        <v>80</v>
      </c>
      <c r="K27" s="104" t="s">
        <v>63</v>
      </c>
      <c r="L27" s="96">
        <v>2</v>
      </c>
      <c r="N27" s="96">
        <v>1</v>
      </c>
      <c r="O27" s="96">
        <v>0.85</v>
      </c>
      <c r="P27" s="96">
        <v>0.85</v>
      </c>
      <c r="Q27" s="129">
        <f t="shared" si="0"/>
        <v>0.85</v>
      </c>
      <c r="R27" s="96">
        <v>15.7</v>
      </c>
      <c r="S27" s="96">
        <v>105</v>
      </c>
      <c r="T27" s="105">
        <f t="shared" si="1"/>
        <v>33</v>
      </c>
      <c r="U27" s="96">
        <v>105</v>
      </c>
      <c r="V27" s="105">
        <f t="shared" si="2"/>
        <v>3465</v>
      </c>
      <c r="W27" s="96">
        <v>2</v>
      </c>
      <c r="X27" s="55" t="s">
        <v>46</v>
      </c>
      <c r="Y27" s="55" t="s">
        <v>84</v>
      </c>
      <c r="Z27" s="104" t="s">
        <v>90</v>
      </c>
      <c r="AA27" s="55" t="s">
        <v>78</v>
      </c>
      <c r="AB27" s="39" t="s">
        <v>195</v>
      </c>
      <c r="AP27" s="123" t="s">
        <v>118</v>
      </c>
    </row>
    <row r="28" spans="1:48" x14ac:dyDescent="0.15">
      <c r="A28" s="55" t="s">
        <v>56</v>
      </c>
      <c r="B28" s="55" t="s">
        <v>237</v>
      </c>
      <c r="C28" s="104">
        <v>2018</v>
      </c>
      <c r="D28" s="86" t="s">
        <v>238</v>
      </c>
      <c r="E28" s="104" t="s">
        <v>191</v>
      </c>
      <c r="F28" s="104" t="s">
        <v>172</v>
      </c>
      <c r="G28" s="55" t="s">
        <v>42</v>
      </c>
      <c r="H28" s="104" t="s">
        <v>128</v>
      </c>
      <c r="I28" s="55" t="s">
        <v>153</v>
      </c>
      <c r="J28" s="104" t="s">
        <v>80</v>
      </c>
      <c r="K28" s="104" t="s">
        <v>63</v>
      </c>
      <c r="L28" s="96">
        <v>3</v>
      </c>
      <c r="N28" s="96">
        <v>1</v>
      </c>
      <c r="O28" s="96">
        <v>0.85</v>
      </c>
      <c r="P28" s="96">
        <v>0.85</v>
      </c>
      <c r="Q28" s="129">
        <f t="shared" si="0"/>
        <v>0.85</v>
      </c>
      <c r="R28" s="96">
        <v>16.2</v>
      </c>
      <c r="S28" s="96">
        <v>96</v>
      </c>
      <c r="T28" s="105">
        <f t="shared" si="1"/>
        <v>36</v>
      </c>
      <c r="U28" s="96">
        <v>105</v>
      </c>
      <c r="V28" s="105">
        <f t="shared" si="2"/>
        <v>3780</v>
      </c>
      <c r="W28" s="96">
        <v>2</v>
      </c>
      <c r="X28" s="55" t="s">
        <v>46</v>
      </c>
      <c r="Y28" s="55" t="s">
        <v>84</v>
      </c>
      <c r="Z28" s="104" t="s">
        <v>90</v>
      </c>
      <c r="AA28" s="55" t="s">
        <v>78</v>
      </c>
      <c r="AB28" s="39" t="s">
        <v>195</v>
      </c>
    </row>
    <row r="29" spans="1:48" x14ac:dyDescent="0.15">
      <c r="A29" s="55" t="s">
        <v>56</v>
      </c>
      <c r="B29" s="55" t="s">
        <v>237</v>
      </c>
      <c r="C29" s="104">
        <v>2018</v>
      </c>
      <c r="D29" s="86" t="s">
        <v>238</v>
      </c>
      <c r="E29" s="104" t="s">
        <v>266</v>
      </c>
      <c r="F29" s="104" t="s">
        <v>172</v>
      </c>
      <c r="G29" s="55" t="s">
        <v>42</v>
      </c>
      <c r="H29" s="104" t="s">
        <v>155</v>
      </c>
      <c r="I29" s="55" t="s">
        <v>153</v>
      </c>
      <c r="J29" s="104" t="s">
        <v>38</v>
      </c>
      <c r="K29" s="104" t="s">
        <v>154</v>
      </c>
      <c r="L29" s="96">
        <v>1</v>
      </c>
      <c r="N29" s="96">
        <v>1</v>
      </c>
      <c r="O29" s="96">
        <v>0.75</v>
      </c>
      <c r="P29" s="96">
        <v>0.95</v>
      </c>
      <c r="Q29" s="105">
        <f t="shared" si="0"/>
        <v>0.85</v>
      </c>
      <c r="R29" s="96">
        <v>14.1</v>
      </c>
      <c r="S29" s="96">
        <v>139</v>
      </c>
      <c r="T29" s="105">
        <f t="shared" si="1"/>
        <v>22</v>
      </c>
      <c r="U29" s="96">
        <v>138</v>
      </c>
      <c r="V29" s="105">
        <f t="shared" si="2"/>
        <v>3036</v>
      </c>
      <c r="W29" s="96">
        <v>1</v>
      </c>
      <c r="X29" s="55" t="s">
        <v>39</v>
      </c>
      <c r="Y29" s="55" t="s">
        <v>84</v>
      </c>
      <c r="Z29" s="104" t="s">
        <v>40</v>
      </c>
      <c r="AA29" s="55" t="s">
        <v>78</v>
      </c>
      <c r="AB29" s="39" t="s">
        <v>195</v>
      </c>
    </row>
    <row r="30" spans="1:48" x14ac:dyDescent="0.15">
      <c r="A30" s="55" t="s">
        <v>56</v>
      </c>
      <c r="B30" s="55" t="s">
        <v>237</v>
      </c>
      <c r="C30" s="104">
        <v>2018</v>
      </c>
      <c r="D30" s="86" t="s">
        <v>238</v>
      </c>
      <c r="E30" s="104" t="s">
        <v>266</v>
      </c>
      <c r="F30" s="104" t="s">
        <v>172</v>
      </c>
      <c r="G30" s="55" t="s">
        <v>42</v>
      </c>
      <c r="H30" s="104" t="s">
        <v>155</v>
      </c>
      <c r="I30" s="55" t="s">
        <v>153</v>
      </c>
      <c r="J30" s="104" t="s">
        <v>38</v>
      </c>
      <c r="K30" s="104" t="s">
        <v>154</v>
      </c>
      <c r="L30" s="96">
        <v>2</v>
      </c>
      <c r="N30" s="96">
        <v>1</v>
      </c>
      <c r="O30" s="96">
        <v>0.5</v>
      </c>
      <c r="P30" s="96">
        <v>0.55000000000000004</v>
      </c>
      <c r="Q30" s="105">
        <f t="shared" si="0"/>
        <v>0.52500000000000002</v>
      </c>
      <c r="R30" s="96">
        <v>14</v>
      </c>
      <c r="S30" s="96">
        <v>128</v>
      </c>
      <c r="T30" s="105">
        <f t="shared" si="1"/>
        <v>27</v>
      </c>
      <c r="U30" s="96">
        <v>138</v>
      </c>
      <c r="V30" s="105">
        <f t="shared" si="2"/>
        <v>3726</v>
      </c>
      <c r="W30" s="96">
        <v>1</v>
      </c>
      <c r="X30" s="55" t="s">
        <v>39</v>
      </c>
      <c r="Y30" s="55" t="s">
        <v>84</v>
      </c>
      <c r="Z30" s="104" t="s">
        <v>40</v>
      </c>
      <c r="AA30" s="55" t="s">
        <v>78</v>
      </c>
      <c r="AB30" s="39" t="s">
        <v>195</v>
      </c>
    </row>
    <row r="31" spans="1:48" x14ac:dyDescent="0.15">
      <c r="A31" s="55" t="s">
        <v>56</v>
      </c>
      <c r="B31" s="55" t="s">
        <v>237</v>
      </c>
      <c r="C31" s="104">
        <v>2018</v>
      </c>
      <c r="D31" s="86" t="s">
        <v>238</v>
      </c>
      <c r="E31" s="104" t="s">
        <v>266</v>
      </c>
      <c r="F31" s="104" t="s">
        <v>172</v>
      </c>
      <c r="G31" s="55" t="s">
        <v>42</v>
      </c>
      <c r="H31" s="104" t="s">
        <v>155</v>
      </c>
      <c r="I31" s="55" t="s">
        <v>153</v>
      </c>
      <c r="J31" s="104" t="s">
        <v>38</v>
      </c>
      <c r="K31" s="104" t="s">
        <v>154</v>
      </c>
      <c r="L31" s="96">
        <v>3</v>
      </c>
      <c r="N31" s="96">
        <v>1</v>
      </c>
      <c r="O31" s="96">
        <v>1.1000000000000001</v>
      </c>
      <c r="P31" s="96">
        <v>1.1000000000000001</v>
      </c>
      <c r="Q31" s="105">
        <f t="shared" si="0"/>
        <v>1.1000000000000001</v>
      </c>
      <c r="R31" s="96">
        <v>10.6</v>
      </c>
      <c r="S31" s="96">
        <v>130</v>
      </c>
      <c r="T31" s="105">
        <f t="shared" si="1"/>
        <v>25</v>
      </c>
      <c r="U31" s="96">
        <v>138</v>
      </c>
      <c r="V31" s="105">
        <f t="shared" si="2"/>
        <v>3450</v>
      </c>
      <c r="W31" s="96">
        <v>1</v>
      </c>
      <c r="X31" s="55" t="s">
        <v>39</v>
      </c>
      <c r="Y31" s="55" t="s">
        <v>84</v>
      </c>
      <c r="Z31" s="104" t="s">
        <v>40</v>
      </c>
      <c r="AA31" s="55" t="s">
        <v>78</v>
      </c>
      <c r="AB31" s="39" t="s">
        <v>195</v>
      </c>
    </row>
    <row r="32" spans="1:48" x14ac:dyDescent="0.15">
      <c r="A32" s="55" t="s">
        <v>56</v>
      </c>
      <c r="B32" s="55" t="s">
        <v>237</v>
      </c>
      <c r="C32" s="104">
        <v>2018</v>
      </c>
      <c r="D32" s="86" t="s">
        <v>238</v>
      </c>
      <c r="E32" s="104" t="s">
        <v>266</v>
      </c>
      <c r="F32" s="104" t="s">
        <v>172</v>
      </c>
      <c r="G32" s="55" t="s">
        <v>42</v>
      </c>
      <c r="H32" s="104" t="s">
        <v>174</v>
      </c>
      <c r="I32" s="55" t="s">
        <v>153</v>
      </c>
      <c r="J32" s="104" t="s">
        <v>38</v>
      </c>
      <c r="K32" s="104" t="s">
        <v>87</v>
      </c>
      <c r="L32" s="96">
        <v>1</v>
      </c>
      <c r="N32" s="96">
        <v>1</v>
      </c>
      <c r="O32" s="96">
        <v>0.8</v>
      </c>
      <c r="P32" s="96">
        <v>0.7</v>
      </c>
      <c r="Q32" s="105">
        <f t="shared" si="0"/>
        <v>0.75</v>
      </c>
      <c r="R32" s="96">
        <v>15.8</v>
      </c>
      <c r="S32" s="96">
        <v>107</v>
      </c>
      <c r="T32" s="105">
        <f t="shared" si="1"/>
        <v>36</v>
      </c>
      <c r="U32" s="96">
        <v>177</v>
      </c>
      <c r="V32" s="105">
        <f t="shared" si="2"/>
        <v>6372</v>
      </c>
      <c r="W32" s="96">
        <v>1</v>
      </c>
      <c r="X32" s="55" t="s">
        <v>39</v>
      </c>
      <c r="Y32" s="55" t="s">
        <v>84</v>
      </c>
      <c r="Z32" s="104" t="s">
        <v>40</v>
      </c>
      <c r="AA32" s="55" t="s">
        <v>78</v>
      </c>
      <c r="AB32" s="39" t="s">
        <v>195</v>
      </c>
    </row>
    <row r="33" spans="1:28" x14ac:dyDescent="0.15">
      <c r="A33" s="55" t="s">
        <v>56</v>
      </c>
      <c r="B33" s="55" t="s">
        <v>237</v>
      </c>
      <c r="C33" s="104">
        <v>2018</v>
      </c>
      <c r="D33" s="86" t="s">
        <v>238</v>
      </c>
      <c r="E33" s="104" t="s">
        <v>266</v>
      </c>
      <c r="F33" s="104" t="s">
        <v>172</v>
      </c>
      <c r="G33" s="55" t="s">
        <v>42</v>
      </c>
      <c r="H33" s="104" t="s">
        <v>174</v>
      </c>
      <c r="I33" s="55" t="s">
        <v>153</v>
      </c>
      <c r="J33" s="104" t="s">
        <v>38</v>
      </c>
      <c r="K33" s="104" t="s">
        <v>87</v>
      </c>
      <c r="L33" s="96">
        <v>2</v>
      </c>
      <c r="N33" s="96">
        <v>1</v>
      </c>
      <c r="O33" s="96">
        <v>0.65</v>
      </c>
      <c r="P33" s="96">
        <v>0.65</v>
      </c>
      <c r="Q33" s="105">
        <f t="shared" si="0"/>
        <v>0.65</v>
      </c>
      <c r="R33" s="96">
        <v>15.9</v>
      </c>
      <c r="S33" s="96">
        <v>108</v>
      </c>
      <c r="T33" s="105">
        <f t="shared" si="1"/>
        <v>36</v>
      </c>
      <c r="U33" s="96">
        <v>177</v>
      </c>
      <c r="V33" s="105">
        <f t="shared" si="2"/>
        <v>6372</v>
      </c>
      <c r="W33" s="96">
        <v>1</v>
      </c>
      <c r="X33" s="55" t="s">
        <v>39</v>
      </c>
      <c r="Y33" s="55" t="s">
        <v>84</v>
      </c>
      <c r="Z33" s="104" t="s">
        <v>40</v>
      </c>
      <c r="AA33" s="55" t="s">
        <v>78</v>
      </c>
      <c r="AB33" s="39" t="s">
        <v>195</v>
      </c>
    </row>
    <row r="34" spans="1:28" x14ac:dyDescent="0.15">
      <c r="A34" s="55" t="s">
        <v>56</v>
      </c>
      <c r="B34" s="55" t="s">
        <v>237</v>
      </c>
      <c r="C34" s="104">
        <v>2018</v>
      </c>
      <c r="D34" s="86" t="s">
        <v>238</v>
      </c>
      <c r="E34" s="104" t="s">
        <v>266</v>
      </c>
      <c r="F34" s="104" t="s">
        <v>172</v>
      </c>
      <c r="G34" s="55" t="s">
        <v>42</v>
      </c>
      <c r="H34" s="104" t="s">
        <v>174</v>
      </c>
      <c r="I34" s="55" t="s">
        <v>153</v>
      </c>
      <c r="J34" s="104" t="s">
        <v>38</v>
      </c>
      <c r="K34" s="104" t="s">
        <v>87</v>
      </c>
      <c r="L34" s="96">
        <v>3</v>
      </c>
      <c r="N34" s="96">
        <v>1</v>
      </c>
      <c r="O34" s="96">
        <v>0.7</v>
      </c>
      <c r="P34" s="96">
        <v>0.65</v>
      </c>
      <c r="Q34" s="105">
        <f t="shared" si="0"/>
        <v>0.67500000000000004</v>
      </c>
      <c r="R34" s="96">
        <v>16.3</v>
      </c>
      <c r="S34" s="96">
        <v>108</v>
      </c>
      <c r="T34" s="105">
        <f t="shared" si="1"/>
        <v>36</v>
      </c>
      <c r="U34" s="96">
        <v>177</v>
      </c>
      <c r="V34" s="105">
        <f t="shared" si="2"/>
        <v>6372</v>
      </c>
      <c r="W34" s="96">
        <v>1</v>
      </c>
      <c r="X34" s="55" t="s">
        <v>39</v>
      </c>
      <c r="Y34" s="55" t="s">
        <v>84</v>
      </c>
      <c r="Z34" s="104" t="s">
        <v>40</v>
      </c>
      <c r="AA34" s="55" t="s">
        <v>78</v>
      </c>
      <c r="AB34" s="39" t="s">
        <v>195</v>
      </c>
    </row>
    <row r="35" spans="1:28" x14ac:dyDescent="0.15">
      <c r="A35" s="55" t="s">
        <v>56</v>
      </c>
      <c r="B35" s="55" t="s">
        <v>237</v>
      </c>
      <c r="C35" s="104">
        <v>2018</v>
      </c>
      <c r="D35" s="86" t="s">
        <v>238</v>
      </c>
      <c r="E35" s="104" t="s">
        <v>173</v>
      </c>
      <c r="F35" s="104" t="s">
        <v>262</v>
      </c>
      <c r="G35" s="55" t="s">
        <v>42</v>
      </c>
      <c r="H35" s="104" t="s">
        <v>155</v>
      </c>
      <c r="I35" s="55" t="s">
        <v>156</v>
      </c>
      <c r="J35" s="104" t="s">
        <v>38</v>
      </c>
      <c r="K35" s="104" t="s">
        <v>154</v>
      </c>
      <c r="L35" s="96">
        <v>1</v>
      </c>
      <c r="N35" s="96">
        <v>4</v>
      </c>
      <c r="O35" s="96">
        <v>0.75</v>
      </c>
      <c r="P35" s="96">
        <v>0.75</v>
      </c>
      <c r="Q35" s="105">
        <f t="shared" si="0"/>
        <v>0.75</v>
      </c>
      <c r="R35" s="96">
        <v>11.6</v>
      </c>
      <c r="S35" s="96">
        <v>97</v>
      </c>
      <c r="T35" s="105">
        <f t="shared" si="1"/>
        <v>36</v>
      </c>
      <c r="U35" s="96">
        <v>539</v>
      </c>
      <c r="V35" s="105">
        <f t="shared" si="2"/>
        <v>4851</v>
      </c>
      <c r="W35" s="96">
        <v>2</v>
      </c>
      <c r="X35" s="55" t="s">
        <v>39</v>
      </c>
      <c r="Y35" s="55" t="s">
        <v>90</v>
      </c>
      <c r="Z35" s="104" t="s">
        <v>40</v>
      </c>
      <c r="AA35" s="55" t="s">
        <v>84</v>
      </c>
      <c r="AB35" s="39" t="s">
        <v>195</v>
      </c>
    </row>
    <row r="36" spans="1:28" x14ac:dyDescent="0.15">
      <c r="A36" s="55" t="s">
        <v>56</v>
      </c>
      <c r="B36" s="55" t="s">
        <v>237</v>
      </c>
      <c r="C36" s="104">
        <v>2018</v>
      </c>
      <c r="D36" s="86" t="s">
        <v>238</v>
      </c>
      <c r="E36" s="104" t="s">
        <v>173</v>
      </c>
      <c r="F36" s="104" t="s">
        <v>262</v>
      </c>
      <c r="G36" s="55" t="s">
        <v>42</v>
      </c>
      <c r="H36" s="104" t="s">
        <v>155</v>
      </c>
      <c r="I36" s="55" t="s">
        <v>156</v>
      </c>
      <c r="J36" s="104" t="s">
        <v>38</v>
      </c>
      <c r="K36" s="104" t="s">
        <v>154</v>
      </c>
      <c r="L36" s="96">
        <v>2</v>
      </c>
      <c r="N36" s="96">
        <v>4</v>
      </c>
      <c r="O36" s="96">
        <v>0.8</v>
      </c>
      <c r="P36" s="96">
        <v>0.8</v>
      </c>
      <c r="Q36" s="105">
        <f t="shared" si="0"/>
        <v>0.8</v>
      </c>
      <c r="R36" s="96">
        <v>12.2</v>
      </c>
      <c r="S36" s="96">
        <v>98</v>
      </c>
      <c r="T36" s="105">
        <f t="shared" si="1"/>
        <v>36</v>
      </c>
      <c r="U36" s="96">
        <v>539</v>
      </c>
      <c r="V36" s="105">
        <f t="shared" si="2"/>
        <v>4851</v>
      </c>
      <c r="W36" s="96">
        <v>2</v>
      </c>
      <c r="X36" s="55" t="s">
        <v>39</v>
      </c>
      <c r="Y36" s="55" t="s">
        <v>90</v>
      </c>
      <c r="Z36" s="104" t="s">
        <v>40</v>
      </c>
      <c r="AA36" s="55" t="s">
        <v>84</v>
      </c>
      <c r="AB36" s="39" t="s">
        <v>195</v>
      </c>
    </row>
    <row r="37" spans="1:28" x14ac:dyDescent="0.15">
      <c r="A37" s="55" t="s">
        <v>56</v>
      </c>
      <c r="B37" s="55" t="s">
        <v>237</v>
      </c>
      <c r="C37" s="104">
        <v>2018</v>
      </c>
      <c r="D37" s="86" t="s">
        <v>238</v>
      </c>
      <c r="E37" s="104" t="s">
        <v>173</v>
      </c>
      <c r="F37" s="104" t="s">
        <v>262</v>
      </c>
      <c r="G37" s="55" t="s">
        <v>42</v>
      </c>
      <c r="H37" s="104" t="s">
        <v>155</v>
      </c>
      <c r="I37" s="55" t="s">
        <v>156</v>
      </c>
      <c r="J37" s="104" t="s">
        <v>38</v>
      </c>
      <c r="K37" s="104" t="s">
        <v>154</v>
      </c>
      <c r="L37" s="96">
        <v>3</v>
      </c>
      <c r="N37" s="96">
        <v>4</v>
      </c>
      <c r="O37" s="96">
        <v>0.65</v>
      </c>
      <c r="P37" s="96">
        <v>0.55000000000000004</v>
      </c>
      <c r="Q37" s="105">
        <f t="shared" si="0"/>
        <v>0.60000000000000009</v>
      </c>
      <c r="R37" s="96">
        <v>11.5</v>
      </c>
      <c r="S37" s="96">
        <v>84</v>
      </c>
      <c r="T37" s="105">
        <f t="shared" si="1"/>
        <v>36</v>
      </c>
      <c r="U37" s="96">
        <v>539</v>
      </c>
      <c r="V37" s="105">
        <f t="shared" si="2"/>
        <v>4851</v>
      </c>
      <c r="W37" s="96">
        <v>2</v>
      </c>
      <c r="X37" s="55" t="s">
        <v>39</v>
      </c>
      <c r="Y37" s="55" t="s">
        <v>90</v>
      </c>
      <c r="Z37" s="104" t="s">
        <v>40</v>
      </c>
      <c r="AA37" s="55" t="s">
        <v>84</v>
      </c>
      <c r="AB37" s="39" t="s">
        <v>195</v>
      </c>
    </row>
    <row r="38" spans="1:28" x14ac:dyDescent="0.15">
      <c r="A38" s="55" t="s">
        <v>56</v>
      </c>
      <c r="B38" s="55" t="s">
        <v>237</v>
      </c>
      <c r="C38" s="104">
        <v>2018</v>
      </c>
      <c r="D38" s="86" t="s">
        <v>238</v>
      </c>
      <c r="E38" s="104" t="s">
        <v>191</v>
      </c>
      <c r="F38" s="104" t="s">
        <v>262</v>
      </c>
      <c r="G38" s="55" t="s">
        <v>42</v>
      </c>
      <c r="H38" s="104" t="s">
        <v>155</v>
      </c>
      <c r="I38" s="55" t="s">
        <v>153</v>
      </c>
      <c r="J38" s="104" t="s">
        <v>38</v>
      </c>
      <c r="K38" s="104" t="s">
        <v>154</v>
      </c>
      <c r="L38" s="96">
        <v>1</v>
      </c>
      <c r="N38" s="96">
        <v>1</v>
      </c>
      <c r="O38" s="96">
        <v>0.9</v>
      </c>
      <c r="P38" s="96">
        <v>0.85</v>
      </c>
      <c r="Q38" s="105">
        <f t="shared" si="0"/>
        <v>0.875</v>
      </c>
      <c r="R38" s="96">
        <v>12.9</v>
      </c>
      <c r="S38" s="96">
        <v>120</v>
      </c>
      <c r="T38" s="105">
        <f t="shared" si="1"/>
        <v>30</v>
      </c>
      <c r="U38" s="96">
        <v>105</v>
      </c>
      <c r="V38" s="105">
        <f t="shared" si="2"/>
        <v>3150</v>
      </c>
      <c r="W38" s="96">
        <v>2</v>
      </c>
      <c r="X38" s="55" t="s">
        <v>46</v>
      </c>
      <c r="Y38" s="55" t="s">
        <v>40</v>
      </c>
      <c r="Z38" s="104" t="s">
        <v>84</v>
      </c>
      <c r="AA38" s="55" t="s">
        <v>90</v>
      </c>
      <c r="AB38" s="39" t="s">
        <v>195</v>
      </c>
    </row>
    <row r="39" spans="1:28" x14ac:dyDescent="0.15">
      <c r="A39" s="55" t="s">
        <v>56</v>
      </c>
      <c r="B39" s="55" t="s">
        <v>237</v>
      </c>
      <c r="C39" s="104">
        <v>2018</v>
      </c>
      <c r="D39" s="86" t="s">
        <v>238</v>
      </c>
      <c r="E39" s="104" t="s">
        <v>191</v>
      </c>
      <c r="F39" s="104" t="s">
        <v>262</v>
      </c>
      <c r="G39" s="55" t="s">
        <v>42</v>
      </c>
      <c r="H39" s="104" t="s">
        <v>155</v>
      </c>
      <c r="I39" s="55" t="s">
        <v>153</v>
      </c>
      <c r="J39" s="104" t="s">
        <v>38</v>
      </c>
      <c r="K39" s="104" t="s">
        <v>154</v>
      </c>
      <c r="L39" s="96">
        <v>2</v>
      </c>
      <c r="N39" s="96">
        <v>1</v>
      </c>
      <c r="O39" s="96">
        <v>0.8</v>
      </c>
      <c r="P39" s="96">
        <v>0.75</v>
      </c>
      <c r="Q39" s="105">
        <f t="shared" si="0"/>
        <v>0.77500000000000002</v>
      </c>
      <c r="R39" s="96">
        <v>11.7</v>
      </c>
      <c r="S39" s="96">
        <v>123</v>
      </c>
      <c r="T39" s="105">
        <f t="shared" si="1"/>
        <v>27</v>
      </c>
      <c r="U39" s="96">
        <v>105</v>
      </c>
      <c r="V39" s="105">
        <f t="shared" si="2"/>
        <v>2835</v>
      </c>
      <c r="W39" s="96">
        <v>2</v>
      </c>
      <c r="X39" s="55" t="s">
        <v>46</v>
      </c>
      <c r="Y39" s="55" t="s">
        <v>40</v>
      </c>
      <c r="Z39" s="104" t="s">
        <v>84</v>
      </c>
      <c r="AA39" s="55" t="s">
        <v>90</v>
      </c>
      <c r="AB39" s="39" t="s">
        <v>195</v>
      </c>
    </row>
    <row r="40" spans="1:28" x14ac:dyDescent="0.15">
      <c r="A40" s="55" t="s">
        <v>56</v>
      </c>
      <c r="B40" s="55" t="s">
        <v>237</v>
      </c>
      <c r="C40" s="104">
        <v>2018</v>
      </c>
      <c r="D40" s="86" t="s">
        <v>238</v>
      </c>
      <c r="E40" s="104" t="s">
        <v>191</v>
      </c>
      <c r="F40" s="104" t="s">
        <v>262</v>
      </c>
      <c r="G40" s="55" t="s">
        <v>42</v>
      </c>
      <c r="H40" s="104" t="s">
        <v>155</v>
      </c>
      <c r="I40" s="55" t="s">
        <v>153</v>
      </c>
      <c r="J40" s="104" t="s">
        <v>38</v>
      </c>
      <c r="K40" s="104" t="s">
        <v>154</v>
      </c>
      <c r="L40" s="96">
        <v>3</v>
      </c>
      <c r="N40" s="96">
        <v>1</v>
      </c>
      <c r="O40" s="96">
        <v>1.05</v>
      </c>
      <c r="P40" s="96">
        <v>1.1000000000000001</v>
      </c>
      <c r="Q40" s="105">
        <f t="shared" si="0"/>
        <v>1.0750000000000002</v>
      </c>
      <c r="R40" s="96">
        <v>13.2</v>
      </c>
      <c r="S40" s="96">
        <v>119</v>
      </c>
      <c r="T40" s="105">
        <f t="shared" si="1"/>
        <v>30</v>
      </c>
      <c r="U40" s="96">
        <v>105</v>
      </c>
      <c r="V40" s="105">
        <f t="shared" si="2"/>
        <v>3150</v>
      </c>
      <c r="W40" s="96">
        <v>2</v>
      </c>
      <c r="X40" s="55" t="s">
        <v>46</v>
      </c>
      <c r="Y40" s="55" t="s">
        <v>40</v>
      </c>
      <c r="Z40" s="104" t="s">
        <v>84</v>
      </c>
      <c r="AA40" s="55" t="s">
        <v>90</v>
      </c>
      <c r="AB40" s="39" t="s">
        <v>195</v>
      </c>
    </row>
    <row r="41" spans="1:28" x14ac:dyDescent="0.15">
      <c r="A41" s="55" t="s">
        <v>56</v>
      </c>
      <c r="B41" s="55" t="s">
        <v>237</v>
      </c>
      <c r="C41" s="104">
        <v>2018</v>
      </c>
      <c r="D41" s="86" t="s">
        <v>238</v>
      </c>
      <c r="E41" s="104" t="s">
        <v>191</v>
      </c>
      <c r="F41" s="104" t="s">
        <v>262</v>
      </c>
      <c r="G41" s="55" t="s">
        <v>42</v>
      </c>
      <c r="H41" s="104" t="s">
        <v>128</v>
      </c>
      <c r="I41" s="55" t="s">
        <v>153</v>
      </c>
      <c r="J41" s="104" t="s">
        <v>80</v>
      </c>
      <c r="K41" s="104" t="s">
        <v>63</v>
      </c>
      <c r="L41" s="96">
        <v>1</v>
      </c>
      <c r="N41" s="96">
        <v>1</v>
      </c>
      <c r="O41" s="96">
        <v>0.8</v>
      </c>
      <c r="P41" s="96">
        <v>0.85</v>
      </c>
      <c r="Q41" s="105">
        <f t="shared" si="0"/>
        <v>0.82499999999999996</v>
      </c>
      <c r="R41" s="96">
        <v>16.2</v>
      </c>
      <c r="S41" s="96">
        <v>102</v>
      </c>
      <c r="T41" s="105">
        <f t="shared" si="1"/>
        <v>33</v>
      </c>
      <c r="U41" s="96">
        <v>105</v>
      </c>
      <c r="V41" s="105">
        <f t="shared" si="2"/>
        <v>3465</v>
      </c>
      <c r="W41" s="96">
        <v>2</v>
      </c>
      <c r="X41" s="55" t="s">
        <v>46</v>
      </c>
      <c r="Y41" s="55" t="s">
        <v>40</v>
      </c>
      <c r="Z41" s="104" t="s">
        <v>84</v>
      </c>
      <c r="AA41" s="55" t="s">
        <v>90</v>
      </c>
      <c r="AB41" s="39" t="s">
        <v>195</v>
      </c>
    </row>
    <row r="42" spans="1:28" x14ac:dyDescent="0.15">
      <c r="A42" s="55" t="s">
        <v>56</v>
      </c>
      <c r="B42" s="55" t="s">
        <v>237</v>
      </c>
      <c r="C42" s="104">
        <v>2018</v>
      </c>
      <c r="D42" s="86" t="s">
        <v>238</v>
      </c>
      <c r="E42" s="104" t="s">
        <v>191</v>
      </c>
      <c r="F42" s="104" t="s">
        <v>262</v>
      </c>
      <c r="G42" s="55" t="s">
        <v>42</v>
      </c>
      <c r="H42" s="104" t="s">
        <v>128</v>
      </c>
      <c r="I42" s="55" t="s">
        <v>153</v>
      </c>
      <c r="J42" s="104" t="s">
        <v>80</v>
      </c>
      <c r="K42" s="104" t="s">
        <v>63</v>
      </c>
      <c r="L42" s="96">
        <v>2</v>
      </c>
      <c r="N42" s="96">
        <v>1</v>
      </c>
      <c r="O42" s="96">
        <v>0.85</v>
      </c>
      <c r="P42" s="96">
        <v>0.8</v>
      </c>
      <c r="Q42" s="105">
        <f t="shared" si="0"/>
        <v>0.82499999999999996</v>
      </c>
      <c r="R42" s="96">
        <v>17.100000000000001</v>
      </c>
      <c r="S42" s="96">
        <v>102</v>
      </c>
      <c r="T42" s="105">
        <f t="shared" si="1"/>
        <v>33</v>
      </c>
      <c r="U42" s="96">
        <v>105</v>
      </c>
      <c r="V42" s="105">
        <f t="shared" si="2"/>
        <v>3465</v>
      </c>
      <c r="W42" s="96">
        <v>2</v>
      </c>
      <c r="X42" s="55" t="s">
        <v>46</v>
      </c>
      <c r="Y42" s="55" t="s">
        <v>40</v>
      </c>
      <c r="Z42" s="104" t="s">
        <v>84</v>
      </c>
      <c r="AA42" s="55" t="s">
        <v>90</v>
      </c>
      <c r="AB42" s="39" t="s">
        <v>195</v>
      </c>
    </row>
    <row r="43" spans="1:28" x14ac:dyDescent="0.15">
      <c r="A43" s="55" t="s">
        <v>56</v>
      </c>
      <c r="B43" s="55" t="s">
        <v>237</v>
      </c>
      <c r="C43" s="104">
        <v>2018</v>
      </c>
      <c r="D43" s="86" t="s">
        <v>238</v>
      </c>
      <c r="E43" s="104" t="s">
        <v>191</v>
      </c>
      <c r="F43" s="104" t="s">
        <v>262</v>
      </c>
      <c r="G43" s="55" t="s">
        <v>42</v>
      </c>
      <c r="H43" s="104" t="s">
        <v>128</v>
      </c>
      <c r="I43" s="55" t="s">
        <v>153</v>
      </c>
      <c r="J43" s="104" t="s">
        <v>80</v>
      </c>
      <c r="K43" s="104" t="s">
        <v>63</v>
      </c>
      <c r="L43" s="96">
        <v>3</v>
      </c>
      <c r="N43" s="96">
        <v>1</v>
      </c>
      <c r="O43" s="96">
        <v>0.85</v>
      </c>
      <c r="P43" s="96">
        <v>0.75</v>
      </c>
      <c r="Q43" s="105">
        <f t="shared" si="0"/>
        <v>0.8</v>
      </c>
      <c r="R43" s="96">
        <v>16</v>
      </c>
      <c r="S43" s="96">
        <v>105</v>
      </c>
      <c r="T43" s="105">
        <f t="shared" si="1"/>
        <v>33</v>
      </c>
      <c r="U43" s="96">
        <v>105</v>
      </c>
      <c r="V43" s="105">
        <f t="shared" si="2"/>
        <v>3465</v>
      </c>
      <c r="W43" s="96">
        <v>2</v>
      </c>
      <c r="X43" s="55" t="s">
        <v>46</v>
      </c>
      <c r="Y43" s="55" t="s">
        <v>40</v>
      </c>
      <c r="Z43" s="104" t="s">
        <v>84</v>
      </c>
      <c r="AA43" s="55" t="s">
        <v>90</v>
      </c>
      <c r="AB43" s="39" t="s">
        <v>195</v>
      </c>
    </row>
    <row r="44" spans="1:28" x14ac:dyDescent="0.15">
      <c r="A44" s="55" t="s">
        <v>56</v>
      </c>
      <c r="B44" s="55" t="s">
        <v>237</v>
      </c>
      <c r="C44" s="104">
        <v>2018</v>
      </c>
      <c r="D44" s="86" t="s">
        <v>238</v>
      </c>
      <c r="E44" s="104" t="s">
        <v>225</v>
      </c>
      <c r="F44" s="104" t="s">
        <v>262</v>
      </c>
      <c r="G44" s="55" t="s">
        <v>42</v>
      </c>
      <c r="H44" s="104" t="s">
        <v>155</v>
      </c>
      <c r="I44" s="55" t="s">
        <v>153</v>
      </c>
      <c r="J44" s="104" t="s">
        <v>38</v>
      </c>
      <c r="K44" s="104" t="s">
        <v>154</v>
      </c>
      <c r="L44" s="96">
        <v>1</v>
      </c>
      <c r="N44" s="96">
        <v>1</v>
      </c>
      <c r="O44" s="96">
        <v>0.95</v>
      </c>
      <c r="P44" s="96">
        <v>0.95</v>
      </c>
      <c r="Q44" s="105">
        <f t="shared" si="0"/>
        <v>0.95</v>
      </c>
      <c r="R44" s="96">
        <v>11.2</v>
      </c>
      <c r="S44" s="96">
        <v>126</v>
      </c>
      <c r="T44" s="105">
        <f t="shared" si="1"/>
        <v>27</v>
      </c>
      <c r="U44" s="96">
        <v>167</v>
      </c>
      <c r="V44" s="105">
        <f t="shared" si="2"/>
        <v>4509</v>
      </c>
      <c r="W44" s="96">
        <v>4</v>
      </c>
      <c r="X44" s="55" t="s">
        <v>46</v>
      </c>
      <c r="Y44" s="55" t="s">
        <v>84</v>
      </c>
      <c r="Z44" s="96" t="s">
        <v>90</v>
      </c>
      <c r="AA44" s="55" t="s">
        <v>40</v>
      </c>
      <c r="AB44" s="39" t="s">
        <v>195</v>
      </c>
    </row>
    <row r="45" spans="1:28" x14ac:dyDescent="0.15">
      <c r="A45" s="55" t="s">
        <v>56</v>
      </c>
      <c r="B45" s="55" t="s">
        <v>237</v>
      </c>
      <c r="C45" s="104">
        <v>2018</v>
      </c>
      <c r="D45" s="86" t="s">
        <v>238</v>
      </c>
      <c r="E45" s="104" t="s">
        <v>225</v>
      </c>
      <c r="F45" s="104" t="s">
        <v>262</v>
      </c>
      <c r="G45" s="55" t="s">
        <v>42</v>
      </c>
      <c r="H45" s="104" t="s">
        <v>155</v>
      </c>
      <c r="I45" s="55" t="s">
        <v>153</v>
      </c>
      <c r="J45" s="104" t="s">
        <v>38</v>
      </c>
      <c r="K45" s="104" t="s">
        <v>154</v>
      </c>
      <c r="L45" s="96">
        <v>2</v>
      </c>
      <c r="N45" s="96">
        <v>1</v>
      </c>
      <c r="O45" s="96">
        <v>0.6</v>
      </c>
      <c r="P45" s="96">
        <v>0.6</v>
      </c>
      <c r="Q45" s="105">
        <f t="shared" si="0"/>
        <v>0.6</v>
      </c>
      <c r="R45" s="96">
        <v>11.8</v>
      </c>
      <c r="S45" s="96">
        <v>127</v>
      </c>
      <c r="T45" s="105">
        <f t="shared" si="1"/>
        <v>27</v>
      </c>
      <c r="U45" s="96">
        <v>167</v>
      </c>
      <c r="V45" s="105">
        <f t="shared" si="2"/>
        <v>4509</v>
      </c>
      <c r="W45" s="96">
        <v>4</v>
      </c>
      <c r="X45" s="55" t="s">
        <v>46</v>
      </c>
      <c r="Y45" s="55" t="s">
        <v>84</v>
      </c>
      <c r="Z45" s="96" t="s">
        <v>90</v>
      </c>
      <c r="AA45" s="55" t="s">
        <v>40</v>
      </c>
      <c r="AB45" s="39" t="s">
        <v>195</v>
      </c>
    </row>
    <row r="46" spans="1:28" x14ac:dyDescent="0.15">
      <c r="A46" s="55" t="s">
        <v>56</v>
      </c>
      <c r="B46" s="55" t="s">
        <v>237</v>
      </c>
      <c r="C46" s="104">
        <v>2018</v>
      </c>
      <c r="D46" s="86" t="s">
        <v>238</v>
      </c>
      <c r="E46" s="104" t="s">
        <v>225</v>
      </c>
      <c r="F46" s="104" t="s">
        <v>262</v>
      </c>
      <c r="G46" s="55" t="s">
        <v>42</v>
      </c>
      <c r="H46" s="104" t="s">
        <v>155</v>
      </c>
      <c r="I46" s="55" t="s">
        <v>153</v>
      </c>
      <c r="J46" s="104" t="s">
        <v>38</v>
      </c>
      <c r="K46" s="104" t="s">
        <v>154</v>
      </c>
      <c r="L46" s="96">
        <v>3</v>
      </c>
      <c r="N46" s="96">
        <v>1</v>
      </c>
      <c r="O46" s="96">
        <v>0.75</v>
      </c>
      <c r="P46" s="96">
        <v>0.6</v>
      </c>
      <c r="Q46" s="105">
        <f t="shared" si="0"/>
        <v>0.67500000000000004</v>
      </c>
      <c r="R46" s="96">
        <v>14</v>
      </c>
      <c r="S46" s="96">
        <v>132</v>
      </c>
      <c r="T46" s="105">
        <f t="shared" si="1"/>
        <v>25</v>
      </c>
      <c r="U46" s="96">
        <v>167</v>
      </c>
      <c r="V46" s="105">
        <f t="shared" si="2"/>
        <v>4175</v>
      </c>
      <c r="W46" s="96">
        <v>4</v>
      </c>
      <c r="X46" s="55" t="s">
        <v>46</v>
      </c>
      <c r="Y46" s="55" t="s">
        <v>84</v>
      </c>
      <c r="Z46" s="96" t="s">
        <v>90</v>
      </c>
      <c r="AA46" s="55" t="s">
        <v>40</v>
      </c>
      <c r="AB46" s="39" t="s">
        <v>195</v>
      </c>
    </row>
    <row r="47" spans="1:28" x14ac:dyDescent="0.15">
      <c r="A47" s="55" t="s">
        <v>56</v>
      </c>
      <c r="B47" s="55" t="s">
        <v>237</v>
      </c>
      <c r="C47" s="104">
        <v>2018</v>
      </c>
      <c r="D47" s="86" t="s">
        <v>238</v>
      </c>
      <c r="E47" s="104" t="s">
        <v>267</v>
      </c>
      <c r="F47" s="104" t="s">
        <v>262</v>
      </c>
      <c r="G47" s="55" t="s">
        <v>42</v>
      </c>
      <c r="H47" s="104" t="s">
        <v>155</v>
      </c>
      <c r="I47" s="55" t="s">
        <v>153</v>
      </c>
      <c r="J47" s="104" t="s">
        <v>38</v>
      </c>
      <c r="K47" s="104" t="s">
        <v>154</v>
      </c>
      <c r="L47" s="96">
        <v>1</v>
      </c>
      <c r="N47" s="96">
        <v>8</v>
      </c>
      <c r="O47" s="96">
        <v>0.6</v>
      </c>
      <c r="P47" s="96">
        <v>0.6</v>
      </c>
      <c r="Q47" s="105">
        <f t="shared" si="0"/>
        <v>0.6</v>
      </c>
      <c r="R47" s="96">
        <v>13.4</v>
      </c>
      <c r="S47" s="96">
        <v>109</v>
      </c>
      <c r="T47" s="105">
        <f t="shared" si="1"/>
        <v>33</v>
      </c>
      <c r="U47" s="96">
        <v>538</v>
      </c>
      <c r="V47" s="105">
        <f t="shared" si="2"/>
        <v>2219.25</v>
      </c>
      <c r="W47" s="96">
        <v>6</v>
      </c>
      <c r="X47" s="55" t="s">
        <v>46</v>
      </c>
      <c r="Y47" s="55" t="s">
        <v>84</v>
      </c>
      <c r="Z47" s="96" t="s">
        <v>90</v>
      </c>
      <c r="AA47" s="55" t="s">
        <v>40</v>
      </c>
      <c r="AB47" s="39" t="s">
        <v>195</v>
      </c>
    </row>
    <row r="48" spans="1:28" x14ac:dyDescent="0.15">
      <c r="A48" s="55" t="s">
        <v>56</v>
      </c>
      <c r="B48" s="55" t="s">
        <v>237</v>
      </c>
      <c r="C48" s="104">
        <v>2018</v>
      </c>
      <c r="D48" s="86" t="s">
        <v>238</v>
      </c>
      <c r="E48" s="104" t="s">
        <v>267</v>
      </c>
      <c r="F48" s="104" t="s">
        <v>262</v>
      </c>
      <c r="G48" s="55" t="s">
        <v>42</v>
      </c>
      <c r="H48" s="104" t="s">
        <v>155</v>
      </c>
      <c r="I48" s="55" t="s">
        <v>153</v>
      </c>
      <c r="J48" s="104" t="s">
        <v>38</v>
      </c>
      <c r="K48" s="104" t="s">
        <v>154</v>
      </c>
      <c r="L48" s="96">
        <v>2</v>
      </c>
      <c r="N48" s="96">
        <v>8</v>
      </c>
      <c r="O48" s="96">
        <v>1.05</v>
      </c>
      <c r="P48" s="96">
        <v>1.05</v>
      </c>
      <c r="Q48" s="105">
        <f t="shared" si="0"/>
        <v>1.05</v>
      </c>
      <c r="R48" s="96">
        <v>13.9</v>
      </c>
      <c r="S48" s="96">
        <v>107</v>
      </c>
      <c r="T48" s="105">
        <f t="shared" si="1"/>
        <v>33</v>
      </c>
      <c r="U48" s="96">
        <v>538</v>
      </c>
      <c r="V48" s="105">
        <f t="shared" si="2"/>
        <v>2219.25</v>
      </c>
      <c r="W48" s="96">
        <v>6</v>
      </c>
      <c r="X48" s="55" t="s">
        <v>46</v>
      </c>
      <c r="Y48" s="55" t="s">
        <v>84</v>
      </c>
      <c r="Z48" s="96" t="s">
        <v>90</v>
      </c>
      <c r="AA48" s="55" t="s">
        <v>40</v>
      </c>
      <c r="AB48" s="39" t="s">
        <v>195</v>
      </c>
    </row>
    <row r="49" spans="1:28" x14ac:dyDescent="0.15">
      <c r="A49" s="55" t="s">
        <v>56</v>
      </c>
      <c r="B49" s="55" t="s">
        <v>237</v>
      </c>
      <c r="C49" s="104">
        <v>2018</v>
      </c>
      <c r="D49" s="86" t="s">
        <v>238</v>
      </c>
      <c r="E49" s="104" t="s">
        <v>267</v>
      </c>
      <c r="F49" s="104" t="s">
        <v>262</v>
      </c>
      <c r="G49" s="55" t="s">
        <v>42</v>
      </c>
      <c r="H49" s="104" t="s">
        <v>155</v>
      </c>
      <c r="I49" s="55" t="s">
        <v>153</v>
      </c>
      <c r="J49" s="104" t="s">
        <v>38</v>
      </c>
      <c r="K49" s="104" t="s">
        <v>154</v>
      </c>
      <c r="L49" s="96">
        <v>3</v>
      </c>
      <c r="N49" s="96">
        <v>8</v>
      </c>
      <c r="O49" s="96">
        <v>0.85</v>
      </c>
      <c r="P49" s="96">
        <v>0.95</v>
      </c>
      <c r="Q49" s="105">
        <f t="shared" si="0"/>
        <v>0.89999999999999991</v>
      </c>
      <c r="R49" s="96">
        <v>12.4</v>
      </c>
      <c r="S49" s="96">
        <v>111</v>
      </c>
      <c r="T49" s="105">
        <f t="shared" si="1"/>
        <v>33</v>
      </c>
      <c r="U49" s="96">
        <v>538</v>
      </c>
      <c r="V49" s="105">
        <f t="shared" si="2"/>
        <v>2219.25</v>
      </c>
      <c r="W49" s="96">
        <v>6</v>
      </c>
      <c r="X49" s="55" t="s">
        <v>46</v>
      </c>
      <c r="Y49" s="55" t="s">
        <v>84</v>
      </c>
      <c r="Z49" s="96" t="s">
        <v>90</v>
      </c>
      <c r="AA49" s="55" t="s">
        <v>40</v>
      </c>
      <c r="AB49" s="39" t="s">
        <v>195</v>
      </c>
    </row>
    <row r="50" spans="1:28" x14ac:dyDescent="0.15">
      <c r="A50" s="55" t="s">
        <v>56</v>
      </c>
      <c r="B50" s="55" t="s">
        <v>237</v>
      </c>
      <c r="C50" s="104">
        <v>2018</v>
      </c>
      <c r="D50" s="86" t="s">
        <v>238</v>
      </c>
      <c r="E50" s="104" t="s">
        <v>267</v>
      </c>
      <c r="F50" s="104" t="s">
        <v>262</v>
      </c>
      <c r="G50" s="55" t="s">
        <v>42</v>
      </c>
      <c r="H50" s="104" t="s">
        <v>174</v>
      </c>
      <c r="I50" s="55" t="s">
        <v>153</v>
      </c>
      <c r="J50" s="104" t="s">
        <v>38</v>
      </c>
      <c r="K50" s="104" t="s">
        <v>87</v>
      </c>
      <c r="L50" s="96">
        <v>1</v>
      </c>
      <c r="N50" s="96">
        <v>5</v>
      </c>
      <c r="O50" s="96">
        <v>1.05</v>
      </c>
      <c r="P50" s="96">
        <v>1</v>
      </c>
      <c r="Q50" s="105">
        <f t="shared" si="0"/>
        <v>1.0249999999999999</v>
      </c>
      <c r="R50" s="96">
        <v>16</v>
      </c>
      <c r="S50" s="96">
        <v>93</v>
      </c>
      <c r="T50" s="105">
        <f t="shared" si="1"/>
        <v>39</v>
      </c>
      <c r="U50" s="96">
        <v>754</v>
      </c>
      <c r="V50" s="105">
        <f t="shared" si="2"/>
        <v>5881.2000000000007</v>
      </c>
      <c r="W50" s="96">
        <v>6</v>
      </c>
      <c r="X50" s="55" t="s">
        <v>46</v>
      </c>
      <c r="Y50" s="55" t="s">
        <v>84</v>
      </c>
      <c r="Z50" s="96" t="s">
        <v>90</v>
      </c>
      <c r="AA50" s="55" t="s">
        <v>40</v>
      </c>
      <c r="AB50" s="39" t="s">
        <v>195</v>
      </c>
    </row>
    <row r="51" spans="1:28" x14ac:dyDescent="0.15">
      <c r="A51" s="55" t="s">
        <v>56</v>
      </c>
      <c r="B51" s="55" t="s">
        <v>237</v>
      </c>
      <c r="C51" s="104">
        <v>2018</v>
      </c>
      <c r="D51" s="86" t="s">
        <v>238</v>
      </c>
      <c r="E51" s="104" t="s">
        <v>267</v>
      </c>
      <c r="F51" s="104" t="s">
        <v>262</v>
      </c>
      <c r="G51" s="55" t="s">
        <v>42</v>
      </c>
      <c r="H51" s="104" t="s">
        <v>174</v>
      </c>
      <c r="I51" s="55" t="s">
        <v>153</v>
      </c>
      <c r="J51" s="104" t="s">
        <v>38</v>
      </c>
      <c r="K51" s="104" t="s">
        <v>87</v>
      </c>
      <c r="L51" s="96">
        <v>2</v>
      </c>
      <c r="N51" s="96">
        <v>5</v>
      </c>
      <c r="O51" s="96">
        <v>0.65</v>
      </c>
      <c r="P51" s="96">
        <v>0.7</v>
      </c>
      <c r="Q51" s="105">
        <f t="shared" si="0"/>
        <v>0.67500000000000004</v>
      </c>
      <c r="R51" s="96">
        <v>15.5</v>
      </c>
      <c r="S51" s="96">
        <v>93</v>
      </c>
      <c r="T51" s="105">
        <f t="shared" si="1"/>
        <v>39</v>
      </c>
      <c r="U51" s="96">
        <v>754</v>
      </c>
      <c r="V51" s="105">
        <f t="shared" si="2"/>
        <v>5881.2000000000007</v>
      </c>
      <c r="W51" s="96">
        <v>6</v>
      </c>
      <c r="X51" s="55" t="s">
        <v>46</v>
      </c>
      <c r="Y51" s="55" t="s">
        <v>84</v>
      </c>
      <c r="Z51" s="96" t="s">
        <v>90</v>
      </c>
      <c r="AA51" s="55" t="s">
        <v>40</v>
      </c>
      <c r="AB51" s="39" t="s">
        <v>195</v>
      </c>
    </row>
    <row r="52" spans="1:28" x14ac:dyDescent="0.15">
      <c r="A52" s="55" t="s">
        <v>56</v>
      </c>
      <c r="B52" s="55" t="s">
        <v>237</v>
      </c>
      <c r="C52" s="104">
        <v>2018</v>
      </c>
      <c r="D52" s="86" t="s">
        <v>238</v>
      </c>
      <c r="E52" s="104" t="s">
        <v>267</v>
      </c>
      <c r="F52" s="104" t="s">
        <v>262</v>
      </c>
      <c r="G52" s="55" t="s">
        <v>42</v>
      </c>
      <c r="H52" s="104" t="s">
        <v>174</v>
      </c>
      <c r="I52" s="55" t="s">
        <v>153</v>
      </c>
      <c r="J52" s="104" t="s">
        <v>38</v>
      </c>
      <c r="K52" s="104" t="s">
        <v>87</v>
      </c>
      <c r="L52" s="96">
        <v>3</v>
      </c>
      <c r="N52" s="96">
        <v>5</v>
      </c>
      <c r="O52" s="96">
        <v>0.65</v>
      </c>
      <c r="P52" s="96">
        <v>0.6</v>
      </c>
      <c r="Q52" s="105">
        <f t="shared" si="0"/>
        <v>0.625</v>
      </c>
      <c r="R52" s="96">
        <v>13.6</v>
      </c>
      <c r="S52" s="96">
        <v>79</v>
      </c>
      <c r="T52" s="105">
        <f t="shared" si="1"/>
        <v>42</v>
      </c>
      <c r="U52" s="96">
        <v>754</v>
      </c>
      <c r="V52" s="105">
        <f t="shared" si="2"/>
        <v>6333.6</v>
      </c>
      <c r="W52" s="96">
        <v>6</v>
      </c>
      <c r="X52" s="55" t="s">
        <v>46</v>
      </c>
      <c r="Y52" s="55" t="s">
        <v>84</v>
      </c>
      <c r="Z52" s="96" t="s">
        <v>90</v>
      </c>
      <c r="AA52" s="55" t="s">
        <v>40</v>
      </c>
      <c r="AB52" s="39" t="s">
        <v>195</v>
      </c>
    </row>
    <row r="53" spans="1:28" x14ac:dyDescent="0.15">
      <c r="A53" s="55"/>
      <c r="B53" s="55"/>
      <c r="C53" s="104"/>
      <c r="D53" s="86"/>
      <c r="E53" s="104"/>
      <c r="F53" s="104"/>
      <c r="G53" s="55"/>
      <c r="H53" s="104"/>
      <c r="I53" s="55"/>
      <c r="J53" s="104"/>
      <c r="K53" s="104"/>
      <c r="X53" s="55"/>
      <c r="Y53" s="55"/>
      <c r="AA53" s="55"/>
    </row>
    <row r="54" spans="1:28" x14ac:dyDescent="0.15">
      <c r="A54" s="55"/>
      <c r="B54" s="55"/>
      <c r="C54" s="104"/>
      <c r="D54" s="86"/>
      <c r="E54" s="104"/>
      <c r="F54" s="104"/>
      <c r="G54" s="55"/>
      <c r="H54" s="104"/>
      <c r="I54" s="55"/>
      <c r="J54" s="104"/>
      <c r="K54" s="104"/>
      <c r="X54" s="55"/>
      <c r="Y54" s="55"/>
      <c r="AA54" s="55"/>
    </row>
    <row r="55" spans="1:28" x14ac:dyDescent="0.15">
      <c r="A55" s="55"/>
      <c r="B55" s="55"/>
      <c r="C55" s="104"/>
      <c r="D55" s="86"/>
      <c r="E55" s="104"/>
      <c r="F55" s="104"/>
      <c r="G55" s="55"/>
      <c r="H55" s="104"/>
      <c r="I55" s="55"/>
      <c r="J55" s="104"/>
      <c r="K55" s="104"/>
      <c r="X55" s="55"/>
      <c r="Y55" s="55"/>
      <c r="AA55" s="55"/>
    </row>
    <row r="56" spans="1:28" x14ac:dyDescent="0.15">
      <c r="A56" s="55"/>
      <c r="B56" s="55"/>
      <c r="C56" s="104"/>
      <c r="D56" s="86"/>
      <c r="E56" s="104"/>
      <c r="F56" s="104"/>
      <c r="G56" s="55"/>
      <c r="H56" s="104"/>
      <c r="I56" s="55"/>
      <c r="J56" s="104"/>
      <c r="K56" s="104"/>
      <c r="X56" s="55"/>
      <c r="Y56" s="55"/>
      <c r="AA56" s="55"/>
    </row>
    <row r="57" spans="1:28" x14ac:dyDescent="0.15">
      <c r="A57" s="55"/>
      <c r="B57" s="55"/>
      <c r="C57" s="104"/>
      <c r="D57" s="86"/>
      <c r="E57" s="104"/>
      <c r="F57" s="104"/>
      <c r="G57" s="55"/>
      <c r="H57" s="104"/>
      <c r="I57" s="55"/>
      <c r="J57" s="104"/>
      <c r="K57" s="104"/>
      <c r="X57" s="55"/>
      <c r="Y57" s="55"/>
      <c r="AA57" s="55"/>
    </row>
    <row r="58" spans="1:28" x14ac:dyDescent="0.15">
      <c r="A58" s="55"/>
      <c r="B58" s="55"/>
      <c r="C58" s="104"/>
      <c r="D58" s="86"/>
      <c r="E58" s="104"/>
      <c r="F58" s="104"/>
      <c r="G58" s="55"/>
      <c r="H58" s="104"/>
      <c r="I58" s="55"/>
      <c r="J58" s="104"/>
      <c r="K58" s="104"/>
      <c r="X58" s="55"/>
      <c r="Y58" s="55"/>
      <c r="AA58" s="55"/>
    </row>
    <row r="59" spans="1:28" x14ac:dyDescent="0.15">
      <c r="A59" s="55"/>
      <c r="B59" s="55"/>
      <c r="C59" s="104"/>
      <c r="D59" s="86"/>
      <c r="E59" s="104"/>
      <c r="F59" s="104"/>
      <c r="G59" s="55"/>
      <c r="H59" s="104"/>
      <c r="I59" s="55"/>
      <c r="J59" s="104"/>
      <c r="K59" s="104"/>
      <c r="X59" s="55"/>
      <c r="Y59" s="55"/>
      <c r="AA59" s="55"/>
    </row>
    <row r="60" spans="1:28" x14ac:dyDescent="0.15">
      <c r="A60" s="55"/>
      <c r="B60" s="55"/>
      <c r="C60" s="104"/>
      <c r="D60" s="86"/>
      <c r="E60" s="104"/>
      <c r="F60" s="104"/>
      <c r="G60" s="55"/>
      <c r="H60" s="104"/>
      <c r="I60" s="55"/>
      <c r="J60" s="104"/>
      <c r="K60" s="104"/>
      <c r="X60" s="55"/>
      <c r="Y60" s="55"/>
      <c r="AA60" s="55"/>
    </row>
    <row r="61" spans="1:28" x14ac:dyDescent="0.15">
      <c r="A61" s="55"/>
      <c r="B61" s="55"/>
      <c r="C61" s="104"/>
      <c r="D61" s="86"/>
      <c r="E61" s="104"/>
      <c r="F61" s="104"/>
      <c r="G61" s="55"/>
      <c r="H61" s="104"/>
      <c r="I61" s="55"/>
      <c r="J61" s="104"/>
      <c r="K61" s="104"/>
      <c r="X61" s="55"/>
      <c r="Y61" s="55"/>
      <c r="AA61" s="55"/>
    </row>
    <row r="62" spans="1:28" x14ac:dyDescent="0.15">
      <c r="A62" s="55"/>
      <c r="B62" s="55"/>
      <c r="C62" s="104"/>
      <c r="D62" s="86"/>
      <c r="E62" s="104"/>
      <c r="F62" s="104"/>
      <c r="G62" s="55"/>
      <c r="H62" s="104"/>
      <c r="I62" s="55"/>
      <c r="J62" s="104"/>
      <c r="K62" s="104"/>
      <c r="X62" s="55"/>
      <c r="Y62" s="55"/>
      <c r="AA62" s="55"/>
    </row>
    <row r="63" spans="1:28" x14ac:dyDescent="0.15">
      <c r="A63" s="55"/>
      <c r="B63" s="55"/>
      <c r="C63" s="104"/>
      <c r="D63" s="86"/>
      <c r="E63" s="104"/>
      <c r="F63" s="104"/>
      <c r="G63" s="55"/>
      <c r="H63" s="104"/>
      <c r="I63" s="55"/>
      <c r="J63" s="104"/>
      <c r="K63" s="104"/>
      <c r="X63" s="55"/>
      <c r="Y63" s="55"/>
      <c r="AA63" s="55"/>
    </row>
    <row r="64" spans="1:28" x14ac:dyDescent="0.15">
      <c r="A64" s="55"/>
      <c r="B64" s="55"/>
      <c r="C64" s="104"/>
      <c r="D64" s="86"/>
      <c r="E64" s="104"/>
      <c r="F64" s="104"/>
      <c r="G64" s="55"/>
      <c r="H64" s="104"/>
      <c r="I64" s="55"/>
      <c r="J64" s="104"/>
      <c r="K64" s="104"/>
      <c r="X64" s="55"/>
      <c r="Y64" s="55"/>
      <c r="AA64" s="55"/>
    </row>
    <row r="65" spans="1:27" x14ac:dyDescent="0.15">
      <c r="A65" s="55"/>
      <c r="B65" s="55"/>
      <c r="C65" s="104"/>
      <c r="D65" s="86"/>
      <c r="E65" s="104"/>
      <c r="F65" s="104"/>
      <c r="G65" s="55"/>
      <c r="H65" s="104"/>
      <c r="I65" s="55"/>
      <c r="J65" s="104"/>
      <c r="K65" s="104"/>
      <c r="X65" s="55"/>
      <c r="Y65" s="55"/>
      <c r="AA65" s="55"/>
    </row>
    <row r="66" spans="1:27" x14ac:dyDescent="0.15">
      <c r="A66" s="55"/>
      <c r="B66" s="55"/>
      <c r="C66" s="104"/>
      <c r="D66" s="86"/>
      <c r="E66" s="104"/>
      <c r="F66" s="104"/>
      <c r="G66" s="55"/>
      <c r="H66" s="104"/>
      <c r="I66" s="55"/>
      <c r="J66" s="104"/>
      <c r="K66" s="104"/>
      <c r="X66" s="55"/>
      <c r="Y66" s="55"/>
      <c r="AA66" s="55"/>
    </row>
    <row r="67" spans="1:27" x14ac:dyDescent="0.15">
      <c r="A67" s="55"/>
      <c r="B67" s="55"/>
      <c r="C67" s="104"/>
      <c r="D67" s="86"/>
      <c r="E67" s="104"/>
      <c r="F67" s="104"/>
      <c r="G67" s="55"/>
      <c r="H67" s="104"/>
      <c r="I67" s="55"/>
      <c r="J67" s="104"/>
      <c r="K67" s="104"/>
      <c r="X67" s="55"/>
      <c r="Y67" s="55"/>
      <c r="AA67" s="55"/>
    </row>
    <row r="68" spans="1:27" x14ac:dyDescent="0.15">
      <c r="A68" s="55"/>
      <c r="B68" s="55"/>
      <c r="C68" s="104"/>
      <c r="D68" s="86"/>
      <c r="E68" s="104"/>
      <c r="F68" s="104"/>
      <c r="G68" s="55"/>
      <c r="H68" s="104"/>
      <c r="I68" s="55"/>
      <c r="J68" s="104"/>
      <c r="K68" s="104"/>
      <c r="X68" s="55"/>
      <c r="Y68" s="55"/>
      <c r="AA68" s="55"/>
    </row>
    <row r="69" spans="1:27" x14ac:dyDescent="0.15">
      <c r="A69" s="55"/>
      <c r="B69" s="55"/>
      <c r="C69" s="104"/>
      <c r="D69" s="86"/>
      <c r="E69" s="104"/>
      <c r="F69" s="104"/>
      <c r="G69" s="55"/>
      <c r="H69" s="104"/>
      <c r="I69" s="55"/>
      <c r="J69" s="104"/>
      <c r="K69" s="104"/>
      <c r="X69" s="55"/>
      <c r="Y69" s="55"/>
      <c r="AA69" s="55"/>
    </row>
    <row r="70" spans="1:27" x14ac:dyDescent="0.15">
      <c r="A70" s="55"/>
      <c r="B70" s="55"/>
      <c r="C70" s="104"/>
      <c r="D70" s="86"/>
      <c r="E70" s="104"/>
      <c r="F70" s="104"/>
      <c r="G70" s="55"/>
      <c r="H70" s="104"/>
      <c r="I70" s="55"/>
      <c r="J70" s="104"/>
      <c r="K70" s="104"/>
      <c r="X70" s="55"/>
      <c r="Y70" s="55"/>
      <c r="AA70" s="55"/>
    </row>
    <row r="71" spans="1:27" x14ac:dyDescent="0.15">
      <c r="A71" s="55"/>
      <c r="B71" s="55"/>
      <c r="C71" s="104"/>
      <c r="D71" s="86"/>
      <c r="E71" s="104"/>
      <c r="F71" s="104"/>
      <c r="G71" s="55"/>
      <c r="H71" s="104"/>
      <c r="I71" s="55"/>
      <c r="J71" s="104"/>
      <c r="K71" s="104"/>
      <c r="X71" s="55"/>
      <c r="Y71" s="55"/>
      <c r="AA71" s="55"/>
    </row>
    <row r="72" spans="1:27" x14ac:dyDescent="0.15">
      <c r="A72" s="55"/>
      <c r="B72" s="55"/>
      <c r="C72" s="104"/>
      <c r="D72" s="86"/>
      <c r="E72" s="104"/>
      <c r="F72" s="104"/>
      <c r="G72" s="55"/>
      <c r="H72" s="104"/>
      <c r="I72" s="55"/>
      <c r="J72" s="104"/>
      <c r="K72" s="104"/>
      <c r="X72" s="55"/>
      <c r="Y72" s="55"/>
      <c r="AA72" s="55"/>
    </row>
    <row r="73" spans="1:27" x14ac:dyDescent="0.15">
      <c r="A73" s="55"/>
      <c r="B73" s="55"/>
      <c r="C73" s="104"/>
      <c r="D73" s="86"/>
      <c r="E73" s="104"/>
      <c r="F73" s="104"/>
      <c r="G73" s="55"/>
      <c r="H73" s="104"/>
      <c r="I73" s="55"/>
      <c r="J73" s="104"/>
      <c r="K73" s="104"/>
      <c r="X73" s="55"/>
      <c r="Y73" s="55"/>
      <c r="AA73" s="55"/>
    </row>
    <row r="74" spans="1:27" x14ac:dyDescent="0.15">
      <c r="A74" s="55"/>
      <c r="B74" s="55"/>
      <c r="C74" s="104"/>
      <c r="D74" s="86"/>
      <c r="E74" s="104"/>
      <c r="F74" s="104"/>
      <c r="G74" s="55"/>
      <c r="H74" s="104"/>
      <c r="I74" s="55"/>
      <c r="J74" s="104"/>
      <c r="K74" s="104"/>
      <c r="X74" s="55"/>
      <c r="Y74" s="55"/>
      <c r="AA74" s="55"/>
    </row>
    <row r="75" spans="1:27" x14ac:dyDescent="0.15">
      <c r="A75" s="55"/>
      <c r="B75" s="55"/>
      <c r="C75" s="104"/>
      <c r="D75" s="86"/>
      <c r="E75" s="104"/>
      <c r="F75" s="104"/>
      <c r="G75" s="55"/>
      <c r="H75" s="104"/>
      <c r="I75" s="55"/>
      <c r="J75" s="104"/>
      <c r="K75" s="104"/>
      <c r="X75" s="55"/>
      <c r="Y75" s="55"/>
      <c r="AA75" s="55"/>
    </row>
    <row r="76" spans="1:27" x14ac:dyDescent="0.15">
      <c r="A76" s="55"/>
      <c r="B76" s="55"/>
      <c r="C76" s="104"/>
      <c r="D76" s="86"/>
      <c r="E76" s="104"/>
      <c r="F76" s="104"/>
      <c r="G76" s="55"/>
      <c r="H76" s="104"/>
      <c r="I76" s="55"/>
      <c r="J76" s="104"/>
      <c r="K76" s="104"/>
      <c r="X76" s="55"/>
      <c r="Y76" s="55"/>
      <c r="AA76" s="55"/>
    </row>
    <row r="77" spans="1:27" x14ac:dyDescent="0.15">
      <c r="A77" s="55"/>
      <c r="B77" s="55"/>
      <c r="C77" s="104"/>
      <c r="D77" s="86"/>
      <c r="E77" s="104"/>
      <c r="F77" s="104"/>
      <c r="G77" s="55"/>
      <c r="H77" s="104"/>
      <c r="I77" s="55"/>
      <c r="J77" s="104"/>
      <c r="K77" s="104"/>
      <c r="X77" s="55"/>
      <c r="Y77" s="55"/>
      <c r="AA77" s="55"/>
    </row>
    <row r="78" spans="1:27" x14ac:dyDescent="0.15">
      <c r="A78" s="55"/>
      <c r="B78" s="55"/>
      <c r="C78" s="104"/>
      <c r="D78" s="86"/>
      <c r="E78" s="104"/>
      <c r="F78" s="104"/>
      <c r="G78" s="55"/>
      <c r="H78" s="104"/>
      <c r="I78" s="55"/>
      <c r="J78" s="104"/>
      <c r="K78" s="104"/>
      <c r="X78" s="55"/>
      <c r="Y78" s="55"/>
      <c r="AA78" s="55"/>
    </row>
    <row r="79" spans="1:27" x14ac:dyDescent="0.15">
      <c r="A79" s="55"/>
      <c r="B79" s="55"/>
      <c r="C79" s="104"/>
      <c r="D79" s="86"/>
      <c r="E79" s="104"/>
      <c r="F79" s="104"/>
      <c r="G79" s="55"/>
      <c r="H79" s="104"/>
      <c r="I79" s="55"/>
      <c r="J79" s="104"/>
      <c r="K79" s="104"/>
      <c r="X79" s="55"/>
      <c r="Y79" s="55"/>
      <c r="AA79" s="55"/>
    </row>
    <row r="80" spans="1:27" x14ac:dyDescent="0.15">
      <c r="A80" s="55"/>
      <c r="B80" s="55"/>
      <c r="C80" s="104"/>
      <c r="D80" s="86"/>
      <c r="E80" s="104"/>
      <c r="F80" s="104"/>
      <c r="G80" s="55"/>
      <c r="H80" s="104"/>
      <c r="I80" s="55"/>
      <c r="J80" s="104"/>
      <c r="K80" s="104"/>
      <c r="X80" s="55"/>
      <c r="Y80" s="55"/>
      <c r="AA80" s="55"/>
    </row>
    <row r="81" spans="1:27" x14ac:dyDescent="0.15">
      <c r="A81" s="55"/>
      <c r="B81" s="55"/>
      <c r="C81" s="104"/>
      <c r="D81" s="86"/>
      <c r="E81" s="104"/>
      <c r="F81" s="104"/>
      <c r="G81" s="55"/>
      <c r="H81" s="104"/>
      <c r="I81" s="55"/>
      <c r="J81" s="104"/>
      <c r="K81" s="104"/>
      <c r="X81" s="55"/>
      <c r="Y81" s="55"/>
      <c r="AA81" s="55"/>
    </row>
    <row r="82" spans="1:27" x14ac:dyDescent="0.15">
      <c r="A82" s="55"/>
      <c r="B82" s="55"/>
      <c r="C82" s="104"/>
      <c r="D82" s="86"/>
      <c r="E82" s="104"/>
      <c r="F82" s="104"/>
      <c r="G82" s="55"/>
      <c r="H82" s="104"/>
      <c r="I82" s="55"/>
      <c r="J82" s="104"/>
      <c r="K82" s="104"/>
      <c r="X82" s="55"/>
      <c r="Y82" s="55"/>
      <c r="AA82" s="55"/>
    </row>
    <row r="83" spans="1:27" x14ac:dyDescent="0.15">
      <c r="E83" s="104"/>
      <c r="F83" s="104"/>
      <c r="G83" s="55"/>
      <c r="H83" s="104"/>
      <c r="I83" s="55"/>
      <c r="J83" s="104"/>
      <c r="K83" s="104"/>
      <c r="X83" s="55"/>
      <c r="Y83" s="55"/>
      <c r="AA83" s="55"/>
    </row>
    <row r="84" spans="1:27" x14ac:dyDescent="0.15">
      <c r="E84" s="104"/>
      <c r="F84" s="104"/>
      <c r="G84" s="55"/>
      <c r="H84" s="104"/>
      <c r="I84" s="55"/>
      <c r="J84" s="104"/>
      <c r="K84" s="104"/>
      <c r="X84" s="55"/>
      <c r="Y84" s="55"/>
      <c r="AA84" s="55"/>
    </row>
    <row r="85" spans="1:27" x14ac:dyDescent="0.15">
      <c r="E85" s="104"/>
      <c r="F85" s="104"/>
      <c r="G85" s="55"/>
      <c r="H85" s="104"/>
      <c r="I85" s="55"/>
      <c r="J85" s="104"/>
      <c r="K85" s="104"/>
      <c r="X85" s="55"/>
      <c r="Y85" s="55"/>
      <c r="AA85" s="55"/>
    </row>
    <row r="86" spans="1:27" x14ac:dyDescent="0.15">
      <c r="J86" s="104"/>
      <c r="K86" s="104"/>
    </row>
    <row r="87" spans="1:27" x14ac:dyDescent="0.15">
      <c r="J87" s="104"/>
      <c r="K87" s="104"/>
    </row>
    <row r="88" spans="1:27" x14ac:dyDescent="0.15">
      <c r="J88" s="104"/>
      <c r="K88" s="104"/>
    </row>
    <row r="89" spans="1:27" x14ac:dyDescent="0.15">
      <c r="J89" s="104"/>
      <c r="K89" s="104"/>
    </row>
    <row r="90" spans="1:27" x14ac:dyDescent="0.15">
      <c r="J90" s="104"/>
      <c r="K90" s="104"/>
    </row>
    <row r="91" spans="1:27" x14ac:dyDescent="0.15">
      <c r="J91" s="104"/>
      <c r="K91" s="104"/>
    </row>
    <row r="92" spans="1:27" x14ac:dyDescent="0.15">
      <c r="J92" s="104"/>
      <c r="K92" s="104"/>
    </row>
    <row r="93" spans="1:27" x14ac:dyDescent="0.15">
      <c r="J93" s="104"/>
      <c r="K93" s="104"/>
    </row>
    <row r="94" spans="1:27" x14ac:dyDescent="0.15">
      <c r="J94" s="104"/>
      <c r="K94" s="104"/>
    </row>
    <row r="95" spans="1:27" x14ac:dyDescent="0.15">
      <c r="J95" s="104"/>
      <c r="K95" s="104"/>
    </row>
    <row r="96" spans="1:27" x14ac:dyDescent="0.15">
      <c r="J96" s="104"/>
      <c r="K96" s="104"/>
    </row>
    <row r="97" spans="10:11" x14ac:dyDescent="0.15">
      <c r="J97" s="104"/>
      <c r="K97" s="104"/>
    </row>
    <row r="98" spans="10:11" x14ac:dyDescent="0.15">
      <c r="J98" s="104"/>
      <c r="K98" s="104"/>
    </row>
    <row r="99" spans="10:11" x14ac:dyDescent="0.15">
      <c r="J99" s="104"/>
      <c r="K99" s="104"/>
    </row>
    <row r="100" spans="10:11" x14ac:dyDescent="0.15">
      <c r="J100" s="104"/>
      <c r="K100" s="104"/>
    </row>
    <row r="101" spans="10:11" x14ac:dyDescent="0.15">
      <c r="K101" s="104"/>
    </row>
    <row r="102" spans="10:11" x14ac:dyDescent="0.15">
      <c r="K102" s="104"/>
    </row>
    <row r="103" spans="10:11" x14ac:dyDescent="0.15">
      <c r="K103" s="104"/>
    </row>
    <row r="104" spans="10:11" x14ac:dyDescent="0.15">
      <c r="K104" s="104"/>
    </row>
    <row r="105" spans="10:11" x14ac:dyDescent="0.15">
      <c r="K105" s="104"/>
    </row>
    <row r="106" spans="10:11" x14ac:dyDescent="0.15">
      <c r="K106" s="104"/>
    </row>
    <row r="107" spans="10:11" x14ac:dyDescent="0.15">
      <c r="K107" s="104"/>
    </row>
    <row r="108" spans="10:11" x14ac:dyDescent="0.15">
      <c r="K108" s="104"/>
    </row>
    <row r="109" spans="10:11" x14ac:dyDescent="0.15">
      <c r="K109" s="104"/>
    </row>
    <row r="110" spans="10:11" x14ac:dyDescent="0.15">
      <c r="K110" s="104"/>
    </row>
    <row r="111" spans="10:11" x14ac:dyDescent="0.15">
      <c r="K111" s="104"/>
    </row>
    <row r="112" spans="10:11" x14ac:dyDescent="0.15">
      <c r="K112" s="104"/>
    </row>
    <row r="113" spans="11:11" x14ac:dyDescent="0.15">
      <c r="K113" s="104"/>
    </row>
    <row r="114" spans="11:11" x14ac:dyDescent="0.15">
      <c r="K114" s="104"/>
    </row>
    <row r="115" spans="11:11" x14ac:dyDescent="0.15">
      <c r="K115" s="104"/>
    </row>
    <row r="116" spans="11:11" x14ac:dyDescent="0.15">
      <c r="K116" s="104"/>
    </row>
    <row r="117" spans="11:11" x14ac:dyDescent="0.15">
      <c r="K117" s="104"/>
    </row>
    <row r="118" spans="11:11" x14ac:dyDescent="0.15">
      <c r="K118" s="104"/>
    </row>
    <row r="119" spans="11:11" x14ac:dyDescent="0.15">
      <c r="K119" s="104"/>
    </row>
    <row r="120" spans="11:11" x14ac:dyDescent="0.15">
      <c r="K120" s="104"/>
    </row>
    <row r="121" spans="11:11" x14ac:dyDescent="0.15">
      <c r="K121" s="104"/>
    </row>
    <row r="122" spans="11:11" x14ac:dyDescent="0.15">
      <c r="K122" s="104"/>
    </row>
    <row r="123" spans="11:11" x14ac:dyDescent="0.15">
      <c r="K123" s="104"/>
    </row>
    <row r="124" spans="11:11" x14ac:dyDescent="0.15">
      <c r="K124" s="104"/>
    </row>
    <row r="125" spans="11:11" x14ac:dyDescent="0.15">
      <c r="K125" s="104"/>
    </row>
    <row r="126" spans="11:11" x14ac:dyDescent="0.15">
      <c r="K126" s="104"/>
    </row>
    <row r="127" spans="11:11" x14ac:dyDescent="0.15">
      <c r="K127" s="104"/>
    </row>
    <row r="128" spans="11:11" x14ac:dyDescent="0.15">
      <c r="K128" s="104"/>
    </row>
    <row r="129" spans="11:11" x14ac:dyDescent="0.15">
      <c r="K129" s="104"/>
    </row>
    <row r="130" spans="11:11" x14ac:dyDescent="0.15">
      <c r="K130" s="104"/>
    </row>
    <row r="131" spans="11:11" x14ac:dyDescent="0.15">
      <c r="K131" s="104"/>
    </row>
    <row r="132" spans="11:11" x14ac:dyDescent="0.15">
      <c r="K132" s="104"/>
    </row>
    <row r="133" spans="11:11" x14ac:dyDescent="0.15">
      <c r="K133" s="104"/>
    </row>
    <row r="134" spans="11:11" x14ac:dyDescent="0.15">
      <c r="K134" s="104"/>
    </row>
    <row r="135" spans="11:11" x14ac:dyDescent="0.15">
      <c r="K135" s="104"/>
    </row>
    <row r="136" spans="11:11" x14ac:dyDescent="0.15">
      <c r="K136" s="104"/>
    </row>
    <row r="137" spans="11:11" x14ac:dyDescent="0.15">
      <c r="K137" s="104"/>
    </row>
    <row r="138" spans="11:11" x14ac:dyDescent="0.15">
      <c r="K138" s="104"/>
    </row>
    <row r="139" spans="11:11" x14ac:dyDescent="0.15">
      <c r="K139" s="104"/>
    </row>
    <row r="140" spans="11:11" x14ac:dyDescent="0.15">
      <c r="K140" s="104"/>
    </row>
    <row r="141" spans="11:11" x14ac:dyDescent="0.15">
      <c r="K141" s="104"/>
    </row>
    <row r="142" spans="11:11" x14ac:dyDescent="0.15">
      <c r="K142" s="104"/>
    </row>
    <row r="143" spans="11:11" x14ac:dyDescent="0.15">
      <c r="K143" s="104"/>
    </row>
    <row r="144" spans="11:11" x14ac:dyDescent="0.15">
      <c r="K144" s="104"/>
    </row>
    <row r="145" spans="11:11" x14ac:dyDescent="0.15">
      <c r="K145" s="104"/>
    </row>
    <row r="146" spans="11:11" x14ac:dyDescent="0.15">
      <c r="K146" s="104"/>
    </row>
    <row r="147" spans="11:11" x14ac:dyDescent="0.15">
      <c r="K147" s="104"/>
    </row>
    <row r="148" spans="11:11" x14ac:dyDescent="0.15">
      <c r="K148" s="104"/>
    </row>
    <row r="149" spans="11:11" x14ac:dyDescent="0.15">
      <c r="K149" s="104"/>
    </row>
    <row r="150" spans="11:11" x14ac:dyDescent="0.15">
      <c r="K150" s="104"/>
    </row>
    <row r="151" spans="11:11" x14ac:dyDescent="0.15">
      <c r="K151" s="104"/>
    </row>
    <row r="152" spans="11:11" x14ac:dyDescent="0.15">
      <c r="K152" s="104"/>
    </row>
    <row r="153" spans="11:11" x14ac:dyDescent="0.15">
      <c r="K153" s="104"/>
    </row>
    <row r="154" spans="11:11" x14ac:dyDescent="0.15">
      <c r="K154" s="104"/>
    </row>
    <row r="155" spans="11:11" x14ac:dyDescent="0.15">
      <c r="K155" s="104"/>
    </row>
    <row r="156" spans="11:11" x14ac:dyDescent="0.15">
      <c r="K156" s="104"/>
    </row>
    <row r="157" spans="11:11" x14ac:dyDescent="0.15">
      <c r="K157" s="104"/>
    </row>
    <row r="158" spans="11:11" x14ac:dyDescent="0.15">
      <c r="K158" s="104"/>
    </row>
    <row r="159" spans="11:11" x14ac:dyDescent="0.15">
      <c r="K159" s="104"/>
    </row>
    <row r="160" spans="11:11" x14ac:dyDescent="0.15">
      <c r="K160" s="104"/>
    </row>
    <row r="161" spans="11:11" x14ac:dyDescent="0.15">
      <c r="K161" s="104"/>
    </row>
    <row r="162" spans="11:11" x14ac:dyDescent="0.15">
      <c r="K162" s="104"/>
    </row>
    <row r="163" spans="11:11" x14ac:dyDescent="0.15">
      <c r="K163" s="104"/>
    </row>
    <row r="164" spans="11:11" x14ac:dyDescent="0.15">
      <c r="K164" s="104"/>
    </row>
    <row r="165" spans="11:11" x14ac:dyDescent="0.15">
      <c r="K165" s="104"/>
    </row>
    <row r="166" spans="11:11" x14ac:dyDescent="0.15">
      <c r="K166" s="104"/>
    </row>
    <row r="167" spans="11:11" x14ac:dyDescent="0.15">
      <c r="K167" s="104"/>
    </row>
    <row r="168" spans="11:11" x14ac:dyDescent="0.15">
      <c r="K168" s="104"/>
    </row>
    <row r="169" spans="11:11" x14ac:dyDescent="0.15">
      <c r="K169" s="104"/>
    </row>
    <row r="170" spans="11:11" x14ac:dyDescent="0.15">
      <c r="K170" s="104"/>
    </row>
    <row r="171" spans="11:11" x14ac:dyDescent="0.15">
      <c r="K171" s="104"/>
    </row>
    <row r="172" spans="11:11" x14ac:dyDescent="0.15">
      <c r="K172" s="104"/>
    </row>
    <row r="173" spans="11:11" x14ac:dyDescent="0.15">
      <c r="K173" s="104"/>
    </row>
    <row r="174" spans="11:11" x14ac:dyDescent="0.15">
      <c r="K174" s="104"/>
    </row>
    <row r="175" spans="11:11" x14ac:dyDescent="0.15">
      <c r="K175" s="104"/>
    </row>
    <row r="176" spans="11:11" x14ac:dyDescent="0.15">
      <c r="K176" s="104"/>
    </row>
    <row r="177" spans="11:11" x14ac:dyDescent="0.15">
      <c r="K177" s="104"/>
    </row>
    <row r="178" spans="11:11" x14ac:dyDescent="0.15">
      <c r="K178" s="104"/>
    </row>
    <row r="179" spans="11:11" x14ac:dyDescent="0.15">
      <c r="K179" s="104"/>
    </row>
    <row r="180" spans="11:11" x14ac:dyDescent="0.15">
      <c r="K180" s="104"/>
    </row>
    <row r="181" spans="11:11" x14ac:dyDescent="0.15">
      <c r="K181" s="104"/>
    </row>
    <row r="182" spans="11:11" x14ac:dyDescent="0.15">
      <c r="K182" s="104"/>
    </row>
    <row r="183" spans="11:11" x14ac:dyDescent="0.15">
      <c r="K183" s="104"/>
    </row>
    <row r="184" spans="11:11" x14ac:dyDescent="0.15">
      <c r="K184" s="104"/>
    </row>
    <row r="185" spans="11:11" x14ac:dyDescent="0.15">
      <c r="K185" s="104"/>
    </row>
    <row r="186" spans="11:11" x14ac:dyDescent="0.15">
      <c r="K186" s="104"/>
    </row>
    <row r="187" spans="11:11" x14ac:dyDescent="0.15">
      <c r="K187" s="104"/>
    </row>
    <row r="188" spans="11:11" x14ac:dyDescent="0.15">
      <c r="K188" s="104"/>
    </row>
    <row r="189" spans="11:11" x14ac:dyDescent="0.15">
      <c r="K189" s="104"/>
    </row>
    <row r="190" spans="11:11" x14ac:dyDescent="0.15">
      <c r="K190" s="104"/>
    </row>
    <row r="191" spans="11:11" x14ac:dyDescent="0.15">
      <c r="K191" s="104"/>
    </row>
    <row r="192" spans="11:11" x14ac:dyDescent="0.15">
      <c r="K192" s="104"/>
    </row>
    <row r="193" spans="11:11" x14ac:dyDescent="0.15">
      <c r="K193" s="104"/>
    </row>
    <row r="194" spans="11:11" x14ac:dyDescent="0.15">
      <c r="K194" s="104"/>
    </row>
    <row r="195" spans="11:11" x14ac:dyDescent="0.15">
      <c r="K195" s="104"/>
    </row>
    <row r="196" spans="11:11" x14ac:dyDescent="0.15">
      <c r="K196" s="104"/>
    </row>
    <row r="197" spans="11:11" x14ac:dyDescent="0.15">
      <c r="K197" s="104"/>
    </row>
    <row r="198" spans="11:11" x14ac:dyDescent="0.15">
      <c r="K198" s="104"/>
    </row>
    <row r="199" spans="11:11" x14ac:dyDescent="0.15">
      <c r="K199" s="104"/>
    </row>
    <row r="200" spans="11:11" x14ac:dyDescent="0.15">
      <c r="K200" s="104"/>
    </row>
    <row r="201" spans="11:11" x14ac:dyDescent="0.15">
      <c r="K201" s="104"/>
    </row>
    <row r="202" spans="11:11" x14ac:dyDescent="0.15">
      <c r="K202" s="104"/>
    </row>
    <row r="203" spans="11:11" x14ac:dyDescent="0.15">
      <c r="K203" s="104"/>
    </row>
    <row r="204" spans="11:11" x14ac:dyDescent="0.15">
      <c r="K204" s="104"/>
    </row>
    <row r="205" spans="11:11" x14ac:dyDescent="0.15">
      <c r="K205" s="104"/>
    </row>
    <row r="206" spans="11:11" x14ac:dyDescent="0.15">
      <c r="K206" s="104"/>
    </row>
    <row r="207" spans="11:11" x14ac:dyDescent="0.15">
      <c r="K207" s="104"/>
    </row>
    <row r="208" spans="11:11" x14ac:dyDescent="0.15">
      <c r="K208" s="104"/>
    </row>
    <row r="209" spans="11:11" x14ac:dyDescent="0.15">
      <c r="K209" s="104"/>
    </row>
    <row r="210" spans="11:11" x14ac:dyDescent="0.15">
      <c r="K210" s="104"/>
    </row>
    <row r="211" spans="11:11" x14ac:dyDescent="0.15">
      <c r="K211" s="104"/>
    </row>
    <row r="212" spans="11:11" x14ac:dyDescent="0.15">
      <c r="K212" s="104"/>
    </row>
    <row r="213" spans="11:11" x14ac:dyDescent="0.15">
      <c r="K213" s="104"/>
    </row>
    <row r="214" spans="11:11" x14ac:dyDescent="0.15">
      <c r="K214" s="104"/>
    </row>
    <row r="215" spans="11:11" x14ac:dyDescent="0.15">
      <c r="K215" s="104"/>
    </row>
    <row r="216" spans="11:11" x14ac:dyDescent="0.15">
      <c r="K216" s="104"/>
    </row>
    <row r="217" spans="11:11" x14ac:dyDescent="0.15">
      <c r="K217" s="104"/>
    </row>
    <row r="218" spans="11:11" x14ac:dyDescent="0.15">
      <c r="K218" s="104"/>
    </row>
    <row r="219" spans="11:11" x14ac:dyDescent="0.15">
      <c r="K219" s="104"/>
    </row>
    <row r="220" spans="11:11" x14ac:dyDescent="0.15">
      <c r="K220" s="104"/>
    </row>
    <row r="221" spans="11:11" x14ac:dyDescent="0.15">
      <c r="K221" s="104"/>
    </row>
    <row r="222" spans="11:11" x14ac:dyDescent="0.15">
      <c r="K222" s="104"/>
    </row>
    <row r="223" spans="11:11" x14ac:dyDescent="0.15">
      <c r="K223" s="104"/>
    </row>
    <row r="224" spans="11:11" x14ac:dyDescent="0.15">
      <c r="K224" s="104"/>
    </row>
    <row r="225" spans="11:11" x14ac:dyDescent="0.15">
      <c r="K225" s="104"/>
    </row>
    <row r="226" spans="11:11" x14ac:dyDescent="0.15">
      <c r="K226" s="104"/>
    </row>
    <row r="227" spans="11:11" x14ac:dyDescent="0.15">
      <c r="K227" s="104"/>
    </row>
    <row r="228" spans="11:11" x14ac:dyDescent="0.15">
      <c r="K228" s="104"/>
    </row>
    <row r="229" spans="11:11" x14ac:dyDescent="0.15">
      <c r="K229" s="104"/>
    </row>
    <row r="230" spans="11:11" x14ac:dyDescent="0.15">
      <c r="K230" s="104"/>
    </row>
    <row r="231" spans="11:11" x14ac:dyDescent="0.15">
      <c r="K231" s="104"/>
    </row>
    <row r="232" spans="11:11" x14ac:dyDescent="0.15">
      <c r="K232" s="104"/>
    </row>
    <row r="233" spans="11:11" x14ac:dyDescent="0.15">
      <c r="K233" s="104"/>
    </row>
    <row r="234" spans="11:11" x14ac:dyDescent="0.15">
      <c r="K234" s="104"/>
    </row>
    <row r="235" spans="11:11" x14ac:dyDescent="0.15">
      <c r="K235" s="104"/>
    </row>
    <row r="236" spans="11:11" x14ac:dyDescent="0.15">
      <c r="K236" s="104"/>
    </row>
    <row r="237" spans="11:11" x14ac:dyDescent="0.15">
      <c r="K237" s="104"/>
    </row>
    <row r="238" spans="11:11" x14ac:dyDescent="0.15">
      <c r="K238" s="104"/>
    </row>
    <row r="239" spans="11:11" x14ac:dyDescent="0.15">
      <c r="K239" s="104"/>
    </row>
    <row r="240" spans="11:11" x14ac:dyDescent="0.15">
      <c r="K240" s="104"/>
    </row>
    <row r="241" spans="11:11" x14ac:dyDescent="0.15">
      <c r="K241" s="104"/>
    </row>
    <row r="242" spans="11:11" x14ac:dyDescent="0.15">
      <c r="K242" s="104"/>
    </row>
    <row r="243" spans="11:11" x14ac:dyDescent="0.15">
      <c r="K243" s="104"/>
    </row>
    <row r="244" spans="11:11" x14ac:dyDescent="0.15">
      <c r="K244" s="104"/>
    </row>
    <row r="245" spans="11:11" x14ac:dyDescent="0.15">
      <c r="K245" s="104"/>
    </row>
    <row r="246" spans="11:11" x14ac:dyDescent="0.15">
      <c r="K246" s="104"/>
    </row>
    <row r="247" spans="11:11" x14ac:dyDescent="0.15">
      <c r="K247" s="104"/>
    </row>
    <row r="248" spans="11:11" x14ac:dyDescent="0.15">
      <c r="K248" s="104"/>
    </row>
    <row r="249" spans="11:11" x14ac:dyDescent="0.15">
      <c r="K249" s="104"/>
    </row>
    <row r="250" spans="11:11" x14ac:dyDescent="0.15">
      <c r="K250" s="104"/>
    </row>
    <row r="251" spans="11:11" x14ac:dyDescent="0.15">
      <c r="K251" s="104"/>
    </row>
    <row r="252" spans="11:11" x14ac:dyDescent="0.15">
      <c r="K252" s="104"/>
    </row>
    <row r="253" spans="11:11" x14ac:dyDescent="0.15">
      <c r="K253" s="104"/>
    </row>
    <row r="254" spans="11:11" x14ac:dyDescent="0.15">
      <c r="K254" s="104"/>
    </row>
    <row r="255" spans="11:11" x14ac:dyDescent="0.15">
      <c r="K255" s="104"/>
    </row>
    <row r="256" spans="11:11" x14ac:dyDescent="0.15">
      <c r="K256" s="104"/>
    </row>
    <row r="257" spans="11:11" x14ac:dyDescent="0.15">
      <c r="K257" s="104"/>
    </row>
    <row r="258" spans="11:11" x14ac:dyDescent="0.15">
      <c r="K258" s="104"/>
    </row>
    <row r="259" spans="11:11" x14ac:dyDescent="0.15">
      <c r="K259" s="104"/>
    </row>
    <row r="260" spans="11:11" x14ac:dyDescent="0.15">
      <c r="K260" s="104"/>
    </row>
    <row r="261" spans="11:11" x14ac:dyDescent="0.15">
      <c r="K261" s="104"/>
    </row>
    <row r="262" spans="11:11" x14ac:dyDescent="0.15">
      <c r="K262" s="104"/>
    </row>
    <row r="263" spans="11:11" x14ac:dyDescent="0.15">
      <c r="K263" s="104"/>
    </row>
    <row r="264" spans="11:11" x14ac:dyDescent="0.15">
      <c r="K264" s="104"/>
    </row>
    <row r="265" spans="11:11" x14ac:dyDescent="0.15">
      <c r="K265" s="104"/>
    </row>
    <row r="266" spans="11:11" x14ac:dyDescent="0.15">
      <c r="K266" s="104"/>
    </row>
    <row r="267" spans="11:11" x14ac:dyDescent="0.15">
      <c r="K267" s="104"/>
    </row>
    <row r="268" spans="11:11" x14ac:dyDescent="0.15">
      <c r="K268" s="104"/>
    </row>
    <row r="269" spans="11:11" x14ac:dyDescent="0.15">
      <c r="K269" s="104"/>
    </row>
    <row r="270" spans="11:11" x14ac:dyDescent="0.15">
      <c r="K270" s="104"/>
    </row>
    <row r="271" spans="11:11" x14ac:dyDescent="0.15">
      <c r="K271" s="104"/>
    </row>
    <row r="272" spans="11:11" x14ac:dyDescent="0.15">
      <c r="K272" s="104"/>
    </row>
    <row r="273" spans="11:11" x14ac:dyDescent="0.15">
      <c r="K273" s="104"/>
    </row>
    <row r="274" spans="11:11" x14ac:dyDescent="0.15">
      <c r="K274" s="104"/>
    </row>
    <row r="275" spans="11:11" x14ac:dyDescent="0.15">
      <c r="K275" s="104"/>
    </row>
    <row r="276" spans="11:11" x14ac:dyDescent="0.15">
      <c r="K276" s="104"/>
    </row>
    <row r="277" spans="11:11" x14ac:dyDescent="0.15">
      <c r="K277" s="104"/>
    </row>
    <row r="278" spans="11:11" x14ac:dyDescent="0.15">
      <c r="K278" s="104"/>
    </row>
    <row r="279" spans="11:11" x14ac:dyDescent="0.15">
      <c r="K279" s="104"/>
    </row>
    <row r="280" spans="11:11" x14ac:dyDescent="0.15">
      <c r="K280" s="104"/>
    </row>
    <row r="281" spans="11:11" x14ac:dyDescent="0.15">
      <c r="K281" s="104"/>
    </row>
    <row r="282" spans="11:11" x14ac:dyDescent="0.15">
      <c r="K282" s="104"/>
    </row>
    <row r="283" spans="11:11" x14ac:dyDescent="0.15">
      <c r="K283" s="104"/>
    </row>
    <row r="284" spans="11:11" x14ac:dyDescent="0.15">
      <c r="K284" s="104"/>
    </row>
    <row r="285" spans="11:11" x14ac:dyDescent="0.15">
      <c r="K285" s="104"/>
    </row>
    <row r="286" spans="11:11" x14ac:dyDescent="0.15">
      <c r="K286" s="104"/>
    </row>
    <row r="287" spans="11:11" x14ac:dyDescent="0.15">
      <c r="K287" s="104"/>
    </row>
    <row r="288" spans="11:11" x14ac:dyDescent="0.15">
      <c r="K288" s="104"/>
    </row>
    <row r="289" spans="11:11" x14ac:dyDescent="0.15">
      <c r="K289" s="104"/>
    </row>
    <row r="290" spans="11:11" x14ac:dyDescent="0.15">
      <c r="K290" s="104"/>
    </row>
    <row r="291" spans="11:11" x14ac:dyDescent="0.15">
      <c r="K291" s="104"/>
    </row>
    <row r="292" spans="11:11" x14ac:dyDescent="0.15">
      <c r="K292" s="104"/>
    </row>
    <row r="293" spans="11:11" x14ac:dyDescent="0.15">
      <c r="K293" s="104"/>
    </row>
    <row r="294" spans="11:11" x14ac:dyDescent="0.15">
      <c r="K294" s="104"/>
    </row>
    <row r="295" spans="11:11" x14ac:dyDescent="0.15">
      <c r="K295" s="104"/>
    </row>
    <row r="296" spans="11:11" x14ac:dyDescent="0.15">
      <c r="K296" s="104"/>
    </row>
    <row r="297" spans="11:11" x14ac:dyDescent="0.15">
      <c r="K297" s="104"/>
    </row>
    <row r="298" spans="11:11" x14ac:dyDescent="0.15">
      <c r="K298" s="104"/>
    </row>
    <row r="299" spans="11:11" x14ac:dyDescent="0.15">
      <c r="K299" s="104"/>
    </row>
    <row r="300" spans="11:11" x14ac:dyDescent="0.15">
      <c r="K300" s="104"/>
    </row>
    <row r="301" spans="11:11" x14ac:dyDescent="0.15">
      <c r="K301" s="104"/>
    </row>
    <row r="302" spans="11:11" x14ac:dyDescent="0.15">
      <c r="K302" s="104"/>
    </row>
    <row r="303" spans="11:11" x14ac:dyDescent="0.15">
      <c r="K303" s="104"/>
    </row>
    <row r="304" spans="11:11" x14ac:dyDescent="0.15">
      <c r="K304" s="104"/>
    </row>
    <row r="305" spans="11:11" x14ac:dyDescent="0.15">
      <c r="K305" s="104"/>
    </row>
    <row r="306" spans="11:11" x14ac:dyDescent="0.15">
      <c r="K306" s="104"/>
    </row>
    <row r="307" spans="11:11" x14ac:dyDescent="0.15">
      <c r="K307" s="104"/>
    </row>
    <row r="308" spans="11:11" x14ac:dyDescent="0.15">
      <c r="K308" s="104"/>
    </row>
    <row r="309" spans="11:11" x14ac:dyDescent="0.15">
      <c r="K309" s="104"/>
    </row>
    <row r="310" spans="11:11" x14ac:dyDescent="0.15">
      <c r="K310" s="104"/>
    </row>
    <row r="311" spans="11:11" x14ac:dyDescent="0.15">
      <c r="K311" s="104"/>
    </row>
    <row r="312" spans="11:11" x14ac:dyDescent="0.15">
      <c r="K312" s="104"/>
    </row>
    <row r="313" spans="11:11" x14ac:dyDescent="0.15">
      <c r="K313" s="104"/>
    </row>
    <row r="314" spans="11:11" x14ac:dyDescent="0.15">
      <c r="K314" s="104"/>
    </row>
    <row r="315" spans="11:11" x14ac:dyDescent="0.15">
      <c r="K315" s="104"/>
    </row>
    <row r="316" spans="11:11" x14ac:dyDescent="0.15">
      <c r="K316" s="104"/>
    </row>
    <row r="317" spans="11:11" x14ac:dyDescent="0.15">
      <c r="K317" s="104"/>
    </row>
    <row r="318" spans="11:11" x14ac:dyDescent="0.15">
      <c r="K318" s="104"/>
    </row>
    <row r="319" spans="11:11" x14ac:dyDescent="0.15">
      <c r="K319" s="104"/>
    </row>
    <row r="320" spans="11:11" x14ac:dyDescent="0.15">
      <c r="K320" s="104"/>
    </row>
    <row r="321" spans="11:11" x14ac:dyDescent="0.15">
      <c r="K321" s="104"/>
    </row>
    <row r="322" spans="11:11" x14ac:dyDescent="0.15">
      <c r="K322" s="104"/>
    </row>
    <row r="323" spans="11:11" x14ac:dyDescent="0.15">
      <c r="K323" s="104"/>
    </row>
    <row r="324" spans="11:11" x14ac:dyDescent="0.15">
      <c r="K324" s="104"/>
    </row>
    <row r="325" spans="11:11" x14ac:dyDescent="0.15">
      <c r="K325" s="104"/>
    </row>
    <row r="326" spans="11:11" x14ac:dyDescent="0.15">
      <c r="K326" s="104"/>
    </row>
    <row r="327" spans="11:11" x14ac:dyDescent="0.15">
      <c r="K327" s="104"/>
    </row>
    <row r="328" spans="11:11" x14ac:dyDescent="0.15">
      <c r="K328" s="104"/>
    </row>
    <row r="329" spans="11:11" x14ac:dyDescent="0.15">
      <c r="K329" s="104"/>
    </row>
    <row r="330" spans="11:11" x14ac:dyDescent="0.15">
      <c r="K330" s="104"/>
    </row>
    <row r="331" spans="11:11" x14ac:dyDescent="0.15">
      <c r="K331" s="104"/>
    </row>
    <row r="332" spans="11:11" x14ac:dyDescent="0.15">
      <c r="K332" s="104"/>
    </row>
    <row r="333" spans="11:11" x14ac:dyDescent="0.15">
      <c r="K333" s="104"/>
    </row>
    <row r="334" spans="11:11" x14ac:dyDescent="0.15">
      <c r="K334" s="104"/>
    </row>
    <row r="335" spans="11:11" x14ac:dyDescent="0.15">
      <c r="K335" s="104"/>
    </row>
    <row r="336" spans="11:11" x14ac:dyDescent="0.15">
      <c r="K336" s="104"/>
    </row>
    <row r="337" spans="11:11" x14ac:dyDescent="0.15">
      <c r="K337" s="104"/>
    </row>
    <row r="338" spans="11:11" x14ac:dyDescent="0.15">
      <c r="K338" s="104"/>
    </row>
    <row r="339" spans="11:11" x14ac:dyDescent="0.15">
      <c r="K339" s="104"/>
    </row>
    <row r="340" spans="11:11" x14ac:dyDescent="0.15">
      <c r="K340" s="104"/>
    </row>
    <row r="341" spans="11:11" x14ac:dyDescent="0.15">
      <c r="K341" s="104"/>
    </row>
    <row r="342" spans="11:11" x14ac:dyDescent="0.15">
      <c r="K342" s="104"/>
    </row>
    <row r="343" spans="11:11" x14ac:dyDescent="0.15">
      <c r="K343" s="104"/>
    </row>
    <row r="344" spans="11:11" x14ac:dyDescent="0.15">
      <c r="K344" s="104"/>
    </row>
    <row r="345" spans="11:11" x14ac:dyDescent="0.15">
      <c r="K345" s="104"/>
    </row>
    <row r="346" spans="11:11" x14ac:dyDescent="0.15">
      <c r="K346" s="104"/>
    </row>
    <row r="347" spans="11:11" x14ac:dyDescent="0.15">
      <c r="K347" s="104"/>
    </row>
    <row r="348" spans="11:11" x14ac:dyDescent="0.15">
      <c r="K348" s="104"/>
    </row>
    <row r="349" spans="11:11" x14ac:dyDescent="0.15">
      <c r="K349" s="104"/>
    </row>
    <row r="350" spans="11:11" x14ac:dyDescent="0.15">
      <c r="K350" s="104"/>
    </row>
    <row r="351" spans="11:11" x14ac:dyDescent="0.15">
      <c r="K351" s="104"/>
    </row>
    <row r="352" spans="11:11" x14ac:dyDescent="0.15">
      <c r="K352" s="104"/>
    </row>
    <row r="353" spans="11:11" x14ac:dyDescent="0.15">
      <c r="K353" s="104"/>
    </row>
    <row r="354" spans="11:11" x14ac:dyDescent="0.15">
      <c r="K354" s="104"/>
    </row>
    <row r="355" spans="11:11" x14ac:dyDescent="0.15">
      <c r="K355" s="104"/>
    </row>
    <row r="356" spans="11:11" x14ac:dyDescent="0.15">
      <c r="K356" s="104"/>
    </row>
    <row r="357" spans="11:11" x14ac:dyDescent="0.15">
      <c r="K357" s="104"/>
    </row>
    <row r="358" spans="11:11" x14ac:dyDescent="0.15">
      <c r="K358" s="104"/>
    </row>
    <row r="359" spans="11:11" x14ac:dyDescent="0.15">
      <c r="K359" s="104"/>
    </row>
    <row r="360" spans="11:11" x14ac:dyDescent="0.15">
      <c r="K360" s="104"/>
    </row>
    <row r="361" spans="11:11" x14ac:dyDescent="0.15">
      <c r="K361" s="104"/>
    </row>
    <row r="362" spans="11:11" x14ac:dyDescent="0.15">
      <c r="K362" s="104"/>
    </row>
    <row r="363" spans="11:11" x14ac:dyDescent="0.15">
      <c r="K363" s="104"/>
    </row>
    <row r="364" spans="11:11" x14ac:dyDescent="0.15">
      <c r="K364" s="104"/>
    </row>
    <row r="365" spans="11:11" x14ac:dyDescent="0.15">
      <c r="K365" s="104"/>
    </row>
    <row r="366" spans="11:11" x14ac:dyDescent="0.15">
      <c r="K366" s="104"/>
    </row>
    <row r="367" spans="11:11" x14ac:dyDescent="0.15">
      <c r="K367" s="104"/>
    </row>
    <row r="368" spans="11:11" x14ac:dyDescent="0.15">
      <c r="K368" s="104"/>
    </row>
    <row r="369" spans="11:11" x14ac:dyDescent="0.15">
      <c r="K369" s="104"/>
    </row>
    <row r="370" spans="11:11" x14ac:dyDescent="0.15">
      <c r="K370" s="104"/>
    </row>
    <row r="371" spans="11:11" x14ac:dyDescent="0.15">
      <c r="K371" s="104"/>
    </row>
    <row r="372" spans="11:11" x14ac:dyDescent="0.15">
      <c r="K372" s="104"/>
    </row>
    <row r="373" spans="11:11" x14ac:dyDescent="0.15">
      <c r="K373" s="104"/>
    </row>
    <row r="374" spans="11:11" x14ac:dyDescent="0.15">
      <c r="K374" s="104"/>
    </row>
    <row r="375" spans="11:11" x14ac:dyDescent="0.15">
      <c r="K375" s="104"/>
    </row>
    <row r="376" spans="11:11" x14ac:dyDescent="0.15">
      <c r="K376" s="104"/>
    </row>
    <row r="377" spans="11:11" x14ac:dyDescent="0.15">
      <c r="K377" s="104"/>
    </row>
    <row r="378" spans="11:11" x14ac:dyDescent="0.15">
      <c r="K378" s="104"/>
    </row>
    <row r="379" spans="11:11" x14ac:dyDescent="0.15">
      <c r="K379" s="104"/>
    </row>
    <row r="380" spans="11:11" x14ac:dyDescent="0.15">
      <c r="K380" s="104"/>
    </row>
    <row r="381" spans="11:11" x14ac:dyDescent="0.15">
      <c r="K381" s="104"/>
    </row>
    <row r="382" spans="11:11" x14ac:dyDescent="0.15">
      <c r="K382" s="104"/>
    </row>
    <row r="383" spans="11:11" x14ac:dyDescent="0.15">
      <c r="K383" s="104"/>
    </row>
    <row r="384" spans="11:11" x14ac:dyDescent="0.15">
      <c r="K384" s="104"/>
    </row>
    <row r="385" spans="11:11" x14ac:dyDescent="0.15">
      <c r="K385" s="104"/>
    </row>
    <row r="386" spans="11:11" x14ac:dyDescent="0.15">
      <c r="K386" s="104"/>
    </row>
    <row r="387" spans="11:11" x14ac:dyDescent="0.15">
      <c r="K387" s="104"/>
    </row>
    <row r="388" spans="11:11" x14ac:dyDescent="0.15">
      <c r="K388" s="104"/>
    </row>
    <row r="389" spans="11:11" x14ac:dyDescent="0.15">
      <c r="K389" s="104"/>
    </row>
    <row r="390" spans="11:11" x14ac:dyDescent="0.15">
      <c r="K390" s="104"/>
    </row>
    <row r="391" spans="11:11" x14ac:dyDescent="0.15">
      <c r="K391" s="104"/>
    </row>
    <row r="392" spans="11:11" x14ac:dyDescent="0.15">
      <c r="K392" s="104"/>
    </row>
    <row r="393" spans="11:11" x14ac:dyDescent="0.15">
      <c r="K393" s="104"/>
    </row>
    <row r="394" spans="11:11" x14ac:dyDescent="0.15">
      <c r="K394" s="104"/>
    </row>
    <row r="395" spans="11:11" x14ac:dyDescent="0.15">
      <c r="K395" s="104"/>
    </row>
    <row r="396" spans="11:11" x14ac:dyDescent="0.15">
      <c r="K396" s="104"/>
    </row>
    <row r="397" spans="11:11" x14ac:dyDescent="0.15">
      <c r="K397" s="104"/>
    </row>
    <row r="398" spans="11:11" x14ac:dyDescent="0.15">
      <c r="K398" s="104"/>
    </row>
    <row r="399" spans="11:11" x14ac:dyDescent="0.15">
      <c r="K399" s="104"/>
    </row>
    <row r="400" spans="11:11" x14ac:dyDescent="0.15">
      <c r="K400" s="104"/>
    </row>
    <row r="401" spans="11:11" x14ac:dyDescent="0.15">
      <c r="K401" s="104"/>
    </row>
    <row r="402" spans="11:11" x14ac:dyDescent="0.15">
      <c r="K402" s="104"/>
    </row>
    <row r="403" spans="11:11" x14ac:dyDescent="0.15">
      <c r="K403" s="104"/>
    </row>
    <row r="404" spans="11:11" x14ac:dyDescent="0.15">
      <c r="K404" s="104"/>
    </row>
    <row r="405" spans="11:11" x14ac:dyDescent="0.15">
      <c r="K405" s="104"/>
    </row>
    <row r="406" spans="11:11" x14ac:dyDescent="0.15">
      <c r="K406" s="104"/>
    </row>
    <row r="407" spans="11:11" x14ac:dyDescent="0.15">
      <c r="K407" s="104"/>
    </row>
    <row r="408" spans="11:11" x14ac:dyDescent="0.15">
      <c r="K408" s="104"/>
    </row>
    <row r="409" spans="11:11" x14ac:dyDescent="0.15">
      <c r="K409" s="104"/>
    </row>
    <row r="410" spans="11:11" x14ac:dyDescent="0.15">
      <c r="K410" s="104"/>
    </row>
    <row r="411" spans="11:11" x14ac:dyDescent="0.15">
      <c r="K411" s="104"/>
    </row>
    <row r="412" spans="11:11" x14ac:dyDescent="0.15">
      <c r="K412" s="104"/>
    </row>
    <row r="413" spans="11:11" x14ac:dyDescent="0.15">
      <c r="K413" s="104"/>
    </row>
    <row r="414" spans="11:11" x14ac:dyDescent="0.15">
      <c r="K414" s="104"/>
    </row>
    <row r="415" spans="11:11" x14ac:dyDescent="0.15">
      <c r="K415" s="104"/>
    </row>
    <row r="416" spans="11:11" x14ac:dyDescent="0.15">
      <c r="K416" s="104"/>
    </row>
    <row r="417" spans="11:11" x14ac:dyDescent="0.15">
      <c r="K417" s="104"/>
    </row>
    <row r="418" spans="11:11" x14ac:dyDescent="0.15">
      <c r="K418" s="104"/>
    </row>
    <row r="419" spans="11:11" x14ac:dyDescent="0.15">
      <c r="K419" s="104"/>
    </row>
    <row r="420" spans="11:11" x14ac:dyDescent="0.15">
      <c r="K420" s="104"/>
    </row>
    <row r="421" spans="11:11" x14ac:dyDescent="0.15">
      <c r="K421" s="104"/>
    </row>
    <row r="422" spans="11:11" x14ac:dyDescent="0.15">
      <c r="K422" s="104"/>
    </row>
    <row r="423" spans="11:11" x14ac:dyDescent="0.15">
      <c r="K423" s="104"/>
    </row>
    <row r="424" spans="11:11" x14ac:dyDescent="0.15">
      <c r="K424" s="104"/>
    </row>
    <row r="425" spans="11:11" x14ac:dyDescent="0.15">
      <c r="K425" s="104"/>
    </row>
    <row r="426" spans="11:11" x14ac:dyDescent="0.15">
      <c r="K426" s="104"/>
    </row>
    <row r="427" spans="11:11" x14ac:dyDescent="0.15">
      <c r="K427" s="104"/>
    </row>
    <row r="428" spans="11:11" x14ac:dyDescent="0.15">
      <c r="K428" s="104"/>
    </row>
    <row r="429" spans="11:11" x14ac:dyDescent="0.15">
      <c r="K429" s="104"/>
    </row>
    <row r="430" spans="11:11" x14ac:dyDescent="0.15">
      <c r="K430" s="104"/>
    </row>
    <row r="431" spans="11:11" x14ac:dyDescent="0.15">
      <c r="K431" s="104"/>
    </row>
    <row r="432" spans="11:11" x14ac:dyDescent="0.15">
      <c r="K432" s="104"/>
    </row>
    <row r="433" spans="11:11" x14ac:dyDescent="0.15">
      <c r="K433" s="104"/>
    </row>
    <row r="434" spans="11:11" x14ac:dyDescent="0.15">
      <c r="K434" s="104"/>
    </row>
    <row r="435" spans="11:11" x14ac:dyDescent="0.15">
      <c r="K435" s="104"/>
    </row>
    <row r="436" spans="11:11" x14ac:dyDescent="0.15">
      <c r="K436" s="104"/>
    </row>
    <row r="437" spans="11:11" x14ac:dyDescent="0.15">
      <c r="K437" s="104"/>
    </row>
    <row r="438" spans="11:11" x14ac:dyDescent="0.15">
      <c r="K438" s="104"/>
    </row>
    <row r="439" spans="11:11" x14ac:dyDescent="0.15">
      <c r="K439" s="104"/>
    </row>
    <row r="440" spans="11:11" x14ac:dyDescent="0.15">
      <c r="K440" s="104"/>
    </row>
    <row r="441" spans="11:11" x14ac:dyDescent="0.15">
      <c r="K441" s="104"/>
    </row>
    <row r="442" spans="11:11" x14ac:dyDescent="0.15">
      <c r="K442" s="104"/>
    </row>
    <row r="443" spans="11:11" x14ac:dyDescent="0.15">
      <c r="K443" s="104"/>
    </row>
    <row r="444" spans="11:11" x14ac:dyDescent="0.15">
      <c r="K444" s="104"/>
    </row>
    <row r="445" spans="11:11" x14ac:dyDescent="0.15">
      <c r="K445" s="104"/>
    </row>
    <row r="446" spans="11:11" x14ac:dyDescent="0.15">
      <c r="K446" s="104"/>
    </row>
    <row r="447" spans="11:11" x14ac:dyDescent="0.15">
      <c r="K447" s="104"/>
    </row>
    <row r="448" spans="11:11" x14ac:dyDescent="0.15">
      <c r="K448" s="104"/>
    </row>
    <row r="449" spans="11:11" x14ac:dyDescent="0.15">
      <c r="K449" s="104"/>
    </row>
    <row r="450" spans="11:11" x14ac:dyDescent="0.15">
      <c r="K450" s="104"/>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A732"/>
  <sheetViews>
    <sheetView topLeftCell="A4" zoomScale="85" zoomScaleNormal="85" workbookViewId="0">
      <selection activeCell="N23" sqref="N23"/>
    </sheetView>
  </sheetViews>
  <sheetFormatPr defaultColWidth="9" defaultRowHeight="13.5" x14ac:dyDescent="0.15"/>
  <cols>
    <col min="1" max="3" width="9" style="140"/>
    <col min="4" max="4" width="10.5" style="140" customWidth="1"/>
    <col min="5" max="16" width="9" style="140"/>
    <col min="17" max="17" width="9" style="175"/>
    <col min="18" max="18" width="9" style="140"/>
    <col min="19" max="19" width="9.5" style="140" customWidth="1"/>
    <col min="20" max="20" width="9" style="175"/>
    <col min="21" max="21" width="9" style="140"/>
    <col min="22" max="22" width="9" style="175"/>
    <col min="23" max="23" width="10.5" style="140" customWidth="1"/>
    <col min="24" max="32" width="9" style="140"/>
    <col min="33" max="33" width="19.625" style="140" customWidth="1"/>
    <col min="34" max="34" width="9.375" style="140" customWidth="1"/>
    <col min="35" max="259" width="9" style="140"/>
    <col min="260" max="260" width="10.5" style="140" customWidth="1"/>
    <col min="261" max="274" width="9" style="140"/>
    <col min="275" max="275" width="9.5" style="140" customWidth="1"/>
    <col min="276" max="278" width="9" style="140"/>
    <col min="279" max="279" width="10.5" style="140" customWidth="1"/>
    <col min="280" max="515" width="9" style="140"/>
    <col min="516" max="516" width="10.5" style="140" customWidth="1"/>
    <col min="517" max="530" width="9" style="140"/>
    <col min="531" max="531" width="9.5" style="140" customWidth="1"/>
    <col min="532" max="534" width="9" style="140"/>
    <col min="535" max="535" width="10.5" style="140" customWidth="1"/>
    <col min="536" max="771" width="9" style="140"/>
    <col min="772" max="772" width="10.5" style="140" customWidth="1"/>
    <col min="773" max="786" width="9" style="140"/>
    <col min="787" max="787" width="9.5" style="140" customWidth="1"/>
    <col min="788" max="790" width="9" style="140"/>
    <col min="791" max="791" width="10.5" style="140" customWidth="1"/>
    <col min="792" max="1027" width="9" style="140"/>
    <col min="1028" max="1028" width="10.5" style="140" customWidth="1"/>
    <col min="1029" max="1042" width="9" style="140"/>
    <col min="1043" max="1043" width="9.5" style="140" customWidth="1"/>
    <col min="1044" max="1046" width="9" style="140"/>
    <col min="1047" max="1047" width="10.5" style="140" customWidth="1"/>
    <col min="1048" max="1283" width="9" style="140"/>
    <col min="1284" max="1284" width="10.5" style="140" customWidth="1"/>
    <col min="1285" max="1298" width="9" style="140"/>
    <col min="1299" max="1299" width="9.5" style="140" customWidth="1"/>
    <col min="1300" max="1302" width="9" style="140"/>
    <col min="1303" max="1303" width="10.5" style="140" customWidth="1"/>
    <col min="1304" max="1539" width="9" style="140"/>
    <col min="1540" max="1540" width="10.5" style="140" customWidth="1"/>
    <col min="1541" max="1554" width="9" style="140"/>
    <col min="1555" max="1555" width="9.5" style="140" customWidth="1"/>
    <col min="1556" max="1558" width="9" style="140"/>
    <col min="1559" max="1559" width="10.5" style="140" customWidth="1"/>
    <col min="1560" max="1795" width="9" style="140"/>
    <col min="1796" max="1796" width="10.5" style="140" customWidth="1"/>
    <col min="1797" max="1810" width="9" style="140"/>
    <col min="1811" max="1811" width="9.5" style="140" customWidth="1"/>
    <col min="1812" max="1814" width="9" style="140"/>
    <col min="1815" max="1815" width="10.5" style="140" customWidth="1"/>
    <col min="1816" max="2051" width="9" style="140"/>
    <col min="2052" max="2052" width="10.5" style="140" customWidth="1"/>
    <col min="2053" max="2066" width="9" style="140"/>
    <col min="2067" max="2067" width="9.5" style="140" customWidth="1"/>
    <col min="2068" max="2070" width="9" style="140"/>
    <col min="2071" max="2071" width="10.5" style="140" customWidth="1"/>
    <col min="2072" max="2307" width="9" style="140"/>
    <col min="2308" max="2308" width="10.5" style="140" customWidth="1"/>
    <col min="2309" max="2322" width="9" style="140"/>
    <col min="2323" max="2323" width="9.5" style="140" customWidth="1"/>
    <col min="2324" max="2326" width="9" style="140"/>
    <col min="2327" max="2327" width="10.5" style="140" customWidth="1"/>
    <col min="2328" max="2563" width="9" style="140"/>
    <col min="2564" max="2564" width="10.5" style="140" customWidth="1"/>
    <col min="2565" max="2578" width="9" style="140"/>
    <col min="2579" max="2579" width="9.5" style="140" customWidth="1"/>
    <col min="2580" max="2582" width="9" style="140"/>
    <col min="2583" max="2583" width="10.5" style="140" customWidth="1"/>
    <col min="2584" max="2819" width="9" style="140"/>
    <col min="2820" max="2820" width="10.5" style="140" customWidth="1"/>
    <col min="2821" max="2834" width="9" style="140"/>
    <col min="2835" max="2835" width="9.5" style="140" customWidth="1"/>
    <col min="2836" max="2838" width="9" style="140"/>
    <col min="2839" max="2839" width="10.5" style="140" customWidth="1"/>
    <col min="2840" max="3075" width="9" style="140"/>
    <col min="3076" max="3076" width="10.5" style="140" customWidth="1"/>
    <col min="3077" max="3090" width="9" style="140"/>
    <col min="3091" max="3091" width="9.5" style="140" customWidth="1"/>
    <col min="3092" max="3094" width="9" style="140"/>
    <col min="3095" max="3095" width="10.5" style="140" customWidth="1"/>
    <col min="3096" max="3331" width="9" style="140"/>
    <col min="3332" max="3332" width="10.5" style="140" customWidth="1"/>
    <col min="3333" max="3346" width="9" style="140"/>
    <col min="3347" max="3347" width="9.5" style="140" customWidth="1"/>
    <col min="3348" max="3350" width="9" style="140"/>
    <col min="3351" max="3351" width="10.5" style="140" customWidth="1"/>
    <col min="3352" max="3587" width="9" style="140"/>
    <col min="3588" max="3588" width="10.5" style="140" customWidth="1"/>
    <col min="3589" max="3602" width="9" style="140"/>
    <col min="3603" max="3603" width="9.5" style="140" customWidth="1"/>
    <col min="3604" max="3606" width="9" style="140"/>
    <col min="3607" max="3607" width="10.5" style="140" customWidth="1"/>
    <col min="3608" max="3843" width="9" style="140"/>
    <col min="3844" max="3844" width="10.5" style="140" customWidth="1"/>
    <col min="3845" max="3858" width="9" style="140"/>
    <col min="3859" max="3859" width="9.5" style="140" customWidth="1"/>
    <col min="3860" max="3862" width="9" style="140"/>
    <col min="3863" max="3863" width="10.5" style="140" customWidth="1"/>
    <col min="3864" max="4099" width="9" style="140"/>
    <col min="4100" max="4100" width="10.5" style="140" customWidth="1"/>
    <col min="4101" max="4114" width="9" style="140"/>
    <col min="4115" max="4115" width="9.5" style="140" customWidth="1"/>
    <col min="4116" max="4118" width="9" style="140"/>
    <col min="4119" max="4119" width="10.5" style="140" customWidth="1"/>
    <col min="4120" max="4355" width="9" style="140"/>
    <col min="4356" max="4356" width="10.5" style="140" customWidth="1"/>
    <col min="4357" max="4370" width="9" style="140"/>
    <col min="4371" max="4371" width="9.5" style="140" customWidth="1"/>
    <col min="4372" max="4374" width="9" style="140"/>
    <col min="4375" max="4375" width="10.5" style="140" customWidth="1"/>
    <col min="4376" max="4611" width="9" style="140"/>
    <col min="4612" max="4612" width="10.5" style="140" customWidth="1"/>
    <col min="4613" max="4626" width="9" style="140"/>
    <col min="4627" max="4627" width="9.5" style="140" customWidth="1"/>
    <col min="4628" max="4630" width="9" style="140"/>
    <col min="4631" max="4631" width="10.5" style="140" customWidth="1"/>
    <col min="4632" max="4867" width="9" style="140"/>
    <col min="4868" max="4868" width="10.5" style="140" customWidth="1"/>
    <col min="4869" max="4882" width="9" style="140"/>
    <col min="4883" max="4883" width="9.5" style="140" customWidth="1"/>
    <col min="4884" max="4886" width="9" style="140"/>
    <col min="4887" max="4887" width="10.5" style="140" customWidth="1"/>
    <col min="4888" max="5123" width="9" style="140"/>
    <col min="5124" max="5124" width="10.5" style="140" customWidth="1"/>
    <col min="5125" max="5138" width="9" style="140"/>
    <col min="5139" max="5139" width="9.5" style="140" customWidth="1"/>
    <col min="5140" max="5142" width="9" style="140"/>
    <col min="5143" max="5143" width="10.5" style="140" customWidth="1"/>
    <col min="5144" max="5379" width="9" style="140"/>
    <col min="5380" max="5380" width="10.5" style="140" customWidth="1"/>
    <col min="5381" max="5394" width="9" style="140"/>
    <col min="5395" max="5395" width="9.5" style="140" customWidth="1"/>
    <col min="5396" max="5398" width="9" style="140"/>
    <col min="5399" max="5399" width="10.5" style="140" customWidth="1"/>
    <col min="5400" max="5635" width="9" style="140"/>
    <col min="5636" max="5636" width="10.5" style="140" customWidth="1"/>
    <col min="5637" max="5650" width="9" style="140"/>
    <col min="5651" max="5651" width="9.5" style="140" customWidth="1"/>
    <col min="5652" max="5654" width="9" style="140"/>
    <col min="5655" max="5655" width="10.5" style="140" customWidth="1"/>
    <col min="5656" max="5891" width="9" style="140"/>
    <col min="5892" max="5892" width="10.5" style="140" customWidth="1"/>
    <col min="5893" max="5906" width="9" style="140"/>
    <col min="5907" max="5907" width="9.5" style="140" customWidth="1"/>
    <col min="5908" max="5910" width="9" style="140"/>
    <col min="5911" max="5911" width="10.5" style="140" customWidth="1"/>
    <col min="5912" max="6147" width="9" style="140"/>
    <col min="6148" max="6148" width="10.5" style="140" customWidth="1"/>
    <col min="6149" max="6162" width="9" style="140"/>
    <col min="6163" max="6163" width="9.5" style="140" customWidth="1"/>
    <col min="6164" max="6166" width="9" style="140"/>
    <col min="6167" max="6167" width="10.5" style="140" customWidth="1"/>
    <col min="6168" max="6403" width="9" style="140"/>
    <col min="6404" max="6404" width="10.5" style="140" customWidth="1"/>
    <col min="6405" max="6418" width="9" style="140"/>
    <col min="6419" max="6419" width="9.5" style="140" customWidth="1"/>
    <col min="6420" max="6422" width="9" style="140"/>
    <col min="6423" max="6423" width="10.5" style="140" customWidth="1"/>
    <col min="6424" max="6659" width="9" style="140"/>
    <col min="6660" max="6660" width="10.5" style="140" customWidth="1"/>
    <col min="6661" max="6674" width="9" style="140"/>
    <col min="6675" max="6675" width="9.5" style="140" customWidth="1"/>
    <col min="6676" max="6678" width="9" style="140"/>
    <col min="6679" max="6679" width="10.5" style="140" customWidth="1"/>
    <col min="6680" max="6915" width="9" style="140"/>
    <col min="6916" max="6916" width="10.5" style="140" customWidth="1"/>
    <col min="6917" max="6930" width="9" style="140"/>
    <col min="6931" max="6931" width="9.5" style="140" customWidth="1"/>
    <col min="6932" max="6934" width="9" style="140"/>
    <col min="6935" max="6935" width="10.5" style="140" customWidth="1"/>
    <col min="6936" max="7171" width="9" style="140"/>
    <col min="7172" max="7172" width="10.5" style="140" customWidth="1"/>
    <col min="7173" max="7186" width="9" style="140"/>
    <col min="7187" max="7187" width="9.5" style="140" customWidth="1"/>
    <col min="7188" max="7190" width="9" style="140"/>
    <col min="7191" max="7191" width="10.5" style="140" customWidth="1"/>
    <col min="7192" max="7427" width="9" style="140"/>
    <col min="7428" max="7428" width="10.5" style="140" customWidth="1"/>
    <col min="7429" max="7442" width="9" style="140"/>
    <col min="7443" max="7443" width="9.5" style="140" customWidth="1"/>
    <col min="7444" max="7446" width="9" style="140"/>
    <col min="7447" max="7447" width="10.5" style="140" customWidth="1"/>
    <col min="7448" max="7683" width="9" style="140"/>
    <col min="7684" max="7684" width="10.5" style="140" customWidth="1"/>
    <col min="7685" max="7698" width="9" style="140"/>
    <col min="7699" max="7699" width="9.5" style="140" customWidth="1"/>
    <col min="7700" max="7702" width="9" style="140"/>
    <col min="7703" max="7703" width="10.5" style="140" customWidth="1"/>
    <col min="7704" max="7939" width="9" style="140"/>
    <col min="7940" max="7940" width="10.5" style="140" customWidth="1"/>
    <col min="7941" max="7954" width="9" style="140"/>
    <col min="7955" max="7955" width="9.5" style="140" customWidth="1"/>
    <col min="7956" max="7958" width="9" style="140"/>
    <col min="7959" max="7959" width="10.5" style="140" customWidth="1"/>
    <col min="7960" max="8195" width="9" style="140"/>
    <col min="8196" max="8196" width="10.5" style="140" customWidth="1"/>
    <col min="8197" max="8210" width="9" style="140"/>
    <col min="8211" max="8211" width="9.5" style="140" customWidth="1"/>
    <col min="8212" max="8214" width="9" style="140"/>
    <col min="8215" max="8215" width="10.5" style="140" customWidth="1"/>
    <col min="8216" max="8451" width="9" style="140"/>
    <col min="8452" max="8452" width="10.5" style="140" customWidth="1"/>
    <col min="8453" max="8466" width="9" style="140"/>
    <col min="8467" max="8467" width="9.5" style="140" customWidth="1"/>
    <col min="8468" max="8470" width="9" style="140"/>
    <col min="8471" max="8471" width="10.5" style="140" customWidth="1"/>
    <col min="8472" max="8707" width="9" style="140"/>
    <col min="8708" max="8708" width="10.5" style="140" customWidth="1"/>
    <col min="8709" max="8722" width="9" style="140"/>
    <col min="8723" max="8723" width="9.5" style="140" customWidth="1"/>
    <col min="8724" max="8726" width="9" style="140"/>
    <col min="8727" max="8727" width="10.5" style="140" customWidth="1"/>
    <col min="8728" max="8963" width="9" style="140"/>
    <col min="8964" max="8964" width="10.5" style="140" customWidth="1"/>
    <col min="8965" max="8978" width="9" style="140"/>
    <col min="8979" max="8979" width="9.5" style="140" customWidth="1"/>
    <col min="8980" max="8982" width="9" style="140"/>
    <col min="8983" max="8983" width="10.5" style="140" customWidth="1"/>
    <col min="8984" max="9219" width="9" style="140"/>
    <col min="9220" max="9220" width="10.5" style="140" customWidth="1"/>
    <col min="9221" max="9234" width="9" style="140"/>
    <col min="9235" max="9235" width="9.5" style="140" customWidth="1"/>
    <col min="9236" max="9238" width="9" style="140"/>
    <col min="9239" max="9239" width="10.5" style="140" customWidth="1"/>
    <col min="9240" max="9475" width="9" style="140"/>
    <col min="9476" max="9476" width="10.5" style="140" customWidth="1"/>
    <col min="9477" max="9490" width="9" style="140"/>
    <col min="9491" max="9491" width="9.5" style="140" customWidth="1"/>
    <col min="9492" max="9494" width="9" style="140"/>
    <col min="9495" max="9495" width="10.5" style="140" customWidth="1"/>
    <col min="9496" max="9731" width="9" style="140"/>
    <col min="9732" max="9732" width="10.5" style="140" customWidth="1"/>
    <col min="9733" max="9746" width="9" style="140"/>
    <col min="9747" max="9747" width="9.5" style="140" customWidth="1"/>
    <col min="9748" max="9750" width="9" style="140"/>
    <col min="9751" max="9751" width="10.5" style="140" customWidth="1"/>
    <col min="9752" max="9987" width="9" style="140"/>
    <col min="9988" max="9988" width="10.5" style="140" customWidth="1"/>
    <col min="9989" max="10002" width="9" style="140"/>
    <col min="10003" max="10003" width="9.5" style="140" customWidth="1"/>
    <col min="10004" max="10006" width="9" style="140"/>
    <col min="10007" max="10007" width="10.5" style="140" customWidth="1"/>
    <col min="10008" max="10243" width="9" style="140"/>
    <col min="10244" max="10244" width="10.5" style="140" customWidth="1"/>
    <col min="10245" max="10258" width="9" style="140"/>
    <col min="10259" max="10259" width="9.5" style="140" customWidth="1"/>
    <col min="10260" max="10262" width="9" style="140"/>
    <col min="10263" max="10263" width="10.5" style="140" customWidth="1"/>
    <col min="10264" max="10499" width="9" style="140"/>
    <col min="10500" max="10500" width="10.5" style="140" customWidth="1"/>
    <col min="10501" max="10514" width="9" style="140"/>
    <col min="10515" max="10515" width="9.5" style="140" customWidth="1"/>
    <col min="10516" max="10518" width="9" style="140"/>
    <col min="10519" max="10519" width="10.5" style="140" customWidth="1"/>
    <col min="10520" max="10755" width="9" style="140"/>
    <col min="10756" max="10756" width="10.5" style="140" customWidth="1"/>
    <col min="10757" max="10770" width="9" style="140"/>
    <col min="10771" max="10771" width="9.5" style="140" customWidth="1"/>
    <col min="10772" max="10774" width="9" style="140"/>
    <col min="10775" max="10775" width="10.5" style="140" customWidth="1"/>
    <col min="10776" max="11011" width="9" style="140"/>
    <col min="11012" max="11012" width="10.5" style="140" customWidth="1"/>
    <col min="11013" max="11026" width="9" style="140"/>
    <col min="11027" max="11027" width="9.5" style="140" customWidth="1"/>
    <col min="11028" max="11030" width="9" style="140"/>
    <col min="11031" max="11031" width="10.5" style="140" customWidth="1"/>
    <col min="11032" max="11267" width="9" style="140"/>
    <col min="11268" max="11268" width="10.5" style="140" customWidth="1"/>
    <col min="11269" max="11282" width="9" style="140"/>
    <col min="11283" max="11283" width="9.5" style="140" customWidth="1"/>
    <col min="11284" max="11286" width="9" style="140"/>
    <col min="11287" max="11287" width="10.5" style="140" customWidth="1"/>
    <col min="11288" max="11523" width="9" style="140"/>
    <col min="11524" max="11524" width="10.5" style="140" customWidth="1"/>
    <col min="11525" max="11538" width="9" style="140"/>
    <col min="11539" max="11539" width="9.5" style="140" customWidth="1"/>
    <col min="11540" max="11542" width="9" style="140"/>
    <col min="11543" max="11543" width="10.5" style="140" customWidth="1"/>
    <col min="11544" max="11779" width="9" style="140"/>
    <col min="11780" max="11780" width="10.5" style="140" customWidth="1"/>
    <col min="11781" max="11794" width="9" style="140"/>
    <col min="11795" max="11795" width="9.5" style="140" customWidth="1"/>
    <col min="11796" max="11798" width="9" style="140"/>
    <col min="11799" max="11799" width="10.5" style="140" customWidth="1"/>
    <col min="11800" max="12035" width="9" style="140"/>
    <col min="12036" max="12036" width="10.5" style="140" customWidth="1"/>
    <col min="12037" max="12050" width="9" style="140"/>
    <col min="12051" max="12051" width="9.5" style="140" customWidth="1"/>
    <col min="12052" max="12054" width="9" style="140"/>
    <col min="12055" max="12055" width="10.5" style="140" customWidth="1"/>
    <col min="12056" max="12291" width="9" style="140"/>
    <col min="12292" max="12292" width="10.5" style="140" customWidth="1"/>
    <col min="12293" max="12306" width="9" style="140"/>
    <col min="12307" max="12307" width="9.5" style="140" customWidth="1"/>
    <col min="12308" max="12310" width="9" style="140"/>
    <col min="12311" max="12311" width="10.5" style="140" customWidth="1"/>
    <col min="12312" max="12547" width="9" style="140"/>
    <col min="12548" max="12548" width="10.5" style="140" customWidth="1"/>
    <col min="12549" max="12562" width="9" style="140"/>
    <col min="12563" max="12563" width="9.5" style="140" customWidth="1"/>
    <col min="12564" max="12566" width="9" style="140"/>
    <col min="12567" max="12567" width="10.5" style="140" customWidth="1"/>
    <col min="12568" max="12803" width="9" style="140"/>
    <col min="12804" max="12804" width="10.5" style="140" customWidth="1"/>
    <col min="12805" max="12818" width="9" style="140"/>
    <col min="12819" max="12819" width="9.5" style="140" customWidth="1"/>
    <col min="12820" max="12822" width="9" style="140"/>
    <col min="12823" max="12823" width="10.5" style="140" customWidth="1"/>
    <col min="12824" max="13059" width="9" style="140"/>
    <col min="13060" max="13060" width="10.5" style="140" customWidth="1"/>
    <col min="13061" max="13074" width="9" style="140"/>
    <col min="13075" max="13075" width="9.5" style="140" customWidth="1"/>
    <col min="13076" max="13078" width="9" style="140"/>
    <col min="13079" max="13079" width="10.5" style="140" customWidth="1"/>
    <col min="13080" max="13315" width="9" style="140"/>
    <col min="13316" max="13316" width="10.5" style="140" customWidth="1"/>
    <col min="13317" max="13330" width="9" style="140"/>
    <col min="13331" max="13331" width="9.5" style="140" customWidth="1"/>
    <col min="13332" max="13334" width="9" style="140"/>
    <col min="13335" max="13335" width="10.5" style="140" customWidth="1"/>
    <col min="13336" max="13571" width="9" style="140"/>
    <col min="13572" max="13572" width="10.5" style="140" customWidth="1"/>
    <col min="13573" max="13586" width="9" style="140"/>
    <col min="13587" max="13587" width="9.5" style="140" customWidth="1"/>
    <col min="13588" max="13590" width="9" style="140"/>
    <col min="13591" max="13591" width="10.5" style="140" customWidth="1"/>
    <col min="13592" max="13827" width="9" style="140"/>
    <col min="13828" max="13828" width="10.5" style="140" customWidth="1"/>
    <col min="13829" max="13842" width="9" style="140"/>
    <col min="13843" max="13843" width="9.5" style="140" customWidth="1"/>
    <col min="13844" max="13846" width="9" style="140"/>
    <col min="13847" max="13847" width="10.5" style="140" customWidth="1"/>
    <col min="13848" max="14083" width="9" style="140"/>
    <col min="14084" max="14084" width="10.5" style="140" customWidth="1"/>
    <col min="14085" max="14098" width="9" style="140"/>
    <col min="14099" max="14099" width="9.5" style="140" customWidth="1"/>
    <col min="14100" max="14102" width="9" style="140"/>
    <col min="14103" max="14103" width="10.5" style="140" customWidth="1"/>
    <col min="14104" max="14339" width="9" style="140"/>
    <col min="14340" max="14340" width="10.5" style="140" customWidth="1"/>
    <col min="14341" max="14354" width="9" style="140"/>
    <col min="14355" max="14355" width="9.5" style="140" customWidth="1"/>
    <col min="14356" max="14358" width="9" style="140"/>
    <col min="14359" max="14359" width="10.5" style="140" customWidth="1"/>
    <col min="14360" max="14595" width="9" style="140"/>
    <col min="14596" max="14596" width="10.5" style="140" customWidth="1"/>
    <col min="14597" max="14610" width="9" style="140"/>
    <col min="14611" max="14611" width="9.5" style="140" customWidth="1"/>
    <col min="14612" max="14614" width="9" style="140"/>
    <col min="14615" max="14615" width="10.5" style="140" customWidth="1"/>
    <col min="14616" max="14851" width="9" style="140"/>
    <col min="14852" max="14852" width="10.5" style="140" customWidth="1"/>
    <col min="14853" max="14866" width="9" style="140"/>
    <col min="14867" max="14867" width="9.5" style="140" customWidth="1"/>
    <col min="14868" max="14870" width="9" style="140"/>
    <col min="14871" max="14871" width="10.5" style="140" customWidth="1"/>
    <col min="14872" max="15107" width="9" style="140"/>
    <col min="15108" max="15108" width="10.5" style="140" customWidth="1"/>
    <col min="15109" max="15122" width="9" style="140"/>
    <col min="15123" max="15123" width="9.5" style="140" customWidth="1"/>
    <col min="15124" max="15126" width="9" style="140"/>
    <col min="15127" max="15127" width="10.5" style="140" customWidth="1"/>
    <col min="15128" max="15363" width="9" style="140"/>
    <col min="15364" max="15364" width="10.5" style="140" customWidth="1"/>
    <col min="15365" max="15378" width="9" style="140"/>
    <col min="15379" max="15379" width="9.5" style="140" customWidth="1"/>
    <col min="15380" max="15382" width="9" style="140"/>
    <col min="15383" max="15383" width="10.5" style="140" customWidth="1"/>
    <col min="15384" max="15619" width="9" style="140"/>
    <col min="15620" max="15620" width="10.5" style="140" customWidth="1"/>
    <col min="15621" max="15634" width="9" style="140"/>
    <col min="15635" max="15635" width="9.5" style="140" customWidth="1"/>
    <col min="15636" max="15638" width="9" style="140"/>
    <col min="15639" max="15639" width="10.5" style="140" customWidth="1"/>
    <col min="15640" max="15875" width="9" style="140"/>
    <col min="15876" max="15876" width="10.5" style="140" customWidth="1"/>
    <col min="15877" max="15890" width="9" style="140"/>
    <col min="15891" max="15891" width="9.5" style="140" customWidth="1"/>
    <col min="15892" max="15894" width="9" style="140"/>
    <col min="15895" max="15895" width="10.5" style="140" customWidth="1"/>
    <col min="15896" max="16131" width="9" style="140"/>
    <col min="16132" max="16132" width="10.5" style="140" customWidth="1"/>
    <col min="16133" max="16146" width="9" style="140"/>
    <col min="16147" max="16147" width="9.5" style="140" customWidth="1"/>
    <col min="16148" max="16150" width="9" style="140"/>
    <col min="16151" max="16151" width="10.5" style="140" customWidth="1"/>
    <col min="16152" max="16384" width="9" style="140"/>
  </cols>
  <sheetData>
    <row r="1" spans="1:53" ht="45" x14ac:dyDescent="0.15">
      <c r="A1" s="131" t="s">
        <v>0</v>
      </c>
      <c r="B1" s="132" t="s">
        <v>268</v>
      </c>
      <c r="C1" s="132" t="s">
        <v>269</v>
      </c>
      <c r="D1" s="133" t="s">
        <v>3</v>
      </c>
      <c r="E1" s="134" t="s">
        <v>4</v>
      </c>
      <c r="F1" s="134" t="s">
        <v>5</v>
      </c>
      <c r="G1" s="134" t="s">
        <v>6</v>
      </c>
      <c r="H1" s="134" t="s">
        <v>7</v>
      </c>
      <c r="I1" s="134" t="s">
        <v>8</v>
      </c>
      <c r="J1" s="134" t="s">
        <v>9</v>
      </c>
      <c r="K1" s="134" t="s">
        <v>10</v>
      </c>
      <c r="L1" s="133" t="s">
        <v>270</v>
      </c>
      <c r="M1" s="133" t="s">
        <v>271</v>
      </c>
      <c r="N1" s="133" t="s">
        <v>13</v>
      </c>
      <c r="O1" s="133" t="s">
        <v>272</v>
      </c>
      <c r="P1" s="133" t="s">
        <v>273</v>
      </c>
      <c r="Q1" s="135" t="s">
        <v>274</v>
      </c>
      <c r="R1" s="133" t="s">
        <v>275</v>
      </c>
      <c r="S1" s="133" t="s">
        <v>276</v>
      </c>
      <c r="T1" s="135" t="s">
        <v>19</v>
      </c>
      <c r="U1" s="136" t="s">
        <v>108</v>
      </c>
      <c r="V1" s="137" t="s">
        <v>20</v>
      </c>
      <c r="W1" s="133" t="s">
        <v>277</v>
      </c>
      <c r="X1" s="134" t="s">
        <v>22</v>
      </c>
      <c r="Y1" s="134" t="s">
        <v>23</v>
      </c>
      <c r="Z1" s="134" t="s">
        <v>24</v>
      </c>
      <c r="AA1" s="138" t="s">
        <v>25</v>
      </c>
      <c r="AB1" s="139" t="s">
        <v>278</v>
      </c>
      <c r="AE1" s="141" t="s">
        <v>0</v>
      </c>
      <c r="AF1" s="142"/>
      <c r="AG1" s="141" t="s">
        <v>4</v>
      </c>
      <c r="AH1" s="141" t="s">
        <v>5</v>
      </c>
      <c r="AI1" s="142"/>
      <c r="AJ1" s="141" t="s">
        <v>6</v>
      </c>
      <c r="AK1" s="142"/>
      <c r="AL1" s="143" t="s">
        <v>7</v>
      </c>
      <c r="AM1" s="142"/>
      <c r="AN1" s="143" t="s">
        <v>8</v>
      </c>
      <c r="AO1" s="142"/>
      <c r="AP1" s="143" t="s">
        <v>27</v>
      </c>
      <c r="AQ1" s="142"/>
      <c r="AR1" s="143" t="s">
        <v>10</v>
      </c>
      <c r="AS1" s="142"/>
      <c r="AT1" s="144" t="s">
        <v>279</v>
      </c>
      <c r="AU1" s="142"/>
      <c r="AV1" s="143" t="s">
        <v>29</v>
      </c>
      <c r="AX1" s="145" t="s">
        <v>280</v>
      </c>
      <c r="AY1" s="146" t="s">
        <v>281</v>
      </c>
      <c r="AZ1" s="146" t="s">
        <v>282</v>
      </c>
      <c r="BA1" s="147" t="s">
        <v>283</v>
      </c>
    </row>
    <row r="2" spans="1:53" s="148" customFormat="1" x14ac:dyDescent="0.15">
      <c r="A2" s="148" t="s">
        <v>51</v>
      </c>
      <c r="B2" s="148" t="s">
        <v>193</v>
      </c>
      <c r="C2" s="148">
        <v>2018</v>
      </c>
      <c r="D2" s="149" t="s">
        <v>284</v>
      </c>
      <c r="E2" s="148" t="s">
        <v>285</v>
      </c>
      <c r="F2" s="148" t="s">
        <v>286</v>
      </c>
      <c r="G2" s="148" t="s">
        <v>42</v>
      </c>
      <c r="H2" s="148" t="s">
        <v>155</v>
      </c>
      <c r="I2" s="148" t="s">
        <v>153</v>
      </c>
      <c r="J2" s="148" t="s">
        <v>38</v>
      </c>
      <c r="K2" s="148" t="s">
        <v>154</v>
      </c>
      <c r="L2" s="148">
        <v>1</v>
      </c>
      <c r="N2" s="148">
        <v>1</v>
      </c>
      <c r="O2" s="148">
        <v>0.65</v>
      </c>
      <c r="P2" s="148">
        <v>0.6</v>
      </c>
      <c r="Q2" s="150">
        <f t="shared" ref="Q2:Q65" si="0">IF(OR(O2="",P2=""),"",AVERAGE(O2,P2))</f>
        <v>0.625</v>
      </c>
      <c r="R2" s="148">
        <v>15.6</v>
      </c>
      <c r="S2" s="148">
        <v>134</v>
      </c>
      <c r="T2" s="151">
        <f t="shared" ref="T2:T65" si="1">IF(H2="","",IF(OR(H2="GREEN",H2="GK"),IF(S2&gt;=$AX$2,VLOOKUP(S2,$AX$2:$AY$12,2,1),""),IF(S2&gt;=$AZ$2,VLOOKUP(S2,$AZ$2:$BA$12,2,1),"")))</f>
        <v>25</v>
      </c>
      <c r="U2" s="148">
        <v>78</v>
      </c>
      <c r="V2" s="152">
        <f t="shared" ref="V2:V65" si="2">IF(OR(N2="",U2="",T2=""),"",U2/N2*T2)</f>
        <v>1950</v>
      </c>
      <c r="W2" s="148">
        <v>3</v>
      </c>
      <c r="X2" s="148" t="s">
        <v>46</v>
      </c>
      <c r="Y2" s="148" t="s">
        <v>69</v>
      </c>
      <c r="Z2" s="148" t="s">
        <v>84</v>
      </c>
      <c r="AA2" s="148" t="s">
        <v>90</v>
      </c>
      <c r="AB2" s="148" t="s">
        <v>195</v>
      </c>
      <c r="AE2" s="153" t="s">
        <v>35</v>
      </c>
      <c r="AG2" s="154" t="s">
        <v>167</v>
      </c>
      <c r="AH2" s="154" t="s">
        <v>287</v>
      </c>
      <c r="AJ2" s="154" t="s">
        <v>36</v>
      </c>
      <c r="AL2" s="154" t="s">
        <v>288</v>
      </c>
      <c r="AN2" s="154" t="s">
        <v>37</v>
      </c>
      <c r="AP2" s="154" t="s">
        <v>38</v>
      </c>
      <c r="AR2" s="154" t="s">
        <v>154</v>
      </c>
      <c r="AT2" s="154" t="s">
        <v>39</v>
      </c>
      <c r="AV2" s="154" t="s">
        <v>40</v>
      </c>
      <c r="AX2" s="155">
        <v>1</v>
      </c>
      <c r="AY2" s="156">
        <v>50</v>
      </c>
      <c r="AZ2" s="156">
        <v>1</v>
      </c>
      <c r="BA2" s="157">
        <v>50</v>
      </c>
    </row>
    <row r="3" spans="1:53" s="158" customFormat="1" x14ac:dyDescent="0.15">
      <c r="A3" s="148" t="s">
        <v>51</v>
      </c>
      <c r="B3" s="148" t="s">
        <v>193</v>
      </c>
      <c r="C3" s="148">
        <v>2018</v>
      </c>
      <c r="D3" s="149" t="s">
        <v>284</v>
      </c>
      <c r="E3" s="148" t="s">
        <v>285</v>
      </c>
      <c r="F3" s="148" t="s">
        <v>286</v>
      </c>
      <c r="G3" s="148" t="s">
        <v>42</v>
      </c>
      <c r="H3" s="148" t="s">
        <v>155</v>
      </c>
      <c r="I3" s="148" t="s">
        <v>153</v>
      </c>
      <c r="J3" s="148" t="s">
        <v>38</v>
      </c>
      <c r="K3" s="148" t="s">
        <v>154</v>
      </c>
      <c r="L3" s="148">
        <v>2</v>
      </c>
      <c r="M3" s="148"/>
      <c r="N3" s="148">
        <v>1</v>
      </c>
      <c r="O3" s="148">
        <v>0.5</v>
      </c>
      <c r="P3" s="148">
        <v>0.5</v>
      </c>
      <c r="Q3" s="150">
        <f t="shared" si="0"/>
        <v>0.5</v>
      </c>
      <c r="R3" s="148">
        <v>15.2</v>
      </c>
      <c r="S3" s="148">
        <v>132</v>
      </c>
      <c r="T3" s="151">
        <f t="shared" si="1"/>
        <v>25</v>
      </c>
      <c r="U3" s="148">
        <v>78</v>
      </c>
      <c r="V3" s="152">
        <f t="shared" si="2"/>
        <v>1950</v>
      </c>
      <c r="W3" s="148">
        <v>3</v>
      </c>
      <c r="X3" s="148" t="s">
        <v>46</v>
      </c>
      <c r="Y3" s="148" t="s">
        <v>69</v>
      </c>
      <c r="Z3" s="148" t="s">
        <v>84</v>
      </c>
      <c r="AA3" s="148" t="s">
        <v>90</v>
      </c>
      <c r="AB3" s="148" t="s">
        <v>195</v>
      </c>
      <c r="AE3" s="159" t="s">
        <v>41</v>
      </c>
      <c r="AG3" s="154" t="s">
        <v>289</v>
      </c>
      <c r="AH3" s="154" t="s">
        <v>290</v>
      </c>
      <c r="AJ3" s="160" t="s">
        <v>42</v>
      </c>
      <c r="AL3" s="160" t="s">
        <v>291</v>
      </c>
      <c r="AN3" s="160" t="s">
        <v>43</v>
      </c>
      <c r="AP3" s="160" t="s">
        <v>44</v>
      </c>
      <c r="AR3" s="161" t="s">
        <v>45</v>
      </c>
      <c r="AT3" s="160" t="s">
        <v>46</v>
      </c>
      <c r="AV3" s="160" t="s">
        <v>47</v>
      </c>
      <c r="AX3" s="162">
        <v>72</v>
      </c>
      <c r="AY3" s="163">
        <v>46</v>
      </c>
      <c r="AZ3" s="163">
        <v>71</v>
      </c>
      <c r="BA3" s="164">
        <v>42</v>
      </c>
    </row>
    <row r="4" spans="1:53" s="158" customFormat="1" x14ac:dyDescent="0.15">
      <c r="A4" s="148" t="s">
        <v>51</v>
      </c>
      <c r="B4" s="148" t="s">
        <v>193</v>
      </c>
      <c r="C4" s="148">
        <v>2018</v>
      </c>
      <c r="D4" s="149" t="s">
        <v>284</v>
      </c>
      <c r="E4" s="148" t="s">
        <v>285</v>
      </c>
      <c r="F4" s="148" t="s">
        <v>286</v>
      </c>
      <c r="G4" s="148" t="s">
        <v>42</v>
      </c>
      <c r="H4" s="148" t="s">
        <v>155</v>
      </c>
      <c r="I4" s="148" t="s">
        <v>153</v>
      </c>
      <c r="J4" s="148" t="s">
        <v>38</v>
      </c>
      <c r="K4" s="148" t="s">
        <v>154</v>
      </c>
      <c r="L4" s="148">
        <v>3</v>
      </c>
      <c r="M4" s="148"/>
      <c r="N4" s="148">
        <v>1</v>
      </c>
      <c r="O4" s="148">
        <v>0.55000000000000004</v>
      </c>
      <c r="P4" s="148">
        <v>0.5</v>
      </c>
      <c r="Q4" s="150">
        <f t="shared" si="0"/>
        <v>0.52500000000000002</v>
      </c>
      <c r="R4" s="148">
        <v>14.8</v>
      </c>
      <c r="S4" s="148">
        <v>132</v>
      </c>
      <c r="T4" s="151">
        <f t="shared" si="1"/>
        <v>25</v>
      </c>
      <c r="U4" s="148">
        <v>78</v>
      </c>
      <c r="V4" s="152">
        <f t="shared" si="2"/>
        <v>1950</v>
      </c>
      <c r="W4" s="148">
        <v>3</v>
      </c>
      <c r="X4" s="148" t="s">
        <v>46</v>
      </c>
      <c r="Y4" s="148" t="s">
        <v>69</v>
      </c>
      <c r="Z4" s="148" t="s">
        <v>84</v>
      </c>
      <c r="AA4" s="148" t="s">
        <v>90</v>
      </c>
      <c r="AB4" s="148" t="s">
        <v>195</v>
      </c>
      <c r="AE4" s="159" t="s">
        <v>34</v>
      </c>
      <c r="AG4" s="154" t="s">
        <v>292</v>
      </c>
      <c r="AH4" s="154" t="s">
        <v>293</v>
      </c>
      <c r="AJ4" s="165" t="s">
        <v>48</v>
      </c>
      <c r="AL4" s="165" t="s">
        <v>294</v>
      </c>
      <c r="AN4" s="166" t="s">
        <v>295</v>
      </c>
      <c r="AP4" s="160" t="s">
        <v>296</v>
      </c>
      <c r="AR4" s="161" t="s">
        <v>297</v>
      </c>
      <c r="AT4" s="166"/>
      <c r="AV4" s="160" t="s">
        <v>50</v>
      </c>
      <c r="AX4" s="162">
        <v>75</v>
      </c>
      <c r="AY4" s="163">
        <v>42</v>
      </c>
      <c r="AZ4" s="163">
        <v>76</v>
      </c>
      <c r="BA4" s="164">
        <v>39</v>
      </c>
    </row>
    <row r="5" spans="1:53" s="158" customFormat="1" x14ac:dyDescent="0.15">
      <c r="A5" s="148" t="s">
        <v>51</v>
      </c>
      <c r="B5" s="148" t="s">
        <v>193</v>
      </c>
      <c r="C5" s="148">
        <v>2018</v>
      </c>
      <c r="D5" s="149" t="s">
        <v>284</v>
      </c>
      <c r="E5" s="148" t="s">
        <v>285</v>
      </c>
      <c r="F5" s="148" t="s">
        <v>286</v>
      </c>
      <c r="G5" s="148" t="s">
        <v>42</v>
      </c>
      <c r="H5" s="148" t="s">
        <v>163</v>
      </c>
      <c r="I5" s="148" t="s">
        <v>153</v>
      </c>
      <c r="J5" s="148" t="s">
        <v>38</v>
      </c>
      <c r="K5" s="148" t="s">
        <v>54</v>
      </c>
      <c r="L5" s="148">
        <v>1</v>
      </c>
      <c r="M5" s="148"/>
      <c r="N5" s="148">
        <v>4</v>
      </c>
      <c r="O5" s="148">
        <v>0.6</v>
      </c>
      <c r="P5" s="148">
        <v>0.6</v>
      </c>
      <c r="Q5" s="150">
        <f t="shared" si="0"/>
        <v>0.6</v>
      </c>
      <c r="R5" s="148">
        <v>16.5</v>
      </c>
      <c r="S5" s="148">
        <v>81</v>
      </c>
      <c r="T5" s="151">
        <f t="shared" si="1"/>
        <v>39</v>
      </c>
      <c r="U5" s="148">
        <v>498</v>
      </c>
      <c r="V5" s="152">
        <f t="shared" si="2"/>
        <v>4855.5</v>
      </c>
      <c r="W5" s="148">
        <v>3</v>
      </c>
      <c r="X5" s="148" t="s">
        <v>39</v>
      </c>
      <c r="Y5" s="148" t="s">
        <v>69</v>
      </c>
      <c r="Z5" s="148" t="s">
        <v>84</v>
      </c>
      <c r="AA5" s="148" t="s">
        <v>90</v>
      </c>
      <c r="AB5" s="148" t="s">
        <v>195</v>
      </c>
      <c r="AE5" s="159" t="s">
        <v>51</v>
      </c>
      <c r="AG5" s="154" t="s">
        <v>298</v>
      </c>
      <c r="AH5" s="154" t="s">
        <v>286</v>
      </c>
      <c r="AJ5" s="166"/>
      <c r="AL5" s="167" t="s">
        <v>155</v>
      </c>
      <c r="AN5" s="167" t="s">
        <v>153</v>
      </c>
      <c r="AP5" s="160" t="s">
        <v>299</v>
      </c>
      <c r="AR5" s="161" t="s">
        <v>54</v>
      </c>
      <c r="AV5" s="160" t="s">
        <v>55</v>
      </c>
      <c r="AX5" s="162">
        <v>84</v>
      </c>
      <c r="AY5" s="163">
        <v>39</v>
      </c>
      <c r="AZ5" s="163">
        <v>84</v>
      </c>
      <c r="BA5" s="164">
        <v>36</v>
      </c>
    </row>
    <row r="6" spans="1:53" s="158" customFormat="1" x14ac:dyDescent="0.15">
      <c r="A6" s="148" t="s">
        <v>51</v>
      </c>
      <c r="B6" s="148" t="s">
        <v>193</v>
      </c>
      <c r="C6" s="148">
        <v>2018</v>
      </c>
      <c r="D6" s="149" t="s">
        <v>284</v>
      </c>
      <c r="E6" s="148" t="s">
        <v>285</v>
      </c>
      <c r="F6" s="148" t="s">
        <v>286</v>
      </c>
      <c r="G6" s="148" t="s">
        <v>42</v>
      </c>
      <c r="H6" s="148" t="s">
        <v>163</v>
      </c>
      <c r="I6" s="148" t="s">
        <v>153</v>
      </c>
      <c r="J6" s="148" t="s">
        <v>38</v>
      </c>
      <c r="K6" s="148" t="s">
        <v>54</v>
      </c>
      <c r="L6" s="148">
        <v>2</v>
      </c>
      <c r="M6" s="148"/>
      <c r="N6" s="148">
        <v>4</v>
      </c>
      <c r="O6" s="148">
        <v>0.55000000000000004</v>
      </c>
      <c r="P6" s="148">
        <v>0.7</v>
      </c>
      <c r="Q6" s="150">
        <f t="shared" si="0"/>
        <v>0.625</v>
      </c>
      <c r="R6" s="148">
        <v>17</v>
      </c>
      <c r="S6" s="148">
        <v>76</v>
      </c>
      <c r="T6" s="151">
        <f t="shared" si="1"/>
        <v>39</v>
      </c>
      <c r="U6" s="148">
        <v>498</v>
      </c>
      <c r="V6" s="152">
        <f t="shared" si="2"/>
        <v>4855.5</v>
      </c>
      <c r="W6" s="148">
        <v>3</v>
      </c>
      <c r="X6" s="148" t="s">
        <v>39</v>
      </c>
      <c r="Y6" s="148" t="s">
        <v>69</v>
      </c>
      <c r="Z6" s="148" t="s">
        <v>84</v>
      </c>
      <c r="AA6" s="148" t="s">
        <v>90</v>
      </c>
      <c r="AB6" s="148" t="s">
        <v>195</v>
      </c>
      <c r="AE6" s="159" t="s">
        <v>56</v>
      </c>
      <c r="AG6" s="154" t="s">
        <v>300</v>
      </c>
      <c r="AH6" s="154" t="s">
        <v>301</v>
      </c>
      <c r="AL6" s="167" t="s">
        <v>174</v>
      </c>
      <c r="AN6" s="167" t="s">
        <v>156</v>
      </c>
      <c r="AP6" s="160" t="s">
        <v>53</v>
      </c>
      <c r="AR6" s="161" t="s">
        <v>59</v>
      </c>
      <c r="AV6" s="160" t="s">
        <v>60</v>
      </c>
      <c r="AX6" s="162">
        <v>97</v>
      </c>
      <c r="AY6" s="163">
        <v>36</v>
      </c>
      <c r="AZ6" s="163">
        <v>99</v>
      </c>
      <c r="BA6" s="164">
        <v>33</v>
      </c>
    </row>
    <row r="7" spans="1:53" s="158" customFormat="1" x14ac:dyDescent="0.15">
      <c r="A7" s="148" t="s">
        <v>51</v>
      </c>
      <c r="B7" s="148" t="s">
        <v>193</v>
      </c>
      <c r="C7" s="148">
        <v>2018</v>
      </c>
      <c r="D7" s="149" t="s">
        <v>284</v>
      </c>
      <c r="E7" s="148" t="s">
        <v>285</v>
      </c>
      <c r="F7" s="148" t="s">
        <v>286</v>
      </c>
      <c r="G7" s="148" t="s">
        <v>42</v>
      </c>
      <c r="H7" s="148" t="s">
        <v>163</v>
      </c>
      <c r="I7" s="148" t="s">
        <v>153</v>
      </c>
      <c r="J7" s="148" t="s">
        <v>38</v>
      </c>
      <c r="K7" s="148" t="s">
        <v>54</v>
      </c>
      <c r="L7" s="148">
        <v>3</v>
      </c>
      <c r="M7" s="148"/>
      <c r="N7" s="148">
        <v>4</v>
      </c>
      <c r="O7" s="148">
        <v>0.65</v>
      </c>
      <c r="P7" s="148">
        <v>0.65</v>
      </c>
      <c r="Q7" s="150">
        <f t="shared" si="0"/>
        <v>0.65</v>
      </c>
      <c r="R7" s="148">
        <v>17.399999999999999</v>
      </c>
      <c r="S7" s="148">
        <v>93</v>
      </c>
      <c r="T7" s="151">
        <f t="shared" si="1"/>
        <v>36</v>
      </c>
      <c r="U7" s="148">
        <v>498</v>
      </c>
      <c r="V7" s="152">
        <f t="shared" si="2"/>
        <v>4482</v>
      </c>
      <c r="W7" s="148">
        <v>3</v>
      </c>
      <c r="X7" s="148" t="s">
        <v>39</v>
      </c>
      <c r="Y7" s="148" t="s">
        <v>69</v>
      </c>
      <c r="Z7" s="148" t="s">
        <v>84</v>
      </c>
      <c r="AA7" s="148" t="s">
        <v>90</v>
      </c>
      <c r="AB7" s="148" t="s">
        <v>195</v>
      </c>
      <c r="AE7" s="159" t="s">
        <v>61</v>
      </c>
      <c r="AG7" s="154" t="s">
        <v>302</v>
      </c>
      <c r="AH7" s="154" t="s">
        <v>287</v>
      </c>
      <c r="AL7" s="158" t="s">
        <v>303</v>
      </c>
      <c r="AP7" s="160" t="s">
        <v>58</v>
      </c>
      <c r="AR7" s="161" t="s">
        <v>304</v>
      </c>
      <c r="AV7" s="160" t="s">
        <v>64</v>
      </c>
      <c r="AX7" s="162">
        <v>109</v>
      </c>
      <c r="AY7" s="163">
        <v>33</v>
      </c>
      <c r="AZ7" s="163">
        <v>113</v>
      </c>
      <c r="BA7" s="164">
        <v>30</v>
      </c>
    </row>
    <row r="8" spans="1:53" s="158" customFormat="1" x14ac:dyDescent="0.15">
      <c r="A8" s="148" t="s">
        <v>51</v>
      </c>
      <c r="B8" s="148" t="s">
        <v>193</v>
      </c>
      <c r="C8" s="148">
        <v>2018</v>
      </c>
      <c r="D8" s="149" t="s">
        <v>284</v>
      </c>
      <c r="E8" s="148" t="s">
        <v>289</v>
      </c>
      <c r="F8" s="148" t="s">
        <v>290</v>
      </c>
      <c r="G8" s="148" t="s">
        <v>36</v>
      </c>
      <c r="H8" s="148" t="s">
        <v>155</v>
      </c>
      <c r="I8" s="148" t="s">
        <v>153</v>
      </c>
      <c r="J8" s="148" t="s">
        <v>38</v>
      </c>
      <c r="K8" s="148" t="s">
        <v>154</v>
      </c>
      <c r="L8" s="148">
        <v>1</v>
      </c>
      <c r="M8" s="148"/>
      <c r="N8" s="148">
        <v>1</v>
      </c>
      <c r="O8" s="148">
        <v>0.7</v>
      </c>
      <c r="P8" s="148">
        <v>0.65</v>
      </c>
      <c r="Q8" s="150">
        <f t="shared" si="0"/>
        <v>0.67500000000000004</v>
      </c>
      <c r="R8" s="148">
        <v>15.9</v>
      </c>
      <c r="S8" s="148">
        <v>132</v>
      </c>
      <c r="T8" s="151">
        <f t="shared" si="1"/>
        <v>25</v>
      </c>
      <c r="U8" s="148">
        <v>138</v>
      </c>
      <c r="V8" s="152">
        <f t="shared" si="2"/>
        <v>3450</v>
      </c>
      <c r="W8" s="148">
        <v>7</v>
      </c>
      <c r="X8" s="148" t="s">
        <v>46</v>
      </c>
      <c r="Y8" s="148" t="s">
        <v>84</v>
      </c>
      <c r="Z8" s="148" t="s">
        <v>90</v>
      </c>
      <c r="AA8" s="148" t="s">
        <v>69</v>
      </c>
      <c r="AB8" s="148" t="s">
        <v>195</v>
      </c>
      <c r="AE8" s="159" t="s">
        <v>59</v>
      </c>
      <c r="AG8" s="154" t="s">
        <v>305</v>
      </c>
      <c r="AH8" s="154" t="s">
        <v>306</v>
      </c>
      <c r="AL8" s="158" t="s">
        <v>163</v>
      </c>
      <c r="AP8" s="160" t="s">
        <v>62</v>
      </c>
      <c r="AR8" s="161" t="s">
        <v>81</v>
      </c>
      <c r="AV8" s="160" t="s">
        <v>97</v>
      </c>
      <c r="AX8" s="162">
        <v>119</v>
      </c>
      <c r="AY8" s="163">
        <v>30</v>
      </c>
      <c r="AZ8" s="163">
        <v>121</v>
      </c>
      <c r="BA8" s="164">
        <v>27</v>
      </c>
    </row>
    <row r="9" spans="1:53" s="158" customFormat="1" x14ac:dyDescent="0.15">
      <c r="A9" s="148" t="s">
        <v>51</v>
      </c>
      <c r="B9" s="148" t="s">
        <v>193</v>
      </c>
      <c r="C9" s="148">
        <v>2018</v>
      </c>
      <c r="D9" s="149" t="s">
        <v>284</v>
      </c>
      <c r="E9" s="148" t="s">
        <v>289</v>
      </c>
      <c r="F9" s="148" t="s">
        <v>290</v>
      </c>
      <c r="G9" s="148" t="s">
        <v>36</v>
      </c>
      <c r="H9" s="148" t="s">
        <v>155</v>
      </c>
      <c r="I9" s="148" t="s">
        <v>153</v>
      </c>
      <c r="J9" s="148" t="s">
        <v>38</v>
      </c>
      <c r="K9" s="148" t="s">
        <v>154</v>
      </c>
      <c r="L9" s="148">
        <v>2</v>
      </c>
      <c r="M9" s="148"/>
      <c r="N9" s="148">
        <v>1</v>
      </c>
      <c r="O9" s="148">
        <v>0.65</v>
      </c>
      <c r="P9" s="148">
        <v>0.75</v>
      </c>
      <c r="Q9" s="150">
        <f t="shared" si="0"/>
        <v>0.7</v>
      </c>
      <c r="R9" s="148">
        <v>16.3</v>
      </c>
      <c r="S9" s="148">
        <v>134</v>
      </c>
      <c r="T9" s="151">
        <f t="shared" si="1"/>
        <v>25</v>
      </c>
      <c r="U9" s="148">
        <v>138</v>
      </c>
      <c r="V9" s="152">
        <f t="shared" si="2"/>
        <v>3450</v>
      </c>
      <c r="W9" s="148">
        <v>7</v>
      </c>
      <c r="X9" s="148" t="s">
        <v>46</v>
      </c>
      <c r="Y9" s="148" t="s">
        <v>84</v>
      </c>
      <c r="Z9" s="148" t="s">
        <v>90</v>
      </c>
      <c r="AA9" s="148" t="s">
        <v>69</v>
      </c>
      <c r="AB9" s="148" t="s">
        <v>195</v>
      </c>
      <c r="AE9" s="159" t="s">
        <v>307</v>
      </c>
      <c r="AG9" s="154" t="s">
        <v>308</v>
      </c>
      <c r="AH9" s="154" t="s">
        <v>286</v>
      </c>
      <c r="AL9" s="167"/>
      <c r="AP9" s="160" t="s">
        <v>95</v>
      </c>
      <c r="AR9" s="161" t="s">
        <v>309</v>
      </c>
      <c r="AV9" s="160" t="s">
        <v>102</v>
      </c>
      <c r="AX9" s="162">
        <v>128</v>
      </c>
      <c r="AY9" s="163">
        <v>27</v>
      </c>
      <c r="AZ9" s="163">
        <v>129</v>
      </c>
      <c r="BA9" s="164">
        <v>25</v>
      </c>
    </row>
    <row r="10" spans="1:53" s="158" customFormat="1" x14ac:dyDescent="0.15">
      <c r="A10" s="148" t="s">
        <v>51</v>
      </c>
      <c r="B10" s="148" t="s">
        <v>193</v>
      </c>
      <c r="C10" s="148">
        <v>2018</v>
      </c>
      <c r="D10" s="149" t="s">
        <v>284</v>
      </c>
      <c r="E10" s="148" t="s">
        <v>289</v>
      </c>
      <c r="F10" s="148" t="s">
        <v>290</v>
      </c>
      <c r="G10" s="148" t="s">
        <v>36</v>
      </c>
      <c r="H10" s="148" t="s">
        <v>155</v>
      </c>
      <c r="I10" s="148" t="s">
        <v>153</v>
      </c>
      <c r="J10" s="148" t="s">
        <v>38</v>
      </c>
      <c r="K10" s="148" t="s">
        <v>154</v>
      </c>
      <c r="L10" s="148">
        <v>3</v>
      </c>
      <c r="M10" s="148"/>
      <c r="N10" s="148">
        <v>1</v>
      </c>
      <c r="O10" s="148">
        <v>0.7</v>
      </c>
      <c r="P10" s="148">
        <v>0.6</v>
      </c>
      <c r="Q10" s="150">
        <f t="shared" si="0"/>
        <v>0.64999999999999991</v>
      </c>
      <c r="R10" s="148">
        <v>16.100000000000001</v>
      </c>
      <c r="S10" s="148">
        <v>130</v>
      </c>
      <c r="T10" s="151">
        <f t="shared" si="1"/>
        <v>25</v>
      </c>
      <c r="U10" s="148">
        <v>138</v>
      </c>
      <c r="V10" s="152">
        <f t="shared" si="2"/>
        <v>3450</v>
      </c>
      <c r="W10" s="148">
        <v>7</v>
      </c>
      <c r="X10" s="148" t="s">
        <v>46</v>
      </c>
      <c r="Y10" s="148" t="s">
        <v>84</v>
      </c>
      <c r="Z10" s="148" t="s">
        <v>90</v>
      </c>
      <c r="AA10" s="148" t="s">
        <v>69</v>
      </c>
      <c r="AB10" s="148" t="s">
        <v>195</v>
      </c>
      <c r="AE10" s="159" t="s">
        <v>310</v>
      </c>
      <c r="AG10" s="154" t="s">
        <v>285</v>
      </c>
      <c r="AH10" s="160" t="s">
        <v>286</v>
      </c>
      <c r="AP10" s="160" t="s">
        <v>100</v>
      </c>
      <c r="AR10" s="161" t="s">
        <v>311</v>
      </c>
      <c r="AV10" s="160" t="s">
        <v>106</v>
      </c>
      <c r="AX10" s="162">
        <v>138</v>
      </c>
      <c r="AY10" s="163">
        <v>25</v>
      </c>
      <c r="AZ10" s="163">
        <v>138</v>
      </c>
      <c r="BA10" s="164">
        <v>22</v>
      </c>
    </row>
    <row r="11" spans="1:53" s="158" customFormat="1" x14ac:dyDescent="0.15">
      <c r="A11" s="148" t="s">
        <v>51</v>
      </c>
      <c r="B11" s="148" t="s">
        <v>193</v>
      </c>
      <c r="C11" s="148">
        <v>2018</v>
      </c>
      <c r="D11" s="149" t="s">
        <v>284</v>
      </c>
      <c r="E11" s="148" t="s">
        <v>289</v>
      </c>
      <c r="F11" s="148" t="s">
        <v>290</v>
      </c>
      <c r="G11" s="148" t="s">
        <v>36</v>
      </c>
      <c r="H11" s="148" t="s">
        <v>174</v>
      </c>
      <c r="I11" s="148" t="s">
        <v>153</v>
      </c>
      <c r="J11" s="148" t="s">
        <v>38</v>
      </c>
      <c r="K11" s="148" t="s">
        <v>54</v>
      </c>
      <c r="L11" s="148">
        <v>1</v>
      </c>
      <c r="M11" s="148"/>
      <c r="N11" s="148">
        <v>4</v>
      </c>
      <c r="O11" s="148">
        <v>0.8</v>
      </c>
      <c r="P11" s="148">
        <v>0.7</v>
      </c>
      <c r="Q11" s="150">
        <f t="shared" si="0"/>
        <v>0.75</v>
      </c>
      <c r="R11" s="148">
        <v>15.4</v>
      </c>
      <c r="S11" s="148">
        <v>81</v>
      </c>
      <c r="T11" s="151">
        <f t="shared" si="1"/>
        <v>42</v>
      </c>
      <c r="U11" s="148">
        <v>498</v>
      </c>
      <c r="V11" s="152">
        <f t="shared" si="2"/>
        <v>5229</v>
      </c>
      <c r="W11" s="148">
        <v>7</v>
      </c>
      <c r="X11" s="148" t="s">
        <v>46</v>
      </c>
      <c r="Y11" s="148" t="s">
        <v>84</v>
      </c>
      <c r="Z11" s="148" t="s">
        <v>90</v>
      </c>
      <c r="AA11" s="148" t="s">
        <v>69</v>
      </c>
      <c r="AB11" s="148" t="s">
        <v>195</v>
      </c>
      <c r="AE11" s="159" t="s">
        <v>68</v>
      </c>
      <c r="AG11" s="154" t="s">
        <v>139</v>
      </c>
      <c r="AH11" s="160" t="s">
        <v>312</v>
      </c>
      <c r="AP11" s="160" t="s">
        <v>104</v>
      </c>
      <c r="AR11" s="161" t="s">
        <v>313</v>
      </c>
      <c r="AV11" s="160" t="s">
        <v>69</v>
      </c>
      <c r="AX11" s="162">
        <v>151</v>
      </c>
      <c r="AY11" s="163">
        <v>22</v>
      </c>
      <c r="AZ11" s="163">
        <v>152</v>
      </c>
      <c r="BA11" s="164">
        <v>18</v>
      </c>
    </row>
    <row r="12" spans="1:53" s="158" customFormat="1" x14ac:dyDescent="0.15">
      <c r="A12" s="148" t="s">
        <v>51</v>
      </c>
      <c r="B12" s="148" t="s">
        <v>193</v>
      </c>
      <c r="C12" s="148">
        <v>2018</v>
      </c>
      <c r="D12" s="149" t="s">
        <v>284</v>
      </c>
      <c r="E12" s="148" t="s">
        <v>289</v>
      </c>
      <c r="F12" s="148" t="s">
        <v>290</v>
      </c>
      <c r="G12" s="148" t="s">
        <v>36</v>
      </c>
      <c r="H12" s="148" t="s">
        <v>174</v>
      </c>
      <c r="I12" s="148" t="s">
        <v>153</v>
      </c>
      <c r="J12" s="148" t="s">
        <v>38</v>
      </c>
      <c r="K12" s="148" t="s">
        <v>54</v>
      </c>
      <c r="L12" s="148">
        <v>2</v>
      </c>
      <c r="M12" s="148"/>
      <c r="N12" s="148">
        <v>4</v>
      </c>
      <c r="O12" s="148">
        <v>0.75</v>
      </c>
      <c r="P12" s="148">
        <v>0.9</v>
      </c>
      <c r="Q12" s="150">
        <f t="shared" si="0"/>
        <v>0.82499999999999996</v>
      </c>
      <c r="R12" s="148">
        <v>15</v>
      </c>
      <c r="S12" s="148">
        <v>74</v>
      </c>
      <c r="T12" s="151">
        <f t="shared" si="1"/>
        <v>46</v>
      </c>
      <c r="U12" s="148">
        <v>498</v>
      </c>
      <c r="V12" s="152">
        <f t="shared" si="2"/>
        <v>5727</v>
      </c>
      <c r="W12" s="148">
        <v>7</v>
      </c>
      <c r="X12" s="148" t="s">
        <v>46</v>
      </c>
      <c r="Y12" s="148" t="s">
        <v>84</v>
      </c>
      <c r="Z12" s="148" t="s">
        <v>90</v>
      </c>
      <c r="AA12" s="148" t="s">
        <v>69</v>
      </c>
      <c r="AB12" s="148" t="s">
        <v>195</v>
      </c>
      <c r="AE12" s="159" t="s">
        <v>314</v>
      </c>
      <c r="AG12" s="160"/>
      <c r="AH12" s="160"/>
      <c r="AP12" s="160" t="s">
        <v>67</v>
      </c>
      <c r="AR12" s="161" t="s">
        <v>315</v>
      </c>
      <c r="AV12" s="160" t="s">
        <v>72</v>
      </c>
      <c r="AX12" s="168">
        <v>180</v>
      </c>
      <c r="AY12" s="169">
        <v>18</v>
      </c>
      <c r="AZ12" s="169">
        <v>181</v>
      </c>
      <c r="BA12" s="170">
        <v>16</v>
      </c>
    </row>
    <row r="13" spans="1:53" s="158" customFormat="1" x14ac:dyDescent="0.15">
      <c r="A13" s="148" t="s">
        <v>51</v>
      </c>
      <c r="B13" s="148" t="s">
        <v>193</v>
      </c>
      <c r="C13" s="148">
        <v>2018</v>
      </c>
      <c r="D13" s="149" t="s">
        <v>284</v>
      </c>
      <c r="E13" s="148" t="s">
        <v>289</v>
      </c>
      <c r="F13" s="148" t="s">
        <v>290</v>
      </c>
      <c r="G13" s="148" t="s">
        <v>36</v>
      </c>
      <c r="H13" s="148" t="s">
        <v>174</v>
      </c>
      <c r="I13" s="148" t="s">
        <v>153</v>
      </c>
      <c r="J13" s="148" t="s">
        <v>38</v>
      </c>
      <c r="K13" s="148" t="s">
        <v>54</v>
      </c>
      <c r="L13" s="148">
        <v>3</v>
      </c>
      <c r="M13" s="148"/>
      <c r="N13" s="148">
        <v>4</v>
      </c>
      <c r="O13" s="148">
        <v>0.8</v>
      </c>
      <c r="P13" s="148">
        <v>0.75</v>
      </c>
      <c r="Q13" s="150">
        <f t="shared" si="0"/>
        <v>0.77500000000000002</v>
      </c>
      <c r="R13" s="148">
        <v>15.7</v>
      </c>
      <c r="S13" s="148">
        <v>82</v>
      </c>
      <c r="T13" s="151">
        <f t="shared" si="1"/>
        <v>42</v>
      </c>
      <c r="U13" s="148">
        <v>498</v>
      </c>
      <c r="V13" s="152">
        <f t="shared" si="2"/>
        <v>5229</v>
      </c>
      <c r="W13" s="148">
        <v>7</v>
      </c>
      <c r="X13" s="148" t="s">
        <v>46</v>
      </c>
      <c r="Y13" s="148" t="s">
        <v>84</v>
      </c>
      <c r="Z13" s="148" t="s">
        <v>90</v>
      </c>
      <c r="AA13" s="148" t="s">
        <v>69</v>
      </c>
      <c r="AB13" s="148" t="s">
        <v>195</v>
      </c>
      <c r="AE13" s="159" t="s">
        <v>316</v>
      </c>
      <c r="AG13" s="160"/>
      <c r="AH13" s="160"/>
      <c r="AP13" s="160" t="s">
        <v>71</v>
      </c>
      <c r="AR13" s="161" t="s">
        <v>310</v>
      </c>
      <c r="AV13" s="160" t="s">
        <v>75</v>
      </c>
    </row>
    <row r="14" spans="1:53" s="158" customFormat="1" x14ac:dyDescent="0.15">
      <c r="A14" s="148" t="s">
        <v>51</v>
      </c>
      <c r="B14" s="148" t="s">
        <v>193</v>
      </c>
      <c r="C14" s="148">
        <v>2018</v>
      </c>
      <c r="D14" s="149" t="s">
        <v>284</v>
      </c>
      <c r="E14" s="148" t="s">
        <v>139</v>
      </c>
      <c r="F14" s="148" t="s">
        <v>312</v>
      </c>
      <c r="G14" s="148" t="s">
        <v>42</v>
      </c>
      <c r="H14" s="148" t="s">
        <v>155</v>
      </c>
      <c r="I14" s="148" t="s">
        <v>153</v>
      </c>
      <c r="J14" s="148" t="s">
        <v>38</v>
      </c>
      <c r="K14" s="148" t="s">
        <v>154</v>
      </c>
      <c r="L14" s="148">
        <v>1</v>
      </c>
      <c r="M14" s="148"/>
      <c r="N14" s="148">
        <v>1</v>
      </c>
      <c r="O14" s="148">
        <v>0.6</v>
      </c>
      <c r="P14" s="148">
        <v>0.6</v>
      </c>
      <c r="Q14" s="150">
        <f t="shared" si="0"/>
        <v>0.6</v>
      </c>
      <c r="R14" s="148">
        <v>15.3</v>
      </c>
      <c r="S14" s="148">
        <v>106</v>
      </c>
      <c r="T14" s="151">
        <f t="shared" si="1"/>
        <v>33</v>
      </c>
      <c r="U14" s="148">
        <v>79</v>
      </c>
      <c r="V14" s="152">
        <f t="shared" si="2"/>
        <v>2607</v>
      </c>
      <c r="W14" s="148">
        <v>11</v>
      </c>
      <c r="X14" s="148" t="s">
        <v>46</v>
      </c>
      <c r="Y14" s="148" t="s">
        <v>84</v>
      </c>
      <c r="Z14" s="148" t="s">
        <v>69</v>
      </c>
      <c r="AA14" s="148" t="s">
        <v>90</v>
      </c>
      <c r="AB14" s="148" t="s">
        <v>195</v>
      </c>
      <c r="AE14" s="159" t="s">
        <v>96</v>
      </c>
      <c r="AG14" s="160"/>
      <c r="AH14" s="160"/>
      <c r="AP14" s="160" t="s">
        <v>74</v>
      </c>
      <c r="AR14" s="161" t="s">
        <v>317</v>
      </c>
      <c r="AV14" s="160" t="s">
        <v>78</v>
      </c>
    </row>
    <row r="15" spans="1:53" s="158" customFormat="1" x14ac:dyDescent="0.15">
      <c r="A15" s="148" t="s">
        <v>51</v>
      </c>
      <c r="B15" s="148" t="s">
        <v>193</v>
      </c>
      <c r="C15" s="148">
        <v>2018</v>
      </c>
      <c r="D15" s="149" t="s">
        <v>284</v>
      </c>
      <c r="E15" s="148" t="s">
        <v>139</v>
      </c>
      <c r="F15" s="148" t="s">
        <v>312</v>
      </c>
      <c r="G15" s="148" t="s">
        <v>42</v>
      </c>
      <c r="H15" s="148" t="s">
        <v>155</v>
      </c>
      <c r="I15" s="148" t="s">
        <v>153</v>
      </c>
      <c r="J15" s="148" t="s">
        <v>38</v>
      </c>
      <c r="K15" s="148" t="s">
        <v>154</v>
      </c>
      <c r="L15" s="148">
        <v>2</v>
      </c>
      <c r="M15" s="148"/>
      <c r="N15" s="148">
        <v>1</v>
      </c>
      <c r="O15" s="148">
        <v>0.7</v>
      </c>
      <c r="P15" s="148">
        <v>0.55000000000000004</v>
      </c>
      <c r="Q15" s="150">
        <f t="shared" si="0"/>
        <v>0.625</v>
      </c>
      <c r="R15" s="148">
        <v>15.6</v>
      </c>
      <c r="S15" s="148">
        <v>114</v>
      </c>
      <c r="T15" s="151">
        <f t="shared" si="1"/>
        <v>30</v>
      </c>
      <c r="U15" s="148">
        <v>79</v>
      </c>
      <c r="V15" s="152">
        <f t="shared" si="2"/>
        <v>2370</v>
      </c>
      <c r="W15" s="148">
        <v>11</v>
      </c>
      <c r="X15" s="148" t="s">
        <v>46</v>
      </c>
      <c r="Y15" s="148" t="s">
        <v>84</v>
      </c>
      <c r="Z15" s="148" t="s">
        <v>69</v>
      </c>
      <c r="AA15" s="148" t="s">
        <v>90</v>
      </c>
      <c r="AB15" s="148" t="s">
        <v>195</v>
      </c>
      <c r="AE15" s="159" t="s">
        <v>318</v>
      </c>
      <c r="AG15" s="160"/>
      <c r="AH15" s="160"/>
      <c r="AP15" s="160" t="s">
        <v>77</v>
      </c>
      <c r="AR15" s="161" t="s">
        <v>80</v>
      </c>
      <c r="AV15" s="160" t="s">
        <v>107</v>
      </c>
    </row>
    <row r="16" spans="1:53" s="158" customFormat="1" x14ac:dyDescent="0.15">
      <c r="A16" s="148" t="s">
        <v>51</v>
      </c>
      <c r="B16" s="148" t="s">
        <v>193</v>
      </c>
      <c r="C16" s="148">
        <v>2018</v>
      </c>
      <c r="D16" s="149" t="s">
        <v>284</v>
      </c>
      <c r="E16" s="148" t="s">
        <v>139</v>
      </c>
      <c r="F16" s="148" t="s">
        <v>312</v>
      </c>
      <c r="G16" s="148" t="s">
        <v>42</v>
      </c>
      <c r="H16" s="148" t="s">
        <v>155</v>
      </c>
      <c r="I16" s="148" t="s">
        <v>153</v>
      </c>
      <c r="J16" s="148" t="s">
        <v>38</v>
      </c>
      <c r="K16" s="148" t="s">
        <v>154</v>
      </c>
      <c r="L16" s="148">
        <v>3</v>
      </c>
      <c r="M16" s="148"/>
      <c r="N16" s="148">
        <v>1</v>
      </c>
      <c r="O16" s="148">
        <v>0.65</v>
      </c>
      <c r="P16" s="148">
        <v>0.55000000000000004</v>
      </c>
      <c r="Q16" s="150">
        <f t="shared" si="0"/>
        <v>0.60000000000000009</v>
      </c>
      <c r="R16" s="148">
        <v>15.8</v>
      </c>
      <c r="S16" s="148">
        <v>112</v>
      </c>
      <c r="T16" s="151">
        <f t="shared" si="1"/>
        <v>33</v>
      </c>
      <c r="U16" s="148">
        <v>79</v>
      </c>
      <c r="V16" s="152">
        <f t="shared" si="2"/>
        <v>2607</v>
      </c>
      <c r="W16" s="148">
        <v>11</v>
      </c>
      <c r="X16" s="148" t="s">
        <v>46</v>
      </c>
      <c r="Y16" s="148" t="s">
        <v>84</v>
      </c>
      <c r="Z16" s="148" t="s">
        <v>69</v>
      </c>
      <c r="AA16" s="148" t="s">
        <v>90</v>
      </c>
      <c r="AB16" s="148" t="s">
        <v>195</v>
      </c>
      <c r="AE16" s="159" t="s">
        <v>319</v>
      </c>
      <c r="AG16" s="166"/>
      <c r="AH16" s="166"/>
      <c r="AP16" s="160" t="s">
        <v>80</v>
      </c>
      <c r="AR16" s="161" t="s">
        <v>63</v>
      </c>
      <c r="AV16" s="160" t="s">
        <v>84</v>
      </c>
    </row>
    <row r="17" spans="1:48" s="158" customFormat="1" x14ac:dyDescent="0.15">
      <c r="A17" s="148" t="s">
        <v>51</v>
      </c>
      <c r="B17" s="148" t="s">
        <v>193</v>
      </c>
      <c r="C17" s="148">
        <v>2018</v>
      </c>
      <c r="D17" s="149" t="s">
        <v>284</v>
      </c>
      <c r="E17" s="148" t="s">
        <v>139</v>
      </c>
      <c r="F17" s="148" t="s">
        <v>312</v>
      </c>
      <c r="G17" s="148" t="s">
        <v>42</v>
      </c>
      <c r="H17" s="148" t="s">
        <v>291</v>
      </c>
      <c r="I17" s="148" t="s">
        <v>153</v>
      </c>
      <c r="J17" s="148" t="s">
        <v>80</v>
      </c>
      <c r="K17" s="148" t="s">
        <v>63</v>
      </c>
      <c r="L17" s="148">
        <v>1</v>
      </c>
      <c r="M17" s="148"/>
      <c r="N17" s="148">
        <v>5</v>
      </c>
      <c r="O17" s="148">
        <v>0.6</v>
      </c>
      <c r="P17" s="148">
        <v>0.6</v>
      </c>
      <c r="Q17" s="150">
        <f t="shared" si="0"/>
        <v>0.6</v>
      </c>
      <c r="R17" s="148">
        <v>16.2</v>
      </c>
      <c r="S17" s="148">
        <v>87</v>
      </c>
      <c r="T17" s="151">
        <f t="shared" si="1"/>
        <v>36</v>
      </c>
      <c r="U17" s="148">
        <v>398</v>
      </c>
      <c r="V17" s="152">
        <f t="shared" si="2"/>
        <v>2865.6</v>
      </c>
      <c r="W17" s="148">
        <v>11</v>
      </c>
      <c r="X17" s="148" t="s">
        <v>46</v>
      </c>
      <c r="Y17" s="148" t="s">
        <v>84</v>
      </c>
      <c r="Z17" s="148" t="s">
        <v>69</v>
      </c>
      <c r="AA17" s="148" t="s">
        <v>90</v>
      </c>
      <c r="AB17" s="148" t="s">
        <v>195</v>
      </c>
      <c r="AE17" s="159" t="s">
        <v>320</v>
      </c>
      <c r="AP17" s="171" t="s">
        <v>321</v>
      </c>
      <c r="AR17" s="161" t="s">
        <v>96</v>
      </c>
      <c r="AV17" s="160" t="s">
        <v>86</v>
      </c>
    </row>
    <row r="18" spans="1:48" s="158" customFormat="1" x14ac:dyDescent="0.15">
      <c r="A18" s="148" t="s">
        <v>51</v>
      </c>
      <c r="B18" s="148" t="s">
        <v>193</v>
      </c>
      <c r="C18" s="148">
        <v>2018</v>
      </c>
      <c r="D18" s="149" t="s">
        <v>284</v>
      </c>
      <c r="E18" s="148" t="s">
        <v>139</v>
      </c>
      <c r="F18" s="148" t="s">
        <v>312</v>
      </c>
      <c r="G18" s="148" t="s">
        <v>42</v>
      </c>
      <c r="H18" s="148" t="s">
        <v>291</v>
      </c>
      <c r="I18" s="148" t="s">
        <v>153</v>
      </c>
      <c r="J18" s="148" t="s">
        <v>80</v>
      </c>
      <c r="K18" s="148" t="s">
        <v>63</v>
      </c>
      <c r="L18" s="148">
        <v>2</v>
      </c>
      <c r="M18" s="148"/>
      <c r="N18" s="148">
        <v>5</v>
      </c>
      <c r="O18" s="148">
        <v>0.65</v>
      </c>
      <c r="P18" s="148">
        <v>0.65</v>
      </c>
      <c r="Q18" s="150">
        <f t="shared" si="0"/>
        <v>0.65</v>
      </c>
      <c r="R18" s="148">
        <v>16.8</v>
      </c>
      <c r="S18" s="148">
        <v>88</v>
      </c>
      <c r="T18" s="151">
        <f t="shared" si="1"/>
        <v>36</v>
      </c>
      <c r="U18" s="148">
        <v>398</v>
      </c>
      <c r="V18" s="152">
        <f t="shared" si="2"/>
        <v>2865.6</v>
      </c>
      <c r="W18" s="148">
        <v>11</v>
      </c>
      <c r="X18" s="148" t="s">
        <v>46</v>
      </c>
      <c r="Y18" s="148" t="s">
        <v>84</v>
      </c>
      <c r="Z18" s="148" t="s">
        <v>69</v>
      </c>
      <c r="AA18" s="148" t="s">
        <v>90</v>
      </c>
      <c r="AB18" s="148" t="s">
        <v>195</v>
      </c>
      <c r="AE18" s="159" t="s">
        <v>313</v>
      </c>
      <c r="AP18" s="171" t="s">
        <v>322</v>
      </c>
      <c r="AR18" s="161" t="s">
        <v>101</v>
      </c>
      <c r="AV18" s="160" t="s">
        <v>88</v>
      </c>
    </row>
    <row r="19" spans="1:48" s="158" customFormat="1" x14ac:dyDescent="0.15">
      <c r="A19" s="148" t="s">
        <v>51</v>
      </c>
      <c r="B19" s="148" t="s">
        <v>193</v>
      </c>
      <c r="C19" s="148">
        <v>2018</v>
      </c>
      <c r="D19" s="149" t="s">
        <v>284</v>
      </c>
      <c r="E19" s="148" t="s">
        <v>139</v>
      </c>
      <c r="F19" s="148" t="s">
        <v>312</v>
      </c>
      <c r="G19" s="148" t="s">
        <v>42</v>
      </c>
      <c r="H19" s="148" t="s">
        <v>291</v>
      </c>
      <c r="I19" s="148" t="s">
        <v>153</v>
      </c>
      <c r="J19" s="148" t="s">
        <v>80</v>
      </c>
      <c r="K19" s="148" t="s">
        <v>63</v>
      </c>
      <c r="L19" s="148">
        <v>3</v>
      </c>
      <c r="M19" s="148"/>
      <c r="N19" s="148">
        <v>5</v>
      </c>
      <c r="O19" s="148">
        <v>0.6</v>
      </c>
      <c r="P19" s="148">
        <v>0.5</v>
      </c>
      <c r="Q19" s="150">
        <f t="shared" si="0"/>
        <v>0.55000000000000004</v>
      </c>
      <c r="R19" s="148">
        <v>15.9</v>
      </c>
      <c r="S19" s="148">
        <v>94</v>
      </c>
      <c r="T19" s="151">
        <f t="shared" si="1"/>
        <v>36</v>
      </c>
      <c r="U19" s="148">
        <v>398</v>
      </c>
      <c r="V19" s="152">
        <f t="shared" si="2"/>
        <v>2865.6</v>
      </c>
      <c r="W19" s="148">
        <v>11</v>
      </c>
      <c r="X19" s="148" t="s">
        <v>46</v>
      </c>
      <c r="Y19" s="148" t="s">
        <v>84</v>
      </c>
      <c r="Z19" s="148" t="s">
        <v>69</v>
      </c>
      <c r="AA19" s="148" t="s">
        <v>90</v>
      </c>
      <c r="AB19" s="148" t="s">
        <v>195</v>
      </c>
      <c r="AE19" s="172" t="s">
        <v>309</v>
      </c>
      <c r="AP19" s="171" t="s">
        <v>323</v>
      </c>
      <c r="AR19" s="161" t="s">
        <v>324</v>
      </c>
      <c r="AV19" s="160" t="s">
        <v>90</v>
      </c>
    </row>
    <row r="20" spans="1:48" s="158" customFormat="1" x14ac:dyDescent="0.15">
      <c r="A20" s="148" t="s">
        <v>51</v>
      </c>
      <c r="B20" s="148" t="s">
        <v>193</v>
      </c>
      <c r="C20" s="148">
        <v>2018</v>
      </c>
      <c r="D20" s="149" t="s">
        <v>284</v>
      </c>
      <c r="E20" s="148" t="s">
        <v>300</v>
      </c>
      <c r="F20" s="148" t="s">
        <v>301</v>
      </c>
      <c r="G20" s="148" t="s">
        <v>36</v>
      </c>
      <c r="H20" s="148" t="s">
        <v>155</v>
      </c>
      <c r="I20" s="148" t="s">
        <v>153</v>
      </c>
      <c r="J20" s="148" t="s">
        <v>38</v>
      </c>
      <c r="K20" s="148" t="s">
        <v>154</v>
      </c>
      <c r="L20" s="148">
        <v>1</v>
      </c>
      <c r="M20" s="148"/>
      <c r="N20" s="148">
        <v>1</v>
      </c>
      <c r="O20" s="148">
        <v>0.75</v>
      </c>
      <c r="P20" s="148">
        <v>0.85</v>
      </c>
      <c r="Q20" s="150">
        <f t="shared" si="0"/>
        <v>0.8</v>
      </c>
      <c r="R20" s="148">
        <v>14.2</v>
      </c>
      <c r="S20" s="148">
        <v>124</v>
      </c>
      <c r="T20" s="151">
        <f t="shared" si="1"/>
        <v>27</v>
      </c>
      <c r="U20" s="148">
        <v>128</v>
      </c>
      <c r="V20" s="152">
        <f t="shared" si="2"/>
        <v>3456</v>
      </c>
      <c r="W20" s="148">
        <v>3</v>
      </c>
      <c r="X20" s="148" t="s">
        <v>39</v>
      </c>
      <c r="Y20" s="148" t="s">
        <v>84</v>
      </c>
      <c r="Z20" s="148" t="s">
        <v>90</v>
      </c>
      <c r="AA20" s="148" t="s">
        <v>69</v>
      </c>
      <c r="AB20" s="148" t="s">
        <v>195</v>
      </c>
      <c r="AE20" s="172"/>
      <c r="AP20" s="171" t="s">
        <v>325</v>
      </c>
      <c r="AR20" s="161" t="s">
        <v>105</v>
      </c>
      <c r="AV20" s="165" t="s">
        <v>326</v>
      </c>
    </row>
    <row r="21" spans="1:48" s="158" customFormat="1" x14ac:dyDescent="0.15">
      <c r="A21" s="148" t="s">
        <v>51</v>
      </c>
      <c r="B21" s="148" t="s">
        <v>193</v>
      </c>
      <c r="C21" s="148">
        <v>2018</v>
      </c>
      <c r="D21" s="149" t="s">
        <v>284</v>
      </c>
      <c r="E21" s="148" t="s">
        <v>300</v>
      </c>
      <c r="F21" s="148" t="s">
        <v>301</v>
      </c>
      <c r="G21" s="148" t="s">
        <v>36</v>
      </c>
      <c r="H21" s="148" t="s">
        <v>155</v>
      </c>
      <c r="I21" s="148" t="s">
        <v>153</v>
      </c>
      <c r="J21" s="148" t="s">
        <v>38</v>
      </c>
      <c r="K21" s="148" t="s">
        <v>154</v>
      </c>
      <c r="L21" s="148">
        <v>2</v>
      </c>
      <c r="M21" s="148"/>
      <c r="N21" s="148">
        <v>1</v>
      </c>
      <c r="O21" s="148">
        <v>0.7</v>
      </c>
      <c r="P21" s="148">
        <v>0.75</v>
      </c>
      <c r="Q21" s="150">
        <f t="shared" si="0"/>
        <v>0.72499999999999998</v>
      </c>
      <c r="R21" s="148">
        <v>14.5</v>
      </c>
      <c r="S21" s="148">
        <v>126</v>
      </c>
      <c r="T21" s="151">
        <f t="shared" si="1"/>
        <v>27</v>
      </c>
      <c r="U21" s="148">
        <v>128</v>
      </c>
      <c r="V21" s="152">
        <f t="shared" si="2"/>
        <v>3456</v>
      </c>
      <c r="W21" s="148">
        <v>3</v>
      </c>
      <c r="X21" s="148" t="s">
        <v>39</v>
      </c>
      <c r="Y21" s="148" t="s">
        <v>84</v>
      </c>
      <c r="Z21" s="148" t="s">
        <v>90</v>
      </c>
      <c r="AA21" s="148" t="s">
        <v>69</v>
      </c>
      <c r="AB21" s="148" t="s">
        <v>195</v>
      </c>
      <c r="AE21" s="166"/>
      <c r="AP21" s="171" t="s">
        <v>327</v>
      </c>
      <c r="AR21" s="161" t="s">
        <v>68</v>
      </c>
      <c r="AV21" s="165" t="s">
        <v>328</v>
      </c>
    </row>
    <row r="22" spans="1:48" s="158" customFormat="1" x14ac:dyDescent="0.15">
      <c r="A22" s="148" t="s">
        <v>51</v>
      </c>
      <c r="B22" s="148" t="s">
        <v>193</v>
      </c>
      <c r="C22" s="148">
        <v>2018</v>
      </c>
      <c r="D22" s="149" t="s">
        <v>284</v>
      </c>
      <c r="E22" s="148" t="s">
        <v>300</v>
      </c>
      <c r="F22" s="148" t="s">
        <v>301</v>
      </c>
      <c r="G22" s="148" t="s">
        <v>36</v>
      </c>
      <c r="H22" s="148" t="s">
        <v>155</v>
      </c>
      <c r="I22" s="148" t="s">
        <v>153</v>
      </c>
      <c r="J22" s="148" t="s">
        <v>38</v>
      </c>
      <c r="K22" s="148" t="s">
        <v>154</v>
      </c>
      <c r="L22" s="148">
        <v>3</v>
      </c>
      <c r="M22" s="148"/>
      <c r="N22" s="148">
        <v>1</v>
      </c>
      <c r="O22" s="148">
        <v>0.8</v>
      </c>
      <c r="P22" s="148">
        <v>0.9</v>
      </c>
      <c r="Q22" s="150">
        <f t="shared" si="0"/>
        <v>0.85000000000000009</v>
      </c>
      <c r="R22" s="148">
        <v>13.5</v>
      </c>
      <c r="S22" s="148">
        <v>118</v>
      </c>
      <c r="T22" s="151">
        <f t="shared" si="1"/>
        <v>30</v>
      </c>
      <c r="U22" s="148">
        <v>128</v>
      </c>
      <c r="V22" s="152">
        <f t="shared" si="2"/>
        <v>3840</v>
      </c>
      <c r="W22" s="148">
        <v>3</v>
      </c>
      <c r="X22" s="148" t="s">
        <v>39</v>
      </c>
      <c r="Y22" s="148" t="s">
        <v>84</v>
      </c>
      <c r="Z22" s="148" t="s">
        <v>90</v>
      </c>
      <c r="AA22" s="148" t="s">
        <v>69</v>
      </c>
      <c r="AB22" s="148" t="s">
        <v>195</v>
      </c>
      <c r="AP22" s="171" t="s">
        <v>329</v>
      </c>
      <c r="AR22" s="161" t="s">
        <v>83</v>
      </c>
      <c r="AV22" s="165"/>
    </row>
    <row r="23" spans="1:48" s="158" customFormat="1" x14ac:dyDescent="0.15">
      <c r="A23" s="148" t="s">
        <v>51</v>
      </c>
      <c r="B23" s="148" t="s">
        <v>193</v>
      </c>
      <c r="C23" s="148">
        <v>2018</v>
      </c>
      <c r="D23" s="149" t="s">
        <v>284</v>
      </c>
      <c r="E23" s="148" t="s">
        <v>300</v>
      </c>
      <c r="F23" s="148" t="s">
        <v>301</v>
      </c>
      <c r="G23" s="148" t="s">
        <v>36</v>
      </c>
      <c r="H23" s="148" t="s">
        <v>174</v>
      </c>
      <c r="I23" s="148" t="s">
        <v>153</v>
      </c>
      <c r="J23" s="148" t="s">
        <v>38</v>
      </c>
      <c r="K23" s="148" t="s">
        <v>54</v>
      </c>
      <c r="L23" s="148">
        <v>1</v>
      </c>
      <c r="M23" s="148"/>
      <c r="N23" s="148">
        <v>4</v>
      </c>
      <c r="O23" s="148">
        <v>0.5</v>
      </c>
      <c r="P23" s="148">
        <v>0.65</v>
      </c>
      <c r="Q23" s="150">
        <f t="shared" si="0"/>
        <v>0.57499999999999996</v>
      </c>
      <c r="R23" s="148">
        <v>16.899999999999999</v>
      </c>
      <c r="S23" s="148">
        <v>76</v>
      </c>
      <c r="T23" s="151">
        <f t="shared" si="1"/>
        <v>42</v>
      </c>
      <c r="U23" s="148">
        <v>498</v>
      </c>
      <c r="V23" s="152">
        <f t="shared" si="2"/>
        <v>5229</v>
      </c>
      <c r="W23" s="148">
        <v>3</v>
      </c>
      <c r="X23" s="148" t="s">
        <v>39</v>
      </c>
      <c r="Y23" s="148" t="s">
        <v>84</v>
      </c>
      <c r="Z23" s="148" t="s">
        <v>90</v>
      </c>
      <c r="AA23" s="148" t="s">
        <v>69</v>
      </c>
      <c r="AB23" s="148" t="s">
        <v>195</v>
      </c>
      <c r="AP23" s="171" t="s">
        <v>330</v>
      </c>
      <c r="AR23" s="161" t="s">
        <v>61</v>
      </c>
    </row>
    <row r="24" spans="1:48" s="158" customFormat="1" x14ac:dyDescent="0.15">
      <c r="A24" s="148" t="s">
        <v>51</v>
      </c>
      <c r="B24" s="148" t="s">
        <v>193</v>
      </c>
      <c r="C24" s="148">
        <v>2018</v>
      </c>
      <c r="D24" s="149" t="s">
        <v>284</v>
      </c>
      <c r="E24" s="148" t="s">
        <v>300</v>
      </c>
      <c r="F24" s="148" t="s">
        <v>301</v>
      </c>
      <c r="G24" s="148" t="s">
        <v>36</v>
      </c>
      <c r="H24" s="148" t="s">
        <v>174</v>
      </c>
      <c r="I24" s="148" t="s">
        <v>153</v>
      </c>
      <c r="J24" s="148" t="s">
        <v>38</v>
      </c>
      <c r="K24" s="148" t="s">
        <v>54</v>
      </c>
      <c r="L24" s="148">
        <v>2</v>
      </c>
      <c r="M24" s="148"/>
      <c r="N24" s="148">
        <v>4</v>
      </c>
      <c r="O24" s="148">
        <v>0.6</v>
      </c>
      <c r="P24" s="148">
        <v>0.6</v>
      </c>
      <c r="Q24" s="150">
        <f t="shared" si="0"/>
        <v>0.6</v>
      </c>
      <c r="R24" s="148">
        <v>16.7</v>
      </c>
      <c r="S24" s="148">
        <v>86</v>
      </c>
      <c r="T24" s="151">
        <f t="shared" si="1"/>
        <v>39</v>
      </c>
      <c r="U24" s="148">
        <v>498</v>
      </c>
      <c r="V24" s="152">
        <f t="shared" si="2"/>
        <v>4855.5</v>
      </c>
      <c r="W24" s="148">
        <v>3</v>
      </c>
      <c r="X24" s="148" t="s">
        <v>39</v>
      </c>
      <c r="Y24" s="148" t="s">
        <v>84</v>
      </c>
      <c r="Z24" s="148" t="s">
        <v>90</v>
      </c>
      <c r="AA24" s="148" t="s">
        <v>69</v>
      </c>
      <c r="AB24" s="148" t="s">
        <v>195</v>
      </c>
      <c r="AP24" s="171" t="s">
        <v>331</v>
      </c>
      <c r="AR24" s="161" t="s">
        <v>91</v>
      </c>
    </row>
    <row r="25" spans="1:48" s="158" customFormat="1" x14ac:dyDescent="0.15">
      <c r="A25" s="148" t="s">
        <v>51</v>
      </c>
      <c r="B25" s="148" t="s">
        <v>193</v>
      </c>
      <c r="C25" s="148">
        <v>2018</v>
      </c>
      <c r="D25" s="149" t="s">
        <v>284</v>
      </c>
      <c r="E25" s="148" t="s">
        <v>300</v>
      </c>
      <c r="F25" s="148" t="s">
        <v>301</v>
      </c>
      <c r="G25" s="148" t="s">
        <v>36</v>
      </c>
      <c r="H25" s="148" t="s">
        <v>174</v>
      </c>
      <c r="I25" s="148" t="s">
        <v>153</v>
      </c>
      <c r="J25" s="148" t="s">
        <v>38</v>
      </c>
      <c r="K25" s="148" t="s">
        <v>54</v>
      </c>
      <c r="L25" s="148">
        <v>3</v>
      </c>
      <c r="M25" s="148"/>
      <c r="N25" s="148">
        <v>4</v>
      </c>
      <c r="O25" s="148">
        <v>0.65</v>
      </c>
      <c r="P25" s="148">
        <v>0.6</v>
      </c>
      <c r="Q25" s="150">
        <f t="shared" si="0"/>
        <v>0.625</v>
      </c>
      <c r="R25" s="148">
        <v>17.100000000000001</v>
      </c>
      <c r="S25" s="148">
        <v>96</v>
      </c>
      <c r="T25" s="151">
        <f t="shared" si="1"/>
        <v>39</v>
      </c>
      <c r="U25" s="148">
        <v>498</v>
      </c>
      <c r="V25" s="152">
        <f t="shared" si="2"/>
        <v>4855.5</v>
      </c>
      <c r="W25" s="148">
        <v>3</v>
      </c>
      <c r="X25" s="148" t="s">
        <v>39</v>
      </c>
      <c r="Y25" s="148" t="s">
        <v>84</v>
      </c>
      <c r="Z25" s="148" t="s">
        <v>90</v>
      </c>
      <c r="AA25" s="148" t="s">
        <v>69</v>
      </c>
      <c r="AB25" s="148" t="s">
        <v>195</v>
      </c>
      <c r="AP25" s="171" t="s">
        <v>332</v>
      </c>
      <c r="AR25" s="171" t="s">
        <v>51</v>
      </c>
    </row>
    <row r="26" spans="1:48" s="158" customFormat="1" x14ac:dyDescent="0.15">
      <c r="A26" s="148" t="s">
        <v>51</v>
      </c>
      <c r="B26" s="148" t="s">
        <v>193</v>
      </c>
      <c r="C26" s="148">
        <v>2018</v>
      </c>
      <c r="D26" s="149" t="s">
        <v>284</v>
      </c>
      <c r="E26" s="148" t="s">
        <v>167</v>
      </c>
      <c r="F26" s="148" t="s">
        <v>287</v>
      </c>
      <c r="G26" s="148" t="s">
        <v>42</v>
      </c>
      <c r="H26" s="148" t="s">
        <v>155</v>
      </c>
      <c r="I26" s="148" t="s">
        <v>153</v>
      </c>
      <c r="J26" s="148" t="s">
        <v>38</v>
      </c>
      <c r="K26" s="148" t="s">
        <v>154</v>
      </c>
      <c r="L26" s="148">
        <v>1</v>
      </c>
      <c r="M26" s="148"/>
      <c r="N26" s="148">
        <v>1</v>
      </c>
      <c r="O26" s="148">
        <v>0.8</v>
      </c>
      <c r="P26" s="148">
        <v>0.9</v>
      </c>
      <c r="Q26" s="150">
        <f t="shared" si="0"/>
        <v>0.85000000000000009</v>
      </c>
      <c r="R26" s="148">
        <v>13.9</v>
      </c>
      <c r="S26" s="148">
        <v>126</v>
      </c>
      <c r="T26" s="151">
        <f t="shared" si="1"/>
        <v>27</v>
      </c>
      <c r="U26" s="148">
        <v>87</v>
      </c>
      <c r="V26" s="152">
        <f t="shared" si="2"/>
        <v>2349</v>
      </c>
      <c r="W26" s="148">
        <v>10</v>
      </c>
      <c r="X26" s="148" t="s">
        <v>46</v>
      </c>
      <c r="Y26" s="148" t="s">
        <v>84</v>
      </c>
      <c r="Z26" s="148" t="s">
        <v>69</v>
      </c>
      <c r="AA26" s="148" t="s">
        <v>90</v>
      </c>
      <c r="AB26" s="148" t="s">
        <v>195</v>
      </c>
      <c r="AP26" s="171" t="s">
        <v>334</v>
      </c>
      <c r="AR26" s="158" t="s">
        <v>333</v>
      </c>
    </row>
    <row r="27" spans="1:48" s="158" customFormat="1" x14ac:dyDescent="0.15">
      <c r="A27" s="148" t="s">
        <v>51</v>
      </c>
      <c r="B27" s="148" t="s">
        <v>193</v>
      </c>
      <c r="C27" s="148">
        <v>2018</v>
      </c>
      <c r="D27" s="149" t="s">
        <v>284</v>
      </c>
      <c r="E27" s="148" t="s">
        <v>167</v>
      </c>
      <c r="F27" s="148" t="s">
        <v>287</v>
      </c>
      <c r="G27" s="148" t="s">
        <v>42</v>
      </c>
      <c r="H27" s="148" t="s">
        <v>155</v>
      </c>
      <c r="I27" s="148" t="s">
        <v>153</v>
      </c>
      <c r="J27" s="148" t="s">
        <v>38</v>
      </c>
      <c r="K27" s="148" t="s">
        <v>154</v>
      </c>
      <c r="L27" s="148">
        <v>2</v>
      </c>
      <c r="M27" s="148"/>
      <c r="N27" s="148">
        <v>1</v>
      </c>
      <c r="O27" s="148">
        <v>0.75</v>
      </c>
      <c r="P27" s="148">
        <v>0.85</v>
      </c>
      <c r="Q27" s="150">
        <f t="shared" si="0"/>
        <v>0.8</v>
      </c>
      <c r="R27" s="148">
        <v>14.3</v>
      </c>
      <c r="S27" s="148">
        <v>132</v>
      </c>
      <c r="T27" s="151">
        <f t="shared" si="1"/>
        <v>25</v>
      </c>
      <c r="U27" s="148">
        <v>87</v>
      </c>
      <c r="V27" s="152">
        <f t="shared" si="2"/>
        <v>2175</v>
      </c>
      <c r="W27" s="148">
        <v>10</v>
      </c>
      <c r="X27" s="148" t="s">
        <v>46</v>
      </c>
      <c r="Y27" s="148" t="s">
        <v>84</v>
      </c>
      <c r="Z27" s="148" t="s">
        <v>69</v>
      </c>
      <c r="AA27" s="148" t="s">
        <v>90</v>
      </c>
      <c r="AB27" s="148" t="s">
        <v>195</v>
      </c>
      <c r="AP27" s="171" t="s">
        <v>335</v>
      </c>
    </row>
    <row r="28" spans="1:48" s="158" customFormat="1" x14ac:dyDescent="0.15">
      <c r="A28" s="148" t="s">
        <v>51</v>
      </c>
      <c r="B28" s="148" t="s">
        <v>193</v>
      </c>
      <c r="C28" s="148">
        <v>2018</v>
      </c>
      <c r="D28" s="149" t="s">
        <v>284</v>
      </c>
      <c r="E28" s="148" t="s">
        <v>167</v>
      </c>
      <c r="F28" s="148" t="s">
        <v>287</v>
      </c>
      <c r="G28" s="148" t="s">
        <v>42</v>
      </c>
      <c r="H28" s="148" t="s">
        <v>155</v>
      </c>
      <c r="I28" s="148" t="s">
        <v>153</v>
      </c>
      <c r="J28" s="148" t="s">
        <v>38</v>
      </c>
      <c r="K28" s="148" t="s">
        <v>154</v>
      </c>
      <c r="L28" s="148">
        <v>3</v>
      </c>
      <c r="M28" s="148"/>
      <c r="N28" s="148">
        <v>1</v>
      </c>
      <c r="O28" s="148">
        <v>0.85</v>
      </c>
      <c r="P28" s="148">
        <v>0.8</v>
      </c>
      <c r="Q28" s="150">
        <f t="shared" si="0"/>
        <v>0.82499999999999996</v>
      </c>
      <c r="R28" s="148">
        <v>14.1</v>
      </c>
      <c r="S28" s="148">
        <v>128</v>
      </c>
      <c r="T28" s="151">
        <f t="shared" si="1"/>
        <v>27</v>
      </c>
      <c r="U28" s="148">
        <v>87</v>
      </c>
      <c r="V28" s="152">
        <f t="shared" si="2"/>
        <v>2349</v>
      </c>
      <c r="W28" s="148">
        <v>10</v>
      </c>
      <c r="X28" s="148" t="s">
        <v>46</v>
      </c>
      <c r="Y28" s="148" t="s">
        <v>84</v>
      </c>
      <c r="Z28" s="148" t="s">
        <v>69</v>
      </c>
      <c r="AA28" s="148" t="s">
        <v>90</v>
      </c>
      <c r="AB28" s="148" t="s">
        <v>195</v>
      </c>
    </row>
    <row r="29" spans="1:48" s="158" customFormat="1" x14ac:dyDescent="0.15">
      <c r="A29" s="148" t="s">
        <v>51</v>
      </c>
      <c r="B29" s="148" t="s">
        <v>193</v>
      </c>
      <c r="C29" s="148">
        <v>2018</v>
      </c>
      <c r="D29" s="149" t="s">
        <v>284</v>
      </c>
      <c r="E29" s="148" t="s">
        <v>167</v>
      </c>
      <c r="F29" s="148" t="s">
        <v>287</v>
      </c>
      <c r="G29" s="148" t="s">
        <v>42</v>
      </c>
      <c r="H29" s="148" t="s">
        <v>288</v>
      </c>
      <c r="I29" s="148" t="s">
        <v>153</v>
      </c>
      <c r="J29" s="148" t="s">
        <v>104</v>
      </c>
      <c r="K29" s="148" t="s">
        <v>311</v>
      </c>
      <c r="L29" s="148">
        <v>1</v>
      </c>
      <c r="M29" s="148"/>
      <c r="N29" s="148">
        <v>5</v>
      </c>
      <c r="O29" s="148">
        <v>0.5</v>
      </c>
      <c r="P29" s="148">
        <v>0.5</v>
      </c>
      <c r="Q29" s="150">
        <f t="shared" si="0"/>
        <v>0.5</v>
      </c>
      <c r="R29" s="148">
        <v>11.4</v>
      </c>
      <c r="S29" s="148">
        <v>106</v>
      </c>
      <c r="T29" s="151">
        <f t="shared" si="1"/>
        <v>33</v>
      </c>
      <c r="U29" s="148">
        <v>398</v>
      </c>
      <c r="V29" s="152">
        <f t="shared" si="2"/>
        <v>2626.7999999999997</v>
      </c>
      <c r="W29" s="148">
        <v>10</v>
      </c>
      <c r="X29" s="148" t="s">
        <v>46</v>
      </c>
      <c r="Y29" s="148" t="s">
        <v>84</v>
      </c>
      <c r="Z29" s="148" t="s">
        <v>69</v>
      </c>
      <c r="AA29" s="148" t="s">
        <v>90</v>
      </c>
      <c r="AB29" s="148" t="s">
        <v>195</v>
      </c>
    </row>
    <row r="30" spans="1:48" s="158" customFormat="1" x14ac:dyDescent="0.15">
      <c r="A30" s="148" t="s">
        <v>51</v>
      </c>
      <c r="B30" s="148" t="s">
        <v>193</v>
      </c>
      <c r="C30" s="148">
        <v>2018</v>
      </c>
      <c r="D30" s="149" t="s">
        <v>284</v>
      </c>
      <c r="E30" s="148" t="s">
        <v>167</v>
      </c>
      <c r="F30" s="148" t="s">
        <v>287</v>
      </c>
      <c r="G30" s="148" t="s">
        <v>42</v>
      </c>
      <c r="H30" s="148" t="s">
        <v>288</v>
      </c>
      <c r="I30" s="148" t="s">
        <v>153</v>
      </c>
      <c r="J30" s="148" t="s">
        <v>104</v>
      </c>
      <c r="K30" s="148" t="s">
        <v>311</v>
      </c>
      <c r="L30" s="148">
        <v>2</v>
      </c>
      <c r="M30" s="148"/>
      <c r="N30" s="148">
        <v>5</v>
      </c>
      <c r="O30" s="148">
        <v>0.25</v>
      </c>
      <c r="P30" s="148">
        <v>0.5</v>
      </c>
      <c r="Q30" s="150">
        <f t="shared" si="0"/>
        <v>0.375</v>
      </c>
      <c r="R30" s="148">
        <v>13.2</v>
      </c>
      <c r="S30" s="148">
        <v>180</v>
      </c>
      <c r="T30" s="151">
        <f t="shared" si="1"/>
        <v>18</v>
      </c>
      <c r="U30" s="148">
        <v>398</v>
      </c>
      <c r="V30" s="152">
        <f t="shared" si="2"/>
        <v>1432.8</v>
      </c>
      <c r="W30" s="148">
        <v>10</v>
      </c>
      <c r="X30" s="148" t="s">
        <v>46</v>
      </c>
      <c r="Y30" s="148" t="s">
        <v>84</v>
      </c>
      <c r="Z30" s="148" t="s">
        <v>69</v>
      </c>
      <c r="AA30" s="148" t="s">
        <v>90</v>
      </c>
      <c r="AB30" s="148" t="s">
        <v>195</v>
      </c>
    </row>
    <row r="31" spans="1:48" s="158" customFormat="1" x14ac:dyDescent="0.15">
      <c r="A31" s="148" t="s">
        <v>51</v>
      </c>
      <c r="B31" s="148" t="s">
        <v>193</v>
      </c>
      <c r="C31" s="148">
        <v>2018</v>
      </c>
      <c r="D31" s="149" t="s">
        <v>284</v>
      </c>
      <c r="E31" s="148" t="s">
        <v>167</v>
      </c>
      <c r="F31" s="148" t="s">
        <v>287</v>
      </c>
      <c r="G31" s="148" t="s">
        <v>42</v>
      </c>
      <c r="H31" s="148" t="s">
        <v>288</v>
      </c>
      <c r="I31" s="148" t="s">
        <v>153</v>
      </c>
      <c r="J31" s="148" t="s">
        <v>104</v>
      </c>
      <c r="K31" s="148" t="s">
        <v>311</v>
      </c>
      <c r="L31" s="148">
        <v>3</v>
      </c>
      <c r="M31" s="148"/>
      <c r="N31" s="148">
        <v>5</v>
      </c>
      <c r="O31" s="148">
        <v>0.6</v>
      </c>
      <c r="P31" s="148">
        <v>0.25</v>
      </c>
      <c r="Q31" s="150">
        <f t="shared" si="0"/>
        <v>0.42499999999999999</v>
      </c>
      <c r="R31" s="148">
        <v>11</v>
      </c>
      <c r="S31" s="148">
        <v>138</v>
      </c>
      <c r="T31" s="151">
        <f t="shared" si="1"/>
        <v>22</v>
      </c>
      <c r="U31" s="148">
        <v>398</v>
      </c>
      <c r="V31" s="152">
        <f t="shared" si="2"/>
        <v>1751.1999999999998</v>
      </c>
      <c r="W31" s="148">
        <v>10</v>
      </c>
      <c r="X31" s="148" t="s">
        <v>46</v>
      </c>
      <c r="Y31" s="148" t="s">
        <v>84</v>
      </c>
      <c r="Z31" s="148" t="s">
        <v>69</v>
      </c>
      <c r="AA31" s="148" t="s">
        <v>90</v>
      </c>
      <c r="AB31" s="148" t="s">
        <v>195</v>
      </c>
    </row>
    <row r="32" spans="1:48" s="158" customFormat="1" x14ac:dyDescent="0.15">
      <c r="A32" s="148" t="s">
        <v>51</v>
      </c>
      <c r="B32" s="148" t="s">
        <v>193</v>
      </c>
      <c r="C32" s="148">
        <v>2018</v>
      </c>
      <c r="D32" s="149" t="s">
        <v>284</v>
      </c>
      <c r="E32" s="148" t="s">
        <v>167</v>
      </c>
      <c r="F32" s="148" t="s">
        <v>287</v>
      </c>
      <c r="G32" s="148" t="s">
        <v>42</v>
      </c>
      <c r="H32" s="148" t="s">
        <v>174</v>
      </c>
      <c r="I32" s="148" t="s">
        <v>153</v>
      </c>
      <c r="J32" s="148" t="s">
        <v>38</v>
      </c>
      <c r="K32" s="148" t="s">
        <v>54</v>
      </c>
      <c r="L32" s="148">
        <v>1</v>
      </c>
      <c r="M32" s="148"/>
      <c r="N32" s="148">
        <v>1</v>
      </c>
      <c r="O32" s="148">
        <v>0.7</v>
      </c>
      <c r="P32" s="148">
        <v>0.7</v>
      </c>
      <c r="Q32" s="150">
        <f t="shared" si="0"/>
        <v>0.7</v>
      </c>
      <c r="R32" s="148">
        <v>16.899999999999999</v>
      </c>
      <c r="S32" s="148">
        <v>110</v>
      </c>
      <c r="T32" s="151">
        <f t="shared" si="1"/>
        <v>33</v>
      </c>
      <c r="U32" s="148">
        <v>127</v>
      </c>
      <c r="V32" s="152">
        <f t="shared" si="2"/>
        <v>4191</v>
      </c>
      <c r="W32" s="148">
        <v>10</v>
      </c>
      <c r="X32" s="148" t="s">
        <v>46</v>
      </c>
      <c r="Y32" s="148" t="s">
        <v>84</v>
      </c>
      <c r="Z32" s="148" t="s">
        <v>69</v>
      </c>
      <c r="AA32" s="148" t="s">
        <v>90</v>
      </c>
      <c r="AB32" s="148" t="s">
        <v>195</v>
      </c>
    </row>
    <row r="33" spans="1:28" s="158" customFormat="1" x14ac:dyDescent="0.15">
      <c r="A33" s="148" t="s">
        <v>51</v>
      </c>
      <c r="B33" s="148" t="s">
        <v>193</v>
      </c>
      <c r="C33" s="148">
        <v>2018</v>
      </c>
      <c r="D33" s="149" t="s">
        <v>284</v>
      </c>
      <c r="E33" s="148" t="s">
        <v>167</v>
      </c>
      <c r="F33" s="148" t="s">
        <v>287</v>
      </c>
      <c r="G33" s="148" t="s">
        <v>42</v>
      </c>
      <c r="H33" s="148" t="s">
        <v>174</v>
      </c>
      <c r="I33" s="148" t="s">
        <v>153</v>
      </c>
      <c r="J33" s="148" t="s">
        <v>38</v>
      </c>
      <c r="K33" s="148" t="s">
        <v>54</v>
      </c>
      <c r="L33" s="148">
        <v>2</v>
      </c>
      <c r="M33" s="148"/>
      <c r="N33" s="148">
        <v>1</v>
      </c>
      <c r="O33" s="148">
        <v>0.75</v>
      </c>
      <c r="P33" s="148">
        <v>0.65</v>
      </c>
      <c r="Q33" s="150">
        <f t="shared" si="0"/>
        <v>0.7</v>
      </c>
      <c r="R33" s="148">
        <v>17</v>
      </c>
      <c r="S33" s="148">
        <v>108</v>
      </c>
      <c r="T33" s="151">
        <f t="shared" si="1"/>
        <v>36</v>
      </c>
      <c r="U33" s="148">
        <v>127</v>
      </c>
      <c r="V33" s="152">
        <f t="shared" si="2"/>
        <v>4572</v>
      </c>
      <c r="W33" s="148">
        <v>10</v>
      </c>
      <c r="X33" s="148" t="s">
        <v>46</v>
      </c>
      <c r="Y33" s="148" t="s">
        <v>84</v>
      </c>
      <c r="Z33" s="148" t="s">
        <v>69</v>
      </c>
      <c r="AA33" s="148" t="s">
        <v>90</v>
      </c>
      <c r="AB33" s="148" t="s">
        <v>195</v>
      </c>
    </row>
    <row r="34" spans="1:28" s="158" customFormat="1" x14ac:dyDescent="0.15">
      <c r="A34" s="148" t="s">
        <v>51</v>
      </c>
      <c r="B34" s="148" t="s">
        <v>193</v>
      </c>
      <c r="C34" s="148">
        <v>2018</v>
      </c>
      <c r="D34" s="149" t="s">
        <v>284</v>
      </c>
      <c r="E34" s="148" t="s">
        <v>167</v>
      </c>
      <c r="F34" s="148" t="s">
        <v>287</v>
      </c>
      <c r="G34" s="148" t="s">
        <v>42</v>
      </c>
      <c r="H34" s="148" t="s">
        <v>174</v>
      </c>
      <c r="I34" s="148" t="s">
        <v>153</v>
      </c>
      <c r="J34" s="148" t="s">
        <v>38</v>
      </c>
      <c r="K34" s="148" t="s">
        <v>54</v>
      </c>
      <c r="L34" s="148">
        <v>3</v>
      </c>
      <c r="M34" s="148"/>
      <c r="N34" s="148">
        <v>1</v>
      </c>
      <c r="O34" s="148">
        <v>0.7</v>
      </c>
      <c r="P34" s="148">
        <v>0.5</v>
      </c>
      <c r="Q34" s="150">
        <f t="shared" si="0"/>
        <v>0.6</v>
      </c>
      <c r="R34" s="148">
        <v>16.7</v>
      </c>
      <c r="S34" s="148">
        <v>112</v>
      </c>
      <c r="T34" s="151">
        <f t="shared" si="1"/>
        <v>33</v>
      </c>
      <c r="U34" s="148">
        <v>127</v>
      </c>
      <c r="V34" s="152">
        <f t="shared" si="2"/>
        <v>4191</v>
      </c>
      <c r="W34" s="148">
        <v>10</v>
      </c>
      <c r="X34" s="148" t="s">
        <v>46</v>
      </c>
      <c r="Y34" s="148" t="s">
        <v>84</v>
      </c>
      <c r="Z34" s="148" t="s">
        <v>69</v>
      </c>
      <c r="AA34" s="148" t="s">
        <v>90</v>
      </c>
      <c r="AB34" s="148" t="s">
        <v>195</v>
      </c>
    </row>
    <row r="35" spans="1:28" s="158" customFormat="1" x14ac:dyDescent="0.15">
      <c r="A35" s="148" t="s">
        <v>51</v>
      </c>
      <c r="B35" s="148" t="s">
        <v>193</v>
      </c>
      <c r="C35" s="148">
        <v>2018</v>
      </c>
      <c r="D35" s="149" t="s">
        <v>284</v>
      </c>
      <c r="E35" s="148" t="s">
        <v>167</v>
      </c>
      <c r="F35" s="148" t="s">
        <v>287</v>
      </c>
      <c r="G35" s="148" t="s">
        <v>42</v>
      </c>
      <c r="H35" s="148" t="s">
        <v>163</v>
      </c>
      <c r="I35" s="148" t="s">
        <v>153</v>
      </c>
      <c r="J35" s="148" t="s">
        <v>38</v>
      </c>
      <c r="K35" s="148" t="s">
        <v>333</v>
      </c>
      <c r="L35" s="148">
        <v>1</v>
      </c>
      <c r="M35" s="148"/>
      <c r="N35" s="148">
        <v>4</v>
      </c>
      <c r="O35" s="148">
        <v>0.25</v>
      </c>
      <c r="P35" s="148">
        <v>0.25</v>
      </c>
      <c r="Q35" s="150">
        <f t="shared" si="0"/>
        <v>0.25</v>
      </c>
      <c r="R35" s="148">
        <v>15.3</v>
      </c>
      <c r="S35" s="148">
        <v>85</v>
      </c>
      <c r="T35" s="151">
        <f t="shared" si="1"/>
        <v>36</v>
      </c>
      <c r="U35" s="148">
        <v>497</v>
      </c>
      <c r="V35" s="152">
        <f t="shared" si="2"/>
        <v>4473</v>
      </c>
      <c r="W35" s="148">
        <v>10</v>
      </c>
      <c r="X35" s="148" t="s">
        <v>46</v>
      </c>
      <c r="Y35" s="148" t="s">
        <v>84</v>
      </c>
      <c r="Z35" s="148" t="s">
        <v>69</v>
      </c>
      <c r="AA35" s="148" t="s">
        <v>90</v>
      </c>
      <c r="AB35" s="148" t="s">
        <v>195</v>
      </c>
    </row>
    <row r="36" spans="1:28" s="158" customFormat="1" x14ac:dyDescent="0.15">
      <c r="A36" s="148" t="s">
        <v>51</v>
      </c>
      <c r="B36" s="148" t="s">
        <v>193</v>
      </c>
      <c r="C36" s="148">
        <v>2018</v>
      </c>
      <c r="D36" s="149" t="s">
        <v>284</v>
      </c>
      <c r="E36" s="148" t="s">
        <v>167</v>
      </c>
      <c r="F36" s="148" t="s">
        <v>287</v>
      </c>
      <c r="G36" s="148" t="s">
        <v>42</v>
      </c>
      <c r="H36" s="148" t="s">
        <v>163</v>
      </c>
      <c r="I36" s="148" t="s">
        <v>153</v>
      </c>
      <c r="J36" s="148" t="s">
        <v>38</v>
      </c>
      <c r="K36" s="148" t="s">
        <v>333</v>
      </c>
      <c r="L36" s="148">
        <v>2</v>
      </c>
      <c r="M36" s="148"/>
      <c r="N36" s="148">
        <v>4</v>
      </c>
      <c r="O36" s="148">
        <v>0.5</v>
      </c>
      <c r="P36" s="148">
        <v>0.55000000000000004</v>
      </c>
      <c r="Q36" s="150">
        <f t="shared" si="0"/>
        <v>0.52500000000000002</v>
      </c>
      <c r="R36" s="148">
        <v>15.6</v>
      </c>
      <c r="S36" s="148">
        <v>89</v>
      </c>
      <c r="T36" s="151">
        <f t="shared" si="1"/>
        <v>36</v>
      </c>
      <c r="U36" s="148">
        <v>497</v>
      </c>
      <c r="V36" s="152">
        <f t="shared" si="2"/>
        <v>4473</v>
      </c>
      <c r="W36" s="148">
        <v>10</v>
      </c>
      <c r="X36" s="148" t="s">
        <v>46</v>
      </c>
      <c r="Y36" s="148" t="s">
        <v>84</v>
      </c>
      <c r="Z36" s="148" t="s">
        <v>69</v>
      </c>
      <c r="AA36" s="148" t="s">
        <v>90</v>
      </c>
      <c r="AB36" s="148" t="s">
        <v>195</v>
      </c>
    </row>
    <row r="37" spans="1:28" s="158" customFormat="1" x14ac:dyDescent="0.15">
      <c r="A37" s="148" t="s">
        <v>51</v>
      </c>
      <c r="B37" s="148" t="s">
        <v>193</v>
      </c>
      <c r="C37" s="148">
        <v>2018</v>
      </c>
      <c r="D37" s="149" t="s">
        <v>284</v>
      </c>
      <c r="E37" s="148" t="s">
        <v>167</v>
      </c>
      <c r="F37" s="148" t="s">
        <v>287</v>
      </c>
      <c r="G37" s="148" t="s">
        <v>42</v>
      </c>
      <c r="H37" s="148" t="s">
        <v>163</v>
      </c>
      <c r="I37" s="148" t="s">
        <v>153</v>
      </c>
      <c r="J37" s="148" t="s">
        <v>38</v>
      </c>
      <c r="K37" s="148" t="s">
        <v>333</v>
      </c>
      <c r="L37" s="148">
        <v>3</v>
      </c>
      <c r="M37" s="148"/>
      <c r="N37" s="148">
        <v>4</v>
      </c>
      <c r="O37" s="148">
        <v>0.6</v>
      </c>
      <c r="P37" s="148">
        <v>0.5</v>
      </c>
      <c r="Q37" s="150">
        <f t="shared" si="0"/>
        <v>0.55000000000000004</v>
      </c>
      <c r="R37" s="148">
        <v>16.2</v>
      </c>
      <c r="S37" s="148">
        <v>90</v>
      </c>
      <c r="T37" s="151">
        <f t="shared" si="1"/>
        <v>36</v>
      </c>
      <c r="U37" s="148">
        <v>497</v>
      </c>
      <c r="V37" s="152">
        <f t="shared" si="2"/>
        <v>4473</v>
      </c>
      <c r="W37" s="148">
        <v>10</v>
      </c>
      <c r="X37" s="148" t="s">
        <v>46</v>
      </c>
      <c r="Y37" s="148" t="s">
        <v>84</v>
      </c>
      <c r="Z37" s="148" t="s">
        <v>69</v>
      </c>
      <c r="AA37" s="148" t="s">
        <v>90</v>
      </c>
      <c r="AB37" s="148" t="s">
        <v>195</v>
      </c>
    </row>
    <row r="38" spans="1:28" s="158" customFormat="1" x14ac:dyDescent="0.15">
      <c r="A38" s="148" t="s">
        <v>51</v>
      </c>
      <c r="B38" s="148" t="s">
        <v>193</v>
      </c>
      <c r="C38" s="148">
        <v>2018</v>
      </c>
      <c r="D38" s="149" t="s">
        <v>284</v>
      </c>
      <c r="E38" s="148" t="s">
        <v>302</v>
      </c>
      <c r="F38" s="148" t="s">
        <v>287</v>
      </c>
      <c r="G38" s="148" t="s">
        <v>42</v>
      </c>
      <c r="H38" s="148" t="s">
        <v>155</v>
      </c>
      <c r="I38" s="148" t="s">
        <v>153</v>
      </c>
      <c r="J38" s="148" t="s">
        <v>38</v>
      </c>
      <c r="K38" s="148" t="s">
        <v>154</v>
      </c>
      <c r="L38" s="148">
        <v>1</v>
      </c>
      <c r="M38" s="148"/>
      <c r="N38" s="148">
        <v>4</v>
      </c>
      <c r="O38" s="148">
        <v>0.75</v>
      </c>
      <c r="P38" s="148">
        <v>0.7</v>
      </c>
      <c r="Q38" s="150">
        <f t="shared" si="0"/>
        <v>0.72499999999999998</v>
      </c>
      <c r="R38" s="148">
        <v>13.8</v>
      </c>
      <c r="S38" s="148">
        <v>102</v>
      </c>
      <c r="T38" s="151">
        <f t="shared" si="1"/>
        <v>33</v>
      </c>
      <c r="U38" s="148">
        <v>298</v>
      </c>
      <c r="V38" s="152">
        <f t="shared" si="2"/>
        <v>2458.5</v>
      </c>
      <c r="W38" s="148">
        <v>3</v>
      </c>
      <c r="X38" s="148" t="s">
        <v>46</v>
      </c>
      <c r="Y38" s="148" t="s">
        <v>84</v>
      </c>
      <c r="Z38" s="148" t="s">
        <v>90</v>
      </c>
      <c r="AA38" s="148" t="s">
        <v>69</v>
      </c>
      <c r="AB38" s="148" t="s">
        <v>195</v>
      </c>
    </row>
    <row r="39" spans="1:28" s="158" customFormat="1" x14ac:dyDescent="0.15">
      <c r="A39" s="148" t="s">
        <v>51</v>
      </c>
      <c r="B39" s="148" t="s">
        <v>193</v>
      </c>
      <c r="C39" s="148">
        <v>2018</v>
      </c>
      <c r="D39" s="149" t="s">
        <v>284</v>
      </c>
      <c r="E39" s="148" t="s">
        <v>302</v>
      </c>
      <c r="F39" s="148" t="s">
        <v>287</v>
      </c>
      <c r="G39" s="148" t="s">
        <v>42</v>
      </c>
      <c r="H39" s="148" t="s">
        <v>155</v>
      </c>
      <c r="I39" s="148" t="s">
        <v>153</v>
      </c>
      <c r="J39" s="148" t="s">
        <v>38</v>
      </c>
      <c r="K39" s="148" t="s">
        <v>154</v>
      </c>
      <c r="L39" s="148">
        <v>2</v>
      </c>
      <c r="M39" s="148"/>
      <c r="N39" s="148">
        <v>4</v>
      </c>
      <c r="O39" s="148">
        <v>0.7</v>
      </c>
      <c r="P39" s="148">
        <v>0.7</v>
      </c>
      <c r="Q39" s="150">
        <f t="shared" si="0"/>
        <v>0.7</v>
      </c>
      <c r="R39" s="148">
        <v>13.9</v>
      </c>
      <c r="S39" s="148">
        <v>102</v>
      </c>
      <c r="T39" s="151">
        <f t="shared" si="1"/>
        <v>33</v>
      </c>
      <c r="U39" s="148">
        <v>298</v>
      </c>
      <c r="V39" s="152">
        <f t="shared" si="2"/>
        <v>2458.5</v>
      </c>
      <c r="W39" s="148">
        <v>3</v>
      </c>
      <c r="X39" s="148" t="s">
        <v>46</v>
      </c>
      <c r="Y39" s="148" t="s">
        <v>84</v>
      </c>
      <c r="Z39" s="148" t="s">
        <v>90</v>
      </c>
      <c r="AA39" s="148" t="s">
        <v>69</v>
      </c>
      <c r="AB39" s="148" t="s">
        <v>195</v>
      </c>
    </row>
    <row r="40" spans="1:28" s="158" customFormat="1" x14ac:dyDescent="0.15">
      <c r="A40" s="148" t="s">
        <v>51</v>
      </c>
      <c r="B40" s="148" t="s">
        <v>193</v>
      </c>
      <c r="C40" s="148">
        <v>2018</v>
      </c>
      <c r="D40" s="149" t="s">
        <v>284</v>
      </c>
      <c r="E40" s="148" t="s">
        <v>302</v>
      </c>
      <c r="F40" s="148" t="s">
        <v>287</v>
      </c>
      <c r="G40" s="148" t="s">
        <v>42</v>
      </c>
      <c r="H40" s="148" t="s">
        <v>155</v>
      </c>
      <c r="I40" s="148" t="s">
        <v>153</v>
      </c>
      <c r="J40" s="148" t="s">
        <v>38</v>
      </c>
      <c r="K40" s="148" t="s">
        <v>154</v>
      </c>
      <c r="L40" s="148">
        <v>3</v>
      </c>
      <c r="M40" s="148"/>
      <c r="N40" s="148">
        <v>4</v>
      </c>
      <c r="O40" s="148">
        <v>0.65</v>
      </c>
      <c r="P40" s="148">
        <v>0.75</v>
      </c>
      <c r="Q40" s="150">
        <f t="shared" si="0"/>
        <v>0.7</v>
      </c>
      <c r="R40" s="148">
        <v>14.5</v>
      </c>
      <c r="S40" s="148">
        <v>104</v>
      </c>
      <c r="T40" s="151">
        <f t="shared" si="1"/>
        <v>33</v>
      </c>
      <c r="U40" s="148">
        <v>298</v>
      </c>
      <c r="V40" s="152">
        <f t="shared" si="2"/>
        <v>2458.5</v>
      </c>
      <c r="W40" s="148">
        <v>3</v>
      </c>
      <c r="X40" s="148" t="s">
        <v>46</v>
      </c>
      <c r="Y40" s="148" t="s">
        <v>84</v>
      </c>
      <c r="Z40" s="148" t="s">
        <v>90</v>
      </c>
      <c r="AA40" s="148" t="s">
        <v>69</v>
      </c>
      <c r="AB40" s="148" t="s">
        <v>195</v>
      </c>
    </row>
    <row r="41" spans="1:28" s="158" customFormat="1" x14ac:dyDescent="0.15">
      <c r="A41" s="148" t="s">
        <v>51</v>
      </c>
      <c r="B41" s="148" t="s">
        <v>193</v>
      </c>
      <c r="C41" s="148">
        <v>2018</v>
      </c>
      <c r="D41" s="149" t="s">
        <v>284</v>
      </c>
      <c r="E41" s="148" t="s">
        <v>302</v>
      </c>
      <c r="F41" s="148" t="s">
        <v>287</v>
      </c>
      <c r="G41" s="148" t="s">
        <v>42</v>
      </c>
      <c r="H41" s="148" t="s">
        <v>174</v>
      </c>
      <c r="I41" s="148" t="s">
        <v>153</v>
      </c>
      <c r="J41" s="148" t="s">
        <v>38</v>
      </c>
      <c r="K41" s="148" t="s">
        <v>54</v>
      </c>
      <c r="L41" s="148">
        <v>1</v>
      </c>
      <c r="M41" s="148"/>
      <c r="N41" s="148">
        <v>4</v>
      </c>
      <c r="O41" s="148">
        <v>0.65</v>
      </c>
      <c r="P41" s="148">
        <v>0.7</v>
      </c>
      <c r="Q41" s="150">
        <f t="shared" si="0"/>
        <v>0.67500000000000004</v>
      </c>
      <c r="R41" s="148">
        <v>17.399999999999999</v>
      </c>
      <c r="S41" s="148">
        <v>98</v>
      </c>
      <c r="T41" s="151">
        <f t="shared" si="1"/>
        <v>36</v>
      </c>
      <c r="U41" s="148">
        <v>498</v>
      </c>
      <c r="V41" s="152">
        <f t="shared" si="2"/>
        <v>4482</v>
      </c>
      <c r="W41" s="148">
        <v>3</v>
      </c>
      <c r="X41" s="148" t="s">
        <v>46</v>
      </c>
      <c r="Y41" s="148" t="s">
        <v>84</v>
      </c>
      <c r="Z41" s="148" t="s">
        <v>90</v>
      </c>
      <c r="AA41" s="148" t="s">
        <v>69</v>
      </c>
      <c r="AB41" s="148" t="s">
        <v>195</v>
      </c>
    </row>
    <row r="42" spans="1:28" s="158" customFormat="1" x14ac:dyDescent="0.15">
      <c r="A42" s="148" t="s">
        <v>51</v>
      </c>
      <c r="B42" s="148" t="s">
        <v>193</v>
      </c>
      <c r="C42" s="148">
        <v>2018</v>
      </c>
      <c r="D42" s="149" t="s">
        <v>284</v>
      </c>
      <c r="E42" s="148" t="s">
        <v>302</v>
      </c>
      <c r="F42" s="148" t="s">
        <v>287</v>
      </c>
      <c r="G42" s="148" t="s">
        <v>42</v>
      </c>
      <c r="H42" s="148" t="s">
        <v>174</v>
      </c>
      <c r="I42" s="148" t="s">
        <v>153</v>
      </c>
      <c r="J42" s="148" t="s">
        <v>38</v>
      </c>
      <c r="K42" s="148" t="s">
        <v>54</v>
      </c>
      <c r="L42" s="148">
        <v>2</v>
      </c>
      <c r="M42" s="148"/>
      <c r="N42" s="148">
        <v>4</v>
      </c>
      <c r="O42" s="148">
        <v>0.65</v>
      </c>
      <c r="P42" s="148">
        <v>0.5</v>
      </c>
      <c r="Q42" s="150">
        <f t="shared" si="0"/>
        <v>0.57499999999999996</v>
      </c>
      <c r="R42" s="148">
        <v>16.8</v>
      </c>
      <c r="S42" s="148">
        <v>91</v>
      </c>
      <c r="T42" s="151">
        <f t="shared" si="1"/>
        <v>39</v>
      </c>
      <c r="U42" s="148">
        <v>498</v>
      </c>
      <c r="V42" s="152">
        <f t="shared" si="2"/>
        <v>4855.5</v>
      </c>
      <c r="W42" s="148">
        <v>3</v>
      </c>
      <c r="X42" s="148" t="s">
        <v>46</v>
      </c>
      <c r="Y42" s="148" t="s">
        <v>84</v>
      </c>
      <c r="Z42" s="148" t="s">
        <v>90</v>
      </c>
      <c r="AA42" s="148" t="s">
        <v>69</v>
      </c>
      <c r="AB42" s="148" t="s">
        <v>195</v>
      </c>
    </row>
    <row r="43" spans="1:28" s="158" customFormat="1" x14ac:dyDescent="0.15">
      <c r="A43" s="148" t="s">
        <v>51</v>
      </c>
      <c r="B43" s="148" t="s">
        <v>193</v>
      </c>
      <c r="C43" s="148">
        <v>2018</v>
      </c>
      <c r="D43" s="149" t="s">
        <v>284</v>
      </c>
      <c r="E43" s="148" t="s">
        <v>302</v>
      </c>
      <c r="F43" s="148" t="s">
        <v>287</v>
      </c>
      <c r="G43" s="148" t="s">
        <v>42</v>
      </c>
      <c r="H43" s="148" t="s">
        <v>174</v>
      </c>
      <c r="I43" s="148" t="s">
        <v>153</v>
      </c>
      <c r="J43" s="148" t="s">
        <v>38</v>
      </c>
      <c r="K43" s="148" t="s">
        <v>54</v>
      </c>
      <c r="L43" s="148">
        <v>3</v>
      </c>
      <c r="M43" s="148"/>
      <c r="N43" s="148">
        <v>4</v>
      </c>
      <c r="O43" s="148">
        <v>0.6</v>
      </c>
      <c r="P43" s="148">
        <v>0.55000000000000004</v>
      </c>
      <c r="Q43" s="150">
        <f t="shared" si="0"/>
        <v>0.57499999999999996</v>
      </c>
      <c r="R43" s="148">
        <v>16.7</v>
      </c>
      <c r="S43" s="148">
        <v>80</v>
      </c>
      <c r="T43" s="151">
        <f t="shared" si="1"/>
        <v>42</v>
      </c>
      <c r="U43" s="148">
        <v>498</v>
      </c>
      <c r="V43" s="152">
        <f t="shared" si="2"/>
        <v>5229</v>
      </c>
      <c r="W43" s="148">
        <v>3</v>
      </c>
      <c r="X43" s="148" t="s">
        <v>46</v>
      </c>
      <c r="Y43" s="148" t="s">
        <v>84</v>
      </c>
      <c r="Z43" s="148" t="s">
        <v>90</v>
      </c>
      <c r="AA43" s="148" t="s">
        <v>69</v>
      </c>
      <c r="AB43" s="148" t="s">
        <v>195</v>
      </c>
    </row>
    <row r="44" spans="1:28" s="158" customFormat="1" x14ac:dyDescent="0.15">
      <c r="A44" s="148" t="s">
        <v>51</v>
      </c>
      <c r="B44" s="148" t="s">
        <v>193</v>
      </c>
      <c r="C44" s="148">
        <v>2018</v>
      </c>
      <c r="D44" s="149" t="s">
        <v>284</v>
      </c>
      <c r="E44" s="148" t="s">
        <v>292</v>
      </c>
      <c r="F44" s="148" t="s">
        <v>293</v>
      </c>
      <c r="G44" s="148" t="s">
        <v>42</v>
      </c>
      <c r="H44" s="148" t="s">
        <v>155</v>
      </c>
      <c r="I44" s="148" t="s">
        <v>153</v>
      </c>
      <c r="J44" s="148" t="s">
        <v>38</v>
      </c>
      <c r="K44" s="148" t="s">
        <v>154</v>
      </c>
      <c r="L44" s="148">
        <v>1</v>
      </c>
      <c r="M44" s="148"/>
      <c r="N44" s="148">
        <v>1</v>
      </c>
      <c r="O44" s="148">
        <v>0.65</v>
      </c>
      <c r="P44" s="148">
        <v>0.55000000000000004</v>
      </c>
      <c r="Q44" s="150">
        <f t="shared" si="0"/>
        <v>0.60000000000000009</v>
      </c>
      <c r="R44" s="148">
        <v>16.8</v>
      </c>
      <c r="S44" s="148">
        <v>134</v>
      </c>
      <c r="T44" s="151">
        <f t="shared" si="1"/>
        <v>25</v>
      </c>
      <c r="U44" s="148">
        <v>138</v>
      </c>
      <c r="V44" s="152">
        <f t="shared" si="2"/>
        <v>3450</v>
      </c>
      <c r="W44" s="148">
        <v>3</v>
      </c>
      <c r="X44" s="148" t="s">
        <v>39</v>
      </c>
      <c r="Y44" s="148" t="s">
        <v>90</v>
      </c>
      <c r="Z44" s="148" t="s">
        <v>69</v>
      </c>
      <c r="AA44" s="148" t="s">
        <v>84</v>
      </c>
      <c r="AB44" s="148" t="s">
        <v>195</v>
      </c>
    </row>
    <row r="45" spans="1:28" s="158" customFormat="1" x14ac:dyDescent="0.15">
      <c r="A45" s="148" t="s">
        <v>51</v>
      </c>
      <c r="B45" s="148" t="s">
        <v>193</v>
      </c>
      <c r="C45" s="148">
        <v>2018</v>
      </c>
      <c r="D45" s="149" t="s">
        <v>284</v>
      </c>
      <c r="E45" s="148" t="s">
        <v>292</v>
      </c>
      <c r="F45" s="148" t="s">
        <v>293</v>
      </c>
      <c r="G45" s="148" t="s">
        <v>42</v>
      </c>
      <c r="H45" s="148" t="s">
        <v>155</v>
      </c>
      <c r="I45" s="148" t="s">
        <v>153</v>
      </c>
      <c r="J45" s="148" t="s">
        <v>38</v>
      </c>
      <c r="K45" s="148" t="s">
        <v>154</v>
      </c>
      <c r="L45" s="148">
        <v>2</v>
      </c>
      <c r="M45" s="148"/>
      <c r="N45" s="148">
        <v>1</v>
      </c>
      <c r="O45" s="148">
        <v>0.6</v>
      </c>
      <c r="P45" s="148">
        <v>0.6</v>
      </c>
      <c r="Q45" s="150">
        <f t="shared" si="0"/>
        <v>0.6</v>
      </c>
      <c r="R45" s="148">
        <v>17.3</v>
      </c>
      <c r="S45" s="148">
        <v>134</v>
      </c>
      <c r="T45" s="151">
        <f t="shared" si="1"/>
        <v>25</v>
      </c>
      <c r="U45" s="148">
        <v>138</v>
      </c>
      <c r="V45" s="152">
        <f t="shared" si="2"/>
        <v>3450</v>
      </c>
      <c r="W45" s="148">
        <v>3</v>
      </c>
      <c r="X45" s="148" t="s">
        <v>39</v>
      </c>
      <c r="Y45" s="148" t="s">
        <v>90</v>
      </c>
      <c r="Z45" s="148" t="s">
        <v>69</v>
      </c>
      <c r="AA45" s="148" t="s">
        <v>84</v>
      </c>
      <c r="AB45" s="148" t="s">
        <v>195</v>
      </c>
    </row>
    <row r="46" spans="1:28" s="158" customFormat="1" x14ac:dyDescent="0.15">
      <c r="A46" s="148" t="s">
        <v>51</v>
      </c>
      <c r="B46" s="148" t="s">
        <v>193</v>
      </c>
      <c r="C46" s="148">
        <v>2018</v>
      </c>
      <c r="D46" s="149" t="s">
        <v>284</v>
      </c>
      <c r="E46" s="148" t="s">
        <v>292</v>
      </c>
      <c r="F46" s="148" t="s">
        <v>293</v>
      </c>
      <c r="G46" s="148" t="s">
        <v>42</v>
      </c>
      <c r="H46" s="148" t="s">
        <v>155</v>
      </c>
      <c r="I46" s="148" t="s">
        <v>153</v>
      </c>
      <c r="J46" s="148" t="s">
        <v>38</v>
      </c>
      <c r="K46" s="148" t="s">
        <v>154</v>
      </c>
      <c r="L46" s="148">
        <v>3</v>
      </c>
      <c r="M46" s="148"/>
      <c r="N46" s="148">
        <v>1</v>
      </c>
      <c r="O46" s="148">
        <v>0.65</v>
      </c>
      <c r="P46" s="148">
        <v>0.55000000000000004</v>
      </c>
      <c r="Q46" s="150">
        <f t="shared" si="0"/>
        <v>0.60000000000000009</v>
      </c>
      <c r="R46" s="148">
        <v>16.3</v>
      </c>
      <c r="S46" s="148">
        <v>126</v>
      </c>
      <c r="T46" s="151">
        <f t="shared" si="1"/>
        <v>27</v>
      </c>
      <c r="U46" s="148">
        <v>138</v>
      </c>
      <c r="V46" s="152">
        <f t="shared" si="2"/>
        <v>3726</v>
      </c>
      <c r="W46" s="148">
        <v>3</v>
      </c>
      <c r="X46" s="148" t="s">
        <v>39</v>
      </c>
      <c r="Y46" s="148" t="s">
        <v>90</v>
      </c>
      <c r="Z46" s="148" t="s">
        <v>69</v>
      </c>
      <c r="AA46" s="148" t="s">
        <v>84</v>
      </c>
      <c r="AB46" s="148" t="s">
        <v>195</v>
      </c>
    </row>
    <row r="47" spans="1:28" s="158" customFormat="1" x14ac:dyDescent="0.15">
      <c r="A47" s="148" t="s">
        <v>51</v>
      </c>
      <c r="B47" s="148" t="s">
        <v>193</v>
      </c>
      <c r="C47" s="148">
        <v>2018</v>
      </c>
      <c r="D47" s="149" t="s">
        <v>284</v>
      </c>
      <c r="E47" s="148" t="s">
        <v>292</v>
      </c>
      <c r="F47" s="148" t="s">
        <v>293</v>
      </c>
      <c r="G47" s="148" t="s">
        <v>42</v>
      </c>
      <c r="H47" s="148" t="s">
        <v>163</v>
      </c>
      <c r="I47" s="148" t="s">
        <v>153</v>
      </c>
      <c r="J47" s="148" t="s">
        <v>38</v>
      </c>
      <c r="K47" s="148" t="s">
        <v>333</v>
      </c>
      <c r="L47" s="148">
        <v>1</v>
      </c>
      <c r="M47" s="148"/>
      <c r="N47" s="148">
        <v>5</v>
      </c>
      <c r="O47" s="148">
        <v>0.6</v>
      </c>
      <c r="P47" s="148">
        <v>0.6</v>
      </c>
      <c r="Q47" s="150">
        <f t="shared" si="0"/>
        <v>0.6</v>
      </c>
      <c r="R47" s="148">
        <v>13.8</v>
      </c>
      <c r="S47" s="148">
        <v>95</v>
      </c>
      <c r="T47" s="151">
        <f t="shared" si="1"/>
        <v>36</v>
      </c>
      <c r="U47" s="148">
        <v>598</v>
      </c>
      <c r="V47" s="152">
        <f t="shared" si="2"/>
        <v>4305.5999999999995</v>
      </c>
      <c r="W47" s="148">
        <v>3</v>
      </c>
      <c r="X47" s="148" t="s">
        <v>39</v>
      </c>
      <c r="Y47" s="148" t="s">
        <v>90</v>
      </c>
      <c r="Z47" s="148" t="s">
        <v>69</v>
      </c>
      <c r="AA47" s="148" t="s">
        <v>84</v>
      </c>
      <c r="AB47" s="148" t="s">
        <v>195</v>
      </c>
    </row>
    <row r="48" spans="1:28" s="158" customFormat="1" x14ac:dyDescent="0.15">
      <c r="A48" s="148" t="s">
        <v>51</v>
      </c>
      <c r="B48" s="148" t="s">
        <v>193</v>
      </c>
      <c r="C48" s="148">
        <v>2018</v>
      </c>
      <c r="D48" s="149" t="s">
        <v>284</v>
      </c>
      <c r="E48" s="148" t="s">
        <v>292</v>
      </c>
      <c r="F48" s="148" t="s">
        <v>293</v>
      </c>
      <c r="G48" s="148" t="s">
        <v>42</v>
      </c>
      <c r="H48" s="148" t="s">
        <v>163</v>
      </c>
      <c r="I48" s="148" t="s">
        <v>153</v>
      </c>
      <c r="J48" s="148" t="s">
        <v>38</v>
      </c>
      <c r="K48" s="148" t="s">
        <v>333</v>
      </c>
      <c r="L48" s="148">
        <v>2</v>
      </c>
      <c r="M48" s="148"/>
      <c r="N48" s="148">
        <v>5</v>
      </c>
      <c r="O48" s="148">
        <v>0.65</v>
      </c>
      <c r="P48" s="148">
        <v>0.6</v>
      </c>
      <c r="Q48" s="150">
        <f t="shared" si="0"/>
        <v>0.625</v>
      </c>
      <c r="R48" s="148">
        <v>14</v>
      </c>
      <c r="S48" s="148">
        <v>99</v>
      </c>
      <c r="T48" s="151">
        <f t="shared" si="1"/>
        <v>33</v>
      </c>
      <c r="U48" s="148">
        <v>598</v>
      </c>
      <c r="V48" s="152">
        <f t="shared" si="2"/>
        <v>3946.7999999999997</v>
      </c>
      <c r="W48" s="148">
        <v>3</v>
      </c>
      <c r="X48" s="148" t="s">
        <v>39</v>
      </c>
      <c r="Y48" s="148" t="s">
        <v>90</v>
      </c>
      <c r="Z48" s="148" t="s">
        <v>69</v>
      </c>
      <c r="AA48" s="148" t="s">
        <v>84</v>
      </c>
      <c r="AB48" s="148" t="s">
        <v>195</v>
      </c>
    </row>
    <row r="49" spans="1:28" s="158" customFormat="1" x14ac:dyDescent="0.15">
      <c r="A49" s="148" t="s">
        <v>51</v>
      </c>
      <c r="B49" s="148" t="s">
        <v>193</v>
      </c>
      <c r="C49" s="148">
        <v>2018</v>
      </c>
      <c r="D49" s="149" t="s">
        <v>284</v>
      </c>
      <c r="E49" s="148" t="s">
        <v>292</v>
      </c>
      <c r="F49" s="148" t="s">
        <v>293</v>
      </c>
      <c r="G49" s="148" t="s">
        <v>42</v>
      </c>
      <c r="H49" s="148" t="s">
        <v>163</v>
      </c>
      <c r="I49" s="148" t="s">
        <v>153</v>
      </c>
      <c r="J49" s="148" t="s">
        <v>38</v>
      </c>
      <c r="K49" s="148" t="s">
        <v>333</v>
      </c>
      <c r="L49" s="148">
        <v>3</v>
      </c>
      <c r="M49" s="148"/>
      <c r="N49" s="148">
        <v>5</v>
      </c>
      <c r="O49" s="148">
        <v>0.6</v>
      </c>
      <c r="P49" s="148">
        <v>0.55000000000000004</v>
      </c>
      <c r="Q49" s="150">
        <f t="shared" si="0"/>
        <v>0.57499999999999996</v>
      </c>
      <c r="R49" s="148">
        <v>13.6</v>
      </c>
      <c r="S49" s="148">
        <v>92</v>
      </c>
      <c r="T49" s="151">
        <f t="shared" si="1"/>
        <v>36</v>
      </c>
      <c r="U49" s="148">
        <v>598</v>
      </c>
      <c r="V49" s="152">
        <f t="shared" si="2"/>
        <v>4305.5999999999995</v>
      </c>
      <c r="W49" s="148">
        <v>3</v>
      </c>
      <c r="X49" s="148" t="s">
        <v>39</v>
      </c>
      <c r="Y49" s="148" t="s">
        <v>90</v>
      </c>
      <c r="Z49" s="148" t="s">
        <v>69</v>
      </c>
      <c r="AA49" s="148" t="s">
        <v>84</v>
      </c>
      <c r="AB49" s="148" t="s">
        <v>195</v>
      </c>
    </row>
    <row r="50" spans="1:28" s="158" customFormat="1" x14ac:dyDescent="0.15">
      <c r="A50" s="148" t="s">
        <v>51</v>
      </c>
      <c r="B50" s="148" t="s">
        <v>193</v>
      </c>
      <c r="C50" s="148">
        <v>2018</v>
      </c>
      <c r="D50" s="149" t="s">
        <v>284</v>
      </c>
      <c r="E50" s="148" t="s">
        <v>298</v>
      </c>
      <c r="F50" s="148" t="s">
        <v>286</v>
      </c>
      <c r="G50" s="148" t="s">
        <v>36</v>
      </c>
      <c r="H50" s="148" t="s">
        <v>155</v>
      </c>
      <c r="I50" s="148" t="s">
        <v>153</v>
      </c>
      <c r="J50" s="148" t="s">
        <v>38</v>
      </c>
      <c r="K50" s="148" t="s">
        <v>154</v>
      </c>
      <c r="L50" s="148">
        <v>1</v>
      </c>
      <c r="M50" s="148"/>
      <c r="N50" s="148">
        <v>1</v>
      </c>
      <c r="O50" s="148">
        <v>0.65</v>
      </c>
      <c r="P50" s="148">
        <v>0.7</v>
      </c>
      <c r="Q50" s="150">
        <f t="shared" si="0"/>
        <v>0.67500000000000004</v>
      </c>
      <c r="R50" s="148">
        <v>15</v>
      </c>
      <c r="S50" s="148">
        <v>124</v>
      </c>
      <c r="T50" s="151">
        <f t="shared" si="1"/>
        <v>27</v>
      </c>
      <c r="U50" s="148">
        <v>138</v>
      </c>
      <c r="V50" s="152">
        <f t="shared" si="2"/>
        <v>3726</v>
      </c>
      <c r="W50" s="148">
        <v>1</v>
      </c>
      <c r="X50" s="148" t="s">
        <v>46</v>
      </c>
      <c r="Y50" s="148" t="s">
        <v>84</v>
      </c>
      <c r="Z50" s="148" t="s">
        <v>90</v>
      </c>
      <c r="AA50" s="148" t="s">
        <v>69</v>
      </c>
      <c r="AB50" s="148" t="s">
        <v>195</v>
      </c>
    </row>
    <row r="51" spans="1:28" s="158" customFormat="1" x14ac:dyDescent="0.15">
      <c r="A51" s="148" t="s">
        <v>51</v>
      </c>
      <c r="B51" s="148" t="s">
        <v>193</v>
      </c>
      <c r="C51" s="148">
        <v>2018</v>
      </c>
      <c r="D51" s="149" t="s">
        <v>284</v>
      </c>
      <c r="E51" s="148" t="s">
        <v>298</v>
      </c>
      <c r="F51" s="148" t="s">
        <v>286</v>
      </c>
      <c r="G51" s="148" t="s">
        <v>36</v>
      </c>
      <c r="H51" s="148" t="s">
        <v>155</v>
      </c>
      <c r="I51" s="148" t="s">
        <v>153</v>
      </c>
      <c r="J51" s="148" t="s">
        <v>38</v>
      </c>
      <c r="K51" s="148" t="s">
        <v>154</v>
      </c>
      <c r="L51" s="148">
        <v>2</v>
      </c>
      <c r="M51" s="148"/>
      <c r="N51" s="148">
        <v>1</v>
      </c>
      <c r="O51" s="148">
        <v>0.75</v>
      </c>
      <c r="P51" s="148">
        <v>0.75</v>
      </c>
      <c r="Q51" s="150">
        <f t="shared" si="0"/>
        <v>0.75</v>
      </c>
      <c r="R51" s="148">
        <v>14.4</v>
      </c>
      <c r="S51" s="148">
        <v>120</v>
      </c>
      <c r="T51" s="151">
        <f t="shared" si="1"/>
        <v>30</v>
      </c>
      <c r="U51" s="148">
        <v>138</v>
      </c>
      <c r="V51" s="152">
        <f t="shared" si="2"/>
        <v>4140</v>
      </c>
      <c r="W51" s="148">
        <v>1</v>
      </c>
      <c r="X51" s="148" t="s">
        <v>46</v>
      </c>
      <c r="Y51" s="148" t="s">
        <v>84</v>
      </c>
      <c r="Z51" s="148" t="s">
        <v>90</v>
      </c>
      <c r="AA51" s="148" t="s">
        <v>69</v>
      </c>
      <c r="AB51" s="148" t="s">
        <v>195</v>
      </c>
    </row>
    <row r="52" spans="1:28" s="158" customFormat="1" x14ac:dyDescent="0.15">
      <c r="A52" s="148" t="s">
        <v>51</v>
      </c>
      <c r="B52" s="148" t="s">
        <v>193</v>
      </c>
      <c r="C52" s="148">
        <v>2018</v>
      </c>
      <c r="D52" s="149" t="s">
        <v>284</v>
      </c>
      <c r="E52" s="148" t="s">
        <v>298</v>
      </c>
      <c r="F52" s="148" t="s">
        <v>286</v>
      </c>
      <c r="G52" s="148" t="s">
        <v>36</v>
      </c>
      <c r="H52" s="148" t="s">
        <v>155</v>
      </c>
      <c r="I52" s="148" t="s">
        <v>153</v>
      </c>
      <c r="J52" s="148" t="s">
        <v>38</v>
      </c>
      <c r="K52" s="148" t="s">
        <v>154</v>
      </c>
      <c r="L52" s="148">
        <v>3</v>
      </c>
      <c r="M52" s="148"/>
      <c r="N52" s="148">
        <v>1</v>
      </c>
      <c r="O52" s="148">
        <v>0.8</v>
      </c>
      <c r="P52" s="148">
        <v>0.7</v>
      </c>
      <c r="Q52" s="150">
        <f t="shared" si="0"/>
        <v>0.75</v>
      </c>
      <c r="R52" s="148">
        <v>14.6</v>
      </c>
      <c r="S52" s="148">
        <v>120</v>
      </c>
      <c r="T52" s="151">
        <f t="shared" si="1"/>
        <v>30</v>
      </c>
      <c r="U52" s="148">
        <v>138</v>
      </c>
      <c r="V52" s="152">
        <f t="shared" si="2"/>
        <v>4140</v>
      </c>
      <c r="W52" s="148">
        <v>1</v>
      </c>
      <c r="X52" s="148" t="s">
        <v>46</v>
      </c>
      <c r="Y52" s="148" t="s">
        <v>84</v>
      </c>
      <c r="Z52" s="148" t="s">
        <v>90</v>
      </c>
      <c r="AA52" s="148" t="s">
        <v>69</v>
      </c>
      <c r="AB52" s="148" t="s">
        <v>195</v>
      </c>
    </row>
    <row r="53" spans="1:28" s="158" customFormat="1" x14ac:dyDescent="0.15">
      <c r="A53" s="148" t="s">
        <v>51</v>
      </c>
      <c r="B53" s="148" t="s">
        <v>193</v>
      </c>
      <c r="C53" s="148">
        <v>2018</v>
      </c>
      <c r="D53" s="149" t="s">
        <v>284</v>
      </c>
      <c r="E53" s="148" t="s">
        <v>308</v>
      </c>
      <c r="F53" s="148" t="s">
        <v>286</v>
      </c>
      <c r="G53" s="148" t="s">
        <v>42</v>
      </c>
      <c r="H53" s="148" t="s">
        <v>155</v>
      </c>
      <c r="I53" s="148" t="s">
        <v>153</v>
      </c>
      <c r="J53" s="148" t="s">
        <v>38</v>
      </c>
      <c r="K53" s="148" t="s">
        <v>154</v>
      </c>
      <c r="L53" s="148">
        <v>1</v>
      </c>
      <c r="M53" s="148"/>
      <c r="N53" s="148">
        <v>1</v>
      </c>
      <c r="O53" s="148">
        <v>0.65</v>
      </c>
      <c r="P53" s="148">
        <v>0.5</v>
      </c>
      <c r="Q53" s="150">
        <f t="shared" si="0"/>
        <v>0.57499999999999996</v>
      </c>
      <c r="R53" s="148">
        <v>16.2</v>
      </c>
      <c r="S53" s="148">
        <v>112</v>
      </c>
      <c r="T53" s="151">
        <f t="shared" si="1"/>
        <v>33</v>
      </c>
      <c r="U53" s="148">
        <v>78</v>
      </c>
      <c r="V53" s="152">
        <f t="shared" si="2"/>
        <v>2574</v>
      </c>
      <c r="W53" s="148">
        <v>4</v>
      </c>
      <c r="X53" s="148" t="s">
        <v>46</v>
      </c>
      <c r="Y53" s="148" t="s">
        <v>84</v>
      </c>
      <c r="Z53" s="148" t="s">
        <v>69</v>
      </c>
      <c r="AA53" s="148" t="s">
        <v>40</v>
      </c>
      <c r="AB53" s="148" t="s">
        <v>195</v>
      </c>
    </row>
    <row r="54" spans="1:28" s="158" customFormat="1" x14ac:dyDescent="0.15">
      <c r="A54" s="148" t="s">
        <v>51</v>
      </c>
      <c r="B54" s="148" t="s">
        <v>193</v>
      </c>
      <c r="C54" s="148">
        <v>2018</v>
      </c>
      <c r="D54" s="149" t="s">
        <v>284</v>
      </c>
      <c r="E54" s="148" t="s">
        <v>308</v>
      </c>
      <c r="F54" s="148" t="s">
        <v>286</v>
      </c>
      <c r="G54" s="148" t="s">
        <v>42</v>
      </c>
      <c r="H54" s="148" t="s">
        <v>155</v>
      </c>
      <c r="I54" s="148" t="s">
        <v>153</v>
      </c>
      <c r="J54" s="148" t="s">
        <v>38</v>
      </c>
      <c r="K54" s="148" t="s">
        <v>154</v>
      </c>
      <c r="L54" s="148">
        <v>2</v>
      </c>
      <c r="M54" s="148"/>
      <c r="N54" s="148">
        <v>1</v>
      </c>
      <c r="O54" s="148">
        <v>0.6</v>
      </c>
      <c r="P54" s="148">
        <v>0.65</v>
      </c>
      <c r="Q54" s="150">
        <f t="shared" si="0"/>
        <v>0.625</v>
      </c>
      <c r="R54" s="148">
        <v>15.7</v>
      </c>
      <c r="S54" s="148">
        <v>112</v>
      </c>
      <c r="T54" s="151">
        <f t="shared" si="1"/>
        <v>33</v>
      </c>
      <c r="U54" s="148">
        <v>78</v>
      </c>
      <c r="V54" s="152">
        <f t="shared" si="2"/>
        <v>2574</v>
      </c>
      <c r="W54" s="148">
        <v>4</v>
      </c>
      <c r="X54" s="148" t="s">
        <v>46</v>
      </c>
      <c r="Y54" s="148" t="s">
        <v>84</v>
      </c>
      <c r="Z54" s="148" t="s">
        <v>69</v>
      </c>
      <c r="AA54" s="148" t="s">
        <v>40</v>
      </c>
      <c r="AB54" s="148" t="s">
        <v>195</v>
      </c>
    </row>
    <row r="55" spans="1:28" s="158" customFormat="1" x14ac:dyDescent="0.15">
      <c r="A55" s="148" t="s">
        <v>51</v>
      </c>
      <c r="B55" s="148" t="s">
        <v>193</v>
      </c>
      <c r="C55" s="148">
        <v>2018</v>
      </c>
      <c r="D55" s="149" t="s">
        <v>284</v>
      </c>
      <c r="E55" s="148" t="s">
        <v>308</v>
      </c>
      <c r="F55" s="148" t="s">
        <v>286</v>
      </c>
      <c r="G55" s="148" t="s">
        <v>42</v>
      </c>
      <c r="H55" s="148" t="s">
        <v>155</v>
      </c>
      <c r="I55" s="148" t="s">
        <v>153</v>
      </c>
      <c r="J55" s="148" t="s">
        <v>38</v>
      </c>
      <c r="K55" s="148" t="s">
        <v>154</v>
      </c>
      <c r="L55" s="148">
        <v>3</v>
      </c>
      <c r="M55" s="148"/>
      <c r="N55" s="148">
        <v>1</v>
      </c>
      <c r="O55" s="148">
        <v>0.55000000000000004</v>
      </c>
      <c r="P55" s="148">
        <v>0.6</v>
      </c>
      <c r="Q55" s="150">
        <f t="shared" si="0"/>
        <v>0.57499999999999996</v>
      </c>
      <c r="R55" s="148">
        <v>15</v>
      </c>
      <c r="S55" s="148">
        <v>102</v>
      </c>
      <c r="T55" s="151">
        <f t="shared" si="1"/>
        <v>33</v>
      </c>
      <c r="U55" s="148">
        <v>78</v>
      </c>
      <c r="V55" s="152">
        <f t="shared" si="2"/>
        <v>2574</v>
      </c>
      <c r="W55" s="148">
        <v>4</v>
      </c>
      <c r="X55" s="148" t="s">
        <v>46</v>
      </c>
      <c r="Y55" s="148" t="s">
        <v>84</v>
      </c>
      <c r="Z55" s="148" t="s">
        <v>69</v>
      </c>
      <c r="AA55" s="148" t="s">
        <v>40</v>
      </c>
      <c r="AB55" s="148" t="s">
        <v>195</v>
      </c>
    </row>
    <row r="56" spans="1:28" s="158" customFormat="1" x14ac:dyDescent="0.15">
      <c r="A56" s="148" t="s">
        <v>51</v>
      </c>
      <c r="B56" s="148" t="s">
        <v>193</v>
      </c>
      <c r="C56" s="148">
        <v>2018</v>
      </c>
      <c r="D56" s="149" t="s">
        <v>284</v>
      </c>
      <c r="E56" s="148" t="s">
        <v>308</v>
      </c>
      <c r="F56" s="148" t="s">
        <v>286</v>
      </c>
      <c r="G56" s="148" t="s">
        <v>42</v>
      </c>
      <c r="H56" s="148" t="s">
        <v>174</v>
      </c>
      <c r="I56" s="148" t="s">
        <v>153</v>
      </c>
      <c r="J56" s="148" t="s">
        <v>38</v>
      </c>
      <c r="K56" s="148" t="s">
        <v>313</v>
      </c>
      <c r="L56" s="148">
        <v>1</v>
      </c>
      <c r="M56" s="148"/>
      <c r="N56" s="148">
        <v>1</v>
      </c>
      <c r="O56" s="148">
        <v>0.5</v>
      </c>
      <c r="P56" s="148">
        <v>0.55000000000000004</v>
      </c>
      <c r="Q56" s="150">
        <f t="shared" si="0"/>
        <v>0.52500000000000002</v>
      </c>
      <c r="R56" s="148">
        <v>13.7</v>
      </c>
      <c r="S56" s="148">
        <v>99</v>
      </c>
      <c r="T56" s="151">
        <f t="shared" si="1"/>
        <v>36</v>
      </c>
      <c r="U56" s="148">
        <v>158</v>
      </c>
      <c r="V56" s="152">
        <f t="shared" si="2"/>
        <v>5688</v>
      </c>
      <c r="W56" s="148">
        <v>4</v>
      </c>
      <c r="X56" s="148" t="s">
        <v>46</v>
      </c>
      <c r="Y56" s="148" t="s">
        <v>84</v>
      </c>
      <c r="Z56" s="148" t="s">
        <v>69</v>
      </c>
      <c r="AA56" s="148" t="s">
        <v>40</v>
      </c>
      <c r="AB56" s="148" t="s">
        <v>195</v>
      </c>
    </row>
    <row r="57" spans="1:28" s="158" customFormat="1" x14ac:dyDescent="0.15">
      <c r="A57" s="148" t="s">
        <v>51</v>
      </c>
      <c r="B57" s="148" t="s">
        <v>193</v>
      </c>
      <c r="C57" s="148">
        <v>2018</v>
      </c>
      <c r="D57" s="149" t="s">
        <v>284</v>
      </c>
      <c r="E57" s="148" t="s">
        <v>308</v>
      </c>
      <c r="F57" s="148" t="s">
        <v>286</v>
      </c>
      <c r="G57" s="148" t="s">
        <v>42</v>
      </c>
      <c r="H57" s="148" t="s">
        <v>174</v>
      </c>
      <c r="I57" s="148" t="s">
        <v>153</v>
      </c>
      <c r="J57" s="148" t="s">
        <v>38</v>
      </c>
      <c r="K57" s="148" t="s">
        <v>313</v>
      </c>
      <c r="L57" s="148">
        <v>2</v>
      </c>
      <c r="M57" s="148"/>
      <c r="N57" s="148">
        <v>1</v>
      </c>
      <c r="O57" s="148">
        <v>0.7</v>
      </c>
      <c r="P57" s="148">
        <v>0.6</v>
      </c>
      <c r="Q57" s="150">
        <f t="shared" si="0"/>
        <v>0.64999999999999991</v>
      </c>
      <c r="R57" s="148">
        <v>14.3</v>
      </c>
      <c r="S57" s="148">
        <v>100</v>
      </c>
      <c r="T57" s="151">
        <f t="shared" si="1"/>
        <v>36</v>
      </c>
      <c r="U57" s="148">
        <v>158</v>
      </c>
      <c r="V57" s="152">
        <f t="shared" si="2"/>
        <v>5688</v>
      </c>
      <c r="W57" s="148">
        <v>4</v>
      </c>
      <c r="X57" s="148" t="s">
        <v>46</v>
      </c>
      <c r="Y57" s="148" t="s">
        <v>84</v>
      </c>
      <c r="Z57" s="148" t="s">
        <v>69</v>
      </c>
      <c r="AA57" s="148" t="s">
        <v>40</v>
      </c>
      <c r="AB57" s="148" t="s">
        <v>195</v>
      </c>
    </row>
    <row r="58" spans="1:28" s="158" customFormat="1" x14ac:dyDescent="0.15">
      <c r="A58" s="148" t="s">
        <v>51</v>
      </c>
      <c r="B58" s="148" t="s">
        <v>193</v>
      </c>
      <c r="C58" s="148">
        <v>2018</v>
      </c>
      <c r="D58" s="149" t="s">
        <v>284</v>
      </c>
      <c r="E58" s="148" t="s">
        <v>308</v>
      </c>
      <c r="F58" s="148" t="s">
        <v>286</v>
      </c>
      <c r="G58" s="148" t="s">
        <v>42</v>
      </c>
      <c r="H58" s="148" t="s">
        <v>174</v>
      </c>
      <c r="I58" s="148" t="s">
        <v>153</v>
      </c>
      <c r="J58" s="148" t="s">
        <v>38</v>
      </c>
      <c r="K58" s="148" t="s">
        <v>313</v>
      </c>
      <c r="L58" s="148">
        <v>3</v>
      </c>
      <c r="M58" s="148"/>
      <c r="N58" s="148">
        <v>1</v>
      </c>
      <c r="O58" s="148">
        <v>0.6</v>
      </c>
      <c r="P58" s="148">
        <v>0.55000000000000004</v>
      </c>
      <c r="Q58" s="150">
        <f t="shared" si="0"/>
        <v>0.57499999999999996</v>
      </c>
      <c r="R58" s="148">
        <v>13.5</v>
      </c>
      <c r="S58" s="148">
        <v>99</v>
      </c>
      <c r="T58" s="151">
        <f t="shared" si="1"/>
        <v>36</v>
      </c>
      <c r="U58" s="148">
        <v>158</v>
      </c>
      <c r="V58" s="152">
        <f t="shared" si="2"/>
        <v>5688</v>
      </c>
      <c r="W58" s="148">
        <v>4</v>
      </c>
      <c r="X58" s="148" t="s">
        <v>46</v>
      </c>
      <c r="Y58" s="148" t="s">
        <v>84</v>
      </c>
      <c r="Z58" s="148" t="s">
        <v>69</v>
      </c>
      <c r="AA58" s="148" t="s">
        <v>40</v>
      </c>
      <c r="AB58" s="148" t="s">
        <v>195</v>
      </c>
    </row>
    <row r="59" spans="1:28" s="158" customFormat="1" x14ac:dyDescent="0.15">
      <c r="A59" s="148" t="s">
        <v>51</v>
      </c>
      <c r="B59" s="148" t="s">
        <v>193</v>
      </c>
      <c r="C59" s="148">
        <v>2018</v>
      </c>
      <c r="D59" s="149" t="s">
        <v>284</v>
      </c>
      <c r="E59" s="148" t="s">
        <v>305</v>
      </c>
      <c r="F59" s="148" t="s">
        <v>306</v>
      </c>
      <c r="G59" s="148" t="s">
        <v>36</v>
      </c>
      <c r="H59" s="148" t="s">
        <v>155</v>
      </c>
      <c r="I59" s="148" t="s">
        <v>153</v>
      </c>
      <c r="J59" s="148" t="s">
        <v>38</v>
      </c>
      <c r="K59" s="148" t="s">
        <v>154</v>
      </c>
      <c r="L59" s="158">
        <v>1</v>
      </c>
      <c r="N59" s="148">
        <v>6</v>
      </c>
      <c r="O59" s="158">
        <v>0.85</v>
      </c>
      <c r="P59" s="158">
        <v>0.9</v>
      </c>
      <c r="Q59" s="150">
        <f t="shared" si="0"/>
        <v>0.875</v>
      </c>
      <c r="R59" s="158">
        <v>13.6</v>
      </c>
      <c r="S59" s="158">
        <v>104</v>
      </c>
      <c r="T59" s="151">
        <f t="shared" si="1"/>
        <v>33</v>
      </c>
      <c r="U59" s="148">
        <v>398</v>
      </c>
      <c r="V59" s="152">
        <f t="shared" si="2"/>
        <v>2189</v>
      </c>
      <c r="W59" s="148">
        <v>2</v>
      </c>
      <c r="X59" s="148" t="s">
        <v>46</v>
      </c>
      <c r="Y59" s="148" t="s">
        <v>84</v>
      </c>
      <c r="Z59" s="148" t="s">
        <v>90</v>
      </c>
      <c r="AA59" s="148" t="s">
        <v>69</v>
      </c>
      <c r="AB59" s="148" t="s">
        <v>195</v>
      </c>
    </row>
    <row r="60" spans="1:28" s="158" customFormat="1" x14ac:dyDescent="0.15">
      <c r="A60" s="148" t="s">
        <v>51</v>
      </c>
      <c r="B60" s="148" t="s">
        <v>193</v>
      </c>
      <c r="C60" s="148">
        <v>2018</v>
      </c>
      <c r="D60" s="149" t="s">
        <v>284</v>
      </c>
      <c r="E60" s="148" t="s">
        <v>305</v>
      </c>
      <c r="F60" s="148" t="s">
        <v>306</v>
      </c>
      <c r="G60" s="148" t="s">
        <v>36</v>
      </c>
      <c r="H60" s="148" t="s">
        <v>155</v>
      </c>
      <c r="I60" s="148" t="s">
        <v>153</v>
      </c>
      <c r="J60" s="148" t="s">
        <v>38</v>
      </c>
      <c r="K60" s="148" t="s">
        <v>154</v>
      </c>
      <c r="L60" s="158">
        <v>2</v>
      </c>
      <c r="N60" s="148">
        <v>6</v>
      </c>
      <c r="O60" s="158">
        <v>0.95</v>
      </c>
      <c r="P60" s="158">
        <v>0.8</v>
      </c>
      <c r="Q60" s="150">
        <f t="shared" si="0"/>
        <v>0.875</v>
      </c>
      <c r="R60" s="158">
        <v>13.8</v>
      </c>
      <c r="S60" s="158">
        <v>102</v>
      </c>
      <c r="T60" s="151">
        <f t="shared" si="1"/>
        <v>33</v>
      </c>
      <c r="U60" s="148">
        <v>398</v>
      </c>
      <c r="V60" s="152">
        <f t="shared" si="2"/>
        <v>2189</v>
      </c>
      <c r="W60" s="148">
        <v>2</v>
      </c>
      <c r="X60" s="148" t="s">
        <v>46</v>
      </c>
      <c r="Y60" s="148" t="s">
        <v>84</v>
      </c>
      <c r="Z60" s="148" t="s">
        <v>90</v>
      </c>
      <c r="AA60" s="148" t="s">
        <v>69</v>
      </c>
      <c r="AB60" s="148" t="s">
        <v>195</v>
      </c>
    </row>
    <row r="61" spans="1:28" s="158" customFormat="1" x14ac:dyDescent="0.15">
      <c r="A61" s="148" t="s">
        <v>51</v>
      </c>
      <c r="B61" s="148" t="s">
        <v>193</v>
      </c>
      <c r="C61" s="148">
        <v>2018</v>
      </c>
      <c r="D61" s="149" t="s">
        <v>284</v>
      </c>
      <c r="E61" s="148" t="s">
        <v>305</v>
      </c>
      <c r="F61" s="148" t="s">
        <v>306</v>
      </c>
      <c r="G61" s="148" t="s">
        <v>36</v>
      </c>
      <c r="H61" s="148" t="s">
        <v>155</v>
      </c>
      <c r="I61" s="148" t="s">
        <v>153</v>
      </c>
      <c r="J61" s="148" t="s">
        <v>38</v>
      </c>
      <c r="K61" s="148" t="s">
        <v>154</v>
      </c>
      <c r="L61" s="158">
        <v>3</v>
      </c>
      <c r="N61" s="148">
        <v>6</v>
      </c>
      <c r="O61" s="158">
        <v>0.75</v>
      </c>
      <c r="P61" s="158">
        <v>0.85</v>
      </c>
      <c r="Q61" s="150">
        <f t="shared" si="0"/>
        <v>0.8</v>
      </c>
      <c r="R61" s="158">
        <v>14.1</v>
      </c>
      <c r="S61" s="158">
        <v>104</v>
      </c>
      <c r="T61" s="151">
        <f t="shared" si="1"/>
        <v>33</v>
      </c>
      <c r="U61" s="148">
        <v>398</v>
      </c>
      <c r="V61" s="152">
        <f t="shared" si="2"/>
        <v>2189</v>
      </c>
      <c r="W61" s="148">
        <v>2</v>
      </c>
      <c r="X61" s="148" t="s">
        <v>46</v>
      </c>
      <c r="Y61" s="148" t="s">
        <v>84</v>
      </c>
      <c r="Z61" s="148" t="s">
        <v>90</v>
      </c>
      <c r="AA61" s="148" t="s">
        <v>69</v>
      </c>
      <c r="AB61" s="148" t="s">
        <v>195</v>
      </c>
    </row>
    <row r="62" spans="1:28" s="158" customFormat="1" x14ac:dyDescent="0.15">
      <c r="A62" s="148" t="s">
        <v>51</v>
      </c>
      <c r="B62" s="148" t="s">
        <v>193</v>
      </c>
      <c r="C62" s="148">
        <v>2018</v>
      </c>
      <c r="D62" s="149" t="s">
        <v>284</v>
      </c>
      <c r="E62" s="148" t="s">
        <v>305</v>
      </c>
      <c r="F62" s="148" t="s">
        <v>306</v>
      </c>
      <c r="G62" s="148" t="s">
        <v>36</v>
      </c>
      <c r="H62" s="148" t="s">
        <v>291</v>
      </c>
      <c r="I62" s="148" t="s">
        <v>153</v>
      </c>
      <c r="J62" s="148" t="s">
        <v>80</v>
      </c>
      <c r="K62" s="148" t="s">
        <v>45</v>
      </c>
      <c r="L62" s="158">
        <v>1</v>
      </c>
      <c r="N62" s="148">
        <v>5</v>
      </c>
      <c r="O62" s="158">
        <v>0.75</v>
      </c>
      <c r="P62" s="158">
        <v>0.75</v>
      </c>
      <c r="Q62" s="150">
        <f t="shared" si="0"/>
        <v>0.75</v>
      </c>
      <c r="R62" s="158">
        <v>14</v>
      </c>
      <c r="S62" s="158">
        <v>95</v>
      </c>
      <c r="T62" s="151">
        <f t="shared" si="1"/>
        <v>36</v>
      </c>
      <c r="U62" s="148">
        <v>398</v>
      </c>
      <c r="V62" s="152">
        <f t="shared" si="2"/>
        <v>2865.6</v>
      </c>
      <c r="W62" s="148">
        <v>2</v>
      </c>
      <c r="X62" s="148" t="s">
        <v>39</v>
      </c>
      <c r="Y62" s="148" t="s">
        <v>84</v>
      </c>
      <c r="Z62" s="148" t="s">
        <v>90</v>
      </c>
      <c r="AA62" s="148" t="s">
        <v>69</v>
      </c>
      <c r="AB62" s="148" t="s">
        <v>195</v>
      </c>
    </row>
    <row r="63" spans="1:28" s="158" customFormat="1" x14ac:dyDescent="0.15">
      <c r="A63" s="148" t="s">
        <v>51</v>
      </c>
      <c r="B63" s="148" t="s">
        <v>193</v>
      </c>
      <c r="C63" s="148">
        <v>2018</v>
      </c>
      <c r="D63" s="149" t="s">
        <v>284</v>
      </c>
      <c r="E63" s="148" t="s">
        <v>305</v>
      </c>
      <c r="F63" s="148" t="s">
        <v>306</v>
      </c>
      <c r="G63" s="148" t="s">
        <v>36</v>
      </c>
      <c r="H63" s="148" t="s">
        <v>291</v>
      </c>
      <c r="I63" s="148" t="s">
        <v>153</v>
      </c>
      <c r="J63" s="148" t="s">
        <v>80</v>
      </c>
      <c r="K63" s="148" t="s">
        <v>45</v>
      </c>
      <c r="L63" s="158">
        <v>2</v>
      </c>
      <c r="N63" s="148">
        <v>5</v>
      </c>
      <c r="O63" s="158">
        <v>0.7</v>
      </c>
      <c r="P63" s="158">
        <v>0.75</v>
      </c>
      <c r="Q63" s="150">
        <f t="shared" si="0"/>
        <v>0.72499999999999998</v>
      </c>
      <c r="R63" s="158">
        <v>13.2</v>
      </c>
      <c r="S63" s="158">
        <v>79</v>
      </c>
      <c r="T63" s="151">
        <f t="shared" si="1"/>
        <v>39</v>
      </c>
      <c r="U63" s="148">
        <v>398</v>
      </c>
      <c r="V63" s="152">
        <f t="shared" si="2"/>
        <v>3104.3999999999996</v>
      </c>
      <c r="W63" s="148">
        <v>2</v>
      </c>
      <c r="X63" s="148" t="s">
        <v>39</v>
      </c>
      <c r="Y63" s="148" t="s">
        <v>84</v>
      </c>
      <c r="Z63" s="148" t="s">
        <v>90</v>
      </c>
      <c r="AA63" s="148" t="s">
        <v>69</v>
      </c>
      <c r="AB63" s="148" t="s">
        <v>195</v>
      </c>
    </row>
    <row r="64" spans="1:28" s="158" customFormat="1" x14ac:dyDescent="0.15">
      <c r="A64" s="148" t="s">
        <v>51</v>
      </c>
      <c r="B64" s="148" t="s">
        <v>193</v>
      </c>
      <c r="C64" s="148">
        <v>2018</v>
      </c>
      <c r="D64" s="149" t="s">
        <v>284</v>
      </c>
      <c r="E64" s="148" t="s">
        <v>305</v>
      </c>
      <c r="F64" s="148" t="s">
        <v>306</v>
      </c>
      <c r="G64" s="148" t="s">
        <v>36</v>
      </c>
      <c r="H64" s="148" t="s">
        <v>291</v>
      </c>
      <c r="I64" s="148" t="s">
        <v>153</v>
      </c>
      <c r="J64" s="148" t="s">
        <v>80</v>
      </c>
      <c r="K64" s="148" t="s">
        <v>45</v>
      </c>
      <c r="L64" s="158">
        <v>3</v>
      </c>
      <c r="N64" s="148">
        <v>5</v>
      </c>
      <c r="O64" s="158">
        <v>0.65</v>
      </c>
      <c r="P64" s="158">
        <v>0.7</v>
      </c>
      <c r="Q64" s="150">
        <f t="shared" si="0"/>
        <v>0.67500000000000004</v>
      </c>
      <c r="R64" s="158">
        <v>13.8</v>
      </c>
      <c r="S64" s="158">
        <v>82</v>
      </c>
      <c r="T64" s="151">
        <f t="shared" si="1"/>
        <v>39</v>
      </c>
      <c r="U64" s="148">
        <v>398</v>
      </c>
      <c r="V64" s="152">
        <f t="shared" si="2"/>
        <v>3104.3999999999996</v>
      </c>
      <c r="W64" s="148">
        <v>2</v>
      </c>
      <c r="X64" s="148" t="s">
        <v>39</v>
      </c>
      <c r="Y64" s="148" t="s">
        <v>84</v>
      </c>
      <c r="Z64" s="148" t="s">
        <v>90</v>
      </c>
      <c r="AA64" s="148" t="s">
        <v>69</v>
      </c>
      <c r="AB64" s="148" t="s">
        <v>195</v>
      </c>
    </row>
    <row r="65" spans="1:28" s="158" customFormat="1" x14ac:dyDescent="0.15">
      <c r="A65" s="148"/>
      <c r="B65" s="148"/>
      <c r="C65" s="148"/>
      <c r="D65" s="149"/>
      <c r="E65" s="148"/>
      <c r="F65" s="148"/>
      <c r="G65" s="148"/>
      <c r="H65" s="148"/>
      <c r="I65" s="148"/>
      <c r="J65" s="148"/>
      <c r="K65" s="148"/>
      <c r="N65" s="148"/>
      <c r="Q65" s="151" t="str">
        <f t="shared" si="0"/>
        <v/>
      </c>
      <c r="T65" s="151" t="str">
        <f t="shared" si="1"/>
        <v/>
      </c>
      <c r="U65" s="148"/>
      <c r="V65" s="151" t="str">
        <f t="shared" si="2"/>
        <v/>
      </c>
      <c r="W65" s="148"/>
      <c r="X65" s="148"/>
      <c r="Y65" s="148"/>
      <c r="Z65" s="148"/>
      <c r="AA65" s="148"/>
      <c r="AB65" s="148"/>
    </row>
    <row r="66" spans="1:28" x14ac:dyDescent="0.15">
      <c r="A66" s="148"/>
      <c r="B66" s="148"/>
      <c r="C66" s="173"/>
      <c r="D66" s="174"/>
      <c r="E66" s="148"/>
      <c r="F66" s="148"/>
      <c r="G66" s="173"/>
      <c r="H66" s="173"/>
      <c r="I66" s="173"/>
      <c r="J66" s="173"/>
      <c r="K66" s="148"/>
      <c r="N66" s="173"/>
      <c r="Q66" s="175" t="str">
        <f t="shared" ref="Q66:Q85" si="3">IF(OR(O66="",P66=""),"",AVERAGE(O66,P66))</f>
        <v/>
      </c>
      <c r="T66" s="175" t="str">
        <f t="shared" ref="T66:T85" si="4">IF(H66="","",IF(OR(H66="GREEN",H66="GK"),IF(S66&gt;=$AX$2,VLOOKUP(S66,$AX$2:$AY$12,2,1),""),IF(S66&gt;=$AZ$2,VLOOKUP(S66,$AZ$2:$BA$12,2,1),"")))</f>
        <v/>
      </c>
      <c r="U66" s="173"/>
      <c r="V66" s="175" t="str">
        <f t="shared" ref="V66:V85" si="5">IF(OR(N66="",U66="",T66=""),"",U66/N66*T66)</f>
        <v/>
      </c>
      <c r="W66" s="173"/>
      <c r="X66" s="173"/>
      <c r="Y66" s="173"/>
      <c r="Z66" s="173"/>
      <c r="AA66" s="173"/>
      <c r="AB66" s="148"/>
    </row>
    <row r="67" spans="1:28" x14ac:dyDescent="0.15">
      <c r="A67" s="148"/>
      <c r="B67" s="148"/>
      <c r="C67" s="173"/>
      <c r="D67" s="174"/>
      <c r="E67" s="148"/>
      <c r="F67" s="148"/>
      <c r="G67" s="173"/>
      <c r="H67" s="173"/>
      <c r="I67" s="173"/>
      <c r="J67" s="173"/>
      <c r="K67" s="148"/>
      <c r="N67" s="173"/>
      <c r="O67" s="158"/>
      <c r="Q67" s="175" t="str">
        <f t="shared" si="3"/>
        <v/>
      </c>
      <c r="T67" s="175" t="str">
        <f t="shared" si="4"/>
        <v/>
      </c>
      <c r="U67" s="173"/>
      <c r="V67" s="175" t="str">
        <f t="shared" si="5"/>
        <v/>
      </c>
      <c r="W67" s="173"/>
      <c r="X67" s="173"/>
      <c r="Y67" s="173"/>
      <c r="Z67" s="173"/>
      <c r="AA67" s="173"/>
      <c r="AB67" s="148"/>
    </row>
    <row r="68" spans="1:28" x14ac:dyDescent="0.15">
      <c r="A68" s="148"/>
      <c r="B68" s="148"/>
      <c r="C68" s="173"/>
      <c r="D68" s="174"/>
      <c r="E68" s="148"/>
      <c r="F68" s="148"/>
      <c r="G68" s="173"/>
      <c r="H68" s="173"/>
      <c r="I68" s="173"/>
      <c r="J68" s="173"/>
      <c r="K68" s="148"/>
      <c r="N68" s="173"/>
      <c r="Q68" s="175" t="str">
        <f t="shared" si="3"/>
        <v/>
      </c>
      <c r="T68" s="175" t="str">
        <f t="shared" si="4"/>
        <v/>
      </c>
      <c r="V68" s="175" t="str">
        <f t="shared" si="5"/>
        <v/>
      </c>
      <c r="W68" s="173"/>
      <c r="X68" s="173"/>
      <c r="Y68" s="173"/>
      <c r="Z68" s="173"/>
      <c r="AA68" s="173"/>
      <c r="AB68" s="148"/>
    </row>
    <row r="69" spans="1:28" x14ac:dyDescent="0.15">
      <c r="A69" s="148"/>
      <c r="B69" s="148"/>
      <c r="C69" s="173"/>
      <c r="D69" s="174"/>
      <c r="E69" s="148"/>
      <c r="F69" s="148"/>
      <c r="G69" s="173"/>
      <c r="H69" s="173"/>
      <c r="I69" s="173"/>
      <c r="J69" s="173"/>
      <c r="K69" s="148"/>
      <c r="N69" s="173"/>
      <c r="O69" s="158"/>
      <c r="Q69" s="175" t="str">
        <f t="shared" si="3"/>
        <v/>
      </c>
      <c r="T69" s="175" t="str">
        <f t="shared" si="4"/>
        <v/>
      </c>
      <c r="V69" s="175" t="str">
        <f t="shared" si="5"/>
        <v/>
      </c>
      <c r="W69" s="173"/>
      <c r="X69" s="173"/>
      <c r="Y69" s="173"/>
      <c r="Z69" s="173"/>
      <c r="AA69" s="173"/>
      <c r="AB69" s="148"/>
    </row>
    <row r="70" spans="1:28" x14ac:dyDescent="0.15">
      <c r="A70" s="148"/>
      <c r="B70" s="148"/>
      <c r="C70" s="173"/>
      <c r="D70" s="174"/>
      <c r="E70" s="148"/>
      <c r="F70" s="148"/>
      <c r="G70" s="173"/>
      <c r="H70" s="173"/>
      <c r="I70" s="173"/>
      <c r="J70" s="173"/>
      <c r="K70" s="148"/>
      <c r="N70" s="173"/>
      <c r="Q70" s="175" t="str">
        <f t="shared" si="3"/>
        <v/>
      </c>
      <c r="T70" s="175" t="str">
        <f t="shared" si="4"/>
        <v/>
      </c>
      <c r="V70" s="175" t="str">
        <f t="shared" si="5"/>
        <v/>
      </c>
      <c r="W70" s="173"/>
      <c r="X70" s="173"/>
      <c r="Y70" s="173"/>
      <c r="Z70" s="173"/>
      <c r="AA70" s="173"/>
      <c r="AB70" s="148"/>
    </row>
    <row r="71" spans="1:28" x14ac:dyDescent="0.15">
      <c r="A71" s="148"/>
      <c r="B71" s="148"/>
      <c r="C71" s="173"/>
      <c r="D71" s="174"/>
      <c r="E71" s="148"/>
      <c r="F71" s="148"/>
      <c r="G71" s="173"/>
      <c r="H71" s="173"/>
      <c r="I71" s="173"/>
      <c r="J71" s="173"/>
      <c r="K71" s="148"/>
      <c r="N71" s="173"/>
      <c r="Q71" s="175" t="str">
        <f t="shared" si="3"/>
        <v/>
      </c>
      <c r="T71" s="175" t="str">
        <f t="shared" si="4"/>
        <v/>
      </c>
      <c r="V71" s="175" t="str">
        <f t="shared" si="5"/>
        <v/>
      </c>
      <c r="W71" s="173"/>
      <c r="X71" s="173"/>
      <c r="Y71" s="173"/>
      <c r="Z71" s="173"/>
      <c r="AA71" s="173"/>
      <c r="AB71" s="148"/>
    </row>
    <row r="72" spans="1:28" x14ac:dyDescent="0.15">
      <c r="A72" s="148"/>
      <c r="B72" s="148"/>
      <c r="C72" s="173"/>
      <c r="D72" s="174"/>
      <c r="E72" s="148"/>
      <c r="F72" s="148"/>
      <c r="G72" s="173"/>
      <c r="H72" s="173"/>
      <c r="I72" s="173"/>
      <c r="J72" s="173"/>
      <c r="K72" s="148"/>
      <c r="N72" s="173"/>
      <c r="Q72" s="175" t="str">
        <f t="shared" si="3"/>
        <v/>
      </c>
      <c r="T72" s="175" t="str">
        <f t="shared" si="4"/>
        <v/>
      </c>
      <c r="V72" s="175" t="str">
        <f t="shared" si="5"/>
        <v/>
      </c>
      <c r="W72" s="173"/>
      <c r="X72" s="173"/>
      <c r="Y72" s="173"/>
      <c r="Z72" s="173"/>
      <c r="AA72" s="173"/>
      <c r="AB72" s="148"/>
    </row>
    <row r="73" spans="1:28" x14ac:dyDescent="0.15">
      <c r="A73" s="148"/>
      <c r="B73" s="148"/>
      <c r="C73" s="173"/>
      <c r="D73" s="174"/>
      <c r="E73" s="148"/>
      <c r="F73" s="148"/>
      <c r="G73" s="173"/>
      <c r="H73" s="173"/>
      <c r="I73" s="173"/>
      <c r="J73" s="173"/>
      <c r="K73" s="148"/>
      <c r="N73" s="173"/>
      <c r="P73" s="158"/>
      <c r="Q73" s="175" t="str">
        <f t="shared" si="3"/>
        <v/>
      </c>
      <c r="T73" s="175" t="str">
        <f t="shared" si="4"/>
        <v/>
      </c>
      <c r="V73" s="175" t="str">
        <f t="shared" si="5"/>
        <v/>
      </c>
      <c r="W73" s="173"/>
      <c r="X73" s="173"/>
      <c r="Y73" s="173"/>
      <c r="Z73" s="173"/>
      <c r="AA73" s="173"/>
      <c r="AB73" s="148"/>
    </row>
    <row r="74" spans="1:28" x14ac:dyDescent="0.15">
      <c r="A74" s="148"/>
      <c r="B74" s="148"/>
      <c r="C74" s="173"/>
      <c r="D74" s="174"/>
      <c r="E74" s="148"/>
      <c r="F74" s="148"/>
      <c r="G74" s="173"/>
      <c r="H74" s="173"/>
      <c r="I74" s="173"/>
      <c r="J74" s="173"/>
      <c r="K74" s="148"/>
      <c r="N74" s="173"/>
      <c r="Q74" s="175" t="str">
        <f t="shared" si="3"/>
        <v/>
      </c>
      <c r="T74" s="175" t="str">
        <f t="shared" si="4"/>
        <v/>
      </c>
      <c r="V74" s="175" t="str">
        <f t="shared" si="5"/>
        <v/>
      </c>
      <c r="W74" s="173"/>
      <c r="X74" s="173"/>
      <c r="Y74" s="173"/>
      <c r="Z74" s="173"/>
      <c r="AA74" s="173"/>
      <c r="AB74" s="148"/>
    </row>
    <row r="75" spans="1:28" x14ac:dyDescent="0.15">
      <c r="A75" s="148"/>
      <c r="B75" s="148"/>
      <c r="C75" s="173"/>
      <c r="D75" s="174"/>
      <c r="E75" s="148"/>
      <c r="F75" s="148"/>
      <c r="G75" s="173"/>
      <c r="H75" s="173"/>
      <c r="I75" s="173"/>
      <c r="J75" s="173"/>
      <c r="K75" s="148"/>
      <c r="N75" s="173"/>
      <c r="Q75" s="175" t="str">
        <f t="shared" si="3"/>
        <v/>
      </c>
      <c r="T75" s="175" t="str">
        <f t="shared" si="4"/>
        <v/>
      </c>
      <c r="V75" s="175" t="str">
        <f t="shared" si="5"/>
        <v/>
      </c>
      <c r="W75" s="173"/>
      <c r="X75" s="173"/>
      <c r="Y75" s="173"/>
      <c r="Z75" s="173"/>
      <c r="AA75" s="173"/>
      <c r="AB75" s="148"/>
    </row>
    <row r="76" spans="1:28" x14ac:dyDescent="0.15">
      <c r="A76" s="148"/>
      <c r="B76" s="148"/>
      <c r="C76" s="173"/>
      <c r="D76" s="174"/>
      <c r="E76" s="148"/>
      <c r="F76" s="148"/>
      <c r="G76" s="173"/>
      <c r="H76" s="173"/>
      <c r="I76" s="173"/>
      <c r="J76" s="173"/>
      <c r="K76" s="148"/>
      <c r="N76" s="173"/>
      <c r="Q76" s="175" t="str">
        <f t="shared" si="3"/>
        <v/>
      </c>
      <c r="T76" s="175" t="str">
        <f t="shared" si="4"/>
        <v/>
      </c>
      <c r="V76" s="175" t="str">
        <f t="shared" si="5"/>
        <v/>
      </c>
      <c r="W76" s="173"/>
      <c r="X76" s="173"/>
      <c r="Y76" s="173"/>
      <c r="Z76" s="173"/>
      <c r="AA76" s="173"/>
      <c r="AB76" s="148"/>
    </row>
    <row r="77" spans="1:28" x14ac:dyDescent="0.15">
      <c r="A77" s="148"/>
      <c r="B77" s="148"/>
      <c r="C77" s="173"/>
      <c r="D77" s="174"/>
      <c r="E77" s="148"/>
      <c r="F77" s="148"/>
      <c r="G77" s="173"/>
      <c r="H77" s="173"/>
      <c r="I77" s="173"/>
      <c r="J77" s="173"/>
      <c r="K77" s="148"/>
      <c r="N77" s="173"/>
      <c r="Q77" s="175" t="str">
        <f t="shared" si="3"/>
        <v/>
      </c>
      <c r="T77" s="175" t="str">
        <f t="shared" si="4"/>
        <v/>
      </c>
      <c r="V77" s="175" t="str">
        <f t="shared" si="5"/>
        <v/>
      </c>
      <c r="W77" s="173"/>
      <c r="X77" s="173"/>
      <c r="Y77" s="173"/>
      <c r="Z77" s="173"/>
      <c r="AA77" s="173"/>
      <c r="AB77" s="148"/>
    </row>
    <row r="78" spans="1:28" x14ac:dyDescent="0.15">
      <c r="A78" s="148"/>
      <c r="B78" s="148"/>
      <c r="C78" s="173"/>
      <c r="D78" s="174"/>
      <c r="E78" s="148"/>
      <c r="F78" s="148"/>
      <c r="G78" s="173"/>
      <c r="H78" s="173"/>
      <c r="I78" s="173"/>
      <c r="J78" s="173"/>
      <c r="K78" s="148"/>
      <c r="N78" s="173"/>
      <c r="Q78" s="175" t="str">
        <f t="shared" si="3"/>
        <v/>
      </c>
      <c r="T78" s="175" t="str">
        <f t="shared" si="4"/>
        <v/>
      </c>
      <c r="V78" s="175" t="str">
        <f t="shared" si="5"/>
        <v/>
      </c>
      <c r="W78" s="173"/>
      <c r="X78" s="173"/>
      <c r="Y78" s="173"/>
      <c r="Z78" s="173"/>
      <c r="AA78" s="173"/>
      <c r="AB78" s="148"/>
    </row>
    <row r="79" spans="1:28" x14ac:dyDescent="0.15">
      <c r="A79" s="148"/>
      <c r="B79" s="148"/>
      <c r="C79" s="173"/>
      <c r="D79" s="174"/>
      <c r="E79" s="148"/>
      <c r="F79" s="148"/>
      <c r="G79" s="173"/>
      <c r="H79" s="173"/>
      <c r="I79" s="173"/>
      <c r="J79" s="173"/>
      <c r="K79" s="148"/>
      <c r="N79" s="173"/>
      <c r="Q79" s="175" t="str">
        <f t="shared" si="3"/>
        <v/>
      </c>
      <c r="R79" s="158"/>
      <c r="T79" s="175" t="str">
        <f t="shared" si="4"/>
        <v/>
      </c>
      <c r="V79" s="175" t="str">
        <f t="shared" si="5"/>
        <v/>
      </c>
      <c r="W79" s="173"/>
      <c r="X79" s="173"/>
      <c r="Y79" s="173"/>
      <c r="Z79" s="173"/>
      <c r="AA79" s="173"/>
      <c r="AB79" s="148"/>
    </row>
    <row r="80" spans="1:28" x14ac:dyDescent="0.15">
      <c r="A80" s="148"/>
      <c r="B80" s="148"/>
      <c r="C80" s="173"/>
      <c r="D80" s="174"/>
      <c r="E80" s="148"/>
      <c r="F80" s="148"/>
      <c r="G80" s="173"/>
      <c r="H80" s="173"/>
      <c r="I80" s="173"/>
      <c r="J80" s="173"/>
      <c r="K80" s="148"/>
      <c r="N80" s="173"/>
      <c r="Q80" s="175" t="str">
        <f t="shared" si="3"/>
        <v/>
      </c>
      <c r="T80" s="175" t="str">
        <f t="shared" si="4"/>
        <v/>
      </c>
      <c r="V80" s="175" t="str">
        <f t="shared" si="5"/>
        <v/>
      </c>
      <c r="W80" s="173"/>
      <c r="X80" s="173"/>
      <c r="Y80" s="173"/>
      <c r="Z80" s="173"/>
      <c r="AA80" s="173"/>
      <c r="AB80" s="148"/>
    </row>
    <row r="81" spans="1:28" x14ac:dyDescent="0.15">
      <c r="A81" s="148"/>
      <c r="B81" s="148"/>
      <c r="C81" s="173"/>
      <c r="D81" s="174"/>
      <c r="E81" s="148"/>
      <c r="F81" s="148"/>
      <c r="G81" s="173"/>
      <c r="H81" s="173"/>
      <c r="I81" s="173"/>
      <c r="J81" s="173"/>
      <c r="K81" s="148"/>
      <c r="N81" s="173"/>
      <c r="Q81" s="175" t="str">
        <f t="shared" si="3"/>
        <v/>
      </c>
      <c r="T81" s="175" t="str">
        <f t="shared" si="4"/>
        <v/>
      </c>
      <c r="V81" s="175" t="str">
        <f t="shared" si="5"/>
        <v/>
      </c>
      <c r="W81" s="173"/>
      <c r="X81" s="173"/>
      <c r="Y81" s="173"/>
      <c r="Z81" s="173"/>
      <c r="AA81" s="173"/>
      <c r="AB81" s="148"/>
    </row>
    <row r="82" spans="1:28" x14ac:dyDescent="0.15">
      <c r="A82" s="148"/>
      <c r="B82" s="148"/>
      <c r="C82" s="173"/>
      <c r="D82" s="174"/>
      <c r="E82" s="148"/>
      <c r="F82" s="148"/>
      <c r="G82" s="173"/>
      <c r="H82" s="173"/>
      <c r="I82" s="173"/>
      <c r="J82" s="173"/>
      <c r="K82" s="148"/>
      <c r="N82" s="173"/>
      <c r="Q82" s="175" t="str">
        <f t="shared" si="3"/>
        <v/>
      </c>
      <c r="T82" s="175" t="str">
        <f t="shared" si="4"/>
        <v/>
      </c>
      <c r="V82" s="175" t="str">
        <f t="shared" si="5"/>
        <v/>
      </c>
      <c r="W82" s="173"/>
      <c r="X82" s="173"/>
      <c r="Y82" s="173"/>
      <c r="Z82" s="173"/>
      <c r="AA82" s="173"/>
      <c r="AB82" s="148"/>
    </row>
    <row r="83" spans="1:28" x14ac:dyDescent="0.15">
      <c r="A83" s="148"/>
      <c r="B83" s="148"/>
      <c r="C83" s="173"/>
      <c r="D83" s="174"/>
      <c r="E83" s="148"/>
      <c r="F83" s="148"/>
      <c r="G83" s="173"/>
      <c r="H83" s="173"/>
      <c r="I83" s="173"/>
      <c r="J83" s="173"/>
      <c r="K83" s="148"/>
      <c r="N83" s="173"/>
      <c r="Q83" s="175" t="str">
        <f t="shared" si="3"/>
        <v/>
      </c>
      <c r="T83" s="175" t="str">
        <f t="shared" si="4"/>
        <v/>
      </c>
      <c r="V83" s="175" t="str">
        <f t="shared" si="5"/>
        <v/>
      </c>
      <c r="W83" s="173"/>
      <c r="X83" s="173"/>
      <c r="Y83" s="173"/>
      <c r="Z83" s="173"/>
      <c r="AA83" s="173"/>
      <c r="AB83" s="148"/>
    </row>
    <row r="84" spans="1:28" x14ac:dyDescent="0.15">
      <c r="A84" s="148"/>
      <c r="B84" s="148"/>
      <c r="C84" s="173"/>
      <c r="D84" s="174"/>
      <c r="E84" s="148"/>
      <c r="F84" s="148"/>
      <c r="G84" s="173"/>
      <c r="H84" s="173"/>
      <c r="I84" s="173"/>
      <c r="J84" s="173"/>
      <c r="K84" s="148"/>
      <c r="N84" s="173"/>
      <c r="Q84" s="175" t="str">
        <f t="shared" si="3"/>
        <v/>
      </c>
      <c r="T84" s="175" t="str">
        <f t="shared" si="4"/>
        <v/>
      </c>
      <c r="V84" s="175" t="str">
        <f t="shared" si="5"/>
        <v/>
      </c>
      <c r="W84" s="173"/>
      <c r="X84" s="173"/>
      <c r="Y84" s="173"/>
      <c r="Z84" s="173"/>
      <c r="AA84" s="173"/>
      <c r="AB84" s="148"/>
    </row>
    <row r="85" spans="1:28" x14ac:dyDescent="0.15">
      <c r="A85" s="148"/>
      <c r="B85" s="148"/>
      <c r="C85" s="173"/>
      <c r="D85" s="174"/>
      <c r="E85" s="148"/>
      <c r="F85" s="148"/>
      <c r="G85" s="173"/>
      <c r="H85" s="173"/>
      <c r="I85" s="173"/>
      <c r="J85" s="173"/>
      <c r="K85" s="148"/>
      <c r="N85" s="173"/>
      <c r="Q85" s="175" t="str">
        <f t="shared" si="3"/>
        <v/>
      </c>
      <c r="T85" s="175" t="str">
        <f t="shared" si="4"/>
        <v/>
      </c>
      <c r="V85" s="175" t="str">
        <f t="shared" si="5"/>
        <v/>
      </c>
      <c r="W85" s="173"/>
      <c r="X85" s="173"/>
      <c r="Y85" s="173"/>
      <c r="Z85" s="173"/>
      <c r="AA85" s="173"/>
      <c r="AB85" s="148"/>
    </row>
    <row r="86" spans="1:28" x14ac:dyDescent="0.15">
      <c r="A86" s="148"/>
      <c r="B86" s="148"/>
      <c r="C86" s="173"/>
      <c r="D86" s="174"/>
      <c r="E86" s="148"/>
      <c r="F86" s="148"/>
      <c r="G86" s="173"/>
      <c r="H86" s="173"/>
      <c r="I86" s="173"/>
      <c r="J86" s="173"/>
      <c r="K86" s="148"/>
      <c r="N86" s="173"/>
      <c r="W86" s="173"/>
      <c r="X86" s="173"/>
      <c r="Y86" s="173"/>
      <c r="Z86" s="173"/>
      <c r="AA86" s="173"/>
      <c r="AB86" s="148"/>
    </row>
    <row r="87" spans="1:28" x14ac:dyDescent="0.15">
      <c r="A87" s="148"/>
      <c r="B87" s="148"/>
      <c r="C87" s="173"/>
      <c r="D87" s="174"/>
      <c r="E87" s="148"/>
      <c r="F87" s="148"/>
      <c r="G87" s="173"/>
      <c r="H87" s="173"/>
      <c r="I87" s="173"/>
      <c r="J87" s="173"/>
      <c r="K87" s="148"/>
      <c r="N87" s="173"/>
      <c r="W87" s="173"/>
      <c r="X87" s="173"/>
      <c r="Y87" s="173"/>
      <c r="Z87" s="173"/>
      <c r="AA87" s="173"/>
      <c r="AB87" s="148"/>
    </row>
    <row r="88" spans="1:28" x14ac:dyDescent="0.15">
      <c r="A88" s="148"/>
      <c r="B88" s="148"/>
      <c r="C88" s="173"/>
      <c r="D88" s="174"/>
      <c r="E88" s="148"/>
      <c r="F88" s="148"/>
      <c r="G88" s="173"/>
      <c r="H88" s="173"/>
      <c r="I88" s="173"/>
      <c r="J88" s="173"/>
      <c r="K88" s="148"/>
      <c r="N88" s="173"/>
      <c r="W88" s="173"/>
      <c r="X88" s="173"/>
      <c r="Y88" s="173"/>
      <c r="Z88" s="173"/>
      <c r="AA88" s="173"/>
      <c r="AB88" s="148"/>
    </row>
    <row r="89" spans="1:28" x14ac:dyDescent="0.15">
      <c r="A89" s="148"/>
      <c r="B89" s="148"/>
      <c r="C89" s="173"/>
      <c r="D89" s="174"/>
      <c r="E89" s="148"/>
      <c r="F89" s="148"/>
      <c r="G89" s="173"/>
      <c r="H89" s="173"/>
      <c r="I89" s="173"/>
      <c r="J89" s="173"/>
      <c r="K89" s="148"/>
      <c r="N89" s="173"/>
      <c r="W89" s="173"/>
      <c r="X89" s="173"/>
      <c r="Y89" s="173"/>
      <c r="Z89" s="173"/>
      <c r="AA89" s="173"/>
      <c r="AB89" s="148"/>
    </row>
    <row r="90" spans="1:28" x14ac:dyDescent="0.15">
      <c r="A90" s="148"/>
      <c r="B90" s="148"/>
      <c r="C90" s="173"/>
      <c r="D90" s="174"/>
      <c r="E90" s="148"/>
      <c r="F90" s="148"/>
      <c r="G90" s="173"/>
      <c r="H90" s="173"/>
      <c r="I90" s="173"/>
      <c r="J90" s="173"/>
      <c r="K90" s="173"/>
      <c r="N90" s="173"/>
      <c r="W90" s="173"/>
      <c r="X90" s="173"/>
      <c r="Y90" s="173"/>
      <c r="Z90" s="173"/>
      <c r="AA90" s="173"/>
      <c r="AB90" s="148"/>
    </row>
    <row r="91" spans="1:28" x14ac:dyDescent="0.15">
      <c r="A91" s="148"/>
      <c r="B91" s="148"/>
      <c r="C91" s="173"/>
      <c r="D91" s="174"/>
      <c r="E91" s="148"/>
      <c r="F91" s="148"/>
      <c r="G91" s="173"/>
      <c r="H91" s="173"/>
      <c r="I91" s="173"/>
      <c r="J91" s="173"/>
      <c r="K91" s="173"/>
      <c r="N91" s="173"/>
      <c r="W91" s="173"/>
      <c r="X91" s="173"/>
      <c r="Y91" s="173"/>
      <c r="Z91" s="173"/>
      <c r="AA91" s="173"/>
      <c r="AB91" s="148"/>
    </row>
    <row r="92" spans="1:28" x14ac:dyDescent="0.15">
      <c r="E92" s="148"/>
      <c r="F92" s="148"/>
    </row>
    <row r="93" spans="1:28" x14ac:dyDescent="0.15">
      <c r="E93" s="148"/>
      <c r="F93" s="148"/>
    </row>
    <row r="94" spans="1:28" x14ac:dyDescent="0.15">
      <c r="E94" s="148"/>
      <c r="F94" s="148"/>
    </row>
    <row r="95" spans="1:28" x14ac:dyDescent="0.15">
      <c r="E95" s="148"/>
      <c r="F95" s="148"/>
    </row>
    <row r="96" spans="1:28" x14ac:dyDescent="0.15">
      <c r="E96" s="148"/>
      <c r="F96" s="148"/>
    </row>
    <row r="97" spans="5:6" x14ac:dyDescent="0.15">
      <c r="E97" s="148"/>
      <c r="F97" s="148"/>
    </row>
    <row r="98" spans="5:6" x14ac:dyDescent="0.15">
      <c r="E98" s="148"/>
      <c r="F98" s="148"/>
    </row>
    <row r="99" spans="5:6" x14ac:dyDescent="0.15">
      <c r="E99" s="148"/>
      <c r="F99" s="148"/>
    </row>
    <row r="100" spans="5:6" x14ac:dyDescent="0.15">
      <c r="E100" s="148"/>
      <c r="F100" s="148"/>
    </row>
    <row r="101" spans="5:6" x14ac:dyDescent="0.15">
      <c r="E101" s="148"/>
      <c r="F101" s="148"/>
    </row>
    <row r="102" spans="5:6" x14ac:dyDescent="0.15">
      <c r="E102" s="148"/>
      <c r="F102" s="148"/>
    </row>
    <row r="103" spans="5:6" x14ac:dyDescent="0.15">
      <c r="E103" s="148"/>
      <c r="F103" s="148"/>
    </row>
    <row r="104" spans="5:6" x14ac:dyDescent="0.15">
      <c r="E104" s="148"/>
      <c r="F104" s="148"/>
    </row>
    <row r="105" spans="5:6" x14ac:dyDescent="0.15">
      <c r="E105" s="148"/>
      <c r="F105" s="148"/>
    </row>
    <row r="106" spans="5:6" x14ac:dyDescent="0.15">
      <c r="E106" s="148"/>
      <c r="F106" s="148"/>
    </row>
    <row r="107" spans="5:6" x14ac:dyDescent="0.15">
      <c r="E107" s="148"/>
      <c r="F107" s="148"/>
    </row>
    <row r="108" spans="5:6" x14ac:dyDescent="0.15">
      <c r="E108" s="148"/>
      <c r="F108" s="148"/>
    </row>
    <row r="109" spans="5:6" x14ac:dyDescent="0.15">
      <c r="E109" s="148"/>
      <c r="F109" s="148"/>
    </row>
    <row r="110" spans="5:6" x14ac:dyDescent="0.15">
      <c r="E110" s="148"/>
      <c r="F110" s="148"/>
    </row>
    <row r="111" spans="5:6" x14ac:dyDescent="0.15">
      <c r="E111" s="148"/>
      <c r="F111" s="148"/>
    </row>
    <row r="112" spans="5:6" x14ac:dyDescent="0.15">
      <c r="E112" s="148"/>
      <c r="F112" s="148"/>
    </row>
    <row r="113" spans="5:6" x14ac:dyDescent="0.15">
      <c r="E113" s="148"/>
      <c r="F113" s="148"/>
    </row>
    <row r="114" spans="5:6" x14ac:dyDescent="0.15">
      <c r="E114" s="148"/>
      <c r="F114" s="148"/>
    </row>
    <row r="115" spans="5:6" x14ac:dyDescent="0.15">
      <c r="E115" s="148"/>
      <c r="F115" s="148"/>
    </row>
    <row r="116" spans="5:6" x14ac:dyDescent="0.15">
      <c r="E116" s="148"/>
      <c r="F116" s="148"/>
    </row>
    <row r="117" spans="5:6" x14ac:dyDescent="0.15">
      <c r="E117" s="148"/>
      <c r="F117" s="148"/>
    </row>
    <row r="118" spans="5:6" x14ac:dyDescent="0.15">
      <c r="E118" s="148"/>
      <c r="F118" s="148"/>
    </row>
    <row r="119" spans="5:6" x14ac:dyDescent="0.15">
      <c r="E119" s="148"/>
      <c r="F119" s="148"/>
    </row>
    <row r="120" spans="5:6" x14ac:dyDescent="0.15">
      <c r="E120" s="148"/>
      <c r="F120" s="148"/>
    </row>
    <row r="121" spans="5:6" x14ac:dyDescent="0.15">
      <c r="E121" s="148"/>
      <c r="F121" s="148"/>
    </row>
    <row r="122" spans="5:6" x14ac:dyDescent="0.15">
      <c r="E122" s="148"/>
      <c r="F122" s="148"/>
    </row>
    <row r="123" spans="5:6" x14ac:dyDescent="0.15">
      <c r="E123" s="148"/>
      <c r="F123" s="148"/>
    </row>
    <row r="124" spans="5:6" x14ac:dyDescent="0.15">
      <c r="E124" s="148"/>
      <c r="F124" s="148"/>
    </row>
    <row r="125" spans="5:6" x14ac:dyDescent="0.15">
      <c r="E125" s="148"/>
      <c r="F125" s="148"/>
    </row>
    <row r="126" spans="5:6" x14ac:dyDescent="0.15">
      <c r="E126" s="148"/>
      <c r="F126" s="148"/>
    </row>
    <row r="127" spans="5:6" x14ac:dyDescent="0.15">
      <c r="E127" s="148"/>
      <c r="F127" s="148"/>
    </row>
    <row r="128" spans="5:6" x14ac:dyDescent="0.15">
      <c r="E128" s="148"/>
      <c r="F128" s="148"/>
    </row>
    <row r="129" spans="5:6" x14ac:dyDescent="0.15">
      <c r="E129" s="148"/>
      <c r="F129" s="148"/>
    </row>
    <row r="130" spans="5:6" x14ac:dyDescent="0.15">
      <c r="E130" s="148"/>
      <c r="F130" s="148"/>
    </row>
    <row r="131" spans="5:6" x14ac:dyDescent="0.15">
      <c r="E131" s="148"/>
      <c r="F131" s="148"/>
    </row>
    <row r="132" spans="5:6" x14ac:dyDescent="0.15">
      <c r="E132" s="148"/>
      <c r="F132" s="148"/>
    </row>
    <row r="133" spans="5:6" x14ac:dyDescent="0.15">
      <c r="E133" s="148"/>
      <c r="F133" s="148"/>
    </row>
    <row r="134" spans="5:6" x14ac:dyDescent="0.15">
      <c r="E134" s="148"/>
      <c r="F134" s="148"/>
    </row>
    <row r="135" spans="5:6" x14ac:dyDescent="0.15">
      <c r="E135" s="148"/>
      <c r="F135" s="148"/>
    </row>
    <row r="136" spans="5:6" x14ac:dyDescent="0.15">
      <c r="E136" s="148"/>
      <c r="F136" s="148"/>
    </row>
    <row r="137" spans="5:6" x14ac:dyDescent="0.15">
      <c r="E137" s="148"/>
      <c r="F137" s="148"/>
    </row>
    <row r="138" spans="5:6" x14ac:dyDescent="0.15">
      <c r="E138" s="148"/>
      <c r="F138" s="148"/>
    </row>
    <row r="139" spans="5:6" x14ac:dyDescent="0.15">
      <c r="E139" s="148"/>
      <c r="F139" s="148"/>
    </row>
    <row r="140" spans="5:6" x14ac:dyDescent="0.15">
      <c r="E140" s="148"/>
      <c r="F140" s="148"/>
    </row>
    <row r="141" spans="5:6" x14ac:dyDescent="0.15">
      <c r="E141" s="148"/>
      <c r="F141" s="148"/>
    </row>
    <row r="142" spans="5:6" x14ac:dyDescent="0.15">
      <c r="E142" s="148"/>
      <c r="F142" s="148"/>
    </row>
    <row r="143" spans="5:6" x14ac:dyDescent="0.15">
      <c r="E143" s="148"/>
      <c r="F143" s="148"/>
    </row>
    <row r="144" spans="5:6" x14ac:dyDescent="0.15">
      <c r="E144" s="148"/>
      <c r="F144" s="148"/>
    </row>
    <row r="145" spans="5:6" x14ac:dyDescent="0.15">
      <c r="E145" s="148"/>
      <c r="F145" s="148"/>
    </row>
    <row r="146" spans="5:6" x14ac:dyDescent="0.15">
      <c r="E146" s="148"/>
      <c r="F146" s="148"/>
    </row>
    <row r="147" spans="5:6" x14ac:dyDescent="0.15">
      <c r="E147" s="148"/>
      <c r="F147" s="148"/>
    </row>
    <row r="148" spans="5:6" x14ac:dyDescent="0.15">
      <c r="E148" s="148"/>
      <c r="F148" s="148"/>
    </row>
    <row r="149" spans="5:6" x14ac:dyDescent="0.15">
      <c r="E149" s="148"/>
      <c r="F149" s="148"/>
    </row>
    <row r="150" spans="5:6" x14ac:dyDescent="0.15">
      <c r="E150" s="148"/>
      <c r="F150" s="148"/>
    </row>
    <row r="151" spans="5:6" x14ac:dyDescent="0.15">
      <c r="E151" s="148"/>
      <c r="F151" s="148"/>
    </row>
    <row r="152" spans="5:6" x14ac:dyDescent="0.15">
      <c r="E152" s="148"/>
      <c r="F152" s="148"/>
    </row>
    <row r="153" spans="5:6" x14ac:dyDescent="0.15">
      <c r="E153" s="148"/>
      <c r="F153" s="148"/>
    </row>
    <row r="154" spans="5:6" x14ac:dyDescent="0.15">
      <c r="E154" s="148"/>
      <c r="F154" s="148"/>
    </row>
    <row r="155" spans="5:6" x14ac:dyDescent="0.15">
      <c r="E155" s="148"/>
      <c r="F155" s="148"/>
    </row>
    <row r="156" spans="5:6" x14ac:dyDescent="0.15">
      <c r="E156" s="148"/>
      <c r="F156" s="148"/>
    </row>
    <row r="157" spans="5:6" x14ac:dyDescent="0.15">
      <c r="E157" s="148"/>
      <c r="F157" s="148"/>
    </row>
    <row r="158" spans="5:6" x14ac:dyDescent="0.15">
      <c r="E158" s="148"/>
      <c r="F158" s="148"/>
    </row>
    <row r="159" spans="5:6" x14ac:dyDescent="0.15">
      <c r="E159" s="148"/>
      <c r="F159" s="148"/>
    </row>
    <row r="160" spans="5:6" x14ac:dyDescent="0.15">
      <c r="E160" s="148"/>
      <c r="F160" s="148"/>
    </row>
    <row r="161" spans="5:6" x14ac:dyDescent="0.15">
      <c r="E161" s="148"/>
      <c r="F161" s="148"/>
    </row>
    <row r="162" spans="5:6" x14ac:dyDescent="0.15">
      <c r="E162" s="148"/>
      <c r="F162" s="148"/>
    </row>
    <row r="163" spans="5:6" x14ac:dyDescent="0.15">
      <c r="E163" s="148"/>
      <c r="F163" s="148"/>
    </row>
    <row r="164" spans="5:6" x14ac:dyDescent="0.15">
      <c r="E164" s="148"/>
      <c r="F164" s="148"/>
    </row>
    <row r="165" spans="5:6" x14ac:dyDescent="0.15">
      <c r="E165" s="148"/>
      <c r="F165" s="148"/>
    </row>
    <row r="166" spans="5:6" x14ac:dyDescent="0.15">
      <c r="E166" s="148"/>
      <c r="F166" s="148"/>
    </row>
    <row r="167" spans="5:6" x14ac:dyDescent="0.15">
      <c r="E167" s="148"/>
      <c r="F167" s="148"/>
    </row>
    <row r="168" spans="5:6" x14ac:dyDescent="0.15">
      <c r="E168" s="148"/>
      <c r="F168" s="148"/>
    </row>
    <row r="169" spans="5:6" x14ac:dyDescent="0.15">
      <c r="E169" s="148"/>
      <c r="F169" s="148"/>
    </row>
    <row r="170" spans="5:6" x14ac:dyDescent="0.15">
      <c r="E170" s="148"/>
      <c r="F170" s="148"/>
    </row>
    <row r="171" spans="5:6" x14ac:dyDescent="0.15">
      <c r="E171" s="148"/>
      <c r="F171" s="148"/>
    </row>
    <row r="172" spans="5:6" x14ac:dyDescent="0.15">
      <c r="E172" s="148"/>
      <c r="F172" s="148"/>
    </row>
    <row r="173" spans="5:6" x14ac:dyDescent="0.15">
      <c r="E173" s="148"/>
      <c r="F173" s="148"/>
    </row>
    <row r="174" spans="5:6" x14ac:dyDescent="0.15">
      <c r="E174" s="148"/>
      <c r="F174" s="148"/>
    </row>
    <row r="175" spans="5:6" x14ac:dyDescent="0.15">
      <c r="E175" s="148"/>
      <c r="F175" s="148"/>
    </row>
    <row r="176" spans="5:6" x14ac:dyDescent="0.15">
      <c r="E176" s="148"/>
      <c r="F176" s="148"/>
    </row>
    <row r="177" spans="5:6" x14ac:dyDescent="0.15">
      <c r="E177" s="148"/>
      <c r="F177" s="148"/>
    </row>
    <row r="178" spans="5:6" x14ac:dyDescent="0.15">
      <c r="E178" s="148"/>
      <c r="F178" s="148"/>
    </row>
    <row r="179" spans="5:6" x14ac:dyDescent="0.15">
      <c r="E179" s="148"/>
      <c r="F179" s="148"/>
    </row>
    <row r="180" spans="5:6" x14ac:dyDescent="0.15">
      <c r="E180" s="148"/>
      <c r="F180" s="148"/>
    </row>
    <row r="181" spans="5:6" x14ac:dyDescent="0.15">
      <c r="E181" s="148"/>
      <c r="F181" s="148"/>
    </row>
    <row r="182" spans="5:6" x14ac:dyDescent="0.15">
      <c r="E182" s="148"/>
      <c r="F182" s="148"/>
    </row>
    <row r="183" spans="5:6" x14ac:dyDescent="0.15">
      <c r="E183" s="148"/>
      <c r="F183" s="148"/>
    </row>
    <row r="184" spans="5:6" x14ac:dyDescent="0.15">
      <c r="E184" s="148"/>
      <c r="F184" s="148"/>
    </row>
    <row r="185" spans="5:6" x14ac:dyDescent="0.15">
      <c r="E185" s="148"/>
      <c r="F185" s="148"/>
    </row>
    <row r="186" spans="5:6" x14ac:dyDescent="0.15">
      <c r="E186" s="148"/>
      <c r="F186" s="148"/>
    </row>
    <row r="187" spans="5:6" x14ac:dyDescent="0.15">
      <c r="E187" s="148"/>
      <c r="F187" s="148"/>
    </row>
    <row r="188" spans="5:6" x14ac:dyDescent="0.15">
      <c r="E188" s="148"/>
      <c r="F188" s="148"/>
    </row>
    <row r="189" spans="5:6" x14ac:dyDescent="0.15">
      <c r="E189" s="148"/>
      <c r="F189" s="148"/>
    </row>
    <row r="190" spans="5:6" x14ac:dyDescent="0.15">
      <c r="E190" s="148"/>
      <c r="F190" s="148"/>
    </row>
    <row r="191" spans="5:6" x14ac:dyDescent="0.15">
      <c r="E191" s="148"/>
      <c r="F191" s="148"/>
    </row>
    <row r="192" spans="5:6" x14ac:dyDescent="0.15">
      <c r="E192" s="148"/>
      <c r="F192" s="148"/>
    </row>
    <row r="193" spans="5:6" x14ac:dyDescent="0.15">
      <c r="E193" s="148"/>
      <c r="F193" s="148"/>
    </row>
    <row r="194" spans="5:6" x14ac:dyDescent="0.15">
      <c r="E194" s="148"/>
      <c r="F194" s="148"/>
    </row>
    <row r="195" spans="5:6" x14ac:dyDescent="0.15">
      <c r="E195" s="148"/>
      <c r="F195" s="148"/>
    </row>
    <row r="196" spans="5:6" x14ac:dyDescent="0.15">
      <c r="E196" s="148"/>
      <c r="F196" s="148"/>
    </row>
    <row r="197" spans="5:6" x14ac:dyDescent="0.15">
      <c r="E197" s="148"/>
      <c r="F197" s="148"/>
    </row>
    <row r="198" spans="5:6" x14ac:dyDescent="0.15">
      <c r="E198" s="148"/>
      <c r="F198" s="148"/>
    </row>
    <row r="199" spans="5:6" x14ac:dyDescent="0.15">
      <c r="E199" s="148"/>
      <c r="F199" s="148"/>
    </row>
    <row r="200" spans="5:6" x14ac:dyDescent="0.15">
      <c r="E200" s="148"/>
      <c r="F200" s="148"/>
    </row>
    <row r="201" spans="5:6" x14ac:dyDescent="0.15">
      <c r="E201" s="148"/>
      <c r="F201" s="148"/>
    </row>
    <row r="202" spans="5:6" x14ac:dyDescent="0.15">
      <c r="E202" s="148"/>
      <c r="F202" s="148"/>
    </row>
    <row r="203" spans="5:6" x14ac:dyDescent="0.15">
      <c r="E203" s="148"/>
      <c r="F203" s="148"/>
    </row>
    <row r="204" spans="5:6" x14ac:dyDescent="0.15">
      <c r="E204" s="148"/>
      <c r="F204" s="148"/>
    </row>
    <row r="205" spans="5:6" x14ac:dyDescent="0.15">
      <c r="E205" s="148"/>
      <c r="F205" s="148"/>
    </row>
    <row r="206" spans="5:6" x14ac:dyDescent="0.15">
      <c r="E206" s="148"/>
      <c r="F206" s="148"/>
    </row>
    <row r="207" spans="5:6" x14ac:dyDescent="0.15">
      <c r="E207" s="148"/>
      <c r="F207" s="148"/>
    </row>
    <row r="208" spans="5:6" x14ac:dyDescent="0.15">
      <c r="E208" s="148"/>
      <c r="F208" s="148"/>
    </row>
    <row r="209" spans="5:6" x14ac:dyDescent="0.15">
      <c r="E209" s="148"/>
      <c r="F209" s="148"/>
    </row>
    <row r="210" spans="5:6" x14ac:dyDescent="0.15">
      <c r="E210" s="148"/>
      <c r="F210" s="148"/>
    </row>
    <row r="211" spans="5:6" x14ac:dyDescent="0.15">
      <c r="E211" s="148"/>
      <c r="F211" s="148"/>
    </row>
    <row r="212" spans="5:6" x14ac:dyDescent="0.15">
      <c r="E212" s="148"/>
      <c r="F212" s="148"/>
    </row>
    <row r="213" spans="5:6" x14ac:dyDescent="0.15">
      <c r="E213" s="148"/>
      <c r="F213" s="148"/>
    </row>
    <row r="214" spans="5:6" x14ac:dyDescent="0.15">
      <c r="E214" s="148"/>
      <c r="F214" s="148"/>
    </row>
    <row r="215" spans="5:6" x14ac:dyDescent="0.15">
      <c r="E215" s="148"/>
      <c r="F215" s="148"/>
    </row>
    <row r="216" spans="5:6" x14ac:dyDescent="0.15">
      <c r="E216" s="148"/>
      <c r="F216" s="148"/>
    </row>
    <row r="217" spans="5:6" x14ac:dyDescent="0.15">
      <c r="E217" s="148"/>
      <c r="F217" s="148"/>
    </row>
    <row r="218" spans="5:6" x14ac:dyDescent="0.15">
      <c r="E218" s="148"/>
      <c r="F218" s="148"/>
    </row>
    <row r="219" spans="5:6" x14ac:dyDescent="0.15">
      <c r="E219" s="148"/>
      <c r="F219" s="148"/>
    </row>
    <row r="220" spans="5:6" x14ac:dyDescent="0.15">
      <c r="E220" s="148"/>
      <c r="F220" s="148"/>
    </row>
    <row r="221" spans="5:6" x14ac:dyDescent="0.15">
      <c r="E221" s="148"/>
      <c r="F221" s="148"/>
    </row>
    <row r="222" spans="5:6" x14ac:dyDescent="0.15">
      <c r="E222" s="148"/>
      <c r="F222" s="148"/>
    </row>
    <row r="223" spans="5:6" x14ac:dyDescent="0.15">
      <c r="E223" s="148"/>
      <c r="F223" s="148"/>
    </row>
    <row r="224" spans="5:6" x14ac:dyDescent="0.15">
      <c r="E224" s="148"/>
      <c r="F224" s="148"/>
    </row>
    <row r="225" spans="5:6" x14ac:dyDescent="0.15">
      <c r="E225" s="148"/>
      <c r="F225" s="148"/>
    </row>
    <row r="226" spans="5:6" x14ac:dyDescent="0.15">
      <c r="E226" s="148"/>
      <c r="F226" s="148"/>
    </row>
    <row r="227" spans="5:6" x14ac:dyDescent="0.15">
      <c r="E227" s="148"/>
      <c r="F227" s="148"/>
    </row>
    <row r="228" spans="5:6" x14ac:dyDescent="0.15">
      <c r="E228" s="148"/>
      <c r="F228" s="148"/>
    </row>
    <row r="229" spans="5:6" x14ac:dyDescent="0.15">
      <c r="E229" s="148"/>
      <c r="F229" s="148"/>
    </row>
    <row r="230" spans="5:6" x14ac:dyDescent="0.15">
      <c r="E230" s="148"/>
      <c r="F230" s="148"/>
    </row>
    <row r="231" spans="5:6" x14ac:dyDescent="0.15">
      <c r="E231" s="148"/>
      <c r="F231" s="148"/>
    </row>
    <row r="232" spans="5:6" x14ac:dyDescent="0.15">
      <c r="E232" s="148"/>
      <c r="F232" s="148"/>
    </row>
    <row r="233" spans="5:6" x14ac:dyDescent="0.15">
      <c r="E233" s="148"/>
      <c r="F233" s="148"/>
    </row>
    <row r="234" spans="5:6" x14ac:dyDescent="0.15">
      <c r="E234" s="148"/>
      <c r="F234" s="148"/>
    </row>
    <row r="235" spans="5:6" x14ac:dyDescent="0.15">
      <c r="E235" s="148"/>
      <c r="F235" s="148"/>
    </row>
    <row r="236" spans="5:6" x14ac:dyDescent="0.15">
      <c r="E236" s="148"/>
      <c r="F236" s="148"/>
    </row>
    <row r="237" spans="5:6" x14ac:dyDescent="0.15">
      <c r="E237" s="148"/>
      <c r="F237" s="148"/>
    </row>
    <row r="238" spans="5:6" x14ac:dyDescent="0.15">
      <c r="E238" s="148"/>
      <c r="F238" s="148"/>
    </row>
    <row r="239" spans="5:6" x14ac:dyDescent="0.15">
      <c r="E239" s="148"/>
      <c r="F239" s="148"/>
    </row>
    <row r="240" spans="5:6" x14ac:dyDescent="0.15">
      <c r="E240" s="148"/>
      <c r="F240" s="148"/>
    </row>
    <row r="241" spans="5:6" x14ac:dyDescent="0.15">
      <c r="E241" s="148"/>
      <c r="F241" s="148"/>
    </row>
    <row r="242" spans="5:6" x14ac:dyDescent="0.15">
      <c r="E242" s="148"/>
      <c r="F242" s="148"/>
    </row>
    <row r="243" spans="5:6" x14ac:dyDescent="0.15">
      <c r="E243" s="148"/>
      <c r="F243" s="148"/>
    </row>
    <row r="244" spans="5:6" x14ac:dyDescent="0.15">
      <c r="E244" s="148"/>
      <c r="F244" s="148"/>
    </row>
    <row r="245" spans="5:6" x14ac:dyDescent="0.15">
      <c r="E245" s="148"/>
      <c r="F245" s="148"/>
    </row>
    <row r="246" spans="5:6" x14ac:dyDescent="0.15">
      <c r="E246" s="148"/>
      <c r="F246" s="148"/>
    </row>
    <row r="247" spans="5:6" x14ac:dyDescent="0.15">
      <c r="E247" s="148"/>
      <c r="F247" s="148"/>
    </row>
    <row r="248" spans="5:6" x14ac:dyDescent="0.15">
      <c r="E248" s="148"/>
      <c r="F248" s="148"/>
    </row>
    <row r="249" spans="5:6" x14ac:dyDescent="0.15">
      <c r="E249" s="148"/>
      <c r="F249" s="148"/>
    </row>
    <row r="250" spans="5:6" x14ac:dyDescent="0.15">
      <c r="E250" s="148"/>
      <c r="F250" s="148"/>
    </row>
    <row r="251" spans="5:6" x14ac:dyDescent="0.15">
      <c r="E251" s="148"/>
      <c r="F251" s="148"/>
    </row>
    <row r="252" spans="5:6" x14ac:dyDescent="0.15">
      <c r="E252" s="148"/>
      <c r="F252" s="148"/>
    </row>
    <row r="253" spans="5:6" x14ac:dyDescent="0.15">
      <c r="E253" s="148"/>
      <c r="F253" s="148"/>
    </row>
    <row r="254" spans="5:6" x14ac:dyDescent="0.15">
      <c r="E254" s="148"/>
      <c r="F254" s="148"/>
    </row>
    <row r="255" spans="5:6" x14ac:dyDescent="0.15">
      <c r="E255" s="148"/>
      <c r="F255" s="148"/>
    </row>
    <row r="256" spans="5:6" x14ac:dyDescent="0.15">
      <c r="E256" s="148"/>
      <c r="F256" s="148"/>
    </row>
    <row r="257" spans="5:6" x14ac:dyDescent="0.15">
      <c r="E257" s="148"/>
      <c r="F257" s="148"/>
    </row>
    <row r="258" spans="5:6" x14ac:dyDescent="0.15">
      <c r="E258" s="148"/>
      <c r="F258" s="148"/>
    </row>
    <row r="259" spans="5:6" x14ac:dyDescent="0.15">
      <c r="E259" s="148"/>
      <c r="F259" s="148"/>
    </row>
    <row r="260" spans="5:6" x14ac:dyDescent="0.15">
      <c r="E260" s="148"/>
      <c r="F260" s="148"/>
    </row>
    <row r="261" spans="5:6" x14ac:dyDescent="0.15">
      <c r="E261" s="148"/>
      <c r="F261" s="148"/>
    </row>
    <row r="262" spans="5:6" x14ac:dyDescent="0.15">
      <c r="E262" s="148"/>
      <c r="F262" s="148"/>
    </row>
    <row r="263" spans="5:6" x14ac:dyDescent="0.15">
      <c r="E263" s="148"/>
      <c r="F263" s="148"/>
    </row>
    <row r="264" spans="5:6" x14ac:dyDescent="0.15">
      <c r="E264" s="148"/>
      <c r="F264" s="148"/>
    </row>
    <row r="265" spans="5:6" x14ac:dyDescent="0.15">
      <c r="E265" s="148"/>
      <c r="F265" s="148"/>
    </row>
    <row r="266" spans="5:6" x14ac:dyDescent="0.15">
      <c r="E266" s="148"/>
      <c r="F266" s="148"/>
    </row>
    <row r="267" spans="5:6" x14ac:dyDescent="0.15">
      <c r="E267" s="148"/>
      <c r="F267" s="148"/>
    </row>
    <row r="268" spans="5:6" x14ac:dyDescent="0.15">
      <c r="E268" s="148"/>
      <c r="F268" s="148"/>
    </row>
    <row r="269" spans="5:6" x14ac:dyDescent="0.15">
      <c r="E269" s="148"/>
      <c r="F269" s="148"/>
    </row>
    <row r="270" spans="5:6" x14ac:dyDescent="0.15">
      <c r="E270" s="148"/>
      <c r="F270" s="148"/>
    </row>
    <row r="271" spans="5:6" x14ac:dyDescent="0.15">
      <c r="E271" s="148"/>
      <c r="F271" s="148"/>
    </row>
    <row r="272" spans="5:6" x14ac:dyDescent="0.15">
      <c r="E272" s="148"/>
      <c r="F272" s="148"/>
    </row>
    <row r="273" spans="5:6" x14ac:dyDescent="0.15">
      <c r="E273" s="148"/>
      <c r="F273" s="148"/>
    </row>
    <row r="274" spans="5:6" x14ac:dyDescent="0.15">
      <c r="E274" s="148"/>
      <c r="F274" s="148"/>
    </row>
    <row r="275" spans="5:6" x14ac:dyDescent="0.15">
      <c r="E275" s="148"/>
      <c r="F275" s="148"/>
    </row>
    <row r="276" spans="5:6" x14ac:dyDescent="0.15">
      <c r="E276" s="148"/>
      <c r="F276" s="148"/>
    </row>
    <row r="277" spans="5:6" x14ac:dyDescent="0.15">
      <c r="E277" s="148"/>
      <c r="F277" s="148"/>
    </row>
    <row r="278" spans="5:6" x14ac:dyDescent="0.15">
      <c r="E278" s="148"/>
      <c r="F278" s="148"/>
    </row>
    <row r="279" spans="5:6" x14ac:dyDescent="0.15">
      <c r="E279" s="148"/>
      <c r="F279" s="148"/>
    </row>
    <row r="280" spans="5:6" x14ac:dyDescent="0.15">
      <c r="E280" s="148"/>
      <c r="F280" s="148"/>
    </row>
    <row r="281" spans="5:6" x14ac:dyDescent="0.15">
      <c r="E281" s="148"/>
      <c r="F281" s="148"/>
    </row>
    <row r="282" spans="5:6" x14ac:dyDescent="0.15">
      <c r="E282" s="148"/>
      <c r="F282" s="148"/>
    </row>
    <row r="283" spans="5:6" x14ac:dyDescent="0.15">
      <c r="E283" s="148"/>
      <c r="F283" s="148"/>
    </row>
    <row r="284" spans="5:6" x14ac:dyDescent="0.15">
      <c r="E284" s="148"/>
      <c r="F284" s="148"/>
    </row>
    <row r="285" spans="5:6" x14ac:dyDescent="0.15">
      <c r="E285" s="148"/>
      <c r="F285" s="148"/>
    </row>
    <row r="286" spans="5:6" x14ac:dyDescent="0.15">
      <c r="E286" s="148"/>
      <c r="F286" s="148"/>
    </row>
    <row r="287" spans="5:6" x14ac:dyDescent="0.15">
      <c r="E287" s="148"/>
      <c r="F287" s="148"/>
    </row>
    <row r="288" spans="5:6" x14ac:dyDescent="0.15">
      <c r="E288" s="148"/>
      <c r="F288" s="148"/>
    </row>
    <row r="289" spans="5:6" x14ac:dyDescent="0.15">
      <c r="E289" s="148"/>
      <c r="F289" s="148"/>
    </row>
    <row r="290" spans="5:6" x14ac:dyDescent="0.15">
      <c r="E290" s="148"/>
      <c r="F290" s="148"/>
    </row>
    <row r="291" spans="5:6" x14ac:dyDescent="0.15">
      <c r="E291" s="148"/>
      <c r="F291" s="148"/>
    </row>
    <row r="292" spans="5:6" x14ac:dyDescent="0.15">
      <c r="E292" s="148"/>
      <c r="F292" s="148"/>
    </row>
    <row r="293" spans="5:6" x14ac:dyDescent="0.15">
      <c r="E293" s="148"/>
      <c r="F293" s="148"/>
    </row>
    <row r="294" spans="5:6" x14ac:dyDescent="0.15">
      <c r="E294" s="148"/>
      <c r="F294" s="148"/>
    </row>
    <row r="295" spans="5:6" x14ac:dyDescent="0.15">
      <c r="E295" s="148"/>
      <c r="F295" s="148"/>
    </row>
    <row r="296" spans="5:6" x14ac:dyDescent="0.15">
      <c r="E296" s="148"/>
      <c r="F296" s="148"/>
    </row>
    <row r="297" spans="5:6" x14ac:dyDescent="0.15">
      <c r="E297" s="148"/>
      <c r="F297" s="148"/>
    </row>
    <row r="298" spans="5:6" x14ac:dyDescent="0.15">
      <c r="E298" s="148"/>
      <c r="F298" s="148"/>
    </row>
    <row r="299" spans="5:6" x14ac:dyDescent="0.15">
      <c r="E299" s="148"/>
      <c r="F299" s="148"/>
    </row>
    <row r="300" spans="5:6" x14ac:dyDescent="0.15">
      <c r="E300" s="148"/>
      <c r="F300" s="148"/>
    </row>
    <row r="301" spans="5:6" x14ac:dyDescent="0.15">
      <c r="E301" s="148"/>
      <c r="F301" s="148"/>
    </row>
    <row r="302" spans="5:6" x14ac:dyDescent="0.15">
      <c r="E302" s="148"/>
      <c r="F302" s="148"/>
    </row>
    <row r="303" spans="5:6" x14ac:dyDescent="0.15">
      <c r="E303" s="148"/>
      <c r="F303" s="148"/>
    </row>
    <row r="304" spans="5:6" x14ac:dyDescent="0.15">
      <c r="E304" s="148"/>
      <c r="F304" s="148"/>
    </row>
    <row r="305" spans="5:6" x14ac:dyDescent="0.15">
      <c r="E305" s="148"/>
      <c r="F305" s="148"/>
    </row>
    <row r="306" spans="5:6" x14ac:dyDescent="0.15">
      <c r="E306" s="148"/>
      <c r="F306" s="148"/>
    </row>
    <row r="307" spans="5:6" x14ac:dyDescent="0.15">
      <c r="E307" s="148"/>
      <c r="F307" s="148"/>
    </row>
    <row r="308" spans="5:6" x14ac:dyDescent="0.15">
      <c r="E308" s="148"/>
      <c r="F308" s="148"/>
    </row>
    <row r="309" spans="5:6" x14ac:dyDescent="0.15">
      <c r="E309" s="148"/>
      <c r="F309" s="148"/>
    </row>
    <row r="310" spans="5:6" x14ac:dyDescent="0.15">
      <c r="E310" s="148"/>
      <c r="F310" s="148"/>
    </row>
    <row r="311" spans="5:6" x14ac:dyDescent="0.15">
      <c r="E311" s="148"/>
      <c r="F311" s="148"/>
    </row>
    <row r="312" spans="5:6" x14ac:dyDescent="0.15">
      <c r="E312" s="148"/>
      <c r="F312" s="148"/>
    </row>
    <row r="313" spans="5:6" x14ac:dyDescent="0.15">
      <c r="E313" s="148"/>
      <c r="F313" s="148"/>
    </row>
    <row r="314" spans="5:6" x14ac:dyDescent="0.15">
      <c r="E314" s="148"/>
      <c r="F314" s="148"/>
    </row>
    <row r="315" spans="5:6" x14ac:dyDescent="0.15">
      <c r="E315" s="148"/>
      <c r="F315" s="148"/>
    </row>
    <row r="316" spans="5:6" x14ac:dyDescent="0.15">
      <c r="E316" s="148"/>
      <c r="F316" s="148"/>
    </row>
    <row r="317" spans="5:6" x14ac:dyDescent="0.15">
      <c r="E317" s="148"/>
      <c r="F317" s="148"/>
    </row>
    <row r="318" spans="5:6" x14ac:dyDescent="0.15">
      <c r="E318" s="148"/>
      <c r="F318" s="148"/>
    </row>
    <row r="319" spans="5:6" x14ac:dyDescent="0.15">
      <c r="E319" s="148"/>
      <c r="F319" s="148"/>
    </row>
    <row r="320" spans="5:6" x14ac:dyDescent="0.15">
      <c r="E320" s="148"/>
      <c r="F320" s="148"/>
    </row>
    <row r="321" spans="5:6" x14ac:dyDescent="0.15">
      <c r="E321" s="148"/>
      <c r="F321" s="148"/>
    </row>
    <row r="322" spans="5:6" x14ac:dyDescent="0.15">
      <c r="E322" s="148"/>
      <c r="F322" s="148"/>
    </row>
    <row r="323" spans="5:6" x14ac:dyDescent="0.15">
      <c r="E323" s="148"/>
      <c r="F323" s="148"/>
    </row>
    <row r="324" spans="5:6" x14ac:dyDescent="0.15">
      <c r="E324" s="148"/>
      <c r="F324" s="148"/>
    </row>
    <row r="325" spans="5:6" x14ac:dyDescent="0.15">
      <c r="E325" s="148"/>
      <c r="F325" s="148"/>
    </row>
    <row r="326" spans="5:6" x14ac:dyDescent="0.15">
      <c r="E326" s="148"/>
      <c r="F326" s="148"/>
    </row>
    <row r="327" spans="5:6" x14ac:dyDescent="0.15">
      <c r="E327" s="148"/>
      <c r="F327" s="148"/>
    </row>
    <row r="328" spans="5:6" x14ac:dyDescent="0.15">
      <c r="E328" s="148"/>
      <c r="F328" s="148"/>
    </row>
    <row r="329" spans="5:6" x14ac:dyDescent="0.15">
      <c r="E329" s="148"/>
      <c r="F329" s="148"/>
    </row>
    <row r="330" spans="5:6" x14ac:dyDescent="0.15">
      <c r="E330" s="148"/>
      <c r="F330" s="148"/>
    </row>
    <row r="331" spans="5:6" x14ac:dyDescent="0.15">
      <c r="E331" s="148"/>
      <c r="F331" s="148"/>
    </row>
    <row r="332" spans="5:6" x14ac:dyDescent="0.15">
      <c r="E332" s="148"/>
      <c r="F332" s="148"/>
    </row>
    <row r="333" spans="5:6" x14ac:dyDescent="0.15">
      <c r="E333" s="148"/>
      <c r="F333" s="148"/>
    </row>
    <row r="334" spans="5:6" x14ac:dyDescent="0.15">
      <c r="E334" s="148"/>
      <c r="F334" s="148"/>
    </row>
    <row r="335" spans="5:6" x14ac:dyDescent="0.15">
      <c r="E335" s="148"/>
      <c r="F335" s="148"/>
    </row>
    <row r="336" spans="5:6" x14ac:dyDescent="0.15">
      <c r="E336" s="148"/>
      <c r="F336" s="148"/>
    </row>
    <row r="337" spans="5:6" x14ac:dyDescent="0.15">
      <c r="E337" s="148"/>
      <c r="F337" s="148"/>
    </row>
    <row r="338" spans="5:6" x14ac:dyDescent="0.15">
      <c r="E338" s="148"/>
      <c r="F338" s="148"/>
    </row>
    <row r="339" spans="5:6" x14ac:dyDescent="0.15">
      <c r="E339" s="148"/>
      <c r="F339" s="148"/>
    </row>
    <row r="340" spans="5:6" x14ac:dyDescent="0.15">
      <c r="E340" s="148"/>
      <c r="F340" s="148"/>
    </row>
    <row r="341" spans="5:6" x14ac:dyDescent="0.15">
      <c r="E341" s="148"/>
      <c r="F341" s="148"/>
    </row>
    <row r="342" spans="5:6" x14ac:dyDescent="0.15">
      <c r="E342" s="148"/>
      <c r="F342" s="148"/>
    </row>
    <row r="343" spans="5:6" x14ac:dyDescent="0.15">
      <c r="E343" s="148"/>
      <c r="F343" s="148"/>
    </row>
    <row r="344" spans="5:6" x14ac:dyDescent="0.15">
      <c r="E344" s="148"/>
      <c r="F344" s="148"/>
    </row>
    <row r="345" spans="5:6" x14ac:dyDescent="0.15">
      <c r="E345" s="148"/>
      <c r="F345" s="148"/>
    </row>
    <row r="346" spans="5:6" x14ac:dyDescent="0.15">
      <c r="E346" s="148"/>
      <c r="F346" s="148"/>
    </row>
    <row r="347" spans="5:6" x14ac:dyDescent="0.15">
      <c r="E347" s="148"/>
      <c r="F347" s="148"/>
    </row>
    <row r="348" spans="5:6" x14ac:dyDescent="0.15">
      <c r="E348" s="148"/>
      <c r="F348" s="148"/>
    </row>
    <row r="349" spans="5:6" x14ac:dyDescent="0.15">
      <c r="E349" s="148"/>
      <c r="F349" s="148"/>
    </row>
    <row r="350" spans="5:6" x14ac:dyDescent="0.15">
      <c r="E350" s="148"/>
      <c r="F350" s="148"/>
    </row>
    <row r="351" spans="5:6" x14ac:dyDescent="0.15">
      <c r="E351" s="148"/>
      <c r="F351" s="148"/>
    </row>
    <row r="352" spans="5:6" x14ac:dyDescent="0.15">
      <c r="E352" s="148"/>
      <c r="F352" s="148"/>
    </row>
    <row r="353" spans="5:6" x14ac:dyDescent="0.15">
      <c r="E353" s="148"/>
      <c r="F353" s="148"/>
    </row>
    <row r="354" spans="5:6" x14ac:dyDescent="0.15">
      <c r="E354" s="148"/>
      <c r="F354" s="148"/>
    </row>
    <row r="355" spans="5:6" x14ac:dyDescent="0.15">
      <c r="E355" s="148"/>
      <c r="F355" s="148"/>
    </row>
    <row r="356" spans="5:6" x14ac:dyDescent="0.15">
      <c r="E356" s="148"/>
      <c r="F356" s="148"/>
    </row>
    <row r="357" spans="5:6" x14ac:dyDescent="0.15">
      <c r="E357" s="148"/>
      <c r="F357" s="148"/>
    </row>
    <row r="358" spans="5:6" x14ac:dyDescent="0.15">
      <c r="E358" s="148"/>
      <c r="F358" s="148"/>
    </row>
    <row r="359" spans="5:6" x14ac:dyDescent="0.15">
      <c r="E359" s="148"/>
      <c r="F359" s="148"/>
    </row>
    <row r="360" spans="5:6" x14ac:dyDescent="0.15">
      <c r="E360" s="148"/>
      <c r="F360" s="148"/>
    </row>
    <row r="361" spans="5:6" x14ac:dyDescent="0.15">
      <c r="E361" s="148"/>
      <c r="F361" s="148"/>
    </row>
    <row r="362" spans="5:6" x14ac:dyDescent="0.15">
      <c r="E362" s="148"/>
      <c r="F362" s="148"/>
    </row>
    <row r="363" spans="5:6" x14ac:dyDescent="0.15">
      <c r="E363" s="148"/>
      <c r="F363" s="148"/>
    </row>
    <row r="364" spans="5:6" x14ac:dyDescent="0.15">
      <c r="E364" s="148"/>
      <c r="F364" s="148"/>
    </row>
    <row r="365" spans="5:6" x14ac:dyDescent="0.15">
      <c r="E365" s="148"/>
      <c r="F365" s="148"/>
    </row>
    <row r="366" spans="5:6" x14ac:dyDescent="0.15">
      <c r="E366" s="148"/>
      <c r="F366" s="148"/>
    </row>
    <row r="367" spans="5:6" x14ac:dyDescent="0.15">
      <c r="E367" s="148"/>
      <c r="F367" s="148"/>
    </row>
    <row r="368" spans="5:6" x14ac:dyDescent="0.15">
      <c r="E368" s="148"/>
      <c r="F368" s="148"/>
    </row>
    <row r="369" spans="5:6" x14ac:dyDescent="0.15">
      <c r="E369" s="148"/>
      <c r="F369" s="148"/>
    </row>
    <row r="370" spans="5:6" x14ac:dyDescent="0.15">
      <c r="E370" s="148"/>
      <c r="F370" s="148"/>
    </row>
    <row r="371" spans="5:6" x14ac:dyDescent="0.15">
      <c r="E371" s="148"/>
      <c r="F371" s="148"/>
    </row>
    <row r="372" spans="5:6" x14ac:dyDescent="0.15">
      <c r="E372" s="148"/>
      <c r="F372" s="148"/>
    </row>
    <row r="373" spans="5:6" x14ac:dyDescent="0.15">
      <c r="E373" s="148"/>
      <c r="F373" s="148"/>
    </row>
    <row r="374" spans="5:6" x14ac:dyDescent="0.15">
      <c r="E374" s="148"/>
      <c r="F374" s="148"/>
    </row>
    <row r="375" spans="5:6" x14ac:dyDescent="0.15">
      <c r="E375" s="148"/>
      <c r="F375" s="148"/>
    </row>
    <row r="376" spans="5:6" x14ac:dyDescent="0.15">
      <c r="E376" s="148"/>
      <c r="F376" s="148"/>
    </row>
    <row r="377" spans="5:6" x14ac:dyDescent="0.15">
      <c r="E377" s="148"/>
      <c r="F377" s="148"/>
    </row>
    <row r="378" spans="5:6" x14ac:dyDescent="0.15">
      <c r="E378" s="148"/>
      <c r="F378" s="148"/>
    </row>
    <row r="379" spans="5:6" x14ac:dyDescent="0.15">
      <c r="E379" s="148"/>
      <c r="F379" s="148"/>
    </row>
    <row r="380" spans="5:6" x14ac:dyDescent="0.15">
      <c r="E380" s="148"/>
      <c r="F380" s="148"/>
    </row>
    <row r="381" spans="5:6" x14ac:dyDescent="0.15">
      <c r="E381" s="148"/>
      <c r="F381" s="148"/>
    </row>
    <row r="382" spans="5:6" x14ac:dyDescent="0.15">
      <c r="E382" s="148"/>
      <c r="F382" s="148"/>
    </row>
    <row r="383" spans="5:6" x14ac:dyDescent="0.15">
      <c r="E383" s="148"/>
      <c r="F383" s="148"/>
    </row>
    <row r="384" spans="5:6" x14ac:dyDescent="0.15">
      <c r="E384" s="148"/>
      <c r="F384" s="148"/>
    </row>
    <row r="385" spans="5:6" x14ac:dyDescent="0.15">
      <c r="E385" s="148"/>
      <c r="F385" s="148"/>
    </row>
    <row r="386" spans="5:6" x14ac:dyDescent="0.15">
      <c r="E386" s="148"/>
      <c r="F386" s="148"/>
    </row>
    <row r="387" spans="5:6" x14ac:dyDescent="0.15">
      <c r="E387" s="148"/>
      <c r="F387" s="148"/>
    </row>
    <row r="388" spans="5:6" x14ac:dyDescent="0.15">
      <c r="E388" s="148"/>
      <c r="F388" s="148"/>
    </row>
    <row r="389" spans="5:6" x14ac:dyDescent="0.15">
      <c r="E389" s="148"/>
      <c r="F389" s="148"/>
    </row>
    <row r="390" spans="5:6" x14ac:dyDescent="0.15">
      <c r="E390" s="148"/>
      <c r="F390" s="148"/>
    </row>
    <row r="391" spans="5:6" x14ac:dyDescent="0.15">
      <c r="E391" s="148"/>
      <c r="F391" s="148"/>
    </row>
    <row r="392" spans="5:6" x14ac:dyDescent="0.15">
      <c r="E392" s="148"/>
      <c r="F392" s="148"/>
    </row>
    <row r="393" spans="5:6" x14ac:dyDescent="0.15">
      <c r="E393" s="148"/>
      <c r="F393" s="148"/>
    </row>
    <row r="394" spans="5:6" x14ac:dyDescent="0.15">
      <c r="E394" s="148"/>
      <c r="F394" s="148"/>
    </row>
    <row r="395" spans="5:6" x14ac:dyDescent="0.15">
      <c r="E395" s="148"/>
      <c r="F395" s="148"/>
    </row>
    <row r="396" spans="5:6" x14ac:dyDescent="0.15">
      <c r="E396" s="148"/>
      <c r="F396" s="148"/>
    </row>
    <row r="397" spans="5:6" x14ac:dyDescent="0.15">
      <c r="E397" s="148"/>
      <c r="F397" s="148"/>
    </row>
    <row r="398" spans="5:6" x14ac:dyDescent="0.15">
      <c r="E398" s="148"/>
      <c r="F398" s="148"/>
    </row>
    <row r="399" spans="5:6" x14ac:dyDescent="0.15">
      <c r="E399" s="148"/>
      <c r="F399" s="148"/>
    </row>
    <row r="400" spans="5:6" x14ac:dyDescent="0.15">
      <c r="E400" s="148"/>
      <c r="F400" s="148"/>
    </row>
    <row r="401" spans="5:6" x14ac:dyDescent="0.15">
      <c r="E401" s="148"/>
      <c r="F401" s="148"/>
    </row>
    <row r="402" spans="5:6" x14ac:dyDescent="0.15">
      <c r="E402" s="148"/>
      <c r="F402" s="148"/>
    </row>
    <row r="403" spans="5:6" x14ac:dyDescent="0.15">
      <c r="E403" s="148"/>
      <c r="F403" s="148"/>
    </row>
    <row r="404" spans="5:6" x14ac:dyDescent="0.15">
      <c r="E404" s="148"/>
      <c r="F404" s="148"/>
    </row>
    <row r="405" spans="5:6" x14ac:dyDescent="0.15">
      <c r="E405" s="148"/>
      <c r="F405" s="148"/>
    </row>
    <row r="406" spans="5:6" x14ac:dyDescent="0.15">
      <c r="E406" s="148"/>
      <c r="F406" s="148"/>
    </row>
    <row r="407" spans="5:6" x14ac:dyDescent="0.15">
      <c r="E407" s="148"/>
      <c r="F407" s="148"/>
    </row>
    <row r="408" spans="5:6" x14ac:dyDescent="0.15">
      <c r="E408" s="148"/>
      <c r="F408" s="148"/>
    </row>
    <row r="409" spans="5:6" x14ac:dyDescent="0.15">
      <c r="E409" s="148"/>
      <c r="F409" s="148"/>
    </row>
    <row r="410" spans="5:6" x14ac:dyDescent="0.15">
      <c r="E410" s="148"/>
      <c r="F410" s="148"/>
    </row>
    <row r="411" spans="5:6" x14ac:dyDescent="0.15">
      <c r="E411" s="148"/>
      <c r="F411" s="148"/>
    </row>
    <row r="412" spans="5:6" x14ac:dyDescent="0.15">
      <c r="E412" s="148"/>
      <c r="F412" s="148"/>
    </row>
    <row r="413" spans="5:6" x14ac:dyDescent="0.15">
      <c r="E413" s="148"/>
      <c r="F413" s="148"/>
    </row>
    <row r="414" spans="5:6" x14ac:dyDescent="0.15">
      <c r="E414" s="148"/>
      <c r="F414" s="148"/>
    </row>
    <row r="415" spans="5:6" x14ac:dyDescent="0.15">
      <c r="E415" s="148"/>
      <c r="F415" s="148"/>
    </row>
    <row r="416" spans="5:6" x14ac:dyDescent="0.15">
      <c r="E416" s="148"/>
      <c r="F416" s="148"/>
    </row>
    <row r="417" spans="5:6" x14ac:dyDescent="0.15">
      <c r="E417" s="148"/>
      <c r="F417" s="148"/>
    </row>
    <row r="418" spans="5:6" x14ac:dyDescent="0.15">
      <c r="E418" s="148"/>
      <c r="F418" s="148"/>
    </row>
    <row r="419" spans="5:6" x14ac:dyDescent="0.15">
      <c r="E419" s="148"/>
      <c r="F419" s="148"/>
    </row>
    <row r="420" spans="5:6" x14ac:dyDescent="0.15">
      <c r="E420" s="148"/>
      <c r="F420" s="148"/>
    </row>
    <row r="421" spans="5:6" x14ac:dyDescent="0.15">
      <c r="E421" s="148"/>
      <c r="F421" s="148"/>
    </row>
    <row r="422" spans="5:6" x14ac:dyDescent="0.15">
      <c r="E422" s="148"/>
      <c r="F422" s="148"/>
    </row>
    <row r="423" spans="5:6" x14ac:dyDescent="0.15">
      <c r="E423" s="148"/>
      <c r="F423" s="148"/>
    </row>
    <row r="424" spans="5:6" x14ac:dyDescent="0.15">
      <c r="E424" s="148"/>
      <c r="F424" s="148"/>
    </row>
    <row r="425" spans="5:6" x14ac:dyDescent="0.15">
      <c r="E425" s="148"/>
      <c r="F425" s="148"/>
    </row>
    <row r="426" spans="5:6" x14ac:dyDescent="0.15">
      <c r="E426" s="148"/>
      <c r="F426" s="148"/>
    </row>
    <row r="427" spans="5:6" x14ac:dyDescent="0.15">
      <c r="E427" s="148"/>
      <c r="F427" s="148"/>
    </row>
    <row r="428" spans="5:6" x14ac:dyDescent="0.15">
      <c r="E428" s="148"/>
      <c r="F428" s="148"/>
    </row>
    <row r="429" spans="5:6" x14ac:dyDescent="0.15">
      <c r="E429" s="148"/>
      <c r="F429" s="148"/>
    </row>
    <row r="430" spans="5:6" x14ac:dyDescent="0.15">
      <c r="E430" s="148"/>
      <c r="F430" s="148"/>
    </row>
    <row r="431" spans="5:6" x14ac:dyDescent="0.15">
      <c r="E431" s="148"/>
      <c r="F431" s="148"/>
    </row>
    <row r="432" spans="5:6" x14ac:dyDescent="0.15">
      <c r="E432" s="148"/>
      <c r="F432" s="148"/>
    </row>
    <row r="433" spans="5:6" x14ac:dyDescent="0.15">
      <c r="E433" s="148"/>
      <c r="F433" s="148"/>
    </row>
    <row r="434" spans="5:6" x14ac:dyDescent="0.15">
      <c r="E434" s="148"/>
      <c r="F434" s="148"/>
    </row>
    <row r="435" spans="5:6" x14ac:dyDescent="0.15">
      <c r="E435" s="148"/>
      <c r="F435" s="148"/>
    </row>
    <row r="436" spans="5:6" x14ac:dyDescent="0.15">
      <c r="E436" s="148"/>
      <c r="F436" s="148"/>
    </row>
    <row r="437" spans="5:6" x14ac:dyDescent="0.15">
      <c r="E437" s="148"/>
      <c r="F437" s="148"/>
    </row>
    <row r="438" spans="5:6" x14ac:dyDescent="0.15">
      <c r="E438" s="148"/>
      <c r="F438" s="148"/>
    </row>
    <row r="439" spans="5:6" x14ac:dyDescent="0.15">
      <c r="E439" s="148"/>
      <c r="F439" s="148"/>
    </row>
    <row r="440" spans="5:6" x14ac:dyDescent="0.15">
      <c r="E440" s="148"/>
      <c r="F440" s="148"/>
    </row>
    <row r="441" spans="5:6" x14ac:dyDescent="0.15">
      <c r="E441" s="148"/>
      <c r="F441" s="148"/>
    </row>
    <row r="442" spans="5:6" x14ac:dyDescent="0.15">
      <c r="E442" s="148"/>
      <c r="F442" s="148"/>
    </row>
    <row r="443" spans="5:6" x14ac:dyDescent="0.15">
      <c r="E443" s="148"/>
      <c r="F443" s="148"/>
    </row>
    <row r="444" spans="5:6" x14ac:dyDescent="0.15">
      <c r="E444" s="148"/>
      <c r="F444" s="148"/>
    </row>
    <row r="445" spans="5:6" x14ac:dyDescent="0.15">
      <c r="E445" s="148"/>
      <c r="F445" s="148"/>
    </row>
    <row r="446" spans="5:6" x14ac:dyDescent="0.15">
      <c r="E446" s="148"/>
      <c r="F446" s="148"/>
    </row>
    <row r="447" spans="5:6" x14ac:dyDescent="0.15">
      <c r="E447" s="148"/>
      <c r="F447" s="148"/>
    </row>
    <row r="448" spans="5:6" x14ac:dyDescent="0.15">
      <c r="E448" s="148"/>
      <c r="F448" s="148"/>
    </row>
    <row r="449" spans="5:6" x14ac:dyDescent="0.15">
      <c r="E449" s="148"/>
      <c r="F449" s="148"/>
    </row>
    <row r="450" spans="5:6" x14ac:dyDescent="0.15">
      <c r="E450" s="148"/>
      <c r="F450" s="148"/>
    </row>
    <row r="451" spans="5:6" x14ac:dyDescent="0.15">
      <c r="E451" s="148"/>
      <c r="F451" s="148"/>
    </row>
    <row r="452" spans="5:6" x14ac:dyDescent="0.15">
      <c r="E452" s="148"/>
      <c r="F452" s="148"/>
    </row>
    <row r="453" spans="5:6" x14ac:dyDescent="0.15">
      <c r="E453" s="148"/>
      <c r="F453" s="148"/>
    </row>
    <row r="454" spans="5:6" x14ac:dyDescent="0.15">
      <c r="E454" s="148"/>
      <c r="F454" s="148"/>
    </row>
    <row r="455" spans="5:6" x14ac:dyDescent="0.15">
      <c r="E455" s="148"/>
      <c r="F455" s="148"/>
    </row>
    <row r="456" spans="5:6" x14ac:dyDescent="0.15">
      <c r="E456" s="148"/>
      <c r="F456" s="148"/>
    </row>
    <row r="457" spans="5:6" x14ac:dyDescent="0.15">
      <c r="E457" s="148"/>
      <c r="F457" s="148"/>
    </row>
    <row r="458" spans="5:6" x14ac:dyDescent="0.15">
      <c r="E458" s="148"/>
      <c r="F458" s="148"/>
    </row>
    <row r="459" spans="5:6" x14ac:dyDescent="0.15">
      <c r="E459" s="148"/>
      <c r="F459" s="148"/>
    </row>
    <row r="460" spans="5:6" x14ac:dyDescent="0.15">
      <c r="E460" s="148"/>
      <c r="F460" s="148"/>
    </row>
    <row r="461" spans="5:6" x14ac:dyDescent="0.15">
      <c r="E461" s="148"/>
      <c r="F461" s="148"/>
    </row>
    <row r="462" spans="5:6" x14ac:dyDescent="0.15">
      <c r="E462" s="148"/>
      <c r="F462" s="148"/>
    </row>
    <row r="463" spans="5:6" x14ac:dyDescent="0.15">
      <c r="E463" s="148"/>
      <c r="F463" s="148"/>
    </row>
    <row r="464" spans="5:6" x14ac:dyDescent="0.15">
      <c r="E464" s="148"/>
      <c r="F464" s="148"/>
    </row>
    <row r="465" spans="5:6" x14ac:dyDescent="0.15">
      <c r="E465" s="148"/>
      <c r="F465" s="148"/>
    </row>
    <row r="466" spans="5:6" x14ac:dyDescent="0.15">
      <c r="E466" s="148"/>
      <c r="F466" s="148"/>
    </row>
    <row r="467" spans="5:6" x14ac:dyDescent="0.15">
      <c r="E467" s="148"/>
      <c r="F467" s="148"/>
    </row>
    <row r="468" spans="5:6" x14ac:dyDescent="0.15">
      <c r="E468" s="148"/>
      <c r="F468" s="148"/>
    </row>
    <row r="469" spans="5:6" x14ac:dyDescent="0.15">
      <c r="E469" s="148"/>
      <c r="F469" s="148"/>
    </row>
    <row r="470" spans="5:6" x14ac:dyDescent="0.15">
      <c r="E470" s="148"/>
      <c r="F470" s="148"/>
    </row>
    <row r="471" spans="5:6" x14ac:dyDescent="0.15">
      <c r="E471" s="148"/>
      <c r="F471" s="148"/>
    </row>
    <row r="472" spans="5:6" x14ac:dyDescent="0.15">
      <c r="E472" s="148"/>
      <c r="F472" s="148"/>
    </row>
    <row r="473" spans="5:6" x14ac:dyDescent="0.15">
      <c r="E473" s="148"/>
      <c r="F473" s="148"/>
    </row>
    <row r="474" spans="5:6" x14ac:dyDescent="0.15">
      <c r="E474" s="148"/>
      <c r="F474" s="148"/>
    </row>
    <row r="475" spans="5:6" x14ac:dyDescent="0.15">
      <c r="E475" s="148"/>
      <c r="F475" s="148"/>
    </row>
    <row r="476" spans="5:6" x14ac:dyDescent="0.15">
      <c r="E476" s="148"/>
      <c r="F476" s="148"/>
    </row>
    <row r="477" spans="5:6" x14ac:dyDescent="0.15">
      <c r="E477" s="148"/>
      <c r="F477" s="148"/>
    </row>
    <row r="478" spans="5:6" x14ac:dyDescent="0.15">
      <c r="E478" s="148"/>
      <c r="F478" s="148"/>
    </row>
    <row r="479" spans="5:6" x14ac:dyDescent="0.15">
      <c r="E479" s="148"/>
      <c r="F479" s="148"/>
    </row>
    <row r="480" spans="5:6" x14ac:dyDescent="0.15">
      <c r="E480" s="148"/>
      <c r="F480" s="148"/>
    </row>
    <row r="481" spans="5:6" x14ac:dyDescent="0.15">
      <c r="E481" s="148"/>
      <c r="F481" s="148"/>
    </row>
    <row r="482" spans="5:6" x14ac:dyDescent="0.15">
      <c r="E482" s="148"/>
      <c r="F482" s="148"/>
    </row>
    <row r="483" spans="5:6" x14ac:dyDescent="0.15">
      <c r="E483" s="148"/>
      <c r="F483" s="148"/>
    </row>
    <row r="484" spans="5:6" x14ac:dyDescent="0.15">
      <c r="E484" s="148"/>
      <c r="F484" s="148"/>
    </row>
    <row r="485" spans="5:6" x14ac:dyDescent="0.15">
      <c r="E485" s="148"/>
      <c r="F485" s="148"/>
    </row>
    <row r="486" spans="5:6" x14ac:dyDescent="0.15">
      <c r="E486" s="148"/>
      <c r="F486" s="148"/>
    </row>
    <row r="487" spans="5:6" x14ac:dyDescent="0.15">
      <c r="E487" s="148"/>
      <c r="F487" s="148"/>
    </row>
    <row r="488" spans="5:6" x14ac:dyDescent="0.15">
      <c r="E488" s="148"/>
      <c r="F488" s="148"/>
    </row>
    <row r="489" spans="5:6" x14ac:dyDescent="0.15">
      <c r="E489" s="148"/>
      <c r="F489" s="148"/>
    </row>
    <row r="490" spans="5:6" x14ac:dyDescent="0.15">
      <c r="E490" s="148"/>
      <c r="F490" s="148"/>
    </row>
    <row r="491" spans="5:6" x14ac:dyDescent="0.15">
      <c r="E491" s="148"/>
      <c r="F491" s="148"/>
    </row>
    <row r="492" spans="5:6" x14ac:dyDescent="0.15">
      <c r="E492" s="148"/>
      <c r="F492" s="148"/>
    </row>
    <row r="493" spans="5:6" x14ac:dyDescent="0.15">
      <c r="E493" s="148"/>
      <c r="F493" s="148"/>
    </row>
    <row r="494" spans="5:6" x14ac:dyDescent="0.15">
      <c r="E494" s="148"/>
      <c r="F494" s="148"/>
    </row>
    <row r="495" spans="5:6" x14ac:dyDescent="0.15">
      <c r="E495" s="148"/>
      <c r="F495" s="148"/>
    </row>
    <row r="496" spans="5:6" x14ac:dyDescent="0.15">
      <c r="E496" s="148"/>
      <c r="F496" s="148"/>
    </row>
    <row r="497" spans="5:6" x14ac:dyDescent="0.15">
      <c r="E497" s="148"/>
      <c r="F497" s="148"/>
    </row>
    <row r="498" spans="5:6" x14ac:dyDescent="0.15">
      <c r="E498" s="148"/>
      <c r="F498" s="148"/>
    </row>
    <row r="499" spans="5:6" x14ac:dyDescent="0.15">
      <c r="E499" s="148"/>
      <c r="F499" s="148"/>
    </row>
    <row r="500" spans="5:6" x14ac:dyDescent="0.15">
      <c r="E500" s="148"/>
      <c r="F500" s="148"/>
    </row>
    <row r="501" spans="5:6" x14ac:dyDescent="0.15">
      <c r="E501" s="148"/>
      <c r="F501" s="148"/>
    </row>
    <row r="502" spans="5:6" x14ac:dyDescent="0.15">
      <c r="E502" s="148"/>
      <c r="F502" s="148"/>
    </row>
    <row r="503" spans="5:6" x14ac:dyDescent="0.15">
      <c r="E503" s="148"/>
      <c r="F503" s="148"/>
    </row>
    <row r="504" spans="5:6" x14ac:dyDescent="0.15">
      <c r="E504" s="148"/>
      <c r="F504" s="148"/>
    </row>
    <row r="505" spans="5:6" x14ac:dyDescent="0.15">
      <c r="E505" s="148"/>
      <c r="F505" s="148"/>
    </row>
    <row r="506" spans="5:6" x14ac:dyDescent="0.15">
      <c r="E506" s="148"/>
      <c r="F506" s="148"/>
    </row>
    <row r="507" spans="5:6" x14ac:dyDescent="0.15">
      <c r="E507" s="148"/>
      <c r="F507" s="148"/>
    </row>
    <row r="508" spans="5:6" x14ac:dyDescent="0.15">
      <c r="E508" s="148"/>
      <c r="F508" s="148"/>
    </row>
    <row r="509" spans="5:6" x14ac:dyDescent="0.15">
      <c r="E509" s="148"/>
      <c r="F509" s="148"/>
    </row>
    <row r="510" spans="5:6" x14ac:dyDescent="0.15">
      <c r="E510" s="148"/>
      <c r="F510" s="148"/>
    </row>
    <row r="511" spans="5:6" x14ac:dyDescent="0.15">
      <c r="E511" s="148"/>
      <c r="F511" s="148"/>
    </row>
    <row r="512" spans="5:6" x14ac:dyDescent="0.15">
      <c r="E512" s="148"/>
      <c r="F512" s="148"/>
    </row>
    <row r="513" spans="5:6" x14ac:dyDescent="0.15">
      <c r="E513" s="148"/>
      <c r="F513" s="148"/>
    </row>
    <row r="514" spans="5:6" x14ac:dyDescent="0.15">
      <c r="E514" s="148"/>
      <c r="F514" s="148"/>
    </row>
    <row r="515" spans="5:6" x14ac:dyDescent="0.15">
      <c r="E515" s="148"/>
      <c r="F515" s="148"/>
    </row>
    <row r="516" spans="5:6" x14ac:dyDescent="0.15">
      <c r="E516" s="148"/>
      <c r="F516" s="148"/>
    </row>
    <row r="517" spans="5:6" x14ac:dyDescent="0.15">
      <c r="E517" s="148"/>
      <c r="F517" s="148"/>
    </row>
    <row r="518" spans="5:6" x14ac:dyDescent="0.15">
      <c r="E518" s="148"/>
      <c r="F518" s="148"/>
    </row>
    <row r="519" spans="5:6" x14ac:dyDescent="0.15">
      <c r="E519" s="148"/>
      <c r="F519" s="148"/>
    </row>
    <row r="520" spans="5:6" x14ac:dyDescent="0.15">
      <c r="E520" s="148"/>
      <c r="F520" s="148"/>
    </row>
    <row r="521" spans="5:6" x14ac:dyDescent="0.15">
      <c r="E521" s="148"/>
      <c r="F521" s="148"/>
    </row>
    <row r="522" spans="5:6" x14ac:dyDescent="0.15">
      <c r="E522" s="148"/>
      <c r="F522" s="148"/>
    </row>
    <row r="523" spans="5:6" x14ac:dyDescent="0.15">
      <c r="E523" s="148"/>
      <c r="F523" s="148"/>
    </row>
    <row r="524" spans="5:6" x14ac:dyDescent="0.15">
      <c r="E524" s="148"/>
      <c r="F524" s="148"/>
    </row>
    <row r="525" spans="5:6" x14ac:dyDescent="0.15">
      <c r="E525" s="148"/>
      <c r="F525" s="148"/>
    </row>
    <row r="526" spans="5:6" x14ac:dyDescent="0.15">
      <c r="E526" s="148"/>
      <c r="F526" s="148"/>
    </row>
    <row r="527" spans="5:6" x14ac:dyDescent="0.15">
      <c r="E527" s="148"/>
      <c r="F527" s="148"/>
    </row>
    <row r="528" spans="5:6" x14ac:dyDescent="0.15">
      <c r="E528" s="148"/>
      <c r="F528" s="148"/>
    </row>
    <row r="529" spans="5:6" x14ac:dyDescent="0.15">
      <c r="E529" s="148"/>
      <c r="F529" s="148"/>
    </row>
    <row r="530" spans="5:6" x14ac:dyDescent="0.15">
      <c r="E530" s="148"/>
      <c r="F530" s="148"/>
    </row>
    <row r="531" spans="5:6" x14ac:dyDescent="0.15">
      <c r="E531" s="148"/>
      <c r="F531" s="148"/>
    </row>
    <row r="532" spans="5:6" x14ac:dyDescent="0.15">
      <c r="E532" s="148"/>
      <c r="F532" s="148"/>
    </row>
    <row r="533" spans="5:6" x14ac:dyDescent="0.15">
      <c r="E533" s="148"/>
      <c r="F533" s="148"/>
    </row>
    <row r="534" spans="5:6" x14ac:dyDescent="0.15">
      <c r="E534" s="148"/>
      <c r="F534" s="148"/>
    </row>
    <row r="535" spans="5:6" x14ac:dyDescent="0.15">
      <c r="E535" s="148"/>
      <c r="F535" s="148"/>
    </row>
    <row r="536" spans="5:6" x14ac:dyDescent="0.15">
      <c r="E536" s="148"/>
      <c r="F536" s="148"/>
    </row>
    <row r="537" spans="5:6" x14ac:dyDescent="0.15">
      <c r="E537" s="148"/>
      <c r="F537" s="148"/>
    </row>
    <row r="538" spans="5:6" x14ac:dyDescent="0.15">
      <c r="E538" s="148"/>
      <c r="F538" s="148"/>
    </row>
    <row r="539" spans="5:6" x14ac:dyDescent="0.15">
      <c r="E539" s="148"/>
      <c r="F539" s="148"/>
    </row>
    <row r="540" spans="5:6" x14ac:dyDescent="0.15">
      <c r="E540" s="148"/>
      <c r="F540" s="148"/>
    </row>
    <row r="541" spans="5:6" x14ac:dyDescent="0.15">
      <c r="E541" s="148"/>
      <c r="F541" s="148"/>
    </row>
    <row r="542" spans="5:6" x14ac:dyDescent="0.15">
      <c r="E542" s="148"/>
      <c r="F542" s="148"/>
    </row>
    <row r="543" spans="5:6" x14ac:dyDescent="0.15">
      <c r="E543" s="148"/>
      <c r="F543" s="148"/>
    </row>
    <row r="544" spans="5:6" x14ac:dyDescent="0.15">
      <c r="E544" s="148"/>
      <c r="F544" s="148"/>
    </row>
    <row r="545" spans="5:6" x14ac:dyDescent="0.15">
      <c r="E545" s="148"/>
      <c r="F545" s="148"/>
    </row>
    <row r="546" spans="5:6" x14ac:dyDescent="0.15">
      <c r="E546" s="148"/>
      <c r="F546" s="148"/>
    </row>
    <row r="547" spans="5:6" x14ac:dyDescent="0.15">
      <c r="E547" s="148"/>
      <c r="F547" s="148"/>
    </row>
    <row r="548" spans="5:6" x14ac:dyDescent="0.15">
      <c r="E548" s="148"/>
      <c r="F548" s="148"/>
    </row>
    <row r="549" spans="5:6" x14ac:dyDescent="0.15">
      <c r="E549" s="148"/>
      <c r="F549" s="148"/>
    </row>
    <row r="550" spans="5:6" x14ac:dyDescent="0.15">
      <c r="E550" s="148"/>
      <c r="F550" s="148"/>
    </row>
    <row r="551" spans="5:6" x14ac:dyDescent="0.15">
      <c r="E551" s="148"/>
      <c r="F551" s="148"/>
    </row>
    <row r="552" spans="5:6" x14ac:dyDescent="0.15">
      <c r="E552" s="148"/>
      <c r="F552" s="148"/>
    </row>
    <row r="553" spans="5:6" x14ac:dyDescent="0.15">
      <c r="E553" s="148"/>
      <c r="F553" s="148"/>
    </row>
    <row r="554" spans="5:6" x14ac:dyDescent="0.15">
      <c r="E554" s="148"/>
      <c r="F554" s="148"/>
    </row>
    <row r="555" spans="5:6" x14ac:dyDescent="0.15">
      <c r="E555" s="148"/>
      <c r="F555" s="148"/>
    </row>
    <row r="556" spans="5:6" x14ac:dyDescent="0.15">
      <c r="E556" s="148"/>
      <c r="F556" s="148"/>
    </row>
    <row r="557" spans="5:6" x14ac:dyDescent="0.15">
      <c r="E557" s="148"/>
      <c r="F557" s="148"/>
    </row>
    <row r="558" spans="5:6" x14ac:dyDescent="0.15">
      <c r="E558" s="148"/>
      <c r="F558" s="148"/>
    </row>
    <row r="559" spans="5:6" x14ac:dyDescent="0.15">
      <c r="E559" s="148"/>
      <c r="F559" s="148"/>
    </row>
    <row r="560" spans="5:6" x14ac:dyDescent="0.15">
      <c r="E560" s="148"/>
      <c r="F560" s="148"/>
    </row>
    <row r="561" spans="5:6" x14ac:dyDescent="0.15">
      <c r="E561" s="148"/>
      <c r="F561" s="148"/>
    </row>
    <row r="562" spans="5:6" x14ac:dyDescent="0.15">
      <c r="E562" s="148"/>
      <c r="F562" s="148"/>
    </row>
    <row r="563" spans="5:6" x14ac:dyDescent="0.15">
      <c r="E563" s="148"/>
      <c r="F563" s="148"/>
    </row>
    <row r="564" spans="5:6" x14ac:dyDescent="0.15">
      <c r="E564" s="148"/>
      <c r="F564" s="148"/>
    </row>
    <row r="565" spans="5:6" x14ac:dyDescent="0.15">
      <c r="E565" s="148"/>
      <c r="F565" s="148"/>
    </row>
    <row r="566" spans="5:6" x14ac:dyDescent="0.15">
      <c r="E566" s="148"/>
      <c r="F566" s="148"/>
    </row>
    <row r="567" spans="5:6" x14ac:dyDescent="0.15">
      <c r="E567" s="148"/>
      <c r="F567" s="148"/>
    </row>
    <row r="568" spans="5:6" x14ac:dyDescent="0.15">
      <c r="E568" s="148"/>
      <c r="F568" s="148"/>
    </row>
    <row r="569" spans="5:6" x14ac:dyDescent="0.15">
      <c r="E569" s="148"/>
      <c r="F569" s="148"/>
    </row>
    <row r="570" spans="5:6" x14ac:dyDescent="0.15">
      <c r="E570" s="148"/>
      <c r="F570" s="148"/>
    </row>
    <row r="571" spans="5:6" x14ac:dyDescent="0.15">
      <c r="E571" s="148"/>
      <c r="F571" s="148"/>
    </row>
    <row r="572" spans="5:6" x14ac:dyDescent="0.15">
      <c r="E572" s="148"/>
      <c r="F572" s="148"/>
    </row>
    <row r="573" spans="5:6" x14ac:dyDescent="0.15">
      <c r="E573" s="148"/>
      <c r="F573" s="148"/>
    </row>
    <row r="574" spans="5:6" x14ac:dyDescent="0.15">
      <c r="E574" s="148"/>
      <c r="F574" s="148"/>
    </row>
    <row r="575" spans="5:6" x14ac:dyDescent="0.15">
      <c r="E575" s="148"/>
      <c r="F575" s="148"/>
    </row>
    <row r="576" spans="5:6" x14ac:dyDescent="0.15">
      <c r="E576" s="148"/>
      <c r="F576" s="148"/>
    </row>
    <row r="577" spans="5:6" x14ac:dyDescent="0.15">
      <c r="E577" s="148"/>
      <c r="F577" s="148"/>
    </row>
    <row r="578" spans="5:6" x14ac:dyDescent="0.15">
      <c r="E578" s="148"/>
      <c r="F578" s="148"/>
    </row>
    <row r="579" spans="5:6" x14ac:dyDescent="0.15">
      <c r="E579" s="148"/>
      <c r="F579" s="148"/>
    </row>
    <row r="580" spans="5:6" x14ac:dyDescent="0.15">
      <c r="E580" s="148"/>
      <c r="F580" s="148"/>
    </row>
    <row r="581" spans="5:6" x14ac:dyDescent="0.15">
      <c r="E581" s="148"/>
      <c r="F581" s="148"/>
    </row>
    <row r="582" spans="5:6" x14ac:dyDescent="0.15">
      <c r="E582" s="148"/>
      <c r="F582" s="148"/>
    </row>
    <row r="583" spans="5:6" x14ac:dyDescent="0.15">
      <c r="E583" s="148"/>
      <c r="F583" s="148"/>
    </row>
    <row r="584" spans="5:6" x14ac:dyDescent="0.15">
      <c r="E584" s="148"/>
      <c r="F584" s="148"/>
    </row>
    <row r="585" spans="5:6" x14ac:dyDescent="0.15">
      <c r="E585" s="148"/>
      <c r="F585" s="148"/>
    </row>
    <row r="586" spans="5:6" x14ac:dyDescent="0.15">
      <c r="E586" s="148"/>
      <c r="F586" s="148"/>
    </row>
    <row r="587" spans="5:6" x14ac:dyDescent="0.15">
      <c r="E587" s="148"/>
      <c r="F587" s="148"/>
    </row>
    <row r="588" spans="5:6" x14ac:dyDescent="0.15">
      <c r="E588" s="148"/>
      <c r="F588" s="148"/>
    </row>
    <row r="589" spans="5:6" x14ac:dyDescent="0.15">
      <c r="E589" s="148"/>
      <c r="F589" s="148"/>
    </row>
    <row r="590" spans="5:6" x14ac:dyDescent="0.15">
      <c r="E590" s="148"/>
      <c r="F590" s="148"/>
    </row>
    <row r="591" spans="5:6" x14ac:dyDescent="0.15">
      <c r="E591" s="148"/>
      <c r="F591" s="148"/>
    </row>
    <row r="592" spans="5:6" x14ac:dyDescent="0.15">
      <c r="E592" s="148"/>
      <c r="F592" s="148"/>
    </row>
    <row r="593" spans="5:6" x14ac:dyDescent="0.15">
      <c r="E593" s="148"/>
      <c r="F593" s="148"/>
    </row>
    <row r="594" spans="5:6" x14ac:dyDescent="0.15">
      <c r="E594" s="148"/>
      <c r="F594" s="148"/>
    </row>
    <row r="595" spans="5:6" x14ac:dyDescent="0.15">
      <c r="E595" s="148"/>
      <c r="F595" s="148"/>
    </row>
    <row r="596" spans="5:6" x14ac:dyDescent="0.15">
      <c r="E596" s="148"/>
      <c r="F596" s="148"/>
    </row>
    <row r="597" spans="5:6" x14ac:dyDescent="0.15">
      <c r="E597" s="148"/>
      <c r="F597" s="148"/>
    </row>
    <row r="598" spans="5:6" x14ac:dyDescent="0.15">
      <c r="E598" s="148"/>
      <c r="F598" s="148"/>
    </row>
    <row r="599" spans="5:6" x14ac:dyDescent="0.15">
      <c r="E599" s="148"/>
      <c r="F599" s="148"/>
    </row>
    <row r="600" spans="5:6" x14ac:dyDescent="0.15">
      <c r="E600" s="148"/>
      <c r="F600" s="148"/>
    </row>
    <row r="601" spans="5:6" x14ac:dyDescent="0.15">
      <c r="E601" s="148"/>
      <c r="F601" s="148"/>
    </row>
    <row r="602" spans="5:6" x14ac:dyDescent="0.15">
      <c r="E602" s="148"/>
      <c r="F602" s="148"/>
    </row>
    <row r="603" spans="5:6" x14ac:dyDescent="0.15">
      <c r="E603" s="148"/>
      <c r="F603" s="148"/>
    </row>
    <row r="604" spans="5:6" x14ac:dyDescent="0.15">
      <c r="E604" s="148"/>
      <c r="F604" s="148"/>
    </row>
    <row r="605" spans="5:6" x14ac:dyDescent="0.15">
      <c r="E605" s="148"/>
      <c r="F605" s="148"/>
    </row>
    <row r="606" spans="5:6" x14ac:dyDescent="0.15">
      <c r="E606" s="148"/>
      <c r="F606" s="148"/>
    </row>
    <row r="607" spans="5:6" x14ac:dyDescent="0.15">
      <c r="E607" s="148"/>
      <c r="F607" s="148"/>
    </row>
    <row r="608" spans="5:6" x14ac:dyDescent="0.15">
      <c r="E608" s="148"/>
      <c r="F608" s="148"/>
    </row>
    <row r="609" spans="5:6" x14ac:dyDescent="0.15">
      <c r="E609" s="148"/>
      <c r="F609" s="148"/>
    </row>
    <row r="610" spans="5:6" x14ac:dyDescent="0.15">
      <c r="E610" s="148"/>
      <c r="F610" s="148"/>
    </row>
    <row r="611" spans="5:6" x14ac:dyDescent="0.15">
      <c r="E611" s="148"/>
      <c r="F611" s="148"/>
    </row>
    <row r="612" spans="5:6" x14ac:dyDescent="0.15">
      <c r="E612" s="148"/>
      <c r="F612" s="148"/>
    </row>
    <row r="613" spans="5:6" x14ac:dyDescent="0.15">
      <c r="E613" s="148"/>
      <c r="F613" s="148"/>
    </row>
    <row r="614" spans="5:6" x14ac:dyDescent="0.15">
      <c r="E614" s="148"/>
      <c r="F614" s="148"/>
    </row>
    <row r="615" spans="5:6" x14ac:dyDescent="0.15">
      <c r="E615" s="148"/>
      <c r="F615" s="148"/>
    </row>
    <row r="616" spans="5:6" x14ac:dyDescent="0.15">
      <c r="E616" s="148"/>
      <c r="F616" s="148"/>
    </row>
    <row r="617" spans="5:6" x14ac:dyDescent="0.15">
      <c r="E617" s="148"/>
      <c r="F617" s="148"/>
    </row>
    <row r="618" spans="5:6" x14ac:dyDescent="0.15">
      <c r="E618" s="148"/>
      <c r="F618" s="148"/>
    </row>
    <row r="619" spans="5:6" x14ac:dyDescent="0.15">
      <c r="E619" s="148"/>
      <c r="F619" s="148"/>
    </row>
    <row r="620" spans="5:6" x14ac:dyDescent="0.15">
      <c r="E620" s="148"/>
      <c r="F620" s="148"/>
    </row>
    <row r="621" spans="5:6" x14ac:dyDescent="0.15">
      <c r="E621" s="148"/>
      <c r="F621" s="148"/>
    </row>
    <row r="622" spans="5:6" x14ac:dyDescent="0.15">
      <c r="E622" s="148"/>
      <c r="F622" s="148"/>
    </row>
    <row r="623" spans="5:6" x14ac:dyDescent="0.15">
      <c r="E623" s="148"/>
      <c r="F623" s="148"/>
    </row>
    <row r="624" spans="5:6" x14ac:dyDescent="0.15">
      <c r="E624" s="148"/>
      <c r="F624" s="148"/>
    </row>
    <row r="625" spans="5:6" x14ac:dyDescent="0.15">
      <c r="E625" s="148"/>
      <c r="F625" s="148"/>
    </row>
    <row r="626" spans="5:6" x14ac:dyDescent="0.15">
      <c r="E626" s="148"/>
      <c r="F626" s="148"/>
    </row>
    <row r="627" spans="5:6" x14ac:dyDescent="0.15">
      <c r="E627" s="148"/>
      <c r="F627" s="148"/>
    </row>
    <row r="628" spans="5:6" x14ac:dyDescent="0.15">
      <c r="E628" s="148"/>
      <c r="F628" s="148"/>
    </row>
    <row r="629" spans="5:6" x14ac:dyDescent="0.15">
      <c r="E629" s="148"/>
      <c r="F629" s="148"/>
    </row>
    <row r="630" spans="5:6" x14ac:dyDescent="0.15">
      <c r="E630" s="148"/>
      <c r="F630" s="148"/>
    </row>
    <row r="631" spans="5:6" x14ac:dyDescent="0.15">
      <c r="E631" s="148"/>
      <c r="F631" s="148"/>
    </row>
    <row r="632" spans="5:6" x14ac:dyDescent="0.15">
      <c r="E632" s="148"/>
      <c r="F632" s="148"/>
    </row>
    <row r="633" spans="5:6" x14ac:dyDescent="0.15">
      <c r="E633" s="148"/>
      <c r="F633" s="148"/>
    </row>
    <row r="634" spans="5:6" x14ac:dyDescent="0.15">
      <c r="E634" s="148"/>
      <c r="F634" s="148"/>
    </row>
    <row r="635" spans="5:6" x14ac:dyDescent="0.15">
      <c r="E635" s="148"/>
      <c r="F635" s="148"/>
    </row>
    <row r="636" spans="5:6" x14ac:dyDescent="0.15">
      <c r="E636" s="148"/>
      <c r="F636" s="148"/>
    </row>
    <row r="637" spans="5:6" x14ac:dyDescent="0.15">
      <c r="E637" s="148"/>
      <c r="F637" s="148"/>
    </row>
    <row r="638" spans="5:6" x14ac:dyDescent="0.15">
      <c r="E638" s="148"/>
      <c r="F638" s="148"/>
    </row>
    <row r="639" spans="5:6" x14ac:dyDescent="0.15">
      <c r="E639" s="148"/>
      <c r="F639" s="148"/>
    </row>
    <row r="640" spans="5:6" x14ac:dyDescent="0.15">
      <c r="E640" s="148"/>
      <c r="F640" s="148"/>
    </row>
    <row r="641" spans="5:6" x14ac:dyDescent="0.15">
      <c r="E641" s="148"/>
      <c r="F641" s="148"/>
    </row>
    <row r="642" spans="5:6" x14ac:dyDescent="0.15">
      <c r="E642" s="148"/>
      <c r="F642" s="148"/>
    </row>
    <row r="643" spans="5:6" x14ac:dyDescent="0.15">
      <c r="E643" s="148"/>
      <c r="F643" s="148"/>
    </row>
    <row r="644" spans="5:6" x14ac:dyDescent="0.15">
      <c r="E644" s="148"/>
      <c r="F644" s="148"/>
    </row>
    <row r="645" spans="5:6" x14ac:dyDescent="0.15">
      <c r="E645" s="148"/>
      <c r="F645" s="148"/>
    </row>
    <row r="646" spans="5:6" x14ac:dyDescent="0.15">
      <c r="E646" s="148"/>
      <c r="F646" s="148"/>
    </row>
    <row r="647" spans="5:6" x14ac:dyDescent="0.15">
      <c r="E647" s="148"/>
      <c r="F647" s="148"/>
    </row>
    <row r="648" spans="5:6" x14ac:dyDescent="0.15">
      <c r="E648" s="148"/>
      <c r="F648" s="148"/>
    </row>
    <row r="649" spans="5:6" x14ac:dyDescent="0.15">
      <c r="E649" s="148"/>
      <c r="F649" s="148"/>
    </row>
    <row r="650" spans="5:6" x14ac:dyDescent="0.15">
      <c r="E650" s="148"/>
      <c r="F650" s="148"/>
    </row>
    <row r="651" spans="5:6" x14ac:dyDescent="0.15">
      <c r="E651" s="148"/>
      <c r="F651" s="148"/>
    </row>
    <row r="652" spans="5:6" x14ac:dyDescent="0.15">
      <c r="E652" s="148"/>
      <c r="F652" s="148"/>
    </row>
    <row r="653" spans="5:6" x14ac:dyDescent="0.15">
      <c r="E653" s="148"/>
      <c r="F653" s="148"/>
    </row>
    <row r="654" spans="5:6" x14ac:dyDescent="0.15">
      <c r="E654" s="148"/>
      <c r="F654" s="148"/>
    </row>
    <row r="655" spans="5:6" x14ac:dyDescent="0.15">
      <c r="E655" s="148"/>
      <c r="F655" s="148"/>
    </row>
    <row r="656" spans="5:6" x14ac:dyDescent="0.15">
      <c r="E656" s="148"/>
      <c r="F656" s="148"/>
    </row>
    <row r="657" spans="5:6" x14ac:dyDescent="0.15">
      <c r="E657" s="148"/>
      <c r="F657" s="148"/>
    </row>
    <row r="658" spans="5:6" x14ac:dyDescent="0.15">
      <c r="E658" s="148"/>
      <c r="F658" s="148"/>
    </row>
    <row r="659" spans="5:6" x14ac:dyDescent="0.15">
      <c r="E659" s="148"/>
      <c r="F659" s="148"/>
    </row>
    <row r="660" spans="5:6" x14ac:dyDescent="0.15">
      <c r="E660" s="148"/>
      <c r="F660" s="148"/>
    </row>
    <row r="661" spans="5:6" x14ac:dyDescent="0.15">
      <c r="E661" s="148"/>
      <c r="F661" s="148"/>
    </row>
    <row r="662" spans="5:6" x14ac:dyDescent="0.15">
      <c r="E662" s="148"/>
      <c r="F662" s="148"/>
    </row>
    <row r="663" spans="5:6" x14ac:dyDescent="0.15">
      <c r="E663" s="148"/>
      <c r="F663" s="148"/>
    </row>
    <row r="664" spans="5:6" x14ac:dyDescent="0.15">
      <c r="E664" s="148"/>
      <c r="F664" s="148"/>
    </row>
    <row r="665" spans="5:6" x14ac:dyDescent="0.15">
      <c r="E665" s="148"/>
      <c r="F665" s="148"/>
    </row>
    <row r="666" spans="5:6" x14ac:dyDescent="0.15">
      <c r="E666" s="148"/>
      <c r="F666" s="148"/>
    </row>
    <row r="667" spans="5:6" x14ac:dyDescent="0.15">
      <c r="E667" s="148"/>
      <c r="F667" s="148"/>
    </row>
    <row r="668" spans="5:6" x14ac:dyDescent="0.15">
      <c r="E668" s="148"/>
      <c r="F668" s="148"/>
    </row>
    <row r="669" spans="5:6" x14ac:dyDescent="0.15">
      <c r="E669" s="148"/>
      <c r="F669" s="148"/>
    </row>
    <row r="670" spans="5:6" x14ac:dyDescent="0.15">
      <c r="E670" s="148"/>
      <c r="F670" s="148"/>
    </row>
    <row r="671" spans="5:6" x14ac:dyDescent="0.15">
      <c r="E671" s="148"/>
      <c r="F671" s="148"/>
    </row>
    <row r="672" spans="5:6" x14ac:dyDescent="0.15">
      <c r="E672" s="148"/>
      <c r="F672" s="148"/>
    </row>
    <row r="673" spans="5:6" x14ac:dyDescent="0.15">
      <c r="E673" s="148"/>
      <c r="F673" s="148"/>
    </row>
    <row r="674" spans="5:6" x14ac:dyDescent="0.15">
      <c r="E674" s="148"/>
      <c r="F674" s="148"/>
    </row>
    <row r="675" spans="5:6" x14ac:dyDescent="0.15">
      <c r="E675" s="148"/>
      <c r="F675" s="148"/>
    </row>
    <row r="676" spans="5:6" x14ac:dyDescent="0.15">
      <c r="E676" s="148"/>
      <c r="F676" s="148"/>
    </row>
    <row r="677" spans="5:6" x14ac:dyDescent="0.15">
      <c r="E677" s="148"/>
      <c r="F677" s="148"/>
    </row>
    <row r="678" spans="5:6" x14ac:dyDescent="0.15">
      <c r="E678" s="148"/>
      <c r="F678" s="148"/>
    </row>
    <row r="679" spans="5:6" x14ac:dyDescent="0.15">
      <c r="E679" s="148"/>
      <c r="F679" s="148"/>
    </row>
    <row r="680" spans="5:6" x14ac:dyDescent="0.15">
      <c r="E680" s="148"/>
      <c r="F680" s="148"/>
    </row>
    <row r="681" spans="5:6" x14ac:dyDescent="0.15">
      <c r="E681" s="148"/>
      <c r="F681" s="148"/>
    </row>
    <row r="682" spans="5:6" x14ac:dyDescent="0.15">
      <c r="E682" s="148"/>
      <c r="F682" s="148"/>
    </row>
    <row r="683" spans="5:6" x14ac:dyDescent="0.15">
      <c r="E683" s="148"/>
      <c r="F683" s="148"/>
    </row>
    <row r="684" spans="5:6" x14ac:dyDescent="0.15">
      <c r="E684" s="148"/>
      <c r="F684" s="148"/>
    </row>
    <row r="685" spans="5:6" x14ac:dyDescent="0.15">
      <c r="E685" s="148"/>
      <c r="F685" s="148"/>
    </row>
    <row r="686" spans="5:6" x14ac:dyDescent="0.15">
      <c r="E686" s="148"/>
      <c r="F686" s="148"/>
    </row>
    <row r="687" spans="5:6" x14ac:dyDescent="0.15">
      <c r="E687" s="148"/>
      <c r="F687" s="148"/>
    </row>
    <row r="688" spans="5:6" x14ac:dyDescent="0.15">
      <c r="E688" s="148"/>
      <c r="F688" s="148"/>
    </row>
    <row r="689" spans="5:6" x14ac:dyDescent="0.15">
      <c r="E689" s="148"/>
      <c r="F689" s="148"/>
    </row>
    <row r="690" spans="5:6" x14ac:dyDescent="0.15">
      <c r="E690" s="148"/>
      <c r="F690" s="148"/>
    </row>
    <row r="691" spans="5:6" x14ac:dyDescent="0.15">
      <c r="E691" s="148"/>
      <c r="F691" s="148"/>
    </row>
    <row r="692" spans="5:6" x14ac:dyDescent="0.15">
      <c r="E692" s="148"/>
      <c r="F692" s="148"/>
    </row>
    <row r="693" spans="5:6" x14ac:dyDescent="0.15">
      <c r="E693" s="148"/>
      <c r="F693" s="148"/>
    </row>
    <row r="694" spans="5:6" x14ac:dyDescent="0.15">
      <c r="E694" s="148"/>
      <c r="F694" s="148"/>
    </row>
    <row r="695" spans="5:6" x14ac:dyDescent="0.15">
      <c r="E695" s="148"/>
      <c r="F695" s="148"/>
    </row>
    <row r="696" spans="5:6" x14ac:dyDescent="0.15">
      <c r="E696" s="148"/>
      <c r="F696" s="148"/>
    </row>
    <row r="697" spans="5:6" x14ac:dyDescent="0.15">
      <c r="E697" s="148"/>
      <c r="F697" s="148"/>
    </row>
    <row r="698" spans="5:6" x14ac:dyDescent="0.15">
      <c r="E698" s="148"/>
      <c r="F698" s="148"/>
    </row>
    <row r="699" spans="5:6" x14ac:dyDescent="0.15">
      <c r="E699" s="148"/>
      <c r="F699" s="148"/>
    </row>
    <row r="700" spans="5:6" x14ac:dyDescent="0.15">
      <c r="E700" s="148"/>
      <c r="F700" s="148"/>
    </row>
    <row r="701" spans="5:6" x14ac:dyDescent="0.15">
      <c r="E701" s="148"/>
      <c r="F701" s="148"/>
    </row>
    <row r="702" spans="5:6" x14ac:dyDescent="0.15">
      <c r="E702" s="148"/>
      <c r="F702" s="148"/>
    </row>
    <row r="703" spans="5:6" x14ac:dyDescent="0.15">
      <c r="E703" s="148"/>
      <c r="F703" s="148"/>
    </row>
    <row r="704" spans="5:6" x14ac:dyDescent="0.15">
      <c r="E704" s="148"/>
      <c r="F704" s="148"/>
    </row>
    <row r="705" spans="5:6" x14ac:dyDescent="0.15">
      <c r="E705" s="148"/>
      <c r="F705" s="148"/>
    </row>
    <row r="706" spans="5:6" x14ac:dyDescent="0.15">
      <c r="E706" s="148"/>
      <c r="F706" s="148"/>
    </row>
    <row r="707" spans="5:6" x14ac:dyDescent="0.15">
      <c r="E707" s="148"/>
      <c r="F707" s="148"/>
    </row>
    <row r="708" spans="5:6" x14ac:dyDescent="0.15">
      <c r="E708" s="148"/>
      <c r="F708" s="148"/>
    </row>
    <row r="709" spans="5:6" x14ac:dyDescent="0.15">
      <c r="E709" s="148"/>
      <c r="F709" s="148"/>
    </row>
    <row r="710" spans="5:6" x14ac:dyDescent="0.15">
      <c r="E710" s="148"/>
      <c r="F710" s="148"/>
    </row>
    <row r="711" spans="5:6" x14ac:dyDescent="0.15">
      <c r="E711" s="148"/>
      <c r="F711" s="148"/>
    </row>
    <row r="712" spans="5:6" x14ac:dyDescent="0.15">
      <c r="E712" s="148"/>
      <c r="F712" s="148"/>
    </row>
    <row r="713" spans="5:6" x14ac:dyDescent="0.15">
      <c r="E713" s="148"/>
      <c r="F713" s="148"/>
    </row>
    <row r="714" spans="5:6" x14ac:dyDescent="0.15">
      <c r="E714" s="148"/>
      <c r="F714" s="148"/>
    </row>
    <row r="715" spans="5:6" x14ac:dyDescent="0.15">
      <c r="E715" s="148"/>
      <c r="F715" s="148"/>
    </row>
    <row r="716" spans="5:6" x14ac:dyDescent="0.15">
      <c r="E716" s="148"/>
      <c r="F716" s="148"/>
    </row>
    <row r="717" spans="5:6" x14ac:dyDescent="0.15">
      <c r="E717" s="148"/>
      <c r="F717" s="148"/>
    </row>
    <row r="718" spans="5:6" x14ac:dyDescent="0.15">
      <c r="E718" s="148"/>
      <c r="F718" s="148"/>
    </row>
    <row r="719" spans="5:6" x14ac:dyDescent="0.15">
      <c r="E719" s="148"/>
      <c r="F719" s="148"/>
    </row>
    <row r="720" spans="5:6" x14ac:dyDescent="0.15">
      <c r="E720" s="148"/>
      <c r="F720" s="148"/>
    </row>
    <row r="721" spans="5:6" x14ac:dyDescent="0.15">
      <c r="E721" s="148"/>
      <c r="F721" s="148"/>
    </row>
    <row r="722" spans="5:6" x14ac:dyDescent="0.15">
      <c r="E722" s="148"/>
      <c r="F722" s="148"/>
    </row>
    <row r="723" spans="5:6" x14ac:dyDescent="0.15">
      <c r="E723" s="148"/>
      <c r="F723" s="148"/>
    </row>
    <row r="724" spans="5:6" x14ac:dyDescent="0.15">
      <c r="E724" s="148"/>
      <c r="F724" s="148"/>
    </row>
    <row r="725" spans="5:6" x14ac:dyDescent="0.15">
      <c r="E725" s="148"/>
      <c r="F725" s="148"/>
    </row>
    <row r="726" spans="5:6" x14ac:dyDescent="0.15">
      <c r="E726" s="148"/>
      <c r="F726" s="148"/>
    </row>
    <row r="727" spans="5:6" x14ac:dyDescent="0.15">
      <c r="E727" s="148"/>
      <c r="F727" s="148"/>
    </row>
    <row r="728" spans="5:6" x14ac:dyDescent="0.15">
      <c r="E728" s="148"/>
      <c r="F728" s="148"/>
    </row>
    <row r="729" spans="5:6" x14ac:dyDescent="0.15">
      <c r="E729" s="148"/>
      <c r="F729" s="148"/>
    </row>
    <row r="730" spans="5:6" x14ac:dyDescent="0.15">
      <c r="E730" s="148"/>
      <c r="F730" s="148"/>
    </row>
    <row r="731" spans="5:6" x14ac:dyDescent="0.15">
      <c r="E731" s="148"/>
      <c r="F731" s="148"/>
    </row>
    <row r="732" spans="5:6" x14ac:dyDescent="0.15">
      <c r="E732" s="148"/>
    </row>
  </sheetData>
  <autoFilter ref="A1:BA85"/>
  <phoneticPr fontId="3"/>
  <dataValidations count="15">
    <dataValidation type="decimal" allowBlank="1" showInputMessage="1" showErrorMessage="1" error="硬度を正しく入力して下さい。" sqref="O2:P500">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formula1>$AV$2:$AV$20</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formula1>$AT$2:$AT$3</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formula1>$AP$2:$AP$27</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formula1>$AN$5:$AN$6</formula1>
    </dataValidation>
    <dataValidation type="list" allowBlank="1" showInputMessage="1" showErrorMessage="1" sqref="K2:K89">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formula1>$AR$2:$AR$25</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formula1>$AH$2:$AH$11</formula1>
    </dataValidation>
    <dataValidation type="list" allowBlank="1" showInputMessage="1" showErrorMessage="1" sqref="H2:H500">
      <formula1>$AL$2:$AL$8</formula1>
    </dataValidation>
    <dataValidation type="list" allowBlank="1" showInputMessage="1" showErrorMessage="1" sqref="Y2:AA500">
      <formula1>$AV$2:$AV$21</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formula1>$AG$2:$AG$11</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formula1>$AL$4:$AL$12</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formula1>$AJ$2:$AJ$4</formula1>
    </dataValidation>
  </dataValidations>
  <pageMargins left="0.69930555555555596" right="0.69930555555555596"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A117"/>
  <sheetViews>
    <sheetView topLeftCell="A14" zoomScale="70" zoomScaleNormal="70" workbookViewId="0">
      <selection activeCell="AC37" sqref="AC37"/>
    </sheetView>
  </sheetViews>
  <sheetFormatPr defaultRowHeight="13.5" x14ac:dyDescent="0.15"/>
  <cols>
    <col min="1" max="3" width="9" style="96" customWidth="1"/>
    <col min="4" max="4" width="10.5" style="96" customWidth="1"/>
    <col min="5" max="5" width="11.25" style="96" bestFit="1" customWidth="1"/>
    <col min="6" max="7" width="9" style="96"/>
    <col min="8" max="10" width="9" style="96" customWidth="1"/>
    <col min="11" max="11" width="11.375" style="96" customWidth="1"/>
    <col min="12" max="16" width="9" style="96" customWidth="1"/>
    <col min="17" max="17" width="9" style="105" customWidth="1"/>
    <col min="18" max="18" width="9" style="96"/>
    <col min="19" max="19" width="9.5" style="96" bestFit="1" customWidth="1"/>
    <col min="20" max="20" width="9" style="105" customWidth="1"/>
    <col min="21" max="21" width="9" style="96"/>
    <col min="22" max="22" width="9" style="105" customWidth="1"/>
    <col min="23" max="28" width="9" style="96"/>
    <col min="29" max="29" width="26.5" style="96" customWidth="1"/>
    <col min="30" max="32" width="9" style="96"/>
    <col min="33" max="33" width="15.75" style="96" bestFit="1" customWidth="1"/>
    <col min="34" max="34" width="15" style="96" bestFit="1" customWidth="1"/>
    <col min="35" max="256" width="9" style="96"/>
    <col min="257" max="259" width="9" style="96" customWidth="1"/>
    <col min="260" max="260" width="10.5" style="96" customWidth="1"/>
    <col min="261" max="261" width="11.25" style="96" bestFit="1" customWidth="1"/>
    <col min="262" max="263" width="9" style="96"/>
    <col min="264" max="273" width="9" style="96" customWidth="1"/>
    <col min="274" max="274" width="9" style="96"/>
    <col min="275" max="275" width="9.5" style="96" bestFit="1" customWidth="1"/>
    <col min="276" max="276" width="9" style="96" customWidth="1"/>
    <col min="277" max="277" width="9" style="96"/>
    <col min="278" max="278" width="9" style="96" customWidth="1"/>
    <col min="279" max="284" width="9" style="96"/>
    <col min="285" max="285" width="26.5" style="96" customWidth="1"/>
    <col min="286" max="288" width="9" style="96"/>
    <col min="289" max="289" width="14.75" style="96" bestFit="1" customWidth="1"/>
    <col min="290" max="512" width="9" style="96"/>
    <col min="513" max="515" width="9" style="96" customWidth="1"/>
    <col min="516" max="516" width="10.5" style="96" customWidth="1"/>
    <col min="517" max="517" width="11.25" style="96" bestFit="1" customWidth="1"/>
    <col min="518" max="519" width="9" style="96"/>
    <col min="520" max="529" width="9" style="96" customWidth="1"/>
    <col min="530" max="530" width="9" style="96"/>
    <col min="531" max="531" width="9.5" style="96" bestFit="1" customWidth="1"/>
    <col min="532" max="532" width="9" style="96" customWidth="1"/>
    <col min="533" max="533" width="9" style="96"/>
    <col min="534" max="534" width="9" style="96" customWidth="1"/>
    <col min="535" max="540" width="9" style="96"/>
    <col min="541" max="541" width="26.5" style="96" customWidth="1"/>
    <col min="542" max="544" width="9" style="96"/>
    <col min="545" max="545" width="14.75" style="96" bestFit="1" customWidth="1"/>
    <col min="546" max="768" width="9" style="96"/>
    <col min="769" max="771" width="9" style="96" customWidth="1"/>
    <col min="772" max="772" width="10.5" style="96" customWidth="1"/>
    <col min="773" max="773" width="11.25" style="96" bestFit="1" customWidth="1"/>
    <col min="774" max="775" width="9" style="96"/>
    <col min="776" max="785" width="9" style="96" customWidth="1"/>
    <col min="786" max="786" width="9" style="96"/>
    <col min="787" max="787" width="9.5" style="96" bestFit="1" customWidth="1"/>
    <col min="788" max="788" width="9" style="96" customWidth="1"/>
    <col min="789" max="789" width="9" style="96"/>
    <col min="790" max="790" width="9" style="96" customWidth="1"/>
    <col min="791" max="796" width="9" style="96"/>
    <col min="797" max="797" width="26.5" style="96" customWidth="1"/>
    <col min="798" max="800" width="9" style="96"/>
    <col min="801" max="801" width="14.75" style="96" bestFit="1" customWidth="1"/>
    <col min="802" max="1024" width="9" style="96"/>
    <col min="1025" max="1027" width="9" style="96" customWidth="1"/>
    <col min="1028" max="1028" width="10.5" style="96" customWidth="1"/>
    <col min="1029" max="1029" width="11.25" style="96" bestFit="1" customWidth="1"/>
    <col min="1030" max="1031" width="9" style="96"/>
    <col min="1032" max="1041" width="9" style="96" customWidth="1"/>
    <col min="1042" max="1042" width="9" style="96"/>
    <col min="1043" max="1043" width="9.5" style="96" bestFit="1" customWidth="1"/>
    <col min="1044" max="1044" width="9" style="96" customWidth="1"/>
    <col min="1045" max="1045" width="9" style="96"/>
    <col min="1046" max="1046" width="9" style="96" customWidth="1"/>
    <col min="1047" max="1052" width="9" style="96"/>
    <col min="1053" max="1053" width="26.5" style="96" customWidth="1"/>
    <col min="1054" max="1056" width="9" style="96"/>
    <col min="1057" max="1057" width="14.75" style="96" bestFit="1" customWidth="1"/>
    <col min="1058" max="1280" width="9" style="96"/>
    <col min="1281" max="1283" width="9" style="96" customWidth="1"/>
    <col min="1284" max="1284" width="10.5" style="96" customWidth="1"/>
    <col min="1285" max="1285" width="11.25" style="96" bestFit="1" customWidth="1"/>
    <col min="1286" max="1287" width="9" style="96"/>
    <col min="1288" max="1297" width="9" style="96" customWidth="1"/>
    <col min="1298" max="1298" width="9" style="96"/>
    <col min="1299" max="1299" width="9.5" style="96" bestFit="1" customWidth="1"/>
    <col min="1300" max="1300" width="9" style="96" customWidth="1"/>
    <col min="1301" max="1301" width="9" style="96"/>
    <col min="1302" max="1302" width="9" style="96" customWidth="1"/>
    <col min="1303" max="1308" width="9" style="96"/>
    <col min="1309" max="1309" width="26.5" style="96" customWidth="1"/>
    <col min="1310" max="1312" width="9" style="96"/>
    <col min="1313" max="1313" width="14.75" style="96" bestFit="1" customWidth="1"/>
    <col min="1314" max="1536" width="9" style="96"/>
    <col min="1537" max="1539" width="9" style="96" customWidth="1"/>
    <col min="1540" max="1540" width="10.5" style="96" customWidth="1"/>
    <col min="1541" max="1541" width="11.25" style="96" bestFit="1" customWidth="1"/>
    <col min="1542" max="1543" width="9" style="96"/>
    <col min="1544" max="1553" width="9" style="96" customWidth="1"/>
    <col min="1554" max="1554" width="9" style="96"/>
    <col min="1555" max="1555" width="9.5" style="96" bestFit="1" customWidth="1"/>
    <col min="1556" max="1556" width="9" style="96" customWidth="1"/>
    <col min="1557" max="1557" width="9" style="96"/>
    <col min="1558" max="1558" width="9" style="96" customWidth="1"/>
    <col min="1559" max="1564" width="9" style="96"/>
    <col min="1565" max="1565" width="26.5" style="96" customWidth="1"/>
    <col min="1566" max="1568" width="9" style="96"/>
    <col min="1569" max="1569" width="14.75" style="96" bestFit="1" customWidth="1"/>
    <col min="1570" max="1792" width="9" style="96"/>
    <col min="1793" max="1795" width="9" style="96" customWidth="1"/>
    <col min="1796" max="1796" width="10.5" style="96" customWidth="1"/>
    <col min="1797" max="1797" width="11.25" style="96" bestFit="1" customWidth="1"/>
    <col min="1798" max="1799" width="9" style="96"/>
    <col min="1800" max="1809" width="9" style="96" customWidth="1"/>
    <col min="1810" max="1810" width="9" style="96"/>
    <col min="1811" max="1811" width="9.5" style="96" bestFit="1" customWidth="1"/>
    <col min="1812" max="1812" width="9" style="96" customWidth="1"/>
    <col min="1813" max="1813" width="9" style="96"/>
    <col min="1814" max="1814" width="9" style="96" customWidth="1"/>
    <col min="1815" max="1820" width="9" style="96"/>
    <col min="1821" max="1821" width="26.5" style="96" customWidth="1"/>
    <col min="1822" max="1824" width="9" style="96"/>
    <col min="1825" max="1825" width="14.75" style="96" bestFit="1" customWidth="1"/>
    <col min="1826" max="2048" width="9" style="96"/>
    <col min="2049" max="2051" width="9" style="96" customWidth="1"/>
    <col min="2052" max="2052" width="10.5" style="96" customWidth="1"/>
    <col min="2053" max="2053" width="11.25" style="96" bestFit="1" customWidth="1"/>
    <col min="2054" max="2055" width="9" style="96"/>
    <col min="2056" max="2065" width="9" style="96" customWidth="1"/>
    <col min="2066" max="2066" width="9" style="96"/>
    <col min="2067" max="2067" width="9.5" style="96" bestFit="1" customWidth="1"/>
    <col min="2068" max="2068" width="9" style="96" customWidth="1"/>
    <col min="2069" max="2069" width="9" style="96"/>
    <col min="2070" max="2070" width="9" style="96" customWidth="1"/>
    <col min="2071" max="2076" width="9" style="96"/>
    <col min="2077" max="2077" width="26.5" style="96" customWidth="1"/>
    <col min="2078" max="2080" width="9" style="96"/>
    <col min="2081" max="2081" width="14.75" style="96" bestFit="1" customWidth="1"/>
    <col min="2082" max="2304" width="9" style="96"/>
    <col min="2305" max="2307" width="9" style="96" customWidth="1"/>
    <col min="2308" max="2308" width="10.5" style="96" customWidth="1"/>
    <col min="2309" max="2309" width="11.25" style="96" bestFit="1" customWidth="1"/>
    <col min="2310" max="2311" width="9" style="96"/>
    <col min="2312" max="2321" width="9" style="96" customWidth="1"/>
    <col min="2322" max="2322" width="9" style="96"/>
    <col min="2323" max="2323" width="9.5" style="96" bestFit="1" customWidth="1"/>
    <col min="2324" max="2324" width="9" style="96" customWidth="1"/>
    <col min="2325" max="2325" width="9" style="96"/>
    <col min="2326" max="2326" width="9" style="96" customWidth="1"/>
    <col min="2327" max="2332" width="9" style="96"/>
    <col min="2333" max="2333" width="26.5" style="96" customWidth="1"/>
    <col min="2334" max="2336" width="9" style="96"/>
    <col min="2337" max="2337" width="14.75" style="96" bestFit="1" customWidth="1"/>
    <col min="2338" max="2560" width="9" style="96"/>
    <col min="2561" max="2563" width="9" style="96" customWidth="1"/>
    <col min="2564" max="2564" width="10.5" style="96" customWidth="1"/>
    <col min="2565" max="2565" width="11.25" style="96" bestFit="1" customWidth="1"/>
    <col min="2566" max="2567" width="9" style="96"/>
    <col min="2568" max="2577" width="9" style="96" customWidth="1"/>
    <col min="2578" max="2578" width="9" style="96"/>
    <col min="2579" max="2579" width="9.5" style="96" bestFit="1" customWidth="1"/>
    <col min="2580" max="2580" width="9" style="96" customWidth="1"/>
    <col min="2581" max="2581" width="9" style="96"/>
    <col min="2582" max="2582" width="9" style="96" customWidth="1"/>
    <col min="2583" max="2588" width="9" style="96"/>
    <col min="2589" max="2589" width="26.5" style="96" customWidth="1"/>
    <col min="2590" max="2592" width="9" style="96"/>
    <col min="2593" max="2593" width="14.75" style="96" bestFit="1" customWidth="1"/>
    <col min="2594" max="2816" width="9" style="96"/>
    <col min="2817" max="2819" width="9" style="96" customWidth="1"/>
    <col min="2820" max="2820" width="10.5" style="96" customWidth="1"/>
    <col min="2821" max="2821" width="11.25" style="96" bestFit="1" customWidth="1"/>
    <col min="2822" max="2823" width="9" style="96"/>
    <col min="2824" max="2833" width="9" style="96" customWidth="1"/>
    <col min="2834" max="2834" width="9" style="96"/>
    <col min="2835" max="2835" width="9.5" style="96" bestFit="1" customWidth="1"/>
    <col min="2836" max="2836" width="9" style="96" customWidth="1"/>
    <col min="2837" max="2837" width="9" style="96"/>
    <col min="2838" max="2838" width="9" style="96" customWidth="1"/>
    <col min="2839" max="2844" width="9" style="96"/>
    <col min="2845" max="2845" width="26.5" style="96" customWidth="1"/>
    <col min="2846" max="2848" width="9" style="96"/>
    <col min="2849" max="2849" width="14.75" style="96" bestFit="1" customWidth="1"/>
    <col min="2850" max="3072" width="9" style="96"/>
    <col min="3073" max="3075" width="9" style="96" customWidth="1"/>
    <col min="3076" max="3076" width="10.5" style="96" customWidth="1"/>
    <col min="3077" max="3077" width="11.25" style="96" bestFit="1" customWidth="1"/>
    <col min="3078" max="3079" width="9" style="96"/>
    <col min="3080" max="3089" width="9" style="96" customWidth="1"/>
    <col min="3090" max="3090" width="9" style="96"/>
    <col min="3091" max="3091" width="9.5" style="96" bestFit="1" customWidth="1"/>
    <col min="3092" max="3092" width="9" style="96" customWidth="1"/>
    <col min="3093" max="3093" width="9" style="96"/>
    <col min="3094" max="3094" width="9" style="96" customWidth="1"/>
    <col min="3095" max="3100" width="9" style="96"/>
    <col min="3101" max="3101" width="26.5" style="96" customWidth="1"/>
    <col min="3102" max="3104" width="9" style="96"/>
    <col min="3105" max="3105" width="14.75" style="96" bestFit="1" customWidth="1"/>
    <col min="3106" max="3328" width="9" style="96"/>
    <col min="3329" max="3331" width="9" style="96" customWidth="1"/>
    <col min="3332" max="3332" width="10.5" style="96" customWidth="1"/>
    <col min="3333" max="3333" width="11.25" style="96" bestFit="1" customWidth="1"/>
    <col min="3334" max="3335" width="9" style="96"/>
    <col min="3336" max="3345" width="9" style="96" customWidth="1"/>
    <col min="3346" max="3346" width="9" style="96"/>
    <col min="3347" max="3347" width="9.5" style="96" bestFit="1" customWidth="1"/>
    <col min="3348" max="3348" width="9" style="96" customWidth="1"/>
    <col min="3349" max="3349" width="9" style="96"/>
    <col min="3350" max="3350" width="9" style="96" customWidth="1"/>
    <col min="3351" max="3356" width="9" style="96"/>
    <col min="3357" max="3357" width="26.5" style="96" customWidth="1"/>
    <col min="3358" max="3360" width="9" style="96"/>
    <col min="3361" max="3361" width="14.75" style="96" bestFit="1" customWidth="1"/>
    <col min="3362" max="3584" width="9" style="96"/>
    <col min="3585" max="3587" width="9" style="96" customWidth="1"/>
    <col min="3588" max="3588" width="10.5" style="96" customWidth="1"/>
    <col min="3589" max="3589" width="11.25" style="96" bestFit="1" customWidth="1"/>
    <col min="3590" max="3591" width="9" style="96"/>
    <col min="3592" max="3601" width="9" style="96" customWidth="1"/>
    <col min="3602" max="3602" width="9" style="96"/>
    <col min="3603" max="3603" width="9.5" style="96" bestFit="1" customWidth="1"/>
    <col min="3604" max="3604" width="9" style="96" customWidth="1"/>
    <col min="3605" max="3605" width="9" style="96"/>
    <col min="3606" max="3606" width="9" style="96" customWidth="1"/>
    <col min="3607" max="3612" width="9" style="96"/>
    <col min="3613" max="3613" width="26.5" style="96" customWidth="1"/>
    <col min="3614" max="3616" width="9" style="96"/>
    <col min="3617" max="3617" width="14.75" style="96" bestFit="1" customWidth="1"/>
    <col min="3618" max="3840" width="9" style="96"/>
    <col min="3841" max="3843" width="9" style="96" customWidth="1"/>
    <col min="3844" max="3844" width="10.5" style="96" customWidth="1"/>
    <col min="3845" max="3845" width="11.25" style="96" bestFit="1" customWidth="1"/>
    <col min="3846" max="3847" width="9" style="96"/>
    <col min="3848" max="3857" width="9" style="96" customWidth="1"/>
    <col min="3858" max="3858" width="9" style="96"/>
    <col min="3859" max="3859" width="9.5" style="96" bestFit="1" customWidth="1"/>
    <col min="3860" max="3860" width="9" style="96" customWidth="1"/>
    <col min="3861" max="3861" width="9" style="96"/>
    <col min="3862" max="3862" width="9" style="96" customWidth="1"/>
    <col min="3863" max="3868" width="9" style="96"/>
    <col min="3869" max="3869" width="26.5" style="96" customWidth="1"/>
    <col min="3870" max="3872" width="9" style="96"/>
    <col min="3873" max="3873" width="14.75" style="96" bestFit="1" customWidth="1"/>
    <col min="3874" max="4096" width="9" style="96"/>
    <col min="4097" max="4099" width="9" style="96" customWidth="1"/>
    <col min="4100" max="4100" width="10.5" style="96" customWidth="1"/>
    <col min="4101" max="4101" width="11.25" style="96" bestFit="1" customWidth="1"/>
    <col min="4102" max="4103" width="9" style="96"/>
    <col min="4104" max="4113" width="9" style="96" customWidth="1"/>
    <col min="4114" max="4114" width="9" style="96"/>
    <col min="4115" max="4115" width="9.5" style="96" bestFit="1" customWidth="1"/>
    <col min="4116" max="4116" width="9" style="96" customWidth="1"/>
    <col min="4117" max="4117" width="9" style="96"/>
    <col min="4118" max="4118" width="9" style="96" customWidth="1"/>
    <col min="4119" max="4124" width="9" style="96"/>
    <col min="4125" max="4125" width="26.5" style="96" customWidth="1"/>
    <col min="4126" max="4128" width="9" style="96"/>
    <col min="4129" max="4129" width="14.75" style="96" bestFit="1" customWidth="1"/>
    <col min="4130" max="4352" width="9" style="96"/>
    <col min="4353" max="4355" width="9" style="96" customWidth="1"/>
    <col min="4356" max="4356" width="10.5" style="96" customWidth="1"/>
    <col min="4357" max="4357" width="11.25" style="96" bestFit="1" customWidth="1"/>
    <col min="4358" max="4359" width="9" style="96"/>
    <col min="4360" max="4369" width="9" style="96" customWidth="1"/>
    <col min="4370" max="4370" width="9" style="96"/>
    <col min="4371" max="4371" width="9.5" style="96" bestFit="1" customWidth="1"/>
    <col min="4372" max="4372" width="9" style="96" customWidth="1"/>
    <col min="4373" max="4373" width="9" style="96"/>
    <col min="4374" max="4374" width="9" style="96" customWidth="1"/>
    <col min="4375" max="4380" width="9" style="96"/>
    <col min="4381" max="4381" width="26.5" style="96" customWidth="1"/>
    <col min="4382" max="4384" width="9" style="96"/>
    <col min="4385" max="4385" width="14.75" style="96" bestFit="1" customWidth="1"/>
    <col min="4386" max="4608" width="9" style="96"/>
    <col min="4609" max="4611" width="9" style="96" customWidth="1"/>
    <col min="4612" max="4612" width="10.5" style="96" customWidth="1"/>
    <col min="4613" max="4613" width="11.25" style="96" bestFit="1" customWidth="1"/>
    <col min="4614" max="4615" width="9" style="96"/>
    <col min="4616" max="4625" width="9" style="96" customWidth="1"/>
    <col min="4626" max="4626" width="9" style="96"/>
    <col min="4627" max="4627" width="9.5" style="96" bestFit="1" customWidth="1"/>
    <col min="4628" max="4628" width="9" style="96" customWidth="1"/>
    <col min="4629" max="4629" width="9" style="96"/>
    <col min="4630" max="4630" width="9" style="96" customWidth="1"/>
    <col min="4631" max="4636" width="9" style="96"/>
    <col min="4637" max="4637" width="26.5" style="96" customWidth="1"/>
    <col min="4638" max="4640" width="9" style="96"/>
    <col min="4641" max="4641" width="14.75" style="96" bestFit="1" customWidth="1"/>
    <col min="4642" max="4864" width="9" style="96"/>
    <col min="4865" max="4867" width="9" style="96" customWidth="1"/>
    <col min="4868" max="4868" width="10.5" style="96" customWidth="1"/>
    <col min="4869" max="4869" width="11.25" style="96" bestFit="1" customWidth="1"/>
    <col min="4870" max="4871" width="9" style="96"/>
    <col min="4872" max="4881" width="9" style="96" customWidth="1"/>
    <col min="4882" max="4882" width="9" style="96"/>
    <col min="4883" max="4883" width="9.5" style="96" bestFit="1" customWidth="1"/>
    <col min="4884" max="4884" width="9" style="96" customWidth="1"/>
    <col min="4885" max="4885" width="9" style="96"/>
    <col min="4886" max="4886" width="9" style="96" customWidth="1"/>
    <col min="4887" max="4892" width="9" style="96"/>
    <col min="4893" max="4893" width="26.5" style="96" customWidth="1"/>
    <col min="4894" max="4896" width="9" style="96"/>
    <col min="4897" max="4897" width="14.75" style="96" bestFit="1" customWidth="1"/>
    <col min="4898" max="5120" width="9" style="96"/>
    <col min="5121" max="5123" width="9" style="96" customWidth="1"/>
    <col min="5124" max="5124" width="10.5" style="96" customWidth="1"/>
    <col min="5125" max="5125" width="11.25" style="96" bestFit="1" customWidth="1"/>
    <col min="5126" max="5127" width="9" style="96"/>
    <col min="5128" max="5137" width="9" style="96" customWidth="1"/>
    <col min="5138" max="5138" width="9" style="96"/>
    <col min="5139" max="5139" width="9.5" style="96" bestFit="1" customWidth="1"/>
    <col min="5140" max="5140" width="9" style="96" customWidth="1"/>
    <col min="5141" max="5141" width="9" style="96"/>
    <col min="5142" max="5142" width="9" style="96" customWidth="1"/>
    <col min="5143" max="5148" width="9" style="96"/>
    <col min="5149" max="5149" width="26.5" style="96" customWidth="1"/>
    <col min="5150" max="5152" width="9" style="96"/>
    <col min="5153" max="5153" width="14.75" style="96" bestFit="1" customWidth="1"/>
    <col min="5154" max="5376" width="9" style="96"/>
    <col min="5377" max="5379" width="9" style="96" customWidth="1"/>
    <col min="5380" max="5380" width="10.5" style="96" customWidth="1"/>
    <col min="5381" max="5381" width="11.25" style="96" bestFit="1" customWidth="1"/>
    <col min="5382" max="5383" width="9" style="96"/>
    <col min="5384" max="5393" width="9" style="96" customWidth="1"/>
    <col min="5394" max="5394" width="9" style="96"/>
    <col min="5395" max="5395" width="9.5" style="96" bestFit="1" customWidth="1"/>
    <col min="5396" max="5396" width="9" style="96" customWidth="1"/>
    <col min="5397" max="5397" width="9" style="96"/>
    <col min="5398" max="5398" width="9" style="96" customWidth="1"/>
    <col min="5399" max="5404" width="9" style="96"/>
    <col min="5405" max="5405" width="26.5" style="96" customWidth="1"/>
    <col min="5406" max="5408" width="9" style="96"/>
    <col min="5409" max="5409" width="14.75" style="96" bestFit="1" customWidth="1"/>
    <col min="5410" max="5632" width="9" style="96"/>
    <col min="5633" max="5635" width="9" style="96" customWidth="1"/>
    <col min="5636" max="5636" width="10.5" style="96" customWidth="1"/>
    <col min="5637" max="5637" width="11.25" style="96" bestFit="1" customWidth="1"/>
    <col min="5638" max="5639" width="9" style="96"/>
    <col min="5640" max="5649" width="9" style="96" customWidth="1"/>
    <col min="5650" max="5650" width="9" style="96"/>
    <col min="5651" max="5651" width="9.5" style="96" bestFit="1" customWidth="1"/>
    <col min="5652" max="5652" width="9" style="96" customWidth="1"/>
    <col min="5653" max="5653" width="9" style="96"/>
    <col min="5654" max="5654" width="9" style="96" customWidth="1"/>
    <col min="5655" max="5660" width="9" style="96"/>
    <col min="5661" max="5661" width="26.5" style="96" customWidth="1"/>
    <col min="5662" max="5664" width="9" style="96"/>
    <col min="5665" max="5665" width="14.75" style="96" bestFit="1" customWidth="1"/>
    <col min="5666" max="5888" width="9" style="96"/>
    <col min="5889" max="5891" width="9" style="96" customWidth="1"/>
    <col min="5892" max="5892" width="10.5" style="96" customWidth="1"/>
    <col min="5893" max="5893" width="11.25" style="96" bestFit="1" customWidth="1"/>
    <col min="5894" max="5895" width="9" style="96"/>
    <col min="5896" max="5905" width="9" style="96" customWidth="1"/>
    <col min="5906" max="5906" width="9" style="96"/>
    <col min="5907" max="5907" width="9.5" style="96" bestFit="1" customWidth="1"/>
    <col min="5908" max="5908" width="9" style="96" customWidth="1"/>
    <col min="5909" max="5909" width="9" style="96"/>
    <col min="5910" max="5910" width="9" style="96" customWidth="1"/>
    <col min="5911" max="5916" width="9" style="96"/>
    <col min="5917" max="5917" width="26.5" style="96" customWidth="1"/>
    <col min="5918" max="5920" width="9" style="96"/>
    <col min="5921" max="5921" width="14.75" style="96" bestFit="1" customWidth="1"/>
    <col min="5922" max="6144" width="9" style="96"/>
    <col min="6145" max="6147" width="9" style="96" customWidth="1"/>
    <col min="6148" max="6148" width="10.5" style="96" customWidth="1"/>
    <col min="6149" max="6149" width="11.25" style="96" bestFit="1" customWidth="1"/>
    <col min="6150" max="6151" width="9" style="96"/>
    <col min="6152" max="6161" width="9" style="96" customWidth="1"/>
    <col min="6162" max="6162" width="9" style="96"/>
    <col min="6163" max="6163" width="9.5" style="96" bestFit="1" customWidth="1"/>
    <col min="6164" max="6164" width="9" style="96" customWidth="1"/>
    <col min="6165" max="6165" width="9" style="96"/>
    <col min="6166" max="6166" width="9" style="96" customWidth="1"/>
    <col min="6167" max="6172" width="9" style="96"/>
    <col min="6173" max="6173" width="26.5" style="96" customWidth="1"/>
    <col min="6174" max="6176" width="9" style="96"/>
    <col min="6177" max="6177" width="14.75" style="96" bestFit="1" customWidth="1"/>
    <col min="6178" max="6400" width="9" style="96"/>
    <col min="6401" max="6403" width="9" style="96" customWidth="1"/>
    <col min="6404" max="6404" width="10.5" style="96" customWidth="1"/>
    <col min="6405" max="6405" width="11.25" style="96" bestFit="1" customWidth="1"/>
    <col min="6406" max="6407" width="9" style="96"/>
    <col min="6408" max="6417" width="9" style="96" customWidth="1"/>
    <col min="6418" max="6418" width="9" style="96"/>
    <col min="6419" max="6419" width="9.5" style="96" bestFit="1" customWidth="1"/>
    <col min="6420" max="6420" width="9" style="96" customWidth="1"/>
    <col min="6421" max="6421" width="9" style="96"/>
    <col min="6422" max="6422" width="9" style="96" customWidth="1"/>
    <col min="6423" max="6428" width="9" style="96"/>
    <col min="6429" max="6429" width="26.5" style="96" customWidth="1"/>
    <col min="6430" max="6432" width="9" style="96"/>
    <col min="6433" max="6433" width="14.75" style="96" bestFit="1" customWidth="1"/>
    <col min="6434" max="6656" width="9" style="96"/>
    <col min="6657" max="6659" width="9" style="96" customWidth="1"/>
    <col min="6660" max="6660" width="10.5" style="96" customWidth="1"/>
    <col min="6661" max="6661" width="11.25" style="96" bestFit="1" customWidth="1"/>
    <col min="6662" max="6663" width="9" style="96"/>
    <col min="6664" max="6673" width="9" style="96" customWidth="1"/>
    <col min="6674" max="6674" width="9" style="96"/>
    <col min="6675" max="6675" width="9.5" style="96" bestFit="1" customWidth="1"/>
    <col min="6676" max="6676" width="9" style="96" customWidth="1"/>
    <col min="6677" max="6677" width="9" style="96"/>
    <col min="6678" max="6678" width="9" style="96" customWidth="1"/>
    <col min="6679" max="6684" width="9" style="96"/>
    <col min="6685" max="6685" width="26.5" style="96" customWidth="1"/>
    <col min="6686" max="6688" width="9" style="96"/>
    <col min="6689" max="6689" width="14.75" style="96" bestFit="1" customWidth="1"/>
    <col min="6690" max="6912" width="9" style="96"/>
    <col min="6913" max="6915" width="9" style="96" customWidth="1"/>
    <col min="6916" max="6916" width="10.5" style="96" customWidth="1"/>
    <col min="6917" max="6917" width="11.25" style="96" bestFit="1" customWidth="1"/>
    <col min="6918" max="6919" width="9" style="96"/>
    <col min="6920" max="6929" width="9" style="96" customWidth="1"/>
    <col min="6930" max="6930" width="9" style="96"/>
    <col min="6931" max="6931" width="9.5" style="96" bestFit="1" customWidth="1"/>
    <col min="6932" max="6932" width="9" style="96" customWidth="1"/>
    <col min="6933" max="6933" width="9" style="96"/>
    <col min="6934" max="6934" width="9" style="96" customWidth="1"/>
    <col min="6935" max="6940" width="9" style="96"/>
    <col min="6941" max="6941" width="26.5" style="96" customWidth="1"/>
    <col min="6942" max="6944" width="9" style="96"/>
    <col min="6945" max="6945" width="14.75" style="96" bestFit="1" customWidth="1"/>
    <col min="6946" max="7168" width="9" style="96"/>
    <col min="7169" max="7171" width="9" style="96" customWidth="1"/>
    <col min="7172" max="7172" width="10.5" style="96" customWidth="1"/>
    <col min="7173" max="7173" width="11.25" style="96" bestFit="1" customWidth="1"/>
    <col min="7174" max="7175" width="9" style="96"/>
    <col min="7176" max="7185" width="9" style="96" customWidth="1"/>
    <col min="7186" max="7186" width="9" style="96"/>
    <col min="7187" max="7187" width="9.5" style="96" bestFit="1" customWidth="1"/>
    <col min="7188" max="7188" width="9" style="96" customWidth="1"/>
    <col min="7189" max="7189" width="9" style="96"/>
    <col min="7190" max="7190" width="9" style="96" customWidth="1"/>
    <col min="7191" max="7196" width="9" style="96"/>
    <col min="7197" max="7197" width="26.5" style="96" customWidth="1"/>
    <col min="7198" max="7200" width="9" style="96"/>
    <col min="7201" max="7201" width="14.75" style="96" bestFit="1" customWidth="1"/>
    <col min="7202" max="7424" width="9" style="96"/>
    <col min="7425" max="7427" width="9" style="96" customWidth="1"/>
    <col min="7428" max="7428" width="10.5" style="96" customWidth="1"/>
    <col min="7429" max="7429" width="11.25" style="96" bestFit="1" customWidth="1"/>
    <col min="7430" max="7431" width="9" style="96"/>
    <col min="7432" max="7441" width="9" style="96" customWidth="1"/>
    <col min="7442" max="7442" width="9" style="96"/>
    <col min="7443" max="7443" width="9.5" style="96" bestFit="1" customWidth="1"/>
    <col min="7444" max="7444" width="9" style="96" customWidth="1"/>
    <col min="7445" max="7445" width="9" style="96"/>
    <col min="7446" max="7446" width="9" style="96" customWidth="1"/>
    <col min="7447" max="7452" width="9" style="96"/>
    <col min="7453" max="7453" width="26.5" style="96" customWidth="1"/>
    <col min="7454" max="7456" width="9" style="96"/>
    <col min="7457" max="7457" width="14.75" style="96" bestFit="1" customWidth="1"/>
    <col min="7458" max="7680" width="9" style="96"/>
    <col min="7681" max="7683" width="9" style="96" customWidth="1"/>
    <col min="7684" max="7684" width="10.5" style="96" customWidth="1"/>
    <col min="7685" max="7685" width="11.25" style="96" bestFit="1" customWidth="1"/>
    <col min="7686" max="7687" width="9" style="96"/>
    <col min="7688" max="7697" width="9" style="96" customWidth="1"/>
    <col min="7698" max="7698" width="9" style="96"/>
    <col min="7699" max="7699" width="9.5" style="96" bestFit="1" customWidth="1"/>
    <col min="7700" max="7700" width="9" style="96" customWidth="1"/>
    <col min="7701" max="7701" width="9" style="96"/>
    <col min="7702" max="7702" width="9" style="96" customWidth="1"/>
    <col min="7703" max="7708" width="9" style="96"/>
    <col min="7709" max="7709" width="26.5" style="96" customWidth="1"/>
    <col min="7710" max="7712" width="9" style="96"/>
    <col min="7713" max="7713" width="14.75" style="96" bestFit="1" customWidth="1"/>
    <col min="7714" max="7936" width="9" style="96"/>
    <col min="7937" max="7939" width="9" style="96" customWidth="1"/>
    <col min="7940" max="7940" width="10.5" style="96" customWidth="1"/>
    <col min="7941" max="7941" width="11.25" style="96" bestFit="1" customWidth="1"/>
    <col min="7942" max="7943" width="9" style="96"/>
    <col min="7944" max="7953" width="9" style="96" customWidth="1"/>
    <col min="7954" max="7954" width="9" style="96"/>
    <col min="7955" max="7955" width="9.5" style="96" bestFit="1" customWidth="1"/>
    <col min="7956" max="7956" width="9" style="96" customWidth="1"/>
    <col min="7957" max="7957" width="9" style="96"/>
    <col min="7958" max="7958" width="9" style="96" customWidth="1"/>
    <col min="7959" max="7964" width="9" style="96"/>
    <col min="7965" max="7965" width="26.5" style="96" customWidth="1"/>
    <col min="7966" max="7968" width="9" style="96"/>
    <col min="7969" max="7969" width="14.75" style="96" bestFit="1" customWidth="1"/>
    <col min="7970" max="8192" width="9" style="96"/>
    <col min="8193" max="8195" width="9" style="96" customWidth="1"/>
    <col min="8196" max="8196" width="10.5" style="96" customWidth="1"/>
    <col min="8197" max="8197" width="11.25" style="96" bestFit="1" customWidth="1"/>
    <col min="8198" max="8199" width="9" style="96"/>
    <col min="8200" max="8209" width="9" style="96" customWidth="1"/>
    <col min="8210" max="8210" width="9" style="96"/>
    <col min="8211" max="8211" width="9.5" style="96" bestFit="1" customWidth="1"/>
    <col min="8212" max="8212" width="9" style="96" customWidth="1"/>
    <col min="8213" max="8213" width="9" style="96"/>
    <col min="8214" max="8214" width="9" style="96" customWidth="1"/>
    <col min="8215" max="8220" width="9" style="96"/>
    <col min="8221" max="8221" width="26.5" style="96" customWidth="1"/>
    <col min="8222" max="8224" width="9" style="96"/>
    <col min="8225" max="8225" width="14.75" style="96" bestFit="1" customWidth="1"/>
    <col min="8226" max="8448" width="9" style="96"/>
    <col min="8449" max="8451" width="9" style="96" customWidth="1"/>
    <col min="8452" max="8452" width="10.5" style="96" customWidth="1"/>
    <col min="8453" max="8453" width="11.25" style="96" bestFit="1" customWidth="1"/>
    <col min="8454" max="8455" width="9" style="96"/>
    <col min="8456" max="8465" width="9" style="96" customWidth="1"/>
    <col min="8466" max="8466" width="9" style="96"/>
    <col min="8467" max="8467" width="9.5" style="96" bestFit="1" customWidth="1"/>
    <col min="8468" max="8468" width="9" style="96" customWidth="1"/>
    <col min="8469" max="8469" width="9" style="96"/>
    <col min="8470" max="8470" width="9" style="96" customWidth="1"/>
    <col min="8471" max="8476" width="9" style="96"/>
    <col min="8477" max="8477" width="26.5" style="96" customWidth="1"/>
    <col min="8478" max="8480" width="9" style="96"/>
    <col min="8481" max="8481" width="14.75" style="96" bestFit="1" customWidth="1"/>
    <col min="8482" max="8704" width="9" style="96"/>
    <col min="8705" max="8707" width="9" style="96" customWidth="1"/>
    <col min="8708" max="8708" width="10.5" style="96" customWidth="1"/>
    <col min="8709" max="8709" width="11.25" style="96" bestFit="1" customWidth="1"/>
    <col min="8710" max="8711" width="9" style="96"/>
    <col min="8712" max="8721" width="9" style="96" customWidth="1"/>
    <col min="8722" max="8722" width="9" style="96"/>
    <col min="8723" max="8723" width="9.5" style="96" bestFit="1" customWidth="1"/>
    <col min="8724" max="8724" width="9" style="96" customWidth="1"/>
    <col min="8725" max="8725" width="9" style="96"/>
    <col min="8726" max="8726" width="9" style="96" customWidth="1"/>
    <col min="8727" max="8732" width="9" style="96"/>
    <col min="8733" max="8733" width="26.5" style="96" customWidth="1"/>
    <col min="8734" max="8736" width="9" style="96"/>
    <col min="8737" max="8737" width="14.75" style="96" bestFit="1" customWidth="1"/>
    <col min="8738" max="8960" width="9" style="96"/>
    <col min="8961" max="8963" width="9" style="96" customWidth="1"/>
    <col min="8964" max="8964" width="10.5" style="96" customWidth="1"/>
    <col min="8965" max="8965" width="11.25" style="96" bestFit="1" customWidth="1"/>
    <col min="8966" max="8967" width="9" style="96"/>
    <col min="8968" max="8977" width="9" style="96" customWidth="1"/>
    <col min="8978" max="8978" width="9" style="96"/>
    <col min="8979" max="8979" width="9.5" style="96" bestFit="1" customWidth="1"/>
    <col min="8980" max="8980" width="9" style="96" customWidth="1"/>
    <col min="8981" max="8981" width="9" style="96"/>
    <col min="8982" max="8982" width="9" style="96" customWidth="1"/>
    <col min="8983" max="8988" width="9" style="96"/>
    <col min="8989" max="8989" width="26.5" style="96" customWidth="1"/>
    <col min="8990" max="8992" width="9" style="96"/>
    <col min="8993" max="8993" width="14.75" style="96" bestFit="1" customWidth="1"/>
    <col min="8994" max="9216" width="9" style="96"/>
    <col min="9217" max="9219" width="9" style="96" customWidth="1"/>
    <col min="9220" max="9220" width="10.5" style="96" customWidth="1"/>
    <col min="9221" max="9221" width="11.25" style="96" bestFit="1" customWidth="1"/>
    <col min="9222" max="9223" width="9" style="96"/>
    <col min="9224" max="9233" width="9" style="96" customWidth="1"/>
    <col min="9234" max="9234" width="9" style="96"/>
    <col min="9235" max="9235" width="9.5" style="96" bestFit="1" customWidth="1"/>
    <col min="9236" max="9236" width="9" style="96" customWidth="1"/>
    <col min="9237" max="9237" width="9" style="96"/>
    <col min="9238" max="9238" width="9" style="96" customWidth="1"/>
    <col min="9239" max="9244" width="9" style="96"/>
    <col min="9245" max="9245" width="26.5" style="96" customWidth="1"/>
    <col min="9246" max="9248" width="9" style="96"/>
    <col min="9249" max="9249" width="14.75" style="96" bestFit="1" customWidth="1"/>
    <col min="9250" max="9472" width="9" style="96"/>
    <col min="9473" max="9475" width="9" style="96" customWidth="1"/>
    <col min="9476" max="9476" width="10.5" style="96" customWidth="1"/>
    <col min="9477" max="9477" width="11.25" style="96" bestFit="1" customWidth="1"/>
    <col min="9478" max="9479" width="9" style="96"/>
    <col min="9480" max="9489" width="9" style="96" customWidth="1"/>
    <col min="9490" max="9490" width="9" style="96"/>
    <col min="9491" max="9491" width="9.5" style="96" bestFit="1" customWidth="1"/>
    <col min="9492" max="9492" width="9" style="96" customWidth="1"/>
    <col min="9493" max="9493" width="9" style="96"/>
    <col min="9494" max="9494" width="9" style="96" customWidth="1"/>
    <col min="9495" max="9500" width="9" style="96"/>
    <col min="9501" max="9501" width="26.5" style="96" customWidth="1"/>
    <col min="9502" max="9504" width="9" style="96"/>
    <col min="9505" max="9505" width="14.75" style="96" bestFit="1" customWidth="1"/>
    <col min="9506" max="9728" width="9" style="96"/>
    <col min="9729" max="9731" width="9" style="96" customWidth="1"/>
    <col min="9732" max="9732" width="10.5" style="96" customWidth="1"/>
    <col min="9733" max="9733" width="11.25" style="96" bestFit="1" customWidth="1"/>
    <col min="9734" max="9735" width="9" style="96"/>
    <col min="9736" max="9745" width="9" style="96" customWidth="1"/>
    <col min="9746" max="9746" width="9" style="96"/>
    <col min="9747" max="9747" width="9.5" style="96" bestFit="1" customWidth="1"/>
    <col min="9748" max="9748" width="9" style="96" customWidth="1"/>
    <col min="9749" max="9749" width="9" style="96"/>
    <col min="9750" max="9750" width="9" style="96" customWidth="1"/>
    <col min="9751" max="9756" width="9" style="96"/>
    <col min="9757" max="9757" width="26.5" style="96" customWidth="1"/>
    <col min="9758" max="9760" width="9" style="96"/>
    <col min="9761" max="9761" width="14.75" style="96" bestFit="1" customWidth="1"/>
    <col min="9762" max="9984" width="9" style="96"/>
    <col min="9985" max="9987" width="9" style="96" customWidth="1"/>
    <col min="9988" max="9988" width="10.5" style="96" customWidth="1"/>
    <col min="9989" max="9989" width="11.25" style="96" bestFit="1" customWidth="1"/>
    <col min="9990" max="9991" width="9" style="96"/>
    <col min="9992" max="10001" width="9" style="96" customWidth="1"/>
    <col min="10002" max="10002" width="9" style="96"/>
    <col min="10003" max="10003" width="9.5" style="96" bestFit="1" customWidth="1"/>
    <col min="10004" max="10004" width="9" style="96" customWidth="1"/>
    <col min="10005" max="10005" width="9" style="96"/>
    <col min="10006" max="10006" width="9" style="96" customWidth="1"/>
    <col min="10007" max="10012" width="9" style="96"/>
    <col min="10013" max="10013" width="26.5" style="96" customWidth="1"/>
    <col min="10014" max="10016" width="9" style="96"/>
    <col min="10017" max="10017" width="14.75" style="96" bestFit="1" customWidth="1"/>
    <col min="10018" max="10240" width="9" style="96"/>
    <col min="10241" max="10243" width="9" style="96" customWidth="1"/>
    <col min="10244" max="10244" width="10.5" style="96" customWidth="1"/>
    <col min="10245" max="10245" width="11.25" style="96" bestFit="1" customWidth="1"/>
    <col min="10246" max="10247" width="9" style="96"/>
    <col min="10248" max="10257" width="9" style="96" customWidth="1"/>
    <col min="10258" max="10258" width="9" style="96"/>
    <col min="10259" max="10259" width="9.5" style="96" bestFit="1" customWidth="1"/>
    <col min="10260" max="10260" width="9" style="96" customWidth="1"/>
    <col min="10261" max="10261" width="9" style="96"/>
    <col min="10262" max="10262" width="9" style="96" customWidth="1"/>
    <col min="10263" max="10268" width="9" style="96"/>
    <col min="10269" max="10269" width="26.5" style="96" customWidth="1"/>
    <col min="10270" max="10272" width="9" style="96"/>
    <col min="10273" max="10273" width="14.75" style="96" bestFit="1" customWidth="1"/>
    <col min="10274" max="10496" width="9" style="96"/>
    <col min="10497" max="10499" width="9" style="96" customWidth="1"/>
    <col min="10500" max="10500" width="10.5" style="96" customWidth="1"/>
    <col min="10501" max="10501" width="11.25" style="96" bestFit="1" customWidth="1"/>
    <col min="10502" max="10503" width="9" style="96"/>
    <col min="10504" max="10513" width="9" style="96" customWidth="1"/>
    <col min="10514" max="10514" width="9" style="96"/>
    <col min="10515" max="10515" width="9.5" style="96" bestFit="1" customWidth="1"/>
    <col min="10516" max="10516" width="9" style="96" customWidth="1"/>
    <col min="10517" max="10517" width="9" style="96"/>
    <col min="10518" max="10518" width="9" style="96" customWidth="1"/>
    <col min="10519" max="10524" width="9" style="96"/>
    <col min="10525" max="10525" width="26.5" style="96" customWidth="1"/>
    <col min="10526" max="10528" width="9" style="96"/>
    <col min="10529" max="10529" width="14.75" style="96" bestFit="1" customWidth="1"/>
    <col min="10530" max="10752" width="9" style="96"/>
    <col min="10753" max="10755" width="9" style="96" customWidth="1"/>
    <col min="10756" max="10756" width="10.5" style="96" customWidth="1"/>
    <col min="10757" max="10757" width="11.25" style="96" bestFit="1" customWidth="1"/>
    <col min="10758" max="10759" width="9" style="96"/>
    <col min="10760" max="10769" width="9" style="96" customWidth="1"/>
    <col min="10770" max="10770" width="9" style="96"/>
    <col min="10771" max="10771" width="9.5" style="96" bestFit="1" customWidth="1"/>
    <col min="10772" max="10772" width="9" style="96" customWidth="1"/>
    <col min="10773" max="10773" width="9" style="96"/>
    <col min="10774" max="10774" width="9" style="96" customWidth="1"/>
    <col min="10775" max="10780" width="9" style="96"/>
    <col min="10781" max="10781" width="26.5" style="96" customWidth="1"/>
    <col min="10782" max="10784" width="9" style="96"/>
    <col min="10785" max="10785" width="14.75" style="96" bestFit="1" customWidth="1"/>
    <col min="10786" max="11008" width="9" style="96"/>
    <col min="11009" max="11011" width="9" style="96" customWidth="1"/>
    <col min="11012" max="11012" width="10.5" style="96" customWidth="1"/>
    <col min="11013" max="11013" width="11.25" style="96" bestFit="1" customWidth="1"/>
    <col min="11014" max="11015" width="9" style="96"/>
    <col min="11016" max="11025" width="9" style="96" customWidth="1"/>
    <col min="11026" max="11026" width="9" style="96"/>
    <col min="11027" max="11027" width="9.5" style="96" bestFit="1" customWidth="1"/>
    <col min="11028" max="11028" width="9" style="96" customWidth="1"/>
    <col min="11029" max="11029" width="9" style="96"/>
    <col min="11030" max="11030" width="9" style="96" customWidth="1"/>
    <col min="11031" max="11036" width="9" style="96"/>
    <col min="11037" max="11037" width="26.5" style="96" customWidth="1"/>
    <col min="11038" max="11040" width="9" style="96"/>
    <col min="11041" max="11041" width="14.75" style="96" bestFit="1" customWidth="1"/>
    <col min="11042" max="11264" width="9" style="96"/>
    <col min="11265" max="11267" width="9" style="96" customWidth="1"/>
    <col min="11268" max="11268" width="10.5" style="96" customWidth="1"/>
    <col min="11269" max="11269" width="11.25" style="96" bestFit="1" customWidth="1"/>
    <col min="11270" max="11271" width="9" style="96"/>
    <col min="11272" max="11281" width="9" style="96" customWidth="1"/>
    <col min="11282" max="11282" width="9" style="96"/>
    <col min="11283" max="11283" width="9.5" style="96" bestFit="1" customWidth="1"/>
    <col min="11284" max="11284" width="9" style="96" customWidth="1"/>
    <col min="11285" max="11285" width="9" style="96"/>
    <col min="11286" max="11286" width="9" style="96" customWidth="1"/>
    <col min="11287" max="11292" width="9" style="96"/>
    <col min="11293" max="11293" width="26.5" style="96" customWidth="1"/>
    <col min="11294" max="11296" width="9" style="96"/>
    <col min="11297" max="11297" width="14.75" style="96" bestFit="1" customWidth="1"/>
    <col min="11298" max="11520" width="9" style="96"/>
    <col min="11521" max="11523" width="9" style="96" customWidth="1"/>
    <col min="11524" max="11524" width="10.5" style="96" customWidth="1"/>
    <col min="11525" max="11525" width="11.25" style="96" bestFit="1" customWidth="1"/>
    <col min="11526" max="11527" width="9" style="96"/>
    <col min="11528" max="11537" width="9" style="96" customWidth="1"/>
    <col min="11538" max="11538" width="9" style="96"/>
    <col min="11539" max="11539" width="9.5" style="96" bestFit="1" customWidth="1"/>
    <col min="11540" max="11540" width="9" style="96" customWidth="1"/>
    <col min="11541" max="11541" width="9" style="96"/>
    <col min="11542" max="11542" width="9" style="96" customWidth="1"/>
    <col min="11543" max="11548" width="9" style="96"/>
    <col min="11549" max="11549" width="26.5" style="96" customWidth="1"/>
    <col min="11550" max="11552" width="9" style="96"/>
    <col min="11553" max="11553" width="14.75" style="96" bestFit="1" customWidth="1"/>
    <col min="11554" max="11776" width="9" style="96"/>
    <col min="11777" max="11779" width="9" style="96" customWidth="1"/>
    <col min="11780" max="11780" width="10.5" style="96" customWidth="1"/>
    <col min="11781" max="11781" width="11.25" style="96" bestFit="1" customWidth="1"/>
    <col min="11782" max="11783" width="9" style="96"/>
    <col min="11784" max="11793" width="9" style="96" customWidth="1"/>
    <col min="11794" max="11794" width="9" style="96"/>
    <col min="11795" max="11795" width="9.5" style="96" bestFit="1" customWidth="1"/>
    <col min="11796" max="11796" width="9" style="96" customWidth="1"/>
    <col min="11797" max="11797" width="9" style="96"/>
    <col min="11798" max="11798" width="9" style="96" customWidth="1"/>
    <col min="11799" max="11804" width="9" style="96"/>
    <col min="11805" max="11805" width="26.5" style="96" customWidth="1"/>
    <col min="11806" max="11808" width="9" style="96"/>
    <col min="11809" max="11809" width="14.75" style="96" bestFit="1" customWidth="1"/>
    <col min="11810" max="12032" width="9" style="96"/>
    <col min="12033" max="12035" width="9" style="96" customWidth="1"/>
    <col min="12036" max="12036" width="10.5" style="96" customWidth="1"/>
    <col min="12037" max="12037" width="11.25" style="96" bestFit="1" customWidth="1"/>
    <col min="12038" max="12039" width="9" style="96"/>
    <col min="12040" max="12049" width="9" style="96" customWidth="1"/>
    <col min="12050" max="12050" width="9" style="96"/>
    <col min="12051" max="12051" width="9.5" style="96" bestFit="1" customWidth="1"/>
    <col min="12052" max="12052" width="9" style="96" customWidth="1"/>
    <col min="12053" max="12053" width="9" style="96"/>
    <col min="12054" max="12054" width="9" style="96" customWidth="1"/>
    <col min="12055" max="12060" width="9" style="96"/>
    <col min="12061" max="12061" width="26.5" style="96" customWidth="1"/>
    <col min="12062" max="12064" width="9" style="96"/>
    <col min="12065" max="12065" width="14.75" style="96" bestFit="1" customWidth="1"/>
    <col min="12066" max="12288" width="9" style="96"/>
    <col min="12289" max="12291" width="9" style="96" customWidth="1"/>
    <col min="12292" max="12292" width="10.5" style="96" customWidth="1"/>
    <col min="12293" max="12293" width="11.25" style="96" bestFit="1" customWidth="1"/>
    <col min="12294" max="12295" width="9" style="96"/>
    <col min="12296" max="12305" width="9" style="96" customWidth="1"/>
    <col min="12306" max="12306" width="9" style="96"/>
    <col min="12307" max="12307" width="9.5" style="96" bestFit="1" customWidth="1"/>
    <col min="12308" max="12308" width="9" style="96" customWidth="1"/>
    <col min="12309" max="12309" width="9" style="96"/>
    <col min="12310" max="12310" width="9" style="96" customWidth="1"/>
    <col min="12311" max="12316" width="9" style="96"/>
    <col min="12317" max="12317" width="26.5" style="96" customWidth="1"/>
    <col min="12318" max="12320" width="9" style="96"/>
    <col min="12321" max="12321" width="14.75" style="96" bestFit="1" customWidth="1"/>
    <col min="12322" max="12544" width="9" style="96"/>
    <col min="12545" max="12547" width="9" style="96" customWidth="1"/>
    <col min="12548" max="12548" width="10.5" style="96" customWidth="1"/>
    <col min="12549" max="12549" width="11.25" style="96" bestFit="1" customWidth="1"/>
    <col min="12550" max="12551" width="9" style="96"/>
    <col min="12552" max="12561" width="9" style="96" customWidth="1"/>
    <col min="12562" max="12562" width="9" style="96"/>
    <col min="12563" max="12563" width="9.5" style="96" bestFit="1" customWidth="1"/>
    <col min="12564" max="12564" width="9" style="96" customWidth="1"/>
    <col min="12565" max="12565" width="9" style="96"/>
    <col min="12566" max="12566" width="9" style="96" customWidth="1"/>
    <col min="12567" max="12572" width="9" style="96"/>
    <col min="12573" max="12573" width="26.5" style="96" customWidth="1"/>
    <col min="12574" max="12576" width="9" style="96"/>
    <col min="12577" max="12577" width="14.75" style="96" bestFit="1" customWidth="1"/>
    <col min="12578" max="12800" width="9" style="96"/>
    <col min="12801" max="12803" width="9" style="96" customWidth="1"/>
    <col min="12804" max="12804" width="10.5" style="96" customWidth="1"/>
    <col min="12805" max="12805" width="11.25" style="96" bestFit="1" customWidth="1"/>
    <col min="12806" max="12807" width="9" style="96"/>
    <col min="12808" max="12817" width="9" style="96" customWidth="1"/>
    <col min="12818" max="12818" width="9" style="96"/>
    <col min="12819" max="12819" width="9.5" style="96" bestFit="1" customWidth="1"/>
    <col min="12820" max="12820" width="9" style="96" customWidth="1"/>
    <col min="12821" max="12821" width="9" style="96"/>
    <col min="12822" max="12822" width="9" style="96" customWidth="1"/>
    <col min="12823" max="12828" width="9" style="96"/>
    <col min="12829" max="12829" width="26.5" style="96" customWidth="1"/>
    <col min="12830" max="12832" width="9" style="96"/>
    <col min="12833" max="12833" width="14.75" style="96" bestFit="1" customWidth="1"/>
    <col min="12834" max="13056" width="9" style="96"/>
    <col min="13057" max="13059" width="9" style="96" customWidth="1"/>
    <col min="13060" max="13060" width="10.5" style="96" customWidth="1"/>
    <col min="13061" max="13061" width="11.25" style="96" bestFit="1" customWidth="1"/>
    <col min="13062" max="13063" width="9" style="96"/>
    <col min="13064" max="13073" width="9" style="96" customWidth="1"/>
    <col min="13074" max="13074" width="9" style="96"/>
    <col min="13075" max="13075" width="9.5" style="96" bestFit="1" customWidth="1"/>
    <col min="13076" max="13076" width="9" style="96" customWidth="1"/>
    <col min="13077" max="13077" width="9" style="96"/>
    <col min="13078" max="13078" width="9" style="96" customWidth="1"/>
    <col min="13079" max="13084" width="9" style="96"/>
    <col min="13085" max="13085" width="26.5" style="96" customWidth="1"/>
    <col min="13086" max="13088" width="9" style="96"/>
    <col min="13089" max="13089" width="14.75" style="96" bestFit="1" customWidth="1"/>
    <col min="13090" max="13312" width="9" style="96"/>
    <col min="13313" max="13315" width="9" style="96" customWidth="1"/>
    <col min="13316" max="13316" width="10.5" style="96" customWidth="1"/>
    <col min="13317" max="13317" width="11.25" style="96" bestFit="1" customWidth="1"/>
    <col min="13318" max="13319" width="9" style="96"/>
    <col min="13320" max="13329" width="9" style="96" customWidth="1"/>
    <col min="13330" max="13330" width="9" style="96"/>
    <col min="13331" max="13331" width="9.5" style="96" bestFit="1" customWidth="1"/>
    <col min="13332" max="13332" width="9" style="96" customWidth="1"/>
    <col min="13333" max="13333" width="9" style="96"/>
    <col min="13334" max="13334" width="9" style="96" customWidth="1"/>
    <col min="13335" max="13340" width="9" style="96"/>
    <col min="13341" max="13341" width="26.5" style="96" customWidth="1"/>
    <col min="13342" max="13344" width="9" style="96"/>
    <col min="13345" max="13345" width="14.75" style="96" bestFit="1" customWidth="1"/>
    <col min="13346" max="13568" width="9" style="96"/>
    <col min="13569" max="13571" width="9" style="96" customWidth="1"/>
    <col min="13572" max="13572" width="10.5" style="96" customWidth="1"/>
    <col min="13573" max="13573" width="11.25" style="96" bestFit="1" customWidth="1"/>
    <col min="13574" max="13575" width="9" style="96"/>
    <col min="13576" max="13585" width="9" style="96" customWidth="1"/>
    <col min="13586" max="13586" width="9" style="96"/>
    <col min="13587" max="13587" width="9.5" style="96" bestFit="1" customWidth="1"/>
    <col min="13588" max="13588" width="9" style="96" customWidth="1"/>
    <col min="13589" max="13589" width="9" style="96"/>
    <col min="13590" max="13590" width="9" style="96" customWidth="1"/>
    <col min="13591" max="13596" width="9" style="96"/>
    <col min="13597" max="13597" width="26.5" style="96" customWidth="1"/>
    <col min="13598" max="13600" width="9" style="96"/>
    <col min="13601" max="13601" width="14.75" style="96" bestFit="1" customWidth="1"/>
    <col min="13602" max="13824" width="9" style="96"/>
    <col min="13825" max="13827" width="9" style="96" customWidth="1"/>
    <col min="13828" max="13828" width="10.5" style="96" customWidth="1"/>
    <col min="13829" max="13829" width="11.25" style="96" bestFit="1" customWidth="1"/>
    <col min="13830" max="13831" width="9" style="96"/>
    <col min="13832" max="13841" width="9" style="96" customWidth="1"/>
    <col min="13842" max="13842" width="9" style="96"/>
    <col min="13843" max="13843" width="9.5" style="96" bestFit="1" customWidth="1"/>
    <col min="13844" max="13844" width="9" style="96" customWidth="1"/>
    <col min="13845" max="13845" width="9" style="96"/>
    <col min="13846" max="13846" width="9" style="96" customWidth="1"/>
    <col min="13847" max="13852" width="9" style="96"/>
    <col min="13853" max="13853" width="26.5" style="96" customWidth="1"/>
    <col min="13854" max="13856" width="9" style="96"/>
    <col min="13857" max="13857" width="14.75" style="96" bestFit="1" customWidth="1"/>
    <col min="13858" max="14080" width="9" style="96"/>
    <col min="14081" max="14083" width="9" style="96" customWidth="1"/>
    <col min="14084" max="14084" width="10.5" style="96" customWidth="1"/>
    <col min="14085" max="14085" width="11.25" style="96" bestFit="1" customWidth="1"/>
    <col min="14086" max="14087" width="9" style="96"/>
    <col min="14088" max="14097" width="9" style="96" customWidth="1"/>
    <col min="14098" max="14098" width="9" style="96"/>
    <col min="14099" max="14099" width="9.5" style="96" bestFit="1" customWidth="1"/>
    <col min="14100" max="14100" width="9" style="96" customWidth="1"/>
    <col min="14101" max="14101" width="9" style="96"/>
    <col min="14102" max="14102" width="9" style="96" customWidth="1"/>
    <col min="14103" max="14108" width="9" style="96"/>
    <col min="14109" max="14109" width="26.5" style="96" customWidth="1"/>
    <col min="14110" max="14112" width="9" style="96"/>
    <col min="14113" max="14113" width="14.75" style="96" bestFit="1" customWidth="1"/>
    <col min="14114" max="14336" width="9" style="96"/>
    <col min="14337" max="14339" width="9" style="96" customWidth="1"/>
    <col min="14340" max="14340" width="10.5" style="96" customWidth="1"/>
    <col min="14341" max="14341" width="11.25" style="96" bestFit="1" customWidth="1"/>
    <col min="14342" max="14343" width="9" style="96"/>
    <col min="14344" max="14353" width="9" style="96" customWidth="1"/>
    <col min="14354" max="14354" width="9" style="96"/>
    <col min="14355" max="14355" width="9.5" style="96" bestFit="1" customWidth="1"/>
    <col min="14356" max="14356" width="9" style="96" customWidth="1"/>
    <col min="14357" max="14357" width="9" style="96"/>
    <col min="14358" max="14358" width="9" style="96" customWidth="1"/>
    <col min="14359" max="14364" width="9" style="96"/>
    <col min="14365" max="14365" width="26.5" style="96" customWidth="1"/>
    <col min="14366" max="14368" width="9" style="96"/>
    <col min="14369" max="14369" width="14.75" style="96" bestFit="1" customWidth="1"/>
    <col min="14370" max="14592" width="9" style="96"/>
    <col min="14593" max="14595" width="9" style="96" customWidth="1"/>
    <col min="14596" max="14596" width="10.5" style="96" customWidth="1"/>
    <col min="14597" max="14597" width="11.25" style="96" bestFit="1" customWidth="1"/>
    <col min="14598" max="14599" width="9" style="96"/>
    <col min="14600" max="14609" width="9" style="96" customWidth="1"/>
    <col min="14610" max="14610" width="9" style="96"/>
    <col min="14611" max="14611" width="9.5" style="96" bestFit="1" customWidth="1"/>
    <col min="14612" max="14612" width="9" style="96" customWidth="1"/>
    <col min="14613" max="14613" width="9" style="96"/>
    <col min="14614" max="14614" width="9" style="96" customWidth="1"/>
    <col min="14615" max="14620" width="9" style="96"/>
    <col min="14621" max="14621" width="26.5" style="96" customWidth="1"/>
    <col min="14622" max="14624" width="9" style="96"/>
    <col min="14625" max="14625" width="14.75" style="96" bestFit="1" customWidth="1"/>
    <col min="14626" max="14848" width="9" style="96"/>
    <col min="14849" max="14851" width="9" style="96" customWidth="1"/>
    <col min="14852" max="14852" width="10.5" style="96" customWidth="1"/>
    <col min="14853" max="14853" width="11.25" style="96" bestFit="1" customWidth="1"/>
    <col min="14854" max="14855" width="9" style="96"/>
    <col min="14856" max="14865" width="9" style="96" customWidth="1"/>
    <col min="14866" max="14866" width="9" style="96"/>
    <col min="14867" max="14867" width="9.5" style="96" bestFit="1" customWidth="1"/>
    <col min="14868" max="14868" width="9" style="96" customWidth="1"/>
    <col min="14869" max="14869" width="9" style="96"/>
    <col min="14870" max="14870" width="9" style="96" customWidth="1"/>
    <col min="14871" max="14876" width="9" style="96"/>
    <col min="14877" max="14877" width="26.5" style="96" customWidth="1"/>
    <col min="14878" max="14880" width="9" style="96"/>
    <col min="14881" max="14881" width="14.75" style="96" bestFit="1" customWidth="1"/>
    <col min="14882" max="15104" width="9" style="96"/>
    <col min="15105" max="15107" width="9" style="96" customWidth="1"/>
    <col min="15108" max="15108" width="10.5" style="96" customWidth="1"/>
    <col min="15109" max="15109" width="11.25" style="96" bestFit="1" customWidth="1"/>
    <col min="15110" max="15111" width="9" style="96"/>
    <col min="15112" max="15121" width="9" style="96" customWidth="1"/>
    <col min="15122" max="15122" width="9" style="96"/>
    <col min="15123" max="15123" width="9.5" style="96" bestFit="1" customWidth="1"/>
    <col min="15124" max="15124" width="9" style="96" customWidth="1"/>
    <col min="15125" max="15125" width="9" style="96"/>
    <col min="15126" max="15126" width="9" style="96" customWidth="1"/>
    <col min="15127" max="15132" width="9" style="96"/>
    <col min="15133" max="15133" width="26.5" style="96" customWidth="1"/>
    <col min="15134" max="15136" width="9" style="96"/>
    <col min="15137" max="15137" width="14.75" style="96" bestFit="1" customWidth="1"/>
    <col min="15138" max="15360" width="9" style="96"/>
    <col min="15361" max="15363" width="9" style="96" customWidth="1"/>
    <col min="15364" max="15364" width="10.5" style="96" customWidth="1"/>
    <col min="15365" max="15365" width="11.25" style="96" bestFit="1" customWidth="1"/>
    <col min="15366" max="15367" width="9" style="96"/>
    <col min="15368" max="15377" width="9" style="96" customWidth="1"/>
    <col min="15378" max="15378" width="9" style="96"/>
    <col min="15379" max="15379" width="9.5" style="96" bestFit="1" customWidth="1"/>
    <col min="15380" max="15380" width="9" style="96" customWidth="1"/>
    <col min="15381" max="15381" width="9" style="96"/>
    <col min="15382" max="15382" width="9" style="96" customWidth="1"/>
    <col min="15383" max="15388" width="9" style="96"/>
    <col min="15389" max="15389" width="26.5" style="96" customWidth="1"/>
    <col min="15390" max="15392" width="9" style="96"/>
    <col min="15393" max="15393" width="14.75" style="96" bestFit="1" customWidth="1"/>
    <col min="15394" max="15616" width="9" style="96"/>
    <col min="15617" max="15619" width="9" style="96" customWidth="1"/>
    <col min="15620" max="15620" width="10.5" style="96" customWidth="1"/>
    <col min="15621" max="15621" width="11.25" style="96" bestFit="1" customWidth="1"/>
    <col min="15622" max="15623" width="9" style="96"/>
    <col min="15624" max="15633" width="9" style="96" customWidth="1"/>
    <col min="15634" max="15634" width="9" style="96"/>
    <col min="15635" max="15635" width="9.5" style="96" bestFit="1" customWidth="1"/>
    <col min="15636" max="15636" width="9" style="96" customWidth="1"/>
    <col min="15637" max="15637" width="9" style="96"/>
    <col min="15638" max="15638" width="9" style="96" customWidth="1"/>
    <col min="15639" max="15644" width="9" style="96"/>
    <col min="15645" max="15645" width="26.5" style="96" customWidth="1"/>
    <col min="15646" max="15648" width="9" style="96"/>
    <col min="15649" max="15649" width="14.75" style="96" bestFit="1" customWidth="1"/>
    <col min="15650" max="15872" width="9" style="96"/>
    <col min="15873" max="15875" width="9" style="96" customWidth="1"/>
    <col min="15876" max="15876" width="10.5" style="96" customWidth="1"/>
    <col min="15877" max="15877" width="11.25" style="96" bestFit="1" customWidth="1"/>
    <col min="15878" max="15879" width="9" style="96"/>
    <col min="15880" max="15889" width="9" style="96" customWidth="1"/>
    <col min="15890" max="15890" width="9" style="96"/>
    <col min="15891" max="15891" width="9.5" style="96" bestFit="1" customWidth="1"/>
    <col min="15892" max="15892" width="9" style="96" customWidth="1"/>
    <col min="15893" max="15893" width="9" style="96"/>
    <col min="15894" max="15894" width="9" style="96" customWidth="1"/>
    <col min="15895" max="15900" width="9" style="96"/>
    <col min="15901" max="15901" width="26.5" style="96" customWidth="1"/>
    <col min="15902" max="15904" width="9" style="96"/>
    <col min="15905" max="15905" width="14.75" style="96" bestFit="1" customWidth="1"/>
    <col min="15906" max="16128" width="9" style="96"/>
    <col min="16129" max="16131" width="9" style="96" customWidth="1"/>
    <col min="16132" max="16132" width="10.5" style="96" customWidth="1"/>
    <col min="16133" max="16133" width="11.25" style="96" bestFit="1" customWidth="1"/>
    <col min="16134" max="16135" width="9" style="96"/>
    <col min="16136" max="16145" width="9" style="96" customWidth="1"/>
    <col min="16146" max="16146" width="9" style="96"/>
    <col min="16147" max="16147" width="9.5" style="96" bestFit="1" customWidth="1"/>
    <col min="16148" max="16148" width="9" style="96" customWidth="1"/>
    <col min="16149" max="16149" width="9" style="96"/>
    <col min="16150" max="16150" width="9" style="96" customWidth="1"/>
    <col min="16151" max="16156" width="9" style="96"/>
    <col min="16157" max="16157" width="26.5" style="96" customWidth="1"/>
    <col min="16158" max="16160" width="9" style="96"/>
    <col min="16161" max="16161" width="14.75" style="96" bestFit="1" customWidth="1"/>
    <col min="16162" max="16384" width="9" style="96"/>
  </cols>
  <sheetData>
    <row r="1" spans="1:53" ht="44.25" customHeight="1" x14ac:dyDescent="0.15">
      <c r="A1" s="176" t="s">
        <v>336</v>
      </c>
      <c r="B1" s="90" t="s">
        <v>1</v>
      </c>
      <c r="C1" s="90" t="s">
        <v>157</v>
      </c>
      <c r="D1" s="91" t="s">
        <v>3</v>
      </c>
      <c r="E1" s="91" t="s">
        <v>337</v>
      </c>
      <c r="F1" s="91" t="s">
        <v>5</v>
      </c>
      <c r="G1" s="91" t="s">
        <v>6</v>
      </c>
      <c r="H1" s="91" t="s">
        <v>338</v>
      </c>
      <c r="I1" s="91" t="s">
        <v>8</v>
      </c>
      <c r="J1" s="91" t="s">
        <v>9</v>
      </c>
      <c r="K1" s="91" t="s">
        <v>10</v>
      </c>
      <c r="L1" s="91" t="s">
        <v>175</v>
      </c>
      <c r="M1" s="91" t="s">
        <v>12</v>
      </c>
      <c r="N1" s="91" t="s">
        <v>13</v>
      </c>
      <c r="O1" s="91" t="s">
        <v>158</v>
      </c>
      <c r="P1" s="91" t="s">
        <v>215</v>
      </c>
      <c r="Q1" s="92" t="s">
        <v>16</v>
      </c>
      <c r="R1" s="91" t="s">
        <v>216</v>
      </c>
      <c r="S1" s="91" t="s">
        <v>217</v>
      </c>
      <c r="T1" s="92" t="s">
        <v>19</v>
      </c>
      <c r="U1" s="93" t="s">
        <v>108</v>
      </c>
      <c r="V1" s="94" t="s">
        <v>20</v>
      </c>
      <c r="W1" s="91" t="s">
        <v>21</v>
      </c>
      <c r="X1" s="91" t="s">
        <v>22</v>
      </c>
      <c r="Y1" s="91" t="s">
        <v>23</v>
      </c>
      <c r="Z1" s="91" t="s">
        <v>24</v>
      </c>
      <c r="AA1" s="177" t="s">
        <v>25</v>
      </c>
      <c r="AB1" s="178" t="s">
        <v>176</v>
      </c>
      <c r="AC1" s="179"/>
      <c r="AE1" s="97" t="s">
        <v>0</v>
      </c>
      <c r="AF1" s="98"/>
      <c r="AG1" s="97" t="s">
        <v>4</v>
      </c>
      <c r="AH1" s="97" t="s">
        <v>5</v>
      </c>
      <c r="AI1" s="98"/>
      <c r="AJ1" s="97" t="s">
        <v>6</v>
      </c>
      <c r="AK1" s="98"/>
      <c r="AL1" s="99" t="s">
        <v>7</v>
      </c>
      <c r="AM1" s="98"/>
      <c r="AN1" s="99" t="s">
        <v>8</v>
      </c>
      <c r="AO1" s="98"/>
      <c r="AP1" s="99" t="s">
        <v>27</v>
      </c>
      <c r="AQ1" s="98"/>
      <c r="AR1" s="99" t="s">
        <v>10</v>
      </c>
      <c r="AS1" s="98"/>
      <c r="AT1" s="100" t="s">
        <v>28</v>
      </c>
      <c r="AU1" s="98"/>
      <c r="AV1" s="99" t="s">
        <v>29</v>
      </c>
      <c r="AX1" s="101" t="s">
        <v>339</v>
      </c>
      <c r="AY1" s="102" t="s">
        <v>340</v>
      </c>
      <c r="AZ1" s="102" t="s">
        <v>341</v>
      </c>
      <c r="BA1" s="103" t="s">
        <v>342</v>
      </c>
    </row>
    <row r="2" spans="1:53" s="187" customFormat="1" x14ac:dyDescent="0.15">
      <c r="A2" s="180" t="s">
        <v>61</v>
      </c>
      <c r="B2" s="180" t="s">
        <v>343</v>
      </c>
      <c r="C2" s="180">
        <v>2018</v>
      </c>
      <c r="D2" s="181" t="s">
        <v>344</v>
      </c>
      <c r="E2" s="180" t="s">
        <v>345</v>
      </c>
      <c r="F2" s="180" t="s">
        <v>346</v>
      </c>
      <c r="G2" s="180" t="s">
        <v>42</v>
      </c>
      <c r="H2" s="182" t="s">
        <v>155</v>
      </c>
      <c r="I2" s="182" t="s">
        <v>153</v>
      </c>
      <c r="J2" s="180" t="s">
        <v>38</v>
      </c>
      <c r="K2" s="182" t="s">
        <v>154</v>
      </c>
      <c r="L2" s="182">
        <v>1</v>
      </c>
      <c r="M2" s="182"/>
      <c r="N2" s="182">
        <v>2</v>
      </c>
      <c r="O2" s="182">
        <v>1</v>
      </c>
      <c r="P2" s="182">
        <v>1.1000000000000001</v>
      </c>
      <c r="Q2" s="183">
        <f t="shared" ref="Q2:Q65" si="0">IF(OR(O2="",P2=""),"",AVERAGE(O2,P2))</f>
        <v>1.05</v>
      </c>
      <c r="R2" s="182">
        <v>15</v>
      </c>
      <c r="S2" s="182">
        <v>148</v>
      </c>
      <c r="T2" s="184">
        <f t="shared" ref="T2:T65" si="1">IF(H2="","",IF(OR(H2="GREEN",H2="GK"),IF(S2&gt;=$AX$2,VLOOKUP(S2,$AX$2:$AY$15,2,1),""),IF(S2&gt;=$AZ$2,VLOOKUP(S2,$AZ$2:$BA$15,2,1),"")))</f>
        <v>22</v>
      </c>
      <c r="U2" s="182">
        <v>183</v>
      </c>
      <c r="V2" s="185">
        <f t="shared" ref="V2:V65" si="2">IF(OR(N2="",U2="",T2=""),"",U2/N2*T2)</f>
        <v>2013</v>
      </c>
      <c r="W2" s="182">
        <v>2</v>
      </c>
      <c r="X2" s="180" t="s">
        <v>39</v>
      </c>
      <c r="Y2" s="182" t="s">
        <v>84</v>
      </c>
      <c r="Z2" s="182" t="s">
        <v>90</v>
      </c>
      <c r="AA2" s="182" t="s">
        <v>40</v>
      </c>
      <c r="AB2" s="180" t="s">
        <v>196</v>
      </c>
      <c r="AC2" s="186"/>
      <c r="AE2" s="106" t="s">
        <v>35</v>
      </c>
      <c r="AG2" s="49" t="s">
        <v>345</v>
      </c>
      <c r="AH2" s="49" t="s">
        <v>346</v>
      </c>
      <c r="AJ2" s="188" t="s">
        <v>36</v>
      </c>
      <c r="AL2" s="107" t="s">
        <v>127</v>
      </c>
      <c r="AN2" s="188" t="s">
        <v>37</v>
      </c>
      <c r="AP2" s="107" t="s">
        <v>38</v>
      </c>
      <c r="AR2" s="107" t="s">
        <v>120</v>
      </c>
      <c r="AT2" s="188" t="s">
        <v>39</v>
      </c>
      <c r="AV2" s="107" t="s">
        <v>40</v>
      </c>
      <c r="AX2" s="189">
        <v>1</v>
      </c>
      <c r="AY2" s="190">
        <v>50</v>
      </c>
      <c r="AZ2" s="190">
        <v>1</v>
      </c>
      <c r="BA2" s="191">
        <v>50</v>
      </c>
    </row>
    <row r="3" spans="1:53" x14ac:dyDescent="0.15">
      <c r="A3" s="180" t="s">
        <v>61</v>
      </c>
      <c r="B3" s="180" t="s">
        <v>194</v>
      </c>
      <c r="C3" s="180">
        <v>2018</v>
      </c>
      <c r="D3" s="181" t="s">
        <v>224</v>
      </c>
      <c r="E3" s="180" t="s">
        <v>345</v>
      </c>
      <c r="F3" s="180" t="s">
        <v>346</v>
      </c>
      <c r="G3" s="180" t="s">
        <v>42</v>
      </c>
      <c r="H3" s="182" t="s">
        <v>155</v>
      </c>
      <c r="I3" s="182" t="s">
        <v>153</v>
      </c>
      <c r="J3" s="180" t="s">
        <v>38</v>
      </c>
      <c r="K3" s="182" t="s">
        <v>154</v>
      </c>
      <c r="L3" s="182">
        <v>2</v>
      </c>
      <c r="M3" s="182"/>
      <c r="N3" s="182">
        <v>2</v>
      </c>
      <c r="O3" s="182">
        <v>1.3</v>
      </c>
      <c r="P3" s="182">
        <v>1.4</v>
      </c>
      <c r="Q3" s="183">
        <f t="shared" si="0"/>
        <v>1.35</v>
      </c>
      <c r="R3" s="182">
        <v>14.4</v>
      </c>
      <c r="S3" s="182">
        <v>144</v>
      </c>
      <c r="T3" s="184">
        <f t="shared" si="1"/>
        <v>22</v>
      </c>
      <c r="U3" s="182">
        <v>183</v>
      </c>
      <c r="V3" s="185">
        <f t="shared" si="2"/>
        <v>2013</v>
      </c>
      <c r="W3" s="182">
        <v>2</v>
      </c>
      <c r="X3" s="180" t="s">
        <v>39</v>
      </c>
      <c r="Y3" s="182" t="s">
        <v>84</v>
      </c>
      <c r="Z3" s="182" t="s">
        <v>90</v>
      </c>
      <c r="AA3" s="182" t="s">
        <v>40</v>
      </c>
      <c r="AB3" s="180" t="s">
        <v>196</v>
      </c>
      <c r="AC3" s="186"/>
      <c r="AE3" s="111" t="s">
        <v>41</v>
      </c>
      <c r="AG3" s="49" t="s">
        <v>347</v>
      </c>
      <c r="AH3" s="49" t="s">
        <v>348</v>
      </c>
      <c r="AJ3" s="112" t="s">
        <v>42</v>
      </c>
      <c r="AL3" s="112" t="s">
        <v>128</v>
      </c>
      <c r="AN3" s="112" t="s">
        <v>43</v>
      </c>
      <c r="AP3" s="112" t="s">
        <v>44</v>
      </c>
      <c r="AR3" s="122" t="s">
        <v>45</v>
      </c>
      <c r="AT3" s="112" t="s">
        <v>46</v>
      </c>
      <c r="AV3" s="122" t="s">
        <v>47</v>
      </c>
      <c r="AX3" s="113">
        <v>72</v>
      </c>
      <c r="AY3" s="114">
        <v>46</v>
      </c>
      <c r="AZ3" s="114">
        <v>71</v>
      </c>
      <c r="BA3" s="115">
        <v>42</v>
      </c>
    </row>
    <row r="4" spans="1:53" x14ac:dyDescent="0.15">
      <c r="A4" s="180" t="s">
        <v>61</v>
      </c>
      <c r="B4" s="180" t="s">
        <v>194</v>
      </c>
      <c r="C4" s="180">
        <v>2018</v>
      </c>
      <c r="D4" s="181" t="s">
        <v>224</v>
      </c>
      <c r="E4" s="180" t="s">
        <v>345</v>
      </c>
      <c r="F4" s="180" t="s">
        <v>346</v>
      </c>
      <c r="G4" s="180" t="s">
        <v>42</v>
      </c>
      <c r="H4" s="182" t="s">
        <v>155</v>
      </c>
      <c r="I4" s="182" t="s">
        <v>153</v>
      </c>
      <c r="J4" s="180" t="s">
        <v>38</v>
      </c>
      <c r="K4" s="182" t="s">
        <v>154</v>
      </c>
      <c r="L4" s="182">
        <v>3</v>
      </c>
      <c r="M4" s="182"/>
      <c r="N4" s="182">
        <v>2</v>
      </c>
      <c r="O4" s="182">
        <v>1</v>
      </c>
      <c r="P4" s="182">
        <v>1.1000000000000001</v>
      </c>
      <c r="Q4" s="183">
        <f t="shared" si="0"/>
        <v>1.05</v>
      </c>
      <c r="R4" s="182">
        <v>14.6</v>
      </c>
      <c r="S4" s="182">
        <v>140</v>
      </c>
      <c r="T4" s="184">
        <f t="shared" si="1"/>
        <v>22</v>
      </c>
      <c r="U4" s="182">
        <v>183</v>
      </c>
      <c r="V4" s="185">
        <f t="shared" si="2"/>
        <v>2013</v>
      </c>
      <c r="W4" s="182">
        <v>2</v>
      </c>
      <c r="X4" s="180" t="s">
        <v>39</v>
      </c>
      <c r="Y4" s="182" t="s">
        <v>84</v>
      </c>
      <c r="Z4" s="182" t="s">
        <v>90</v>
      </c>
      <c r="AA4" s="182" t="s">
        <v>40</v>
      </c>
      <c r="AB4" s="180" t="s">
        <v>196</v>
      </c>
      <c r="AC4" s="186"/>
      <c r="AE4" s="111" t="s">
        <v>34</v>
      </c>
      <c r="AG4" s="49" t="s">
        <v>349</v>
      </c>
      <c r="AH4" s="49" t="s">
        <v>350</v>
      </c>
      <c r="AJ4" s="116" t="s">
        <v>48</v>
      </c>
      <c r="AL4" s="116" t="s">
        <v>129</v>
      </c>
      <c r="AN4" s="117" t="s">
        <v>49</v>
      </c>
      <c r="AP4" s="112" t="s">
        <v>93</v>
      </c>
      <c r="AR4" s="122" t="s">
        <v>231</v>
      </c>
      <c r="AT4" s="117"/>
      <c r="AV4" s="122" t="s">
        <v>50</v>
      </c>
      <c r="AX4" s="113">
        <v>75</v>
      </c>
      <c r="AY4" s="114">
        <v>42</v>
      </c>
      <c r="AZ4" s="114">
        <v>76</v>
      </c>
      <c r="BA4" s="115">
        <v>39</v>
      </c>
    </row>
    <row r="5" spans="1:53" x14ac:dyDescent="0.15">
      <c r="A5" s="180" t="s">
        <v>61</v>
      </c>
      <c r="B5" s="180" t="s">
        <v>194</v>
      </c>
      <c r="C5" s="180">
        <v>2018</v>
      </c>
      <c r="D5" s="181" t="s">
        <v>224</v>
      </c>
      <c r="E5" s="180" t="s">
        <v>347</v>
      </c>
      <c r="F5" s="180" t="s">
        <v>348</v>
      </c>
      <c r="G5" s="180" t="s">
        <v>42</v>
      </c>
      <c r="H5" s="182" t="s">
        <v>155</v>
      </c>
      <c r="I5" s="182" t="s">
        <v>153</v>
      </c>
      <c r="J5" s="180" t="s">
        <v>38</v>
      </c>
      <c r="K5" s="182" t="s">
        <v>154</v>
      </c>
      <c r="L5" s="182">
        <v>1</v>
      </c>
      <c r="M5" s="182"/>
      <c r="N5" s="182">
        <v>4</v>
      </c>
      <c r="O5" s="182">
        <v>0.55000000000000004</v>
      </c>
      <c r="P5" s="182">
        <v>0.6</v>
      </c>
      <c r="Q5" s="183">
        <f t="shared" si="0"/>
        <v>0.57499999999999996</v>
      </c>
      <c r="R5" s="182">
        <v>16.399999999999999</v>
      </c>
      <c r="S5" s="182">
        <v>95</v>
      </c>
      <c r="T5" s="184">
        <f t="shared" si="1"/>
        <v>36</v>
      </c>
      <c r="U5" s="182">
        <v>398</v>
      </c>
      <c r="V5" s="185">
        <f t="shared" si="2"/>
        <v>3582</v>
      </c>
      <c r="W5" s="182">
        <v>4</v>
      </c>
      <c r="X5" s="180" t="s">
        <v>46</v>
      </c>
      <c r="Y5" s="182" t="s">
        <v>84</v>
      </c>
      <c r="Z5" s="182" t="s">
        <v>90</v>
      </c>
      <c r="AA5" s="182" t="s">
        <v>69</v>
      </c>
      <c r="AB5" s="180" t="s">
        <v>196</v>
      </c>
      <c r="AC5" s="186"/>
      <c r="AE5" s="111" t="s">
        <v>51</v>
      </c>
      <c r="AG5" s="49" t="s">
        <v>351</v>
      </c>
      <c r="AH5" s="49" t="s">
        <v>352</v>
      </c>
      <c r="AJ5" s="116"/>
      <c r="AL5" s="118" t="s">
        <v>66</v>
      </c>
      <c r="AN5" s="118" t="s">
        <v>165</v>
      </c>
      <c r="AP5" s="112" t="s">
        <v>119</v>
      </c>
      <c r="AR5" s="122" t="s">
        <v>54</v>
      </c>
      <c r="AT5" s="182"/>
      <c r="AV5" s="122" t="s">
        <v>55</v>
      </c>
      <c r="AX5" s="113">
        <v>84</v>
      </c>
      <c r="AY5" s="114">
        <v>39</v>
      </c>
      <c r="AZ5" s="114">
        <v>84</v>
      </c>
      <c r="BA5" s="115">
        <v>36</v>
      </c>
    </row>
    <row r="6" spans="1:53" x14ac:dyDescent="0.15">
      <c r="A6" s="180" t="s">
        <v>61</v>
      </c>
      <c r="B6" s="180" t="s">
        <v>194</v>
      </c>
      <c r="C6" s="180">
        <v>2018</v>
      </c>
      <c r="D6" s="181" t="s">
        <v>224</v>
      </c>
      <c r="E6" s="180" t="s">
        <v>347</v>
      </c>
      <c r="F6" s="180" t="s">
        <v>348</v>
      </c>
      <c r="G6" s="180" t="s">
        <v>42</v>
      </c>
      <c r="H6" s="182" t="s">
        <v>155</v>
      </c>
      <c r="I6" s="182" t="s">
        <v>153</v>
      </c>
      <c r="J6" s="180" t="s">
        <v>38</v>
      </c>
      <c r="K6" s="182" t="s">
        <v>154</v>
      </c>
      <c r="L6" s="182">
        <v>2</v>
      </c>
      <c r="M6" s="182"/>
      <c r="N6" s="182">
        <v>4</v>
      </c>
      <c r="O6" s="182">
        <v>0.5</v>
      </c>
      <c r="P6" s="182">
        <v>0.5</v>
      </c>
      <c r="Q6" s="183">
        <f t="shared" si="0"/>
        <v>0.5</v>
      </c>
      <c r="R6" s="182">
        <v>16.3</v>
      </c>
      <c r="S6" s="182">
        <v>96</v>
      </c>
      <c r="T6" s="184">
        <f t="shared" si="1"/>
        <v>36</v>
      </c>
      <c r="U6" s="182">
        <v>398</v>
      </c>
      <c r="V6" s="185">
        <f t="shared" si="2"/>
        <v>3582</v>
      </c>
      <c r="W6" s="182">
        <v>4</v>
      </c>
      <c r="X6" s="180" t="s">
        <v>46</v>
      </c>
      <c r="Y6" s="182" t="s">
        <v>84</v>
      </c>
      <c r="Z6" s="182" t="s">
        <v>90</v>
      </c>
      <c r="AA6" s="182" t="s">
        <v>69</v>
      </c>
      <c r="AB6" s="180" t="s">
        <v>196</v>
      </c>
      <c r="AC6" s="186"/>
      <c r="AE6" s="111" t="s">
        <v>56</v>
      </c>
      <c r="AG6" s="49" t="s">
        <v>353</v>
      </c>
      <c r="AH6" s="49" t="s">
        <v>354</v>
      </c>
      <c r="AJ6" s="116"/>
      <c r="AL6" s="118" t="s">
        <v>99</v>
      </c>
      <c r="AN6" s="118" t="s">
        <v>166</v>
      </c>
      <c r="AP6" s="112" t="s">
        <v>53</v>
      </c>
      <c r="AR6" s="122" t="s">
        <v>59</v>
      </c>
      <c r="AT6" s="182"/>
      <c r="AV6" s="122" t="s">
        <v>60</v>
      </c>
      <c r="AX6" s="113">
        <v>97</v>
      </c>
      <c r="AY6" s="114">
        <v>36</v>
      </c>
      <c r="AZ6" s="114">
        <v>99</v>
      </c>
      <c r="BA6" s="115">
        <v>33</v>
      </c>
    </row>
    <row r="7" spans="1:53" x14ac:dyDescent="0.15">
      <c r="A7" s="180" t="s">
        <v>61</v>
      </c>
      <c r="B7" s="180" t="s">
        <v>194</v>
      </c>
      <c r="C7" s="180">
        <v>2018</v>
      </c>
      <c r="D7" s="181" t="s">
        <v>224</v>
      </c>
      <c r="E7" s="180" t="s">
        <v>347</v>
      </c>
      <c r="F7" s="180" t="s">
        <v>348</v>
      </c>
      <c r="G7" s="180" t="s">
        <v>42</v>
      </c>
      <c r="H7" s="182" t="s">
        <v>155</v>
      </c>
      <c r="I7" s="182" t="s">
        <v>153</v>
      </c>
      <c r="J7" s="180" t="s">
        <v>38</v>
      </c>
      <c r="K7" s="182" t="s">
        <v>154</v>
      </c>
      <c r="L7" s="182">
        <v>3</v>
      </c>
      <c r="M7" s="182"/>
      <c r="N7" s="182">
        <v>4</v>
      </c>
      <c r="O7" s="182">
        <v>0.55000000000000004</v>
      </c>
      <c r="P7" s="182">
        <v>0.55000000000000004</v>
      </c>
      <c r="Q7" s="183">
        <f t="shared" si="0"/>
        <v>0.55000000000000004</v>
      </c>
      <c r="R7" s="182">
        <v>16.600000000000001</v>
      </c>
      <c r="S7" s="182">
        <v>101</v>
      </c>
      <c r="T7" s="184">
        <f t="shared" si="1"/>
        <v>33</v>
      </c>
      <c r="U7" s="182">
        <v>398</v>
      </c>
      <c r="V7" s="185">
        <f t="shared" si="2"/>
        <v>3283.5</v>
      </c>
      <c r="W7" s="182">
        <v>4</v>
      </c>
      <c r="X7" s="180" t="s">
        <v>46</v>
      </c>
      <c r="Y7" s="182" t="s">
        <v>84</v>
      </c>
      <c r="Z7" s="182" t="s">
        <v>90</v>
      </c>
      <c r="AA7" s="182" t="s">
        <v>69</v>
      </c>
      <c r="AB7" s="180" t="s">
        <v>196</v>
      </c>
      <c r="AC7" s="186"/>
      <c r="AE7" s="111" t="s">
        <v>61</v>
      </c>
      <c r="AG7" s="49" t="s">
        <v>355</v>
      </c>
      <c r="AH7" s="49" t="s">
        <v>356</v>
      </c>
      <c r="AJ7" s="116"/>
      <c r="AL7" s="34" t="s">
        <v>109</v>
      </c>
      <c r="AN7" s="192"/>
      <c r="AP7" s="112" t="s">
        <v>58</v>
      </c>
      <c r="AR7" s="119" t="s">
        <v>122</v>
      </c>
      <c r="AT7" s="182"/>
      <c r="AV7" s="122" t="s">
        <v>64</v>
      </c>
      <c r="AX7" s="113">
        <v>109</v>
      </c>
      <c r="AY7" s="114">
        <v>33</v>
      </c>
      <c r="AZ7" s="114">
        <v>113</v>
      </c>
      <c r="BA7" s="115">
        <v>30</v>
      </c>
    </row>
    <row r="8" spans="1:53" x14ac:dyDescent="0.15">
      <c r="A8" s="180" t="s">
        <v>61</v>
      </c>
      <c r="B8" s="180" t="s">
        <v>357</v>
      </c>
      <c r="C8" s="180">
        <v>2018</v>
      </c>
      <c r="D8" s="181" t="s">
        <v>358</v>
      </c>
      <c r="E8" s="180" t="s">
        <v>349</v>
      </c>
      <c r="F8" s="180" t="s">
        <v>350</v>
      </c>
      <c r="G8" s="180" t="s">
        <v>42</v>
      </c>
      <c r="H8" s="182" t="s">
        <v>155</v>
      </c>
      <c r="I8" s="182" t="s">
        <v>153</v>
      </c>
      <c r="J8" s="180" t="s">
        <v>38</v>
      </c>
      <c r="K8" s="182" t="s">
        <v>154</v>
      </c>
      <c r="L8" s="182">
        <v>1</v>
      </c>
      <c r="M8" s="182"/>
      <c r="N8" s="182">
        <v>4</v>
      </c>
      <c r="O8" s="182">
        <v>0.7</v>
      </c>
      <c r="P8" s="182">
        <v>0.65</v>
      </c>
      <c r="Q8" s="183">
        <f t="shared" si="0"/>
        <v>0.67500000000000004</v>
      </c>
      <c r="R8" s="182">
        <v>15.1</v>
      </c>
      <c r="S8" s="182">
        <v>93</v>
      </c>
      <c r="T8" s="184">
        <f t="shared" si="1"/>
        <v>36</v>
      </c>
      <c r="U8" s="182">
        <v>298</v>
      </c>
      <c r="V8" s="185">
        <f t="shared" si="2"/>
        <v>2682</v>
      </c>
      <c r="W8" s="182">
        <v>2</v>
      </c>
      <c r="X8" s="180" t="s">
        <v>46</v>
      </c>
      <c r="Y8" s="182" t="s">
        <v>84</v>
      </c>
      <c r="Z8" s="182" t="s">
        <v>90</v>
      </c>
      <c r="AA8" s="182" t="s">
        <v>69</v>
      </c>
      <c r="AB8" s="180" t="s">
        <v>359</v>
      </c>
      <c r="AC8" s="186"/>
      <c r="AE8" s="111" t="s">
        <v>59</v>
      </c>
      <c r="AG8" s="49" t="s">
        <v>360</v>
      </c>
      <c r="AH8" s="49" t="s">
        <v>361</v>
      </c>
      <c r="AJ8" s="117"/>
      <c r="AL8" s="186" t="s">
        <v>362</v>
      </c>
      <c r="AN8" s="118"/>
      <c r="AP8" s="112" t="s">
        <v>62</v>
      </c>
      <c r="AR8" s="122" t="s">
        <v>81</v>
      </c>
      <c r="AT8" s="182"/>
      <c r="AV8" s="122" t="s">
        <v>97</v>
      </c>
      <c r="AX8" s="113">
        <v>119</v>
      </c>
      <c r="AY8" s="114">
        <v>30</v>
      </c>
      <c r="AZ8" s="114">
        <v>121</v>
      </c>
      <c r="BA8" s="115">
        <v>27</v>
      </c>
    </row>
    <row r="9" spans="1:53" x14ac:dyDescent="0.15">
      <c r="A9" s="180" t="s">
        <v>61</v>
      </c>
      <c r="B9" s="180" t="s">
        <v>357</v>
      </c>
      <c r="C9" s="180">
        <v>2018</v>
      </c>
      <c r="D9" s="181" t="s">
        <v>358</v>
      </c>
      <c r="E9" s="180" t="s">
        <v>349</v>
      </c>
      <c r="F9" s="180" t="s">
        <v>350</v>
      </c>
      <c r="G9" s="180" t="s">
        <v>42</v>
      </c>
      <c r="H9" s="182" t="s">
        <v>155</v>
      </c>
      <c r="I9" s="182" t="s">
        <v>153</v>
      </c>
      <c r="J9" s="180" t="s">
        <v>38</v>
      </c>
      <c r="K9" s="182" t="s">
        <v>154</v>
      </c>
      <c r="L9" s="182">
        <v>2</v>
      </c>
      <c r="M9" s="182"/>
      <c r="N9" s="182">
        <v>4</v>
      </c>
      <c r="O9" s="182">
        <v>0.6</v>
      </c>
      <c r="P9" s="182">
        <v>0.6</v>
      </c>
      <c r="Q9" s="183">
        <f t="shared" si="0"/>
        <v>0.6</v>
      </c>
      <c r="R9" s="182">
        <v>15.8</v>
      </c>
      <c r="S9" s="182">
        <v>102</v>
      </c>
      <c r="T9" s="184">
        <f t="shared" si="1"/>
        <v>33</v>
      </c>
      <c r="U9" s="182">
        <v>298</v>
      </c>
      <c r="V9" s="185">
        <f t="shared" si="2"/>
        <v>2458.5</v>
      </c>
      <c r="W9" s="182">
        <v>2</v>
      </c>
      <c r="X9" s="180" t="s">
        <v>46</v>
      </c>
      <c r="Y9" s="182" t="s">
        <v>84</v>
      </c>
      <c r="Z9" s="182" t="s">
        <v>90</v>
      </c>
      <c r="AA9" s="182" t="s">
        <v>69</v>
      </c>
      <c r="AB9" s="180" t="s">
        <v>359</v>
      </c>
      <c r="AC9" s="186"/>
      <c r="AE9" s="111" t="s">
        <v>98</v>
      </c>
      <c r="AG9" s="49" t="s">
        <v>133</v>
      </c>
      <c r="AH9" s="49" t="s">
        <v>363</v>
      </c>
      <c r="AJ9" s="182"/>
      <c r="AL9" s="118"/>
      <c r="AN9" s="118"/>
      <c r="AP9" s="112" t="s">
        <v>95</v>
      </c>
      <c r="AR9" s="119" t="s">
        <v>89</v>
      </c>
      <c r="AT9" s="182"/>
      <c r="AV9" s="122" t="s">
        <v>102</v>
      </c>
      <c r="AX9" s="113">
        <v>128</v>
      </c>
      <c r="AY9" s="114">
        <v>27</v>
      </c>
      <c r="AZ9" s="114">
        <v>129</v>
      </c>
      <c r="BA9" s="115">
        <v>25</v>
      </c>
    </row>
    <row r="10" spans="1:53" x14ac:dyDescent="0.15">
      <c r="A10" s="180" t="s">
        <v>61</v>
      </c>
      <c r="B10" s="180" t="s">
        <v>364</v>
      </c>
      <c r="C10" s="180">
        <v>2018</v>
      </c>
      <c r="D10" s="181" t="s">
        <v>365</v>
      </c>
      <c r="E10" s="180" t="s">
        <v>349</v>
      </c>
      <c r="F10" s="180" t="s">
        <v>350</v>
      </c>
      <c r="G10" s="180" t="s">
        <v>42</v>
      </c>
      <c r="H10" s="182" t="s">
        <v>155</v>
      </c>
      <c r="I10" s="182" t="s">
        <v>153</v>
      </c>
      <c r="J10" s="180" t="s">
        <v>38</v>
      </c>
      <c r="K10" s="182" t="s">
        <v>154</v>
      </c>
      <c r="L10" s="182">
        <v>3</v>
      </c>
      <c r="M10" s="182"/>
      <c r="N10" s="182">
        <v>4</v>
      </c>
      <c r="O10" s="182">
        <v>0.65</v>
      </c>
      <c r="P10" s="182">
        <v>0.6</v>
      </c>
      <c r="Q10" s="183">
        <f t="shared" si="0"/>
        <v>0.625</v>
      </c>
      <c r="R10" s="182">
        <v>16</v>
      </c>
      <c r="S10" s="182">
        <v>99</v>
      </c>
      <c r="T10" s="184">
        <f t="shared" si="1"/>
        <v>33</v>
      </c>
      <c r="U10" s="182">
        <v>298</v>
      </c>
      <c r="V10" s="185">
        <f t="shared" si="2"/>
        <v>2458.5</v>
      </c>
      <c r="W10" s="182">
        <v>2</v>
      </c>
      <c r="X10" s="180" t="s">
        <v>46</v>
      </c>
      <c r="Y10" s="182" t="s">
        <v>84</v>
      </c>
      <c r="Z10" s="182" t="s">
        <v>90</v>
      </c>
      <c r="AA10" s="182" t="s">
        <v>69</v>
      </c>
      <c r="AB10" s="180" t="s">
        <v>366</v>
      </c>
      <c r="AC10" s="186"/>
      <c r="AE10" s="111" t="s">
        <v>103</v>
      </c>
      <c r="AG10" s="49" t="s">
        <v>367</v>
      </c>
      <c r="AH10" s="49" t="s">
        <v>368</v>
      </c>
      <c r="AJ10" s="182"/>
      <c r="AL10" s="116"/>
      <c r="AN10" s="182"/>
      <c r="AP10" s="112" t="s">
        <v>100</v>
      </c>
      <c r="AR10" s="119" t="s">
        <v>123</v>
      </c>
      <c r="AT10" s="182"/>
      <c r="AV10" s="122" t="s">
        <v>106</v>
      </c>
      <c r="AX10" s="113">
        <v>138</v>
      </c>
      <c r="AY10" s="114">
        <v>25</v>
      </c>
      <c r="AZ10" s="114">
        <v>138</v>
      </c>
      <c r="BA10" s="115">
        <v>22</v>
      </c>
    </row>
    <row r="11" spans="1:53" x14ac:dyDescent="0.15">
      <c r="A11" s="180" t="s">
        <v>61</v>
      </c>
      <c r="B11" s="180" t="s">
        <v>364</v>
      </c>
      <c r="C11" s="180">
        <v>2018</v>
      </c>
      <c r="D11" s="181" t="s">
        <v>365</v>
      </c>
      <c r="E11" s="180" t="s">
        <v>351</v>
      </c>
      <c r="F11" s="180" t="s">
        <v>352</v>
      </c>
      <c r="G11" s="180" t="s">
        <v>42</v>
      </c>
      <c r="H11" s="182" t="s">
        <v>155</v>
      </c>
      <c r="I11" s="182" t="s">
        <v>153</v>
      </c>
      <c r="J11" s="180" t="s">
        <v>38</v>
      </c>
      <c r="K11" s="182" t="s">
        <v>154</v>
      </c>
      <c r="L11" s="182">
        <v>1</v>
      </c>
      <c r="M11" s="182"/>
      <c r="N11" s="182">
        <v>4</v>
      </c>
      <c r="O11" s="182">
        <v>0.7</v>
      </c>
      <c r="P11" s="182">
        <v>0.65</v>
      </c>
      <c r="Q11" s="183">
        <f t="shared" si="0"/>
        <v>0.67500000000000004</v>
      </c>
      <c r="R11" s="182">
        <v>15</v>
      </c>
      <c r="S11" s="182">
        <v>104</v>
      </c>
      <c r="T11" s="184">
        <f t="shared" si="1"/>
        <v>33</v>
      </c>
      <c r="U11" s="182">
        <v>321</v>
      </c>
      <c r="V11" s="185">
        <f t="shared" si="2"/>
        <v>2648.25</v>
      </c>
      <c r="W11" s="182">
        <v>10</v>
      </c>
      <c r="X11" s="180" t="s">
        <v>46</v>
      </c>
      <c r="Y11" s="182" t="s">
        <v>84</v>
      </c>
      <c r="Z11" s="182" t="s">
        <v>69</v>
      </c>
      <c r="AA11" s="182" t="s">
        <v>40</v>
      </c>
      <c r="AB11" s="180" t="s">
        <v>366</v>
      </c>
      <c r="AC11" s="186"/>
      <c r="AE11" s="111" t="s">
        <v>65</v>
      </c>
      <c r="AG11" s="49" t="s">
        <v>369</v>
      </c>
      <c r="AH11" s="49" t="s">
        <v>368</v>
      </c>
      <c r="AJ11" s="182"/>
      <c r="AL11" s="193"/>
      <c r="AN11" s="182"/>
      <c r="AP11" s="112" t="s">
        <v>104</v>
      </c>
      <c r="AR11" s="119" t="s">
        <v>87</v>
      </c>
      <c r="AV11" s="194" t="s">
        <v>370</v>
      </c>
      <c r="AX11" s="113">
        <v>151</v>
      </c>
      <c r="AY11" s="114">
        <v>22</v>
      </c>
      <c r="AZ11" s="114">
        <v>152</v>
      </c>
      <c r="BA11" s="115">
        <v>18</v>
      </c>
    </row>
    <row r="12" spans="1:53" x14ac:dyDescent="0.15">
      <c r="A12" s="180" t="s">
        <v>61</v>
      </c>
      <c r="B12" s="180" t="s">
        <v>371</v>
      </c>
      <c r="C12" s="180">
        <v>2018</v>
      </c>
      <c r="D12" s="181" t="s">
        <v>372</v>
      </c>
      <c r="E12" s="180" t="s">
        <v>351</v>
      </c>
      <c r="F12" s="180" t="s">
        <v>352</v>
      </c>
      <c r="G12" s="180" t="s">
        <v>42</v>
      </c>
      <c r="H12" s="182" t="s">
        <v>155</v>
      </c>
      <c r="I12" s="182" t="s">
        <v>153</v>
      </c>
      <c r="J12" s="180" t="s">
        <v>38</v>
      </c>
      <c r="K12" s="182" t="s">
        <v>154</v>
      </c>
      <c r="L12" s="182">
        <v>2</v>
      </c>
      <c r="M12" s="182"/>
      <c r="N12" s="182">
        <v>4</v>
      </c>
      <c r="O12" s="182">
        <v>0.7</v>
      </c>
      <c r="P12" s="182">
        <v>0.7</v>
      </c>
      <c r="Q12" s="183">
        <f t="shared" si="0"/>
        <v>0.7</v>
      </c>
      <c r="R12" s="182">
        <v>15.6</v>
      </c>
      <c r="S12" s="182">
        <v>96</v>
      </c>
      <c r="T12" s="184">
        <f t="shared" si="1"/>
        <v>36</v>
      </c>
      <c r="U12" s="182">
        <v>321</v>
      </c>
      <c r="V12" s="185">
        <f t="shared" si="2"/>
        <v>2889</v>
      </c>
      <c r="W12" s="182">
        <v>10</v>
      </c>
      <c r="X12" s="180" t="s">
        <v>46</v>
      </c>
      <c r="Y12" s="182" t="s">
        <v>84</v>
      </c>
      <c r="Z12" s="182" t="s">
        <v>69</v>
      </c>
      <c r="AA12" s="182" t="s">
        <v>40</v>
      </c>
      <c r="AB12" s="180" t="s">
        <v>373</v>
      </c>
      <c r="AC12" s="186"/>
      <c r="AE12" s="111" t="s">
        <v>70</v>
      </c>
      <c r="AG12" s="112"/>
      <c r="AH12" s="111"/>
      <c r="AJ12" s="182"/>
      <c r="AL12" s="193"/>
      <c r="AN12" s="182"/>
      <c r="AP12" s="112" t="s">
        <v>67</v>
      </c>
      <c r="AR12" s="119" t="s">
        <v>124</v>
      </c>
      <c r="AV12" s="194" t="s">
        <v>374</v>
      </c>
      <c r="AX12" s="113">
        <v>180</v>
      </c>
      <c r="AY12" s="114">
        <v>18</v>
      </c>
      <c r="AZ12" s="114">
        <v>181</v>
      </c>
      <c r="BA12" s="115">
        <v>16</v>
      </c>
    </row>
    <row r="13" spans="1:53" x14ac:dyDescent="0.15">
      <c r="A13" s="180" t="s">
        <v>61</v>
      </c>
      <c r="B13" s="180" t="s">
        <v>375</v>
      </c>
      <c r="C13" s="180">
        <v>2018</v>
      </c>
      <c r="D13" s="181" t="s">
        <v>376</v>
      </c>
      <c r="E13" s="180" t="s">
        <v>351</v>
      </c>
      <c r="F13" s="180" t="s">
        <v>352</v>
      </c>
      <c r="G13" s="180" t="s">
        <v>42</v>
      </c>
      <c r="H13" s="182" t="s">
        <v>155</v>
      </c>
      <c r="I13" s="182" t="s">
        <v>153</v>
      </c>
      <c r="J13" s="180" t="s">
        <v>38</v>
      </c>
      <c r="K13" s="182" t="s">
        <v>154</v>
      </c>
      <c r="L13" s="182">
        <v>3</v>
      </c>
      <c r="M13" s="182"/>
      <c r="N13" s="182">
        <v>4</v>
      </c>
      <c r="O13" s="182">
        <v>0.6</v>
      </c>
      <c r="P13" s="182">
        <v>0.6</v>
      </c>
      <c r="Q13" s="183">
        <f t="shared" si="0"/>
        <v>0.6</v>
      </c>
      <c r="R13" s="182">
        <v>16.100000000000001</v>
      </c>
      <c r="S13" s="182">
        <v>98</v>
      </c>
      <c r="T13" s="184">
        <f t="shared" si="1"/>
        <v>36</v>
      </c>
      <c r="U13" s="182">
        <v>321</v>
      </c>
      <c r="V13" s="185">
        <f t="shared" si="2"/>
        <v>2889</v>
      </c>
      <c r="W13" s="182">
        <v>10</v>
      </c>
      <c r="X13" s="180" t="s">
        <v>46</v>
      </c>
      <c r="Y13" s="182" t="s">
        <v>84</v>
      </c>
      <c r="Z13" s="182" t="s">
        <v>69</v>
      </c>
      <c r="AA13" s="182" t="s">
        <v>40</v>
      </c>
      <c r="AB13" s="180" t="s">
        <v>377</v>
      </c>
      <c r="AC13" s="186"/>
      <c r="AE13" s="111" t="s">
        <v>73</v>
      </c>
      <c r="AG13" s="112"/>
      <c r="AH13" s="111"/>
      <c r="AJ13" s="182"/>
      <c r="AL13" s="195"/>
      <c r="AN13" s="182"/>
      <c r="AP13" s="112" t="s">
        <v>71</v>
      </c>
      <c r="AR13" s="119" t="s">
        <v>103</v>
      </c>
      <c r="AV13" s="194" t="s">
        <v>378</v>
      </c>
      <c r="AX13" s="113"/>
      <c r="AY13" s="114"/>
      <c r="AZ13" s="114"/>
      <c r="BA13" s="115"/>
    </row>
    <row r="14" spans="1:53" x14ac:dyDescent="0.15">
      <c r="A14" s="180" t="s">
        <v>61</v>
      </c>
      <c r="B14" s="180" t="s">
        <v>379</v>
      </c>
      <c r="C14" s="180">
        <v>2018</v>
      </c>
      <c r="D14" s="181" t="s">
        <v>380</v>
      </c>
      <c r="E14" s="180" t="s">
        <v>351</v>
      </c>
      <c r="F14" s="180" t="s">
        <v>352</v>
      </c>
      <c r="G14" s="180" t="s">
        <v>42</v>
      </c>
      <c r="H14" s="182" t="s">
        <v>155</v>
      </c>
      <c r="I14" s="182" t="s">
        <v>156</v>
      </c>
      <c r="J14" s="180" t="s">
        <v>38</v>
      </c>
      <c r="K14" s="182" t="s">
        <v>154</v>
      </c>
      <c r="L14" s="182">
        <v>1</v>
      </c>
      <c r="M14" s="182"/>
      <c r="N14" s="182">
        <v>4</v>
      </c>
      <c r="O14" s="182">
        <v>0.75</v>
      </c>
      <c r="P14" s="182">
        <v>0.7</v>
      </c>
      <c r="Q14" s="183">
        <f t="shared" si="0"/>
        <v>0.72499999999999998</v>
      </c>
      <c r="R14" s="182">
        <v>14.3</v>
      </c>
      <c r="S14" s="182">
        <v>102</v>
      </c>
      <c r="T14" s="184">
        <f t="shared" si="1"/>
        <v>33</v>
      </c>
      <c r="U14" s="182">
        <v>429</v>
      </c>
      <c r="V14" s="185">
        <f t="shared" si="2"/>
        <v>3539.25</v>
      </c>
      <c r="W14" s="182">
        <v>10</v>
      </c>
      <c r="X14" s="180" t="s">
        <v>46</v>
      </c>
      <c r="Y14" s="182" t="s">
        <v>84</v>
      </c>
      <c r="Z14" s="182" t="s">
        <v>69</v>
      </c>
      <c r="AA14" s="182" t="s">
        <v>40</v>
      </c>
      <c r="AB14" s="180" t="s">
        <v>381</v>
      </c>
      <c r="AC14" s="186"/>
      <c r="AE14" s="111" t="s">
        <v>76</v>
      </c>
      <c r="AG14" s="112"/>
      <c r="AH14" s="111"/>
      <c r="AL14" s="34"/>
      <c r="AP14" s="112" t="s">
        <v>74</v>
      </c>
      <c r="AR14" s="119" t="s">
        <v>125</v>
      </c>
      <c r="AV14" s="194" t="s">
        <v>382</v>
      </c>
      <c r="AX14" s="113"/>
      <c r="AY14" s="114"/>
      <c r="AZ14" s="114"/>
      <c r="BA14" s="115"/>
    </row>
    <row r="15" spans="1:53" x14ac:dyDescent="0.15">
      <c r="A15" s="180" t="s">
        <v>61</v>
      </c>
      <c r="B15" s="180" t="s">
        <v>379</v>
      </c>
      <c r="C15" s="180">
        <v>2018</v>
      </c>
      <c r="D15" s="181" t="s">
        <v>380</v>
      </c>
      <c r="E15" s="180" t="s">
        <v>351</v>
      </c>
      <c r="F15" s="180" t="s">
        <v>352</v>
      </c>
      <c r="G15" s="180" t="s">
        <v>42</v>
      </c>
      <c r="H15" s="182" t="s">
        <v>155</v>
      </c>
      <c r="I15" s="182" t="s">
        <v>156</v>
      </c>
      <c r="J15" s="180" t="s">
        <v>38</v>
      </c>
      <c r="K15" s="182" t="s">
        <v>154</v>
      </c>
      <c r="L15" s="182">
        <v>2</v>
      </c>
      <c r="M15" s="182"/>
      <c r="N15" s="182">
        <v>4</v>
      </c>
      <c r="O15" s="182">
        <v>0.75</v>
      </c>
      <c r="P15" s="182">
        <v>0.8</v>
      </c>
      <c r="Q15" s="183">
        <f t="shared" si="0"/>
        <v>0.77500000000000002</v>
      </c>
      <c r="R15" s="186">
        <v>14.3</v>
      </c>
      <c r="S15" s="182">
        <v>104</v>
      </c>
      <c r="T15" s="184">
        <f t="shared" si="1"/>
        <v>33</v>
      </c>
      <c r="U15" s="182">
        <v>429</v>
      </c>
      <c r="V15" s="185">
        <f t="shared" si="2"/>
        <v>3539.25</v>
      </c>
      <c r="W15" s="182">
        <v>10</v>
      </c>
      <c r="X15" s="180" t="s">
        <v>46</v>
      </c>
      <c r="Y15" s="182" t="s">
        <v>84</v>
      </c>
      <c r="Z15" s="182" t="s">
        <v>69</v>
      </c>
      <c r="AA15" s="182" t="s">
        <v>40</v>
      </c>
      <c r="AB15" s="180" t="s">
        <v>381</v>
      </c>
      <c r="AC15" s="186"/>
      <c r="AE15" s="111" t="s">
        <v>79</v>
      </c>
      <c r="AG15" s="112"/>
      <c r="AH15" s="112"/>
      <c r="AL15" s="34"/>
      <c r="AP15" s="112" t="s">
        <v>77</v>
      </c>
      <c r="AR15" s="119" t="s">
        <v>94</v>
      </c>
      <c r="AV15" s="194" t="s">
        <v>383</v>
      </c>
      <c r="AX15" s="31"/>
      <c r="AY15" s="32"/>
      <c r="AZ15" s="32"/>
      <c r="BA15" s="33"/>
    </row>
    <row r="16" spans="1:53" x14ac:dyDescent="0.15">
      <c r="A16" s="180" t="s">
        <v>61</v>
      </c>
      <c r="B16" s="180" t="s">
        <v>384</v>
      </c>
      <c r="C16" s="180">
        <v>2018</v>
      </c>
      <c r="D16" s="181" t="s">
        <v>385</v>
      </c>
      <c r="E16" s="180" t="s">
        <v>351</v>
      </c>
      <c r="F16" s="180" t="s">
        <v>352</v>
      </c>
      <c r="G16" s="180" t="s">
        <v>42</v>
      </c>
      <c r="H16" s="182" t="s">
        <v>155</v>
      </c>
      <c r="I16" s="182" t="s">
        <v>156</v>
      </c>
      <c r="J16" s="180" t="s">
        <v>38</v>
      </c>
      <c r="K16" s="182" t="s">
        <v>154</v>
      </c>
      <c r="L16" s="182">
        <v>3</v>
      </c>
      <c r="M16" s="182"/>
      <c r="N16" s="182">
        <v>4</v>
      </c>
      <c r="O16" s="182">
        <v>0.6</v>
      </c>
      <c r="P16" s="182">
        <v>0.6</v>
      </c>
      <c r="Q16" s="183">
        <f t="shared" si="0"/>
        <v>0.6</v>
      </c>
      <c r="R16" s="182">
        <v>15.1</v>
      </c>
      <c r="S16" s="182">
        <v>99</v>
      </c>
      <c r="T16" s="184">
        <f t="shared" si="1"/>
        <v>33</v>
      </c>
      <c r="U16" s="182">
        <v>429</v>
      </c>
      <c r="V16" s="185">
        <f t="shared" si="2"/>
        <v>3539.25</v>
      </c>
      <c r="W16" s="182">
        <v>10</v>
      </c>
      <c r="X16" s="180" t="s">
        <v>46</v>
      </c>
      <c r="Y16" s="182" t="s">
        <v>84</v>
      </c>
      <c r="Z16" s="182" t="s">
        <v>69</v>
      </c>
      <c r="AA16" s="182" t="s">
        <v>40</v>
      </c>
      <c r="AB16" s="180" t="s">
        <v>386</v>
      </c>
      <c r="AC16" s="186"/>
      <c r="AE16" s="111" t="s">
        <v>82</v>
      </c>
      <c r="AG16" s="112"/>
      <c r="AH16" s="112"/>
      <c r="AP16" s="112" t="s">
        <v>80</v>
      </c>
      <c r="AR16" s="122" t="s">
        <v>63</v>
      </c>
      <c r="AV16" s="194" t="s">
        <v>387</v>
      </c>
    </row>
    <row r="17" spans="1:48" x14ac:dyDescent="0.15">
      <c r="A17" s="180" t="s">
        <v>61</v>
      </c>
      <c r="B17" s="180" t="s">
        <v>384</v>
      </c>
      <c r="C17" s="180">
        <v>2018</v>
      </c>
      <c r="D17" s="181" t="s">
        <v>385</v>
      </c>
      <c r="E17" s="180" t="s">
        <v>351</v>
      </c>
      <c r="F17" s="180" t="s">
        <v>352</v>
      </c>
      <c r="G17" s="180" t="s">
        <v>42</v>
      </c>
      <c r="H17" s="182" t="s">
        <v>128</v>
      </c>
      <c r="I17" s="182" t="s">
        <v>153</v>
      </c>
      <c r="J17" s="180" t="s">
        <v>80</v>
      </c>
      <c r="K17" s="182" t="s">
        <v>45</v>
      </c>
      <c r="L17" s="182">
        <v>1</v>
      </c>
      <c r="M17" s="182"/>
      <c r="N17" s="182">
        <v>6</v>
      </c>
      <c r="O17" s="182">
        <v>0.5</v>
      </c>
      <c r="P17" s="182">
        <v>0.5</v>
      </c>
      <c r="Q17" s="183">
        <f t="shared" si="0"/>
        <v>0.5</v>
      </c>
      <c r="R17" s="182">
        <v>16.7</v>
      </c>
      <c r="S17" s="182">
        <v>77</v>
      </c>
      <c r="T17" s="184">
        <f t="shared" si="1"/>
        <v>39</v>
      </c>
      <c r="U17" s="182">
        <v>429</v>
      </c>
      <c r="V17" s="185">
        <f t="shared" si="2"/>
        <v>2788.5</v>
      </c>
      <c r="W17" s="182">
        <v>10</v>
      </c>
      <c r="X17" s="180" t="s">
        <v>46</v>
      </c>
      <c r="Y17" s="182" t="s">
        <v>84</v>
      </c>
      <c r="Z17" s="182" t="s">
        <v>69</v>
      </c>
      <c r="AA17" s="182" t="s">
        <v>40</v>
      </c>
      <c r="AB17" s="180" t="s">
        <v>386</v>
      </c>
      <c r="AC17" s="186"/>
      <c r="AE17" s="111" t="s">
        <v>85</v>
      </c>
      <c r="AP17" s="123" t="s">
        <v>110</v>
      </c>
      <c r="AR17" s="122" t="s">
        <v>96</v>
      </c>
      <c r="AV17" s="194" t="s">
        <v>388</v>
      </c>
    </row>
    <row r="18" spans="1:48" x14ac:dyDescent="0.15">
      <c r="A18" s="180" t="s">
        <v>61</v>
      </c>
      <c r="B18" s="180" t="s">
        <v>384</v>
      </c>
      <c r="C18" s="180">
        <v>2018</v>
      </c>
      <c r="D18" s="181" t="s">
        <v>385</v>
      </c>
      <c r="E18" s="180" t="s">
        <v>351</v>
      </c>
      <c r="F18" s="180" t="s">
        <v>352</v>
      </c>
      <c r="G18" s="180" t="s">
        <v>42</v>
      </c>
      <c r="H18" s="182" t="s">
        <v>128</v>
      </c>
      <c r="I18" s="182" t="s">
        <v>153</v>
      </c>
      <c r="J18" s="180" t="s">
        <v>80</v>
      </c>
      <c r="K18" s="182" t="s">
        <v>45</v>
      </c>
      <c r="L18" s="182">
        <v>2</v>
      </c>
      <c r="M18" s="182"/>
      <c r="N18" s="182">
        <v>6</v>
      </c>
      <c r="O18" s="182">
        <v>0.55000000000000004</v>
      </c>
      <c r="P18" s="182">
        <v>0.5</v>
      </c>
      <c r="Q18" s="183">
        <f t="shared" si="0"/>
        <v>0.52500000000000002</v>
      </c>
      <c r="R18" s="182">
        <v>16.399999999999999</v>
      </c>
      <c r="S18" s="182">
        <v>75</v>
      </c>
      <c r="T18" s="184">
        <f t="shared" si="1"/>
        <v>42</v>
      </c>
      <c r="U18" s="182">
        <v>429</v>
      </c>
      <c r="V18" s="185">
        <f t="shared" si="2"/>
        <v>3003</v>
      </c>
      <c r="W18" s="182">
        <v>10</v>
      </c>
      <c r="X18" s="180" t="s">
        <v>46</v>
      </c>
      <c r="Y18" s="182" t="s">
        <v>84</v>
      </c>
      <c r="Z18" s="182" t="s">
        <v>69</v>
      </c>
      <c r="AA18" s="182" t="s">
        <v>40</v>
      </c>
      <c r="AB18" s="180" t="s">
        <v>386</v>
      </c>
      <c r="AC18" s="186"/>
      <c r="AE18" s="111" t="s">
        <v>87</v>
      </c>
      <c r="AP18" s="123" t="s">
        <v>111</v>
      </c>
      <c r="AR18" s="122" t="s">
        <v>101</v>
      </c>
      <c r="AV18" s="194" t="s">
        <v>389</v>
      </c>
    </row>
    <row r="19" spans="1:48" x14ac:dyDescent="0.15">
      <c r="A19" s="180" t="s">
        <v>61</v>
      </c>
      <c r="B19" s="180" t="s">
        <v>371</v>
      </c>
      <c r="C19" s="180">
        <v>2018</v>
      </c>
      <c r="D19" s="181" t="s">
        <v>372</v>
      </c>
      <c r="E19" s="180" t="s">
        <v>351</v>
      </c>
      <c r="F19" s="180" t="s">
        <v>352</v>
      </c>
      <c r="G19" s="180" t="s">
        <v>42</v>
      </c>
      <c r="H19" s="182" t="s">
        <v>128</v>
      </c>
      <c r="I19" s="182" t="s">
        <v>153</v>
      </c>
      <c r="J19" s="180" t="s">
        <v>80</v>
      </c>
      <c r="K19" s="182" t="s">
        <v>45</v>
      </c>
      <c r="L19" s="182">
        <v>3</v>
      </c>
      <c r="M19" s="182"/>
      <c r="N19" s="182">
        <v>6</v>
      </c>
      <c r="O19" s="182">
        <v>0.5</v>
      </c>
      <c r="P19" s="182">
        <v>0.5</v>
      </c>
      <c r="Q19" s="183">
        <f t="shared" si="0"/>
        <v>0.5</v>
      </c>
      <c r="R19" s="182">
        <v>16.399999999999999</v>
      </c>
      <c r="S19" s="182">
        <v>74</v>
      </c>
      <c r="T19" s="184">
        <f t="shared" si="1"/>
        <v>42</v>
      </c>
      <c r="U19" s="182">
        <v>429</v>
      </c>
      <c r="V19" s="185">
        <f t="shared" si="2"/>
        <v>3003</v>
      </c>
      <c r="W19" s="182">
        <v>10</v>
      </c>
      <c r="X19" s="180" t="s">
        <v>46</v>
      </c>
      <c r="Y19" s="182" t="s">
        <v>84</v>
      </c>
      <c r="Z19" s="182" t="s">
        <v>69</v>
      </c>
      <c r="AA19" s="182" t="s">
        <v>40</v>
      </c>
      <c r="AB19" s="180" t="s">
        <v>373</v>
      </c>
      <c r="AC19" s="186"/>
      <c r="AE19" s="120" t="s">
        <v>89</v>
      </c>
      <c r="AP19" s="123" t="s">
        <v>112</v>
      </c>
      <c r="AR19" s="119" t="s">
        <v>126</v>
      </c>
      <c r="AV19" s="194" t="s">
        <v>390</v>
      </c>
    </row>
    <row r="20" spans="1:48" x14ac:dyDescent="0.15">
      <c r="A20" s="180" t="s">
        <v>61</v>
      </c>
      <c r="B20" s="180" t="s">
        <v>371</v>
      </c>
      <c r="C20" s="180">
        <v>2018</v>
      </c>
      <c r="D20" s="181" t="s">
        <v>372</v>
      </c>
      <c r="E20" s="180" t="s">
        <v>351</v>
      </c>
      <c r="F20" s="180" t="s">
        <v>352</v>
      </c>
      <c r="G20" s="180" t="s">
        <v>42</v>
      </c>
      <c r="H20" s="182" t="s">
        <v>127</v>
      </c>
      <c r="I20" s="182" t="s">
        <v>153</v>
      </c>
      <c r="J20" s="180" t="s">
        <v>112</v>
      </c>
      <c r="K20" s="182" t="s">
        <v>105</v>
      </c>
      <c r="L20" s="182">
        <v>1</v>
      </c>
      <c r="M20" s="182"/>
      <c r="N20" s="182">
        <v>4</v>
      </c>
      <c r="O20" s="182">
        <v>0.5</v>
      </c>
      <c r="P20" s="182">
        <v>0.5</v>
      </c>
      <c r="Q20" s="183">
        <f t="shared" si="0"/>
        <v>0.5</v>
      </c>
      <c r="R20" s="182">
        <v>18</v>
      </c>
      <c r="S20" s="182">
        <v>160</v>
      </c>
      <c r="T20" s="184">
        <f t="shared" si="1"/>
        <v>18</v>
      </c>
      <c r="U20" s="182">
        <v>537</v>
      </c>
      <c r="V20" s="185">
        <f t="shared" si="2"/>
        <v>2416.5</v>
      </c>
      <c r="W20" s="182">
        <v>10</v>
      </c>
      <c r="X20" s="180" t="s">
        <v>46</v>
      </c>
      <c r="Y20" s="182" t="s">
        <v>84</v>
      </c>
      <c r="Z20" s="182" t="s">
        <v>69</v>
      </c>
      <c r="AA20" s="182" t="s">
        <v>40</v>
      </c>
      <c r="AB20" s="180" t="s">
        <v>373</v>
      </c>
      <c r="AC20" s="186"/>
      <c r="AE20" s="111"/>
      <c r="AG20" s="182"/>
      <c r="AH20" s="182"/>
      <c r="AJ20" s="182"/>
      <c r="AN20" s="182"/>
      <c r="AP20" s="123" t="s">
        <v>113</v>
      </c>
      <c r="AR20" s="122" t="s">
        <v>105</v>
      </c>
      <c r="AV20" s="194" t="s">
        <v>391</v>
      </c>
    </row>
    <row r="21" spans="1:48" x14ac:dyDescent="0.15">
      <c r="A21" s="180" t="s">
        <v>61</v>
      </c>
      <c r="B21" s="180" t="s">
        <v>371</v>
      </c>
      <c r="C21" s="180">
        <v>2018</v>
      </c>
      <c r="D21" s="181" t="s">
        <v>372</v>
      </c>
      <c r="E21" s="180" t="s">
        <v>351</v>
      </c>
      <c r="F21" s="180" t="s">
        <v>352</v>
      </c>
      <c r="G21" s="180" t="s">
        <v>42</v>
      </c>
      <c r="H21" s="182" t="s">
        <v>127</v>
      </c>
      <c r="I21" s="182" t="s">
        <v>153</v>
      </c>
      <c r="J21" s="180" t="s">
        <v>112</v>
      </c>
      <c r="K21" s="182" t="s">
        <v>105</v>
      </c>
      <c r="L21" s="182">
        <v>2</v>
      </c>
      <c r="M21" s="182"/>
      <c r="N21" s="182">
        <v>4</v>
      </c>
      <c r="O21" s="182">
        <v>0.55000000000000004</v>
      </c>
      <c r="P21" s="182">
        <v>0.55000000000000004</v>
      </c>
      <c r="Q21" s="183">
        <f t="shared" si="0"/>
        <v>0.55000000000000004</v>
      </c>
      <c r="R21" s="182">
        <v>18.399999999999999</v>
      </c>
      <c r="S21" s="182">
        <v>161</v>
      </c>
      <c r="T21" s="184">
        <f t="shared" si="1"/>
        <v>18</v>
      </c>
      <c r="U21" s="182">
        <v>537</v>
      </c>
      <c r="V21" s="185">
        <f t="shared" si="2"/>
        <v>2416.5</v>
      </c>
      <c r="W21" s="182">
        <v>10</v>
      </c>
      <c r="X21" s="180" t="s">
        <v>46</v>
      </c>
      <c r="Y21" s="182" t="s">
        <v>84</v>
      </c>
      <c r="Z21" s="182" t="s">
        <v>69</v>
      </c>
      <c r="AA21" s="182" t="s">
        <v>40</v>
      </c>
      <c r="AB21" s="180" t="s">
        <v>373</v>
      </c>
      <c r="AC21" s="186"/>
      <c r="AE21" s="111"/>
      <c r="AG21" s="182"/>
      <c r="AH21" s="182"/>
      <c r="AL21" s="182"/>
      <c r="AN21" s="182"/>
      <c r="AP21" s="123" t="s">
        <v>114</v>
      </c>
      <c r="AR21" s="122" t="s">
        <v>68</v>
      </c>
      <c r="AV21" s="194" t="s">
        <v>392</v>
      </c>
    </row>
    <row r="22" spans="1:48" x14ac:dyDescent="0.15">
      <c r="A22" s="180" t="s">
        <v>61</v>
      </c>
      <c r="B22" s="180" t="s">
        <v>371</v>
      </c>
      <c r="C22" s="180">
        <v>2018</v>
      </c>
      <c r="D22" s="181" t="s">
        <v>372</v>
      </c>
      <c r="E22" s="180" t="s">
        <v>351</v>
      </c>
      <c r="F22" s="180" t="s">
        <v>352</v>
      </c>
      <c r="G22" s="180" t="s">
        <v>42</v>
      </c>
      <c r="H22" s="182" t="s">
        <v>127</v>
      </c>
      <c r="I22" s="182" t="s">
        <v>153</v>
      </c>
      <c r="J22" s="180" t="s">
        <v>112</v>
      </c>
      <c r="K22" s="182" t="s">
        <v>105</v>
      </c>
      <c r="L22" s="182">
        <v>3</v>
      </c>
      <c r="M22" s="182"/>
      <c r="N22" s="186">
        <v>4</v>
      </c>
      <c r="O22" s="186">
        <v>0.5</v>
      </c>
      <c r="P22" s="182">
        <v>0.55000000000000004</v>
      </c>
      <c r="Q22" s="183">
        <f t="shared" si="0"/>
        <v>0.52500000000000002</v>
      </c>
      <c r="R22" s="182">
        <v>18.600000000000001</v>
      </c>
      <c r="S22" s="182">
        <v>166</v>
      </c>
      <c r="T22" s="184">
        <f t="shared" si="1"/>
        <v>18</v>
      </c>
      <c r="U22" s="182">
        <v>537</v>
      </c>
      <c r="V22" s="185">
        <f t="shared" si="2"/>
        <v>2416.5</v>
      </c>
      <c r="W22" s="182">
        <v>10</v>
      </c>
      <c r="X22" s="180" t="s">
        <v>46</v>
      </c>
      <c r="Y22" s="182" t="s">
        <v>84</v>
      </c>
      <c r="Z22" s="182" t="s">
        <v>69</v>
      </c>
      <c r="AA22" s="182" t="s">
        <v>40</v>
      </c>
      <c r="AB22" s="180" t="s">
        <v>373</v>
      </c>
      <c r="AC22" s="186"/>
      <c r="AE22" s="120"/>
      <c r="AG22" s="182"/>
      <c r="AH22" s="182"/>
      <c r="AL22" s="182"/>
      <c r="AP22" s="123" t="s">
        <v>115</v>
      </c>
      <c r="AR22" s="122" t="s">
        <v>83</v>
      </c>
      <c r="AV22" s="112"/>
    </row>
    <row r="23" spans="1:48" x14ac:dyDescent="0.15">
      <c r="A23" s="180" t="s">
        <v>61</v>
      </c>
      <c r="B23" s="180" t="s">
        <v>371</v>
      </c>
      <c r="C23" s="180">
        <v>2018</v>
      </c>
      <c r="D23" s="181" t="s">
        <v>393</v>
      </c>
      <c r="E23" s="180" t="s">
        <v>351</v>
      </c>
      <c r="F23" s="180" t="s">
        <v>352</v>
      </c>
      <c r="G23" s="180" t="s">
        <v>42</v>
      </c>
      <c r="H23" s="182" t="s">
        <v>128</v>
      </c>
      <c r="I23" s="182" t="s">
        <v>153</v>
      </c>
      <c r="J23" s="180" t="s">
        <v>112</v>
      </c>
      <c r="K23" s="182" t="s">
        <v>105</v>
      </c>
      <c r="L23" s="182">
        <v>1</v>
      </c>
      <c r="M23" s="182"/>
      <c r="N23" s="186">
        <v>1</v>
      </c>
      <c r="O23" s="186">
        <v>0.65</v>
      </c>
      <c r="P23" s="182">
        <v>0.6</v>
      </c>
      <c r="Q23" s="183">
        <f t="shared" si="0"/>
        <v>0.625</v>
      </c>
      <c r="R23" s="182">
        <v>16.2</v>
      </c>
      <c r="S23" s="182">
        <v>162</v>
      </c>
      <c r="T23" s="184">
        <f t="shared" si="1"/>
        <v>18</v>
      </c>
      <c r="U23" s="182">
        <v>213</v>
      </c>
      <c r="V23" s="185">
        <f t="shared" si="2"/>
        <v>3834</v>
      </c>
      <c r="W23" s="182">
        <v>10</v>
      </c>
      <c r="X23" s="180" t="s">
        <v>46</v>
      </c>
      <c r="Y23" s="182" t="s">
        <v>84</v>
      </c>
      <c r="Z23" s="182" t="s">
        <v>69</v>
      </c>
      <c r="AA23" s="182" t="s">
        <v>40</v>
      </c>
      <c r="AB23" s="180" t="s">
        <v>373</v>
      </c>
      <c r="AC23" s="186"/>
      <c r="AE23" s="120"/>
      <c r="AG23" s="182"/>
      <c r="AH23" s="182"/>
      <c r="AL23" s="182"/>
      <c r="AP23" s="123"/>
      <c r="AR23" s="122"/>
      <c r="AV23" s="182"/>
    </row>
    <row r="24" spans="1:48" x14ac:dyDescent="0.15">
      <c r="A24" s="180" t="s">
        <v>61</v>
      </c>
      <c r="B24" s="180" t="s">
        <v>371</v>
      </c>
      <c r="C24" s="180">
        <v>2018</v>
      </c>
      <c r="D24" s="181" t="s">
        <v>393</v>
      </c>
      <c r="E24" s="180" t="s">
        <v>351</v>
      </c>
      <c r="F24" s="180" t="s">
        <v>352</v>
      </c>
      <c r="G24" s="180" t="s">
        <v>42</v>
      </c>
      <c r="H24" s="182" t="s">
        <v>128</v>
      </c>
      <c r="I24" s="182" t="s">
        <v>153</v>
      </c>
      <c r="J24" s="180" t="s">
        <v>112</v>
      </c>
      <c r="K24" s="182" t="s">
        <v>105</v>
      </c>
      <c r="L24" s="182">
        <v>2</v>
      </c>
      <c r="M24" s="182"/>
      <c r="N24" s="186">
        <v>1</v>
      </c>
      <c r="O24" s="186">
        <v>0.6</v>
      </c>
      <c r="P24" s="182">
        <v>0.7</v>
      </c>
      <c r="Q24" s="183">
        <f t="shared" si="0"/>
        <v>0.64999999999999991</v>
      </c>
      <c r="R24" s="182">
        <v>16.899999999999999</v>
      </c>
      <c r="S24" s="182">
        <v>158</v>
      </c>
      <c r="T24" s="184">
        <f t="shared" si="1"/>
        <v>18</v>
      </c>
      <c r="U24" s="182">
        <v>213</v>
      </c>
      <c r="V24" s="185">
        <f t="shared" si="2"/>
        <v>3834</v>
      </c>
      <c r="W24" s="182">
        <v>10</v>
      </c>
      <c r="X24" s="180" t="s">
        <v>46</v>
      </c>
      <c r="Y24" s="182" t="s">
        <v>84</v>
      </c>
      <c r="Z24" s="182" t="s">
        <v>69</v>
      </c>
      <c r="AA24" s="182" t="s">
        <v>40</v>
      </c>
      <c r="AB24" s="180" t="s">
        <v>373</v>
      </c>
      <c r="AC24" s="186"/>
      <c r="AE24" s="120"/>
      <c r="AG24" s="182"/>
      <c r="AH24" s="182"/>
      <c r="AL24" s="182"/>
      <c r="AP24" s="123"/>
      <c r="AR24" s="122"/>
      <c r="AV24" s="182"/>
    </row>
    <row r="25" spans="1:48" x14ac:dyDescent="0.15">
      <c r="A25" s="180" t="s">
        <v>61</v>
      </c>
      <c r="B25" s="180" t="s">
        <v>371</v>
      </c>
      <c r="C25" s="180">
        <v>2018</v>
      </c>
      <c r="D25" s="181" t="s">
        <v>393</v>
      </c>
      <c r="E25" s="180" t="s">
        <v>351</v>
      </c>
      <c r="F25" s="180" t="s">
        <v>352</v>
      </c>
      <c r="G25" s="180" t="s">
        <v>42</v>
      </c>
      <c r="H25" s="182" t="s">
        <v>128</v>
      </c>
      <c r="I25" s="182" t="s">
        <v>153</v>
      </c>
      <c r="J25" s="180" t="s">
        <v>112</v>
      </c>
      <c r="K25" s="182" t="s">
        <v>105</v>
      </c>
      <c r="L25" s="182">
        <v>3</v>
      </c>
      <c r="M25" s="182"/>
      <c r="N25" s="186">
        <v>1</v>
      </c>
      <c r="O25" s="186">
        <v>0.6</v>
      </c>
      <c r="P25" s="182">
        <v>0.6</v>
      </c>
      <c r="Q25" s="183">
        <f t="shared" si="0"/>
        <v>0.6</v>
      </c>
      <c r="R25" s="182">
        <v>16.399999999999999</v>
      </c>
      <c r="S25" s="182">
        <v>159</v>
      </c>
      <c r="T25" s="184">
        <f t="shared" si="1"/>
        <v>18</v>
      </c>
      <c r="U25" s="182">
        <v>213</v>
      </c>
      <c r="V25" s="185">
        <f t="shared" si="2"/>
        <v>3834</v>
      </c>
      <c r="W25" s="182">
        <v>10</v>
      </c>
      <c r="X25" s="180" t="s">
        <v>46</v>
      </c>
      <c r="Y25" s="182" t="s">
        <v>84</v>
      </c>
      <c r="Z25" s="182" t="s">
        <v>69</v>
      </c>
      <c r="AA25" s="182" t="s">
        <v>40</v>
      </c>
      <c r="AB25" s="180" t="s">
        <v>373</v>
      </c>
      <c r="AC25" s="186"/>
      <c r="AE25" s="120"/>
      <c r="AG25" s="182"/>
      <c r="AH25" s="182"/>
      <c r="AL25" s="182"/>
      <c r="AP25" s="123"/>
      <c r="AR25" s="122"/>
      <c r="AV25" s="182"/>
    </row>
    <row r="26" spans="1:48" x14ac:dyDescent="0.15">
      <c r="A26" s="180" t="s">
        <v>61</v>
      </c>
      <c r="B26" s="180" t="s">
        <v>371</v>
      </c>
      <c r="C26" s="180">
        <v>2018</v>
      </c>
      <c r="D26" s="181" t="s">
        <v>372</v>
      </c>
      <c r="E26" s="180" t="s">
        <v>353</v>
      </c>
      <c r="F26" s="180" t="s">
        <v>354</v>
      </c>
      <c r="G26" s="180" t="s">
        <v>42</v>
      </c>
      <c r="H26" s="182" t="s">
        <v>155</v>
      </c>
      <c r="I26" s="182" t="s">
        <v>153</v>
      </c>
      <c r="J26" s="180" t="s">
        <v>38</v>
      </c>
      <c r="K26" s="182" t="s">
        <v>154</v>
      </c>
      <c r="L26" s="182">
        <v>1</v>
      </c>
      <c r="M26" s="182"/>
      <c r="N26" s="182">
        <v>6</v>
      </c>
      <c r="O26" s="182">
        <v>0.7</v>
      </c>
      <c r="P26" s="186">
        <v>0.65</v>
      </c>
      <c r="Q26" s="183">
        <f t="shared" si="0"/>
        <v>0.67500000000000004</v>
      </c>
      <c r="R26" s="182">
        <v>16.399999999999999</v>
      </c>
      <c r="S26" s="182">
        <v>138</v>
      </c>
      <c r="T26" s="184">
        <f t="shared" si="1"/>
        <v>22</v>
      </c>
      <c r="U26" s="182">
        <v>429</v>
      </c>
      <c r="V26" s="185">
        <f t="shared" si="2"/>
        <v>1573</v>
      </c>
      <c r="W26" s="182">
        <v>4</v>
      </c>
      <c r="X26" s="180" t="s">
        <v>39</v>
      </c>
      <c r="Y26" s="182" t="s">
        <v>90</v>
      </c>
      <c r="Z26" s="182" t="s">
        <v>69</v>
      </c>
      <c r="AA26" s="182" t="s">
        <v>84</v>
      </c>
      <c r="AB26" s="180" t="s">
        <v>373</v>
      </c>
      <c r="AC26" s="186"/>
      <c r="AE26" s="111"/>
      <c r="AG26" s="182"/>
      <c r="AH26" s="182"/>
      <c r="AL26" s="182"/>
      <c r="AP26" s="123" t="s">
        <v>394</v>
      </c>
      <c r="AR26" s="122" t="s">
        <v>61</v>
      </c>
      <c r="AV26" s="182"/>
    </row>
    <row r="27" spans="1:48" x14ac:dyDescent="0.15">
      <c r="A27" s="180" t="s">
        <v>61</v>
      </c>
      <c r="B27" s="180" t="s">
        <v>371</v>
      </c>
      <c r="C27" s="180">
        <v>2018</v>
      </c>
      <c r="D27" s="181" t="s">
        <v>372</v>
      </c>
      <c r="E27" s="180" t="s">
        <v>353</v>
      </c>
      <c r="F27" s="180" t="s">
        <v>354</v>
      </c>
      <c r="G27" s="180" t="s">
        <v>42</v>
      </c>
      <c r="H27" s="182" t="s">
        <v>155</v>
      </c>
      <c r="I27" s="182" t="s">
        <v>153</v>
      </c>
      <c r="J27" s="180" t="s">
        <v>38</v>
      </c>
      <c r="K27" s="182" t="s">
        <v>154</v>
      </c>
      <c r="L27" s="182">
        <v>2</v>
      </c>
      <c r="M27" s="182"/>
      <c r="N27" s="182">
        <v>6</v>
      </c>
      <c r="O27" s="182">
        <v>0.5</v>
      </c>
      <c r="P27" s="186">
        <v>0.55000000000000004</v>
      </c>
      <c r="Q27" s="183">
        <f t="shared" si="0"/>
        <v>0.52500000000000002</v>
      </c>
      <c r="R27" s="182">
        <v>16.600000000000001</v>
      </c>
      <c r="S27" s="182">
        <v>143</v>
      </c>
      <c r="T27" s="184">
        <f t="shared" si="1"/>
        <v>22</v>
      </c>
      <c r="U27" s="182">
        <v>429</v>
      </c>
      <c r="V27" s="185">
        <f t="shared" si="2"/>
        <v>1573</v>
      </c>
      <c r="W27" s="182">
        <v>4</v>
      </c>
      <c r="X27" s="180" t="s">
        <v>39</v>
      </c>
      <c r="Y27" s="182" t="s">
        <v>90</v>
      </c>
      <c r="Z27" s="182" t="s">
        <v>69</v>
      </c>
      <c r="AA27" s="182" t="s">
        <v>84</v>
      </c>
      <c r="AB27" s="180" t="s">
        <v>373</v>
      </c>
      <c r="AC27" s="186"/>
      <c r="AE27" s="111"/>
      <c r="AG27" s="182"/>
      <c r="AH27" s="182"/>
      <c r="AL27" s="182"/>
      <c r="AP27" s="123" t="s">
        <v>395</v>
      </c>
      <c r="AR27" s="122" t="s">
        <v>91</v>
      </c>
      <c r="AV27" s="182"/>
    </row>
    <row r="28" spans="1:48" x14ac:dyDescent="0.15">
      <c r="A28" s="180" t="s">
        <v>61</v>
      </c>
      <c r="B28" s="180" t="s">
        <v>371</v>
      </c>
      <c r="C28" s="180">
        <v>2018</v>
      </c>
      <c r="D28" s="181" t="s">
        <v>372</v>
      </c>
      <c r="E28" s="180" t="s">
        <v>353</v>
      </c>
      <c r="F28" s="180" t="s">
        <v>354</v>
      </c>
      <c r="G28" s="180" t="s">
        <v>42</v>
      </c>
      <c r="H28" s="182" t="s">
        <v>155</v>
      </c>
      <c r="I28" s="182" t="s">
        <v>153</v>
      </c>
      <c r="J28" s="180" t="s">
        <v>38</v>
      </c>
      <c r="K28" s="182" t="s">
        <v>154</v>
      </c>
      <c r="L28" s="182">
        <v>3</v>
      </c>
      <c r="M28" s="182"/>
      <c r="N28" s="182">
        <v>6</v>
      </c>
      <c r="O28" s="182">
        <v>0.6</v>
      </c>
      <c r="P28" s="186">
        <v>0.6</v>
      </c>
      <c r="Q28" s="183">
        <f t="shared" si="0"/>
        <v>0.6</v>
      </c>
      <c r="R28" s="182">
        <v>16.100000000000001</v>
      </c>
      <c r="S28" s="182">
        <v>141</v>
      </c>
      <c r="T28" s="184">
        <f t="shared" si="1"/>
        <v>22</v>
      </c>
      <c r="U28" s="182">
        <v>429</v>
      </c>
      <c r="V28" s="185">
        <f t="shared" si="2"/>
        <v>1573</v>
      </c>
      <c r="W28" s="182">
        <v>4</v>
      </c>
      <c r="X28" s="180" t="s">
        <v>39</v>
      </c>
      <c r="Y28" s="182" t="s">
        <v>90</v>
      </c>
      <c r="Z28" s="182" t="s">
        <v>69</v>
      </c>
      <c r="AA28" s="182" t="s">
        <v>84</v>
      </c>
      <c r="AB28" s="180" t="s">
        <v>373</v>
      </c>
      <c r="AC28" s="186"/>
      <c r="AE28" s="120"/>
      <c r="AG28" s="182"/>
      <c r="AH28" s="182"/>
      <c r="AL28" s="182"/>
      <c r="AP28" s="123" t="s">
        <v>116</v>
      </c>
      <c r="AR28" s="42" t="s">
        <v>92</v>
      </c>
      <c r="AV28" s="182"/>
    </row>
    <row r="29" spans="1:48" x14ac:dyDescent="0.15">
      <c r="A29" s="180" t="s">
        <v>61</v>
      </c>
      <c r="B29" s="180" t="s">
        <v>371</v>
      </c>
      <c r="C29" s="180">
        <v>2018</v>
      </c>
      <c r="D29" s="181" t="s">
        <v>372</v>
      </c>
      <c r="E29" s="180" t="s">
        <v>355</v>
      </c>
      <c r="F29" s="180" t="s">
        <v>356</v>
      </c>
      <c r="G29" s="180" t="s">
        <v>42</v>
      </c>
      <c r="H29" s="182" t="s">
        <v>155</v>
      </c>
      <c r="I29" s="182" t="s">
        <v>153</v>
      </c>
      <c r="J29" s="180" t="s">
        <v>38</v>
      </c>
      <c r="K29" s="182" t="s">
        <v>154</v>
      </c>
      <c r="L29" s="182">
        <v>1</v>
      </c>
      <c r="M29" s="182"/>
      <c r="N29" s="182">
        <v>4</v>
      </c>
      <c r="O29" s="182">
        <v>0.6</v>
      </c>
      <c r="P29" s="186">
        <v>0.6</v>
      </c>
      <c r="Q29" s="183">
        <f t="shared" si="0"/>
        <v>0.6</v>
      </c>
      <c r="R29" s="182">
        <v>16.600000000000001</v>
      </c>
      <c r="S29" s="182">
        <v>95</v>
      </c>
      <c r="T29" s="184">
        <f t="shared" si="1"/>
        <v>36</v>
      </c>
      <c r="U29" s="182">
        <v>350</v>
      </c>
      <c r="V29" s="185">
        <f t="shared" si="2"/>
        <v>3150</v>
      </c>
      <c r="W29" s="182">
        <v>4</v>
      </c>
      <c r="X29" s="180" t="s">
        <v>39</v>
      </c>
      <c r="Y29" s="182" t="s">
        <v>90</v>
      </c>
      <c r="Z29" s="182" t="s">
        <v>84</v>
      </c>
      <c r="AA29" s="182" t="s">
        <v>69</v>
      </c>
      <c r="AB29" s="180" t="s">
        <v>373</v>
      </c>
      <c r="AC29" s="186"/>
      <c r="AD29" s="34"/>
      <c r="AE29" s="120"/>
      <c r="AG29" s="182"/>
      <c r="AH29" s="182"/>
      <c r="AP29" s="123" t="s">
        <v>117</v>
      </c>
      <c r="AR29" s="112" t="s">
        <v>178</v>
      </c>
      <c r="AV29" s="182"/>
    </row>
    <row r="30" spans="1:48" x14ac:dyDescent="0.15">
      <c r="A30" s="180" t="s">
        <v>61</v>
      </c>
      <c r="B30" s="180" t="s">
        <v>371</v>
      </c>
      <c r="C30" s="180">
        <v>2018</v>
      </c>
      <c r="D30" s="181" t="s">
        <v>372</v>
      </c>
      <c r="E30" s="180" t="s">
        <v>355</v>
      </c>
      <c r="F30" s="180" t="s">
        <v>356</v>
      </c>
      <c r="G30" s="180" t="s">
        <v>42</v>
      </c>
      <c r="H30" s="182" t="s">
        <v>155</v>
      </c>
      <c r="I30" s="182" t="s">
        <v>153</v>
      </c>
      <c r="J30" s="180" t="s">
        <v>38</v>
      </c>
      <c r="K30" s="182" t="s">
        <v>154</v>
      </c>
      <c r="L30" s="182">
        <v>2</v>
      </c>
      <c r="M30" s="182"/>
      <c r="N30" s="182">
        <v>4</v>
      </c>
      <c r="O30" s="182">
        <v>0.5</v>
      </c>
      <c r="P30" s="186">
        <v>0.5</v>
      </c>
      <c r="Q30" s="183">
        <f t="shared" si="0"/>
        <v>0.5</v>
      </c>
      <c r="R30" s="182">
        <v>16.399999999999999</v>
      </c>
      <c r="S30" s="182">
        <v>99</v>
      </c>
      <c r="T30" s="184">
        <f t="shared" si="1"/>
        <v>33</v>
      </c>
      <c r="U30" s="182">
        <v>350</v>
      </c>
      <c r="V30" s="185">
        <f t="shared" si="2"/>
        <v>2887.5</v>
      </c>
      <c r="W30" s="182">
        <v>4</v>
      </c>
      <c r="X30" s="180" t="s">
        <v>39</v>
      </c>
      <c r="Y30" s="182" t="s">
        <v>90</v>
      </c>
      <c r="Z30" s="182" t="s">
        <v>84</v>
      </c>
      <c r="AA30" s="182" t="s">
        <v>69</v>
      </c>
      <c r="AB30" s="180" t="s">
        <v>373</v>
      </c>
      <c r="AC30" s="186"/>
      <c r="AD30" s="34"/>
      <c r="AE30" s="117"/>
      <c r="AG30" s="182"/>
      <c r="AH30" s="182"/>
      <c r="AP30" s="123" t="s">
        <v>118</v>
      </c>
      <c r="AR30" s="112"/>
      <c r="AV30" s="182"/>
    </row>
    <row r="31" spans="1:48" x14ac:dyDescent="0.15">
      <c r="A31" s="180" t="s">
        <v>61</v>
      </c>
      <c r="B31" s="180" t="s">
        <v>371</v>
      </c>
      <c r="C31" s="180">
        <v>2018</v>
      </c>
      <c r="D31" s="181" t="s">
        <v>372</v>
      </c>
      <c r="E31" s="180" t="s">
        <v>355</v>
      </c>
      <c r="F31" s="180" t="s">
        <v>356</v>
      </c>
      <c r="G31" s="180" t="s">
        <v>42</v>
      </c>
      <c r="H31" s="182" t="s">
        <v>155</v>
      </c>
      <c r="I31" s="182" t="s">
        <v>153</v>
      </c>
      <c r="J31" s="180" t="s">
        <v>38</v>
      </c>
      <c r="K31" s="182" t="s">
        <v>154</v>
      </c>
      <c r="L31" s="182">
        <v>3</v>
      </c>
      <c r="M31" s="182"/>
      <c r="N31" s="182">
        <v>4</v>
      </c>
      <c r="O31" s="182">
        <v>0.55000000000000004</v>
      </c>
      <c r="P31" s="186">
        <v>0.6</v>
      </c>
      <c r="Q31" s="183">
        <f t="shared" si="0"/>
        <v>0.57499999999999996</v>
      </c>
      <c r="R31" s="182">
        <v>16.3</v>
      </c>
      <c r="S31" s="182">
        <v>102</v>
      </c>
      <c r="T31" s="184">
        <f t="shared" si="1"/>
        <v>33</v>
      </c>
      <c r="U31" s="182">
        <v>350</v>
      </c>
      <c r="V31" s="185">
        <f t="shared" si="2"/>
        <v>2887.5</v>
      </c>
      <c r="W31" s="182">
        <v>4</v>
      </c>
      <c r="X31" s="180" t="s">
        <v>39</v>
      </c>
      <c r="Y31" s="182" t="s">
        <v>90</v>
      </c>
      <c r="Z31" s="182" t="s">
        <v>84</v>
      </c>
      <c r="AA31" s="182" t="s">
        <v>69</v>
      </c>
      <c r="AB31" s="180" t="s">
        <v>373</v>
      </c>
      <c r="AC31" s="186"/>
      <c r="AD31" s="34"/>
      <c r="AE31" s="182"/>
      <c r="AG31" s="182"/>
      <c r="AH31" s="182"/>
      <c r="AP31" s="116"/>
      <c r="AR31" s="112"/>
      <c r="AV31" s="182"/>
    </row>
    <row r="32" spans="1:48" x14ac:dyDescent="0.15">
      <c r="A32" s="180" t="s">
        <v>61</v>
      </c>
      <c r="B32" s="180" t="s">
        <v>371</v>
      </c>
      <c r="C32" s="180">
        <v>2018</v>
      </c>
      <c r="D32" s="181" t="s">
        <v>372</v>
      </c>
      <c r="E32" s="180" t="s">
        <v>355</v>
      </c>
      <c r="F32" s="180" t="s">
        <v>356</v>
      </c>
      <c r="G32" s="180" t="s">
        <v>42</v>
      </c>
      <c r="H32" s="182" t="s">
        <v>163</v>
      </c>
      <c r="I32" s="182" t="s">
        <v>153</v>
      </c>
      <c r="J32" s="180" t="s">
        <v>38</v>
      </c>
      <c r="K32" s="182" t="s">
        <v>54</v>
      </c>
      <c r="L32" s="182">
        <v>1</v>
      </c>
      <c r="M32" s="182"/>
      <c r="N32" s="182">
        <v>4</v>
      </c>
      <c r="O32" s="182">
        <v>0.5</v>
      </c>
      <c r="P32" s="182">
        <v>0.5</v>
      </c>
      <c r="Q32" s="183">
        <f t="shared" si="0"/>
        <v>0.5</v>
      </c>
      <c r="R32" s="182">
        <v>17</v>
      </c>
      <c r="S32" s="182">
        <v>118</v>
      </c>
      <c r="T32" s="184">
        <f t="shared" si="1"/>
        <v>30</v>
      </c>
      <c r="U32" s="182">
        <v>429</v>
      </c>
      <c r="V32" s="185">
        <f t="shared" si="2"/>
        <v>3217.5</v>
      </c>
      <c r="W32" s="182">
        <v>4</v>
      </c>
      <c r="X32" s="180" t="s">
        <v>39</v>
      </c>
      <c r="Y32" s="182" t="s">
        <v>90</v>
      </c>
      <c r="Z32" s="182" t="s">
        <v>84</v>
      </c>
      <c r="AA32" s="182" t="s">
        <v>69</v>
      </c>
      <c r="AB32" s="180" t="s">
        <v>373</v>
      </c>
      <c r="AC32" s="186"/>
    </row>
    <row r="33" spans="1:29" x14ac:dyDescent="0.15">
      <c r="A33" s="180" t="s">
        <v>61</v>
      </c>
      <c r="B33" s="180" t="s">
        <v>371</v>
      </c>
      <c r="C33" s="180">
        <v>2018</v>
      </c>
      <c r="D33" s="181" t="s">
        <v>372</v>
      </c>
      <c r="E33" s="180" t="s">
        <v>355</v>
      </c>
      <c r="F33" s="180" t="s">
        <v>356</v>
      </c>
      <c r="G33" s="180" t="s">
        <v>42</v>
      </c>
      <c r="H33" s="182" t="s">
        <v>163</v>
      </c>
      <c r="I33" s="182" t="s">
        <v>153</v>
      </c>
      <c r="J33" s="180" t="s">
        <v>38</v>
      </c>
      <c r="K33" s="182" t="s">
        <v>54</v>
      </c>
      <c r="L33" s="182">
        <v>2</v>
      </c>
      <c r="M33" s="182"/>
      <c r="N33" s="182">
        <v>4</v>
      </c>
      <c r="O33" s="182">
        <v>0.55000000000000004</v>
      </c>
      <c r="P33" s="182">
        <v>0.6</v>
      </c>
      <c r="Q33" s="183">
        <f t="shared" si="0"/>
        <v>0.57499999999999996</v>
      </c>
      <c r="R33" s="182">
        <v>16.8</v>
      </c>
      <c r="S33" s="182">
        <v>108</v>
      </c>
      <c r="T33" s="184">
        <f t="shared" si="1"/>
        <v>33</v>
      </c>
      <c r="U33" s="182">
        <v>429</v>
      </c>
      <c r="V33" s="185">
        <f t="shared" si="2"/>
        <v>3539.25</v>
      </c>
      <c r="W33" s="182">
        <v>4</v>
      </c>
      <c r="X33" s="180" t="s">
        <v>39</v>
      </c>
      <c r="Y33" s="182" t="s">
        <v>90</v>
      </c>
      <c r="Z33" s="182" t="s">
        <v>84</v>
      </c>
      <c r="AA33" s="182" t="s">
        <v>69</v>
      </c>
      <c r="AB33" s="180" t="s">
        <v>373</v>
      </c>
      <c r="AC33" s="186"/>
    </row>
    <row r="34" spans="1:29" x14ac:dyDescent="0.15">
      <c r="A34" s="180" t="s">
        <v>61</v>
      </c>
      <c r="B34" s="180" t="s">
        <v>371</v>
      </c>
      <c r="C34" s="180">
        <v>2018</v>
      </c>
      <c r="D34" s="181" t="s">
        <v>372</v>
      </c>
      <c r="E34" s="180" t="s">
        <v>355</v>
      </c>
      <c r="F34" s="180" t="s">
        <v>356</v>
      </c>
      <c r="G34" s="180" t="s">
        <v>42</v>
      </c>
      <c r="H34" s="182" t="s">
        <v>163</v>
      </c>
      <c r="I34" s="182" t="s">
        <v>153</v>
      </c>
      <c r="J34" s="180" t="s">
        <v>38</v>
      </c>
      <c r="K34" s="182" t="s">
        <v>54</v>
      </c>
      <c r="L34" s="182">
        <v>3</v>
      </c>
      <c r="M34" s="182"/>
      <c r="N34" s="182">
        <v>4</v>
      </c>
      <c r="O34" s="182">
        <v>0.6</v>
      </c>
      <c r="P34" s="182">
        <v>0.5</v>
      </c>
      <c r="Q34" s="183">
        <f t="shared" si="0"/>
        <v>0.55000000000000004</v>
      </c>
      <c r="R34" s="182">
        <v>16.7</v>
      </c>
      <c r="S34" s="182">
        <v>112</v>
      </c>
      <c r="T34" s="184">
        <f t="shared" si="1"/>
        <v>33</v>
      </c>
      <c r="U34" s="182">
        <v>429</v>
      </c>
      <c r="V34" s="185">
        <f t="shared" si="2"/>
        <v>3539.25</v>
      </c>
      <c r="W34" s="182">
        <v>4</v>
      </c>
      <c r="X34" s="180" t="s">
        <v>39</v>
      </c>
      <c r="Y34" s="182" t="s">
        <v>90</v>
      </c>
      <c r="Z34" s="182" t="s">
        <v>84</v>
      </c>
      <c r="AA34" s="182" t="s">
        <v>69</v>
      </c>
      <c r="AB34" s="180" t="s">
        <v>373</v>
      </c>
      <c r="AC34" s="186"/>
    </row>
    <row r="35" spans="1:29" x14ac:dyDescent="0.15">
      <c r="A35" s="180" t="s">
        <v>61</v>
      </c>
      <c r="B35" s="180" t="s">
        <v>371</v>
      </c>
      <c r="C35" s="180">
        <v>2018</v>
      </c>
      <c r="D35" s="181" t="s">
        <v>372</v>
      </c>
      <c r="E35" s="180" t="s">
        <v>360</v>
      </c>
      <c r="F35" s="180" t="s">
        <v>361</v>
      </c>
      <c r="G35" s="180" t="s">
        <v>42</v>
      </c>
      <c r="H35" s="182" t="s">
        <v>155</v>
      </c>
      <c r="I35" s="182" t="s">
        <v>153</v>
      </c>
      <c r="J35" s="180" t="s">
        <v>38</v>
      </c>
      <c r="K35" s="182" t="s">
        <v>154</v>
      </c>
      <c r="L35" s="182">
        <v>1</v>
      </c>
      <c r="M35" s="182"/>
      <c r="N35" s="182">
        <v>4</v>
      </c>
      <c r="O35" s="182">
        <v>0.8</v>
      </c>
      <c r="P35" s="182">
        <v>0.8</v>
      </c>
      <c r="Q35" s="183">
        <f t="shared" si="0"/>
        <v>0.8</v>
      </c>
      <c r="R35" s="182">
        <v>16.100000000000001</v>
      </c>
      <c r="S35" s="182">
        <v>104</v>
      </c>
      <c r="T35" s="184">
        <f t="shared" si="1"/>
        <v>33</v>
      </c>
      <c r="U35" s="182">
        <v>321</v>
      </c>
      <c r="V35" s="185">
        <f t="shared" si="2"/>
        <v>2648.25</v>
      </c>
      <c r="W35" s="182">
        <v>5</v>
      </c>
      <c r="X35" s="180" t="s">
        <v>39</v>
      </c>
      <c r="Y35" s="182" t="s">
        <v>84</v>
      </c>
      <c r="Z35" s="182" t="s">
        <v>90</v>
      </c>
      <c r="AA35" s="182" t="s">
        <v>69</v>
      </c>
      <c r="AB35" s="180" t="s">
        <v>373</v>
      </c>
      <c r="AC35" s="186"/>
    </row>
    <row r="36" spans="1:29" x14ac:dyDescent="0.15">
      <c r="A36" s="180" t="s">
        <v>61</v>
      </c>
      <c r="B36" s="180" t="s">
        <v>371</v>
      </c>
      <c r="C36" s="180">
        <v>2018</v>
      </c>
      <c r="D36" s="181" t="s">
        <v>372</v>
      </c>
      <c r="E36" s="180" t="s">
        <v>360</v>
      </c>
      <c r="F36" s="180" t="s">
        <v>361</v>
      </c>
      <c r="G36" s="180" t="s">
        <v>42</v>
      </c>
      <c r="H36" s="182" t="s">
        <v>155</v>
      </c>
      <c r="I36" s="182" t="s">
        <v>153</v>
      </c>
      <c r="J36" s="180" t="s">
        <v>38</v>
      </c>
      <c r="K36" s="182" t="s">
        <v>154</v>
      </c>
      <c r="L36" s="182">
        <v>2</v>
      </c>
      <c r="M36" s="182"/>
      <c r="N36" s="182">
        <v>4</v>
      </c>
      <c r="O36" s="182">
        <v>0.7</v>
      </c>
      <c r="P36" s="182">
        <v>0.7</v>
      </c>
      <c r="Q36" s="183">
        <f t="shared" si="0"/>
        <v>0.7</v>
      </c>
      <c r="R36" s="182">
        <v>16.3</v>
      </c>
      <c r="S36" s="182">
        <v>110</v>
      </c>
      <c r="T36" s="184">
        <f t="shared" si="1"/>
        <v>33</v>
      </c>
      <c r="U36" s="182">
        <v>321</v>
      </c>
      <c r="V36" s="185">
        <f t="shared" si="2"/>
        <v>2648.25</v>
      </c>
      <c r="W36" s="182">
        <v>5</v>
      </c>
      <c r="X36" s="180" t="s">
        <v>39</v>
      </c>
      <c r="Y36" s="182" t="s">
        <v>84</v>
      </c>
      <c r="Z36" s="182" t="s">
        <v>90</v>
      </c>
      <c r="AA36" s="182" t="s">
        <v>69</v>
      </c>
      <c r="AB36" s="180" t="s">
        <v>373</v>
      </c>
      <c r="AC36" s="186"/>
    </row>
    <row r="37" spans="1:29" x14ac:dyDescent="0.15">
      <c r="A37" s="180" t="s">
        <v>61</v>
      </c>
      <c r="B37" s="180" t="s">
        <v>371</v>
      </c>
      <c r="C37" s="180">
        <v>2018</v>
      </c>
      <c r="D37" s="181" t="s">
        <v>372</v>
      </c>
      <c r="E37" s="180" t="s">
        <v>360</v>
      </c>
      <c r="F37" s="180" t="s">
        <v>361</v>
      </c>
      <c r="G37" s="180" t="s">
        <v>42</v>
      </c>
      <c r="H37" s="182" t="s">
        <v>155</v>
      </c>
      <c r="I37" s="182" t="s">
        <v>153</v>
      </c>
      <c r="J37" s="180" t="s">
        <v>38</v>
      </c>
      <c r="K37" s="182" t="s">
        <v>154</v>
      </c>
      <c r="L37" s="182">
        <v>3</v>
      </c>
      <c r="M37" s="182"/>
      <c r="N37" s="182">
        <v>4</v>
      </c>
      <c r="O37" s="182">
        <v>0.7</v>
      </c>
      <c r="P37" s="182">
        <v>0.65</v>
      </c>
      <c r="Q37" s="183">
        <f t="shared" si="0"/>
        <v>0.67500000000000004</v>
      </c>
      <c r="R37" s="182">
        <v>16.399999999999999</v>
      </c>
      <c r="S37" s="182">
        <v>106</v>
      </c>
      <c r="T37" s="184">
        <f t="shared" si="1"/>
        <v>33</v>
      </c>
      <c r="U37" s="182">
        <v>321</v>
      </c>
      <c r="V37" s="185">
        <f t="shared" si="2"/>
        <v>2648.25</v>
      </c>
      <c r="W37" s="182">
        <v>5</v>
      </c>
      <c r="X37" s="180" t="s">
        <v>39</v>
      </c>
      <c r="Y37" s="182" t="s">
        <v>84</v>
      </c>
      <c r="Z37" s="182" t="s">
        <v>90</v>
      </c>
      <c r="AA37" s="182" t="s">
        <v>69</v>
      </c>
      <c r="AB37" s="180" t="s">
        <v>373</v>
      </c>
      <c r="AC37" s="186"/>
    </row>
    <row r="38" spans="1:29" x14ac:dyDescent="0.15">
      <c r="A38" s="180" t="s">
        <v>61</v>
      </c>
      <c r="B38" s="180" t="s">
        <v>371</v>
      </c>
      <c r="C38" s="180">
        <v>2018</v>
      </c>
      <c r="D38" s="181" t="s">
        <v>372</v>
      </c>
      <c r="E38" s="180" t="s">
        <v>360</v>
      </c>
      <c r="F38" s="180" t="s">
        <v>361</v>
      </c>
      <c r="G38" s="180" t="s">
        <v>42</v>
      </c>
      <c r="H38" s="182" t="s">
        <v>163</v>
      </c>
      <c r="I38" s="182" t="s">
        <v>153</v>
      </c>
      <c r="J38" s="180" t="s">
        <v>38</v>
      </c>
      <c r="K38" s="182" t="s">
        <v>54</v>
      </c>
      <c r="L38" s="182">
        <v>1</v>
      </c>
      <c r="M38" s="182"/>
      <c r="N38" s="182">
        <v>4</v>
      </c>
      <c r="O38" s="182">
        <v>0.5</v>
      </c>
      <c r="P38" s="182">
        <v>0.5</v>
      </c>
      <c r="Q38" s="183">
        <f t="shared" si="0"/>
        <v>0.5</v>
      </c>
      <c r="R38" s="182">
        <v>17</v>
      </c>
      <c r="S38" s="182">
        <v>130</v>
      </c>
      <c r="T38" s="184">
        <f t="shared" si="1"/>
        <v>25</v>
      </c>
      <c r="U38" s="182">
        <v>537</v>
      </c>
      <c r="V38" s="185">
        <f t="shared" si="2"/>
        <v>3356.25</v>
      </c>
      <c r="W38" s="182">
        <v>5</v>
      </c>
      <c r="X38" s="180" t="s">
        <v>39</v>
      </c>
      <c r="Y38" s="182" t="s">
        <v>84</v>
      </c>
      <c r="Z38" s="182" t="s">
        <v>90</v>
      </c>
      <c r="AA38" s="182" t="s">
        <v>69</v>
      </c>
      <c r="AB38" s="180" t="s">
        <v>373</v>
      </c>
      <c r="AC38" s="186"/>
    </row>
    <row r="39" spans="1:29" x14ac:dyDescent="0.15">
      <c r="A39" s="180" t="s">
        <v>61</v>
      </c>
      <c r="B39" s="180" t="s">
        <v>371</v>
      </c>
      <c r="C39" s="180">
        <v>2018</v>
      </c>
      <c r="D39" s="181" t="s">
        <v>372</v>
      </c>
      <c r="E39" s="180" t="s">
        <v>360</v>
      </c>
      <c r="F39" s="180" t="s">
        <v>361</v>
      </c>
      <c r="G39" s="180" t="s">
        <v>42</v>
      </c>
      <c r="H39" s="182" t="s">
        <v>163</v>
      </c>
      <c r="I39" s="182" t="s">
        <v>153</v>
      </c>
      <c r="J39" s="180" t="s">
        <v>38</v>
      </c>
      <c r="K39" s="182" t="s">
        <v>54</v>
      </c>
      <c r="L39" s="182">
        <v>2</v>
      </c>
      <c r="M39" s="182"/>
      <c r="N39" s="182">
        <v>4</v>
      </c>
      <c r="O39" s="182">
        <v>0.55000000000000004</v>
      </c>
      <c r="P39" s="182">
        <v>0.6</v>
      </c>
      <c r="Q39" s="183">
        <f t="shared" si="0"/>
        <v>0.57499999999999996</v>
      </c>
      <c r="R39" s="182">
        <v>17.100000000000001</v>
      </c>
      <c r="S39" s="182">
        <v>128</v>
      </c>
      <c r="T39" s="184">
        <f t="shared" si="1"/>
        <v>27</v>
      </c>
      <c r="U39" s="182">
        <v>537</v>
      </c>
      <c r="V39" s="185">
        <f t="shared" si="2"/>
        <v>3624.75</v>
      </c>
      <c r="W39" s="182">
        <v>5</v>
      </c>
      <c r="X39" s="180" t="s">
        <v>39</v>
      </c>
      <c r="Y39" s="182" t="s">
        <v>84</v>
      </c>
      <c r="Z39" s="182" t="s">
        <v>90</v>
      </c>
      <c r="AA39" s="182" t="s">
        <v>69</v>
      </c>
      <c r="AB39" s="180" t="s">
        <v>373</v>
      </c>
      <c r="AC39" s="186"/>
    </row>
    <row r="40" spans="1:29" x14ac:dyDescent="0.15">
      <c r="A40" s="180" t="s">
        <v>61</v>
      </c>
      <c r="B40" s="180" t="s">
        <v>371</v>
      </c>
      <c r="C40" s="180">
        <v>2018</v>
      </c>
      <c r="D40" s="181" t="s">
        <v>372</v>
      </c>
      <c r="E40" s="180" t="s">
        <v>360</v>
      </c>
      <c r="F40" s="180" t="s">
        <v>361</v>
      </c>
      <c r="G40" s="180" t="s">
        <v>42</v>
      </c>
      <c r="H40" s="182" t="s">
        <v>163</v>
      </c>
      <c r="I40" s="182" t="s">
        <v>153</v>
      </c>
      <c r="J40" s="180" t="s">
        <v>38</v>
      </c>
      <c r="K40" s="182" t="s">
        <v>54</v>
      </c>
      <c r="L40" s="182">
        <v>3</v>
      </c>
      <c r="M40" s="182"/>
      <c r="N40" s="182">
        <v>4</v>
      </c>
      <c r="O40" s="182">
        <v>0.5</v>
      </c>
      <c r="P40" s="182">
        <v>0.55000000000000004</v>
      </c>
      <c r="Q40" s="183">
        <f t="shared" si="0"/>
        <v>0.52500000000000002</v>
      </c>
      <c r="R40" s="182">
        <v>16.8</v>
      </c>
      <c r="S40" s="182">
        <v>116</v>
      </c>
      <c r="T40" s="184">
        <f t="shared" si="1"/>
        <v>30</v>
      </c>
      <c r="U40" s="182">
        <v>537</v>
      </c>
      <c r="V40" s="185">
        <f t="shared" si="2"/>
        <v>4027.5</v>
      </c>
      <c r="W40" s="182">
        <v>5</v>
      </c>
      <c r="X40" s="180" t="s">
        <v>39</v>
      </c>
      <c r="Y40" s="182" t="s">
        <v>84</v>
      </c>
      <c r="Z40" s="182" t="s">
        <v>90</v>
      </c>
      <c r="AA40" s="182" t="s">
        <v>69</v>
      </c>
      <c r="AB40" s="180" t="s">
        <v>373</v>
      </c>
      <c r="AC40" s="186"/>
    </row>
    <row r="41" spans="1:29" x14ac:dyDescent="0.15">
      <c r="A41" s="180" t="s">
        <v>61</v>
      </c>
      <c r="B41" s="180" t="s">
        <v>371</v>
      </c>
      <c r="C41" s="180">
        <v>2018</v>
      </c>
      <c r="D41" s="181" t="s">
        <v>372</v>
      </c>
      <c r="E41" s="180" t="s">
        <v>133</v>
      </c>
      <c r="F41" s="180" t="s">
        <v>363</v>
      </c>
      <c r="G41" s="180" t="s">
        <v>42</v>
      </c>
      <c r="H41" s="182" t="s">
        <v>155</v>
      </c>
      <c r="I41" s="182" t="s">
        <v>153</v>
      </c>
      <c r="J41" s="180" t="s">
        <v>38</v>
      </c>
      <c r="K41" s="182" t="s">
        <v>154</v>
      </c>
      <c r="L41" s="182">
        <v>1</v>
      </c>
      <c r="M41" s="182"/>
      <c r="N41" s="182">
        <v>1</v>
      </c>
      <c r="O41" s="182">
        <v>0.8</v>
      </c>
      <c r="P41" s="182">
        <v>0.8</v>
      </c>
      <c r="Q41" s="183">
        <f t="shared" si="0"/>
        <v>0.8</v>
      </c>
      <c r="R41" s="182">
        <v>17</v>
      </c>
      <c r="S41" s="182">
        <v>146</v>
      </c>
      <c r="T41" s="184">
        <f t="shared" si="1"/>
        <v>22</v>
      </c>
      <c r="U41" s="182">
        <v>105</v>
      </c>
      <c r="V41" s="185">
        <f t="shared" si="2"/>
        <v>2310</v>
      </c>
      <c r="W41" s="182">
        <v>14</v>
      </c>
      <c r="X41" s="180" t="s">
        <v>46</v>
      </c>
      <c r="Y41" s="182" t="s">
        <v>84</v>
      </c>
      <c r="Z41" s="182" t="s">
        <v>69</v>
      </c>
      <c r="AA41" s="182" t="s">
        <v>90</v>
      </c>
      <c r="AB41" s="180" t="s">
        <v>373</v>
      </c>
      <c r="AC41" s="186"/>
    </row>
    <row r="42" spans="1:29" x14ac:dyDescent="0.15">
      <c r="A42" s="180" t="s">
        <v>61</v>
      </c>
      <c r="B42" s="180" t="s">
        <v>371</v>
      </c>
      <c r="C42" s="180">
        <v>2018</v>
      </c>
      <c r="D42" s="181" t="s">
        <v>372</v>
      </c>
      <c r="E42" s="180" t="s">
        <v>133</v>
      </c>
      <c r="F42" s="180" t="s">
        <v>363</v>
      </c>
      <c r="G42" s="180" t="s">
        <v>42</v>
      </c>
      <c r="H42" s="182" t="s">
        <v>155</v>
      </c>
      <c r="I42" s="182" t="s">
        <v>153</v>
      </c>
      <c r="J42" s="180" t="s">
        <v>38</v>
      </c>
      <c r="K42" s="182" t="s">
        <v>154</v>
      </c>
      <c r="L42" s="182">
        <v>2</v>
      </c>
      <c r="M42" s="182"/>
      <c r="N42" s="182">
        <v>1</v>
      </c>
      <c r="O42" s="182">
        <v>0.75</v>
      </c>
      <c r="P42" s="182">
        <v>0.7</v>
      </c>
      <c r="Q42" s="183">
        <f t="shared" si="0"/>
        <v>0.72499999999999998</v>
      </c>
      <c r="R42" s="182">
        <v>17.399999999999999</v>
      </c>
      <c r="S42" s="182">
        <v>139</v>
      </c>
      <c r="T42" s="184">
        <f t="shared" si="1"/>
        <v>22</v>
      </c>
      <c r="U42" s="182">
        <v>105</v>
      </c>
      <c r="V42" s="185">
        <f t="shared" si="2"/>
        <v>2310</v>
      </c>
      <c r="W42" s="182">
        <v>14</v>
      </c>
      <c r="X42" s="180" t="s">
        <v>46</v>
      </c>
      <c r="Y42" s="182" t="s">
        <v>84</v>
      </c>
      <c r="Z42" s="182" t="s">
        <v>69</v>
      </c>
      <c r="AA42" s="182" t="s">
        <v>90</v>
      </c>
      <c r="AB42" s="180" t="s">
        <v>373</v>
      </c>
      <c r="AC42" s="186"/>
    </row>
    <row r="43" spans="1:29" x14ac:dyDescent="0.15">
      <c r="A43" s="180" t="s">
        <v>61</v>
      </c>
      <c r="B43" s="180" t="s">
        <v>371</v>
      </c>
      <c r="C43" s="180">
        <v>2018</v>
      </c>
      <c r="D43" s="181" t="s">
        <v>372</v>
      </c>
      <c r="E43" s="180" t="s">
        <v>133</v>
      </c>
      <c r="F43" s="180" t="s">
        <v>363</v>
      </c>
      <c r="G43" s="180" t="s">
        <v>42</v>
      </c>
      <c r="H43" s="182" t="s">
        <v>155</v>
      </c>
      <c r="I43" s="182" t="s">
        <v>153</v>
      </c>
      <c r="J43" s="180" t="s">
        <v>38</v>
      </c>
      <c r="K43" s="182" t="s">
        <v>154</v>
      </c>
      <c r="L43" s="182">
        <v>3</v>
      </c>
      <c r="M43" s="182"/>
      <c r="N43" s="182">
        <v>1</v>
      </c>
      <c r="O43" s="182">
        <v>0.75</v>
      </c>
      <c r="P43" s="182">
        <v>0.75</v>
      </c>
      <c r="Q43" s="183">
        <f t="shared" si="0"/>
        <v>0.75</v>
      </c>
      <c r="R43" s="182">
        <v>16.8</v>
      </c>
      <c r="S43" s="182">
        <v>140</v>
      </c>
      <c r="T43" s="184">
        <f t="shared" si="1"/>
        <v>22</v>
      </c>
      <c r="U43" s="182">
        <v>105</v>
      </c>
      <c r="V43" s="185">
        <f t="shared" si="2"/>
        <v>2310</v>
      </c>
      <c r="W43" s="182">
        <v>14</v>
      </c>
      <c r="X43" s="180" t="s">
        <v>46</v>
      </c>
      <c r="Y43" s="182" t="s">
        <v>84</v>
      </c>
      <c r="Z43" s="182" t="s">
        <v>69</v>
      </c>
      <c r="AA43" s="182" t="s">
        <v>90</v>
      </c>
      <c r="AB43" s="180" t="s">
        <v>373</v>
      </c>
      <c r="AC43" s="186"/>
    </row>
    <row r="44" spans="1:29" x14ac:dyDescent="0.15">
      <c r="A44" s="180" t="s">
        <v>61</v>
      </c>
      <c r="B44" s="180" t="s">
        <v>371</v>
      </c>
      <c r="C44" s="180">
        <v>2018</v>
      </c>
      <c r="D44" s="181" t="s">
        <v>372</v>
      </c>
      <c r="E44" s="180" t="s">
        <v>133</v>
      </c>
      <c r="F44" s="180" t="s">
        <v>363</v>
      </c>
      <c r="G44" s="180" t="s">
        <v>42</v>
      </c>
      <c r="H44" s="182" t="s">
        <v>163</v>
      </c>
      <c r="I44" s="182" t="s">
        <v>153</v>
      </c>
      <c r="J44" s="180" t="s">
        <v>38</v>
      </c>
      <c r="K44" s="182" t="s">
        <v>54</v>
      </c>
      <c r="L44" s="182">
        <v>1</v>
      </c>
      <c r="M44" s="182"/>
      <c r="N44" s="182">
        <v>4</v>
      </c>
      <c r="O44" s="182">
        <v>0.5</v>
      </c>
      <c r="P44" s="182">
        <v>0.5</v>
      </c>
      <c r="Q44" s="183">
        <f t="shared" si="0"/>
        <v>0.5</v>
      </c>
      <c r="R44" s="182">
        <v>17.2</v>
      </c>
      <c r="S44" s="182">
        <v>130</v>
      </c>
      <c r="T44" s="184">
        <f t="shared" si="1"/>
        <v>25</v>
      </c>
      <c r="U44" s="182">
        <v>645</v>
      </c>
      <c r="V44" s="185">
        <f t="shared" si="2"/>
        <v>4031.25</v>
      </c>
      <c r="W44" s="182">
        <v>14</v>
      </c>
      <c r="X44" s="180" t="s">
        <v>46</v>
      </c>
      <c r="Y44" s="182" t="s">
        <v>84</v>
      </c>
      <c r="Z44" s="182" t="s">
        <v>69</v>
      </c>
      <c r="AA44" s="182" t="s">
        <v>90</v>
      </c>
      <c r="AB44" s="180" t="s">
        <v>373</v>
      </c>
      <c r="AC44" s="186"/>
    </row>
    <row r="45" spans="1:29" x14ac:dyDescent="0.15">
      <c r="A45" s="180" t="s">
        <v>61</v>
      </c>
      <c r="B45" s="180" t="s">
        <v>371</v>
      </c>
      <c r="C45" s="180">
        <v>2018</v>
      </c>
      <c r="D45" s="181" t="s">
        <v>372</v>
      </c>
      <c r="E45" s="180" t="s">
        <v>133</v>
      </c>
      <c r="F45" s="180" t="s">
        <v>363</v>
      </c>
      <c r="G45" s="180" t="s">
        <v>42</v>
      </c>
      <c r="H45" s="182" t="s">
        <v>163</v>
      </c>
      <c r="I45" s="182" t="s">
        <v>153</v>
      </c>
      <c r="J45" s="180" t="s">
        <v>38</v>
      </c>
      <c r="K45" s="182" t="s">
        <v>54</v>
      </c>
      <c r="L45" s="182">
        <v>2</v>
      </c>
      <c r="M45" s="182"/>
      <c r="N45" s="182">
        <v>4</v>
      </c>
      <c r="O45" s="182">
        <v>0.55000000000000004</v>
      </c>
      <c r="P45" s="182">
        <v>0.55000000000000004</v>
      </c>
      <c r="Q45" s="183">
        <f t="shared" si="0"/>
        <v>0.55000000000000004</v>
      </c>
      <c r="R45" s="182">
        <v>17.2</v>
      </c>
      <c r="S45" s="182">
        <v>128</v>
      </c>
      <c r="T45" s="184">
        <f t="shared" si="1"/>
        <v>27</v>
      </c>
      <c r="U45" s="182">
        <v>645</v>
      </c>
      <c r="V45" s="185">
        <f t="shared" si="2"/>
        <v>4353.75</v>
      </c>
      <c r="W45" s="182">
        <v>14</v>
      </c>
      <c r="X45" s="180" t="s">
        <v>46</v>
      </c>
      <c r="Y45" s="182" t="s">
        <v>84</v>
      </c>
      <c r="Z45" s="182" t="s">
        <v>69</v>
      </c>
      <c r="AA45" s="182" t="s">
        <v>90</v>
      </c>
      <c r="AB45" s="180" t="s">
        <v>373</v>
      </c>
      <c r="AC45" s="186"/>
    </row>
    <row r="46" spans="1:29" x14ac:dyDescent="0.15">
      <c r="A46" s="180" t="s">
        <v>61</v>
      </c>
      <c r="B46" s="180" t="s">
        <v>371</v>
      </c>
      <c r="C46" s="180">
        <v>2018</v>
      </c>
      <c r="D46" s="181" t="s">
        <v>372</v>
      </c>
      <c r="E46" s="180" t="s">
        <v>133</v>
      </c>
      <c r="F46" s="180" t="s">
        <v>363</v>
      </c>
      <c r="G46" s="180" t="s">
        <v>42</v>
      </c>
      <c r="H46" s="182" t="s">
        <v>163</v>
      </c>
      <c r="I46" s="182" t="s">
        <v>153</v>
      </c>
      <c r="J46" s="180" t="s">
        <v>38</v>
      </c>
      <c r="K46" s="182" t="s">
        <v>54</v>
      </c>
      <c r="L46" s="182">
        <v>3</v>
      </c>
      <c r="M46" s="182"/>
      <c r="N46" s="182">
        <v>4</v>
      </c>
      <c r="O46" s="182">
        <v>0.5</v>
      </c>
      <c r="P46" s="182">
        <v>0.5</v>
      </c>
      <c r="Q46" s="183">
        <f t="shared" si="0"/>
        <v>0.5</v>
      </c>
      <c r="R46" s="182">
        <v>17.399999999999999</v>
      </c>
      <c r="S46" s="182">
        <v>131</v>
      </c>
      <c r="T46" s="184">
        <f t="shared" si="1"/>
        <v>25</v>
      </c>
      <c r="U46" s="182">
        <v>645</v>
      </c>
      <c r="V46" s="185">
        <f t="shared" si="2"/>
        <v>4031.25</v>
      </c>
      <c r="W46" s="182">
        <v>14</v>
      </c>
      <c r="X46" s="180" t="s">
        <v>46</v>
      </c>
      <c r="Y46" s="182" t="s">
        <v>84</v>
      </c>
      <c r="Z46" s="182" t="s">
        <v>69</v>
      </c>
      <c r="AA46" s="182" t="s">
        <v>90</v>
      </c>
      <c r="AB46" s="180" t="s">
        <v>373</v>
      </c>
      <c r="AC46" s="186"/>
    </row>
    <row r="47" spans="1:29" x14ac:dyDescent="0.15">
      <c r="A47" s="180" t="s">
        <v>61</v>
      </c>
      <c r="B47" s="180" t="s">
        <v>371</v>
      </c>
      <c r="C47" s="180">
        <v>2018</v>
      </c>
      <c r="D47" s="181" t="s">
        <v>372</v>
      </c>
      <c r="E47" s="180" t="s">
        <v>133</v>
      </c>
      <c r="F47" s="180" t="s">
        <v>363</v>
      </c>
      <c r="G47" s="180" t="s">
        <v>42</v>
      </c>
      <c r="H47" s="182" t="s">
        <v>127</v>
      </c>
      <c r="I47" s="182" t="s">
        <v>153</v>
      </c>
      <c r="J47" s="180" t="s">
        <v>80</v>
      </c>
      <c r="K47" s="182" t="s">
        <v>59</v>
      </c>
      <c r="L47" s="182">
        <v>1</v>
      </c>
      <c r="M47" s="182"/>
      <c r="N47" s="182">
        <v>1</v>
      </c>
      <c r="O47" s="182">
        <v>0.5</v>
      </c>
      <c r="P47" s="182">
        <v>0.55000000000000004</v>
      </c>
      <c r="Q47" s="183">
        <f t="shared" si="0"/>
        <v>0.52500000000000002</v>
      </c>
      <c r="R47" s="182">
        <v>17.600000000000001</v>
      </c>
      <c r="S47" s="182">
        <v>128</v>
      </c>
      <c r="T47" s="184">
        <f t="shared" si="1"/>
        <v>27</v>
      </c>
      <c r="U47" s="182">
        <v>149</v>
      </c>
      <c r="V47" s="185">
        <f t="shared" si="2"/>
        <v>4023</v>
      </c>
      <c r="W47" s="182">
        <v>14</v>
      </c>
      <c r="X47" s="180" t="s">
        <v>46</v>
      </c>
      <c r="Y47" s="182" t="s">
        <v>84</v>
      </c>
      <c r="Z47" s="182" t="s">
        <v>69</v>
      </c>
      <c r="AA47" s="182" t="s">
        <v>90</v>
      </c>
      <c r="AB47" s="180" t="s">
        <v>373</v>
      </c>
      <c r="AC47" s="186"/>
    </row>
    <row r="48" spans="1:29" x14ac:dyDescent="0.15">
      <c r="A48" s="180" t="s">
        <v>61</v>
      </c>
      <c r="B48" s="180" t="s">
        <v>371</v>
      </c>
      <c r="C48" s="180">
        <v>2018</v>
      </c>
      <c r="D48" s="181" t="s">
        <v>372</v>
      </c>
      <c r="E48" s="180" t="s">
        <v>133</v>
      </c>
      <c r="F48" s="180" t="s">
        <v>363</v>
      </c>
      <c r="G48" s="180" t="s">
        <v>42</v>
      </c>
      <c r="H48" s="182" t="s">
        <v>127</v>
      </c>
      <c r="I48" s="182" t="s">
        <v>153</v>
      </c>
      <c r="J48" s="180" t="s">
        <v>80</v>
      </c>
      <c r="K48" s="182" t="s">
        <v>59</v>
      </c>
      <c r="L48" s="182">
        <v>2</v>
      </c>
      <c r="M48" s="182"/>
      <c r="N48" s="182">
        <v>1</v>
      </c>
      <c r="O48" s="182">
        <v>0.6</v>
      </c>
      <c r="P48" s="182">
        <v>0.5</v>
      </c>
      <c r="Q48" s="183">
        <f t="shared" si="0"/>
        <v>0.55000000000000004</v>
      </c>
      <c r="R48" s="182">
        <v>17.5</v>
      </c>
      <c r="S48" s="182">
        <v>119</v>
      </c>
      <c r="T48" s="184">
        <f t="shared" si="1"/>
        <v>30</v>
      </c>
      <c r="U48" s="182">
        <v>149</v>
      </c>
      <c r="V48" s="185">
        <f t="shared" si="2"/>
        <v>4470</v>
      </c>
      <c r="W48" s="182">
        <v>14</v>
      </c>
      <c r="X48" s="180" t="s">
        <v>46</v>
      </c>
      <c r="Y48" s="182" t="s">
        <v>84</v>
      </c>
      <c r="Z48" s="182" t="s">
        <v>69</v>
      </c>
      <c r="AA48" s="182" t="s">
        <v>90</v>
      </c>
      <c r="AB48" s="180" t="s">
        <v>373</v>
      </c>
      <c r="AC48" s="186"/>
    </row>
    <row r="49" spans="1:29" x14ac:dyDescent="0.15">
      <c r="A49" s="180" t="s">
        <v>61</v>
      </c>
      <c r="B49" s="180" t="s">
        <v>371</v>
      </c>
      <c r="C49" s="180">
        <v>2018</v>
      </c>
      <c r="D49" s="181" t="s">
        <v>372</v>
      </c>
      <c r="E49" s="180" t="s">
        <v>133</v>
      </c>
      <c r="F49" s="180" t="s">
        <v>363</v>
      </c>
      <c r="G49" s="180" t="s">
        <v>42</v>
      </c>
      <c r="H49" s="182" t="s">
        <v>127</v>
      </c>
      <c r="I49" s="182" t="s">
        <v>153</v>
      </c>
      <c r="J49" s="180" t="s">
        <v>80</v>
      </c>
      <c r="K49" s="182" t="s">
        <v>59</v>
      </c>
      <c r="L49" s="182">
        <v>3</v>
      </c>
      <c r="M49" s="182"/>
      <c r="N49" s="182">
        <v>1</v>
      </c>
      <c r="O49" s="182">
        <v>0.6</v>
      </c>
      <c r="P49" s="182">
        <v>0.6</v>
      </c>
      <c r="Q49" s="183">
        <f t="shared" si="0"/>
        <v>0.6</v>
      </c>
      <c r="R49" s="182">
        <v>17.399999999999999</v>
      </c>
      <c r="S49" s="182">
        <v>121</v>
      </c>
      <c r="T49" s="184">
        <f t="shared" si="1"/>
        <v>27</v>
      </c>
      <c r="U49" s="182">
        <v>149</v>
      </c>
      <c r="V49" s="185">
        <f t="shared" si="2"/>
        <v>4023</v>
      </c>
      <c r="W49" s="182">
        <v>14</v>
      </c>
      <c r="X49" s="180" t="s">
        <v>46</v>
      </c>
      <c r="Y49" s="182" t="s">
        <v>84</v>
      </c>
      <c r="Z49" s="182" t="s">
        <v>69</v>
      </c>
      <c r="AA49" s="182" t="s">
        <v>90</v>
      </c>
      <c r="AB49" s="180" t="s">
        <v>373</v>
      </c>
      <c r="AC49" s="186"/>
    </row>
    <row r="50" spans="1:29" x14ac:dyDescent="0.15">
      <c r="A50" s="180" t="s">
        <v>61</v>
      </c>
      <c r="B50" s="180" t="s">
        <v>371</v>
      </c>
      <c r="C50" s="180">
        <v>2018</v>
      </c>
      <c r="D50" s="181" t="s">
        <v>372</v>
      </c>
      <c r="E50" s="180" t="s">
        <v>133</v>
      </c>
      <c r="F50" s="180" t="s">
        <v>363</v>
      </c>
      <c r="G50" s="180" t="s">
        <v>42</v>
      </c>
      <c r="H50" s="182" t="s">
        <v>128</v>
      </c>
      <c r="I50" s="182" t="s">
        <v>153</v>
      </c>
      <c r="J50" s="180" t="s">
        <v>80</v>
      </c>
      <c r="K50" s="182" t="s">
        <v>45</v>
      </c>
      <c r="L50" s="182">
        <v>1</v>
      </c>
      <c r="M50" s="182"/>
      <c r="N50" s="182">
        <v>5</v>
      </c>
      <c r="O50" s="182">
        <v>0.6</v>
      </c>
      <c r="P50" s="182">
        <v>0.55000000000000004</v>
      </c>
      <c r="Q50" s="183">
        <f t="shared" si="0"/>
        <v>0.57499999999999996</v>
      </c>
      <c r="R50" s="182">
        <v>15.8</v>
      </c>
      <c r="S50" s="182">
        <v>89</v>
      </c>
      <c r="T50" s="184">
        <f t="shared" si="1"/>
        <v>36</v>
      </c>
      <c r="U50" s="182">
        <v>315</v>
      </c>
      <c r="V50" s="185">
        <f t="shared" si="2"/>
        <v>2268</v>
      </c>
      <c r="W50" s="182">
        <v>14</v>
      </c>
      <c r="X50" s="180" t="s">
        <v>46</v>
      </c>
      <c r="Y50" s="182" t="s">
        <v>84</v>
      </c>
      <c r="Z50" s="182" t="s">
        <v>69</v>
      </c>
      <c r="AA50" s="182" t="s">
        <v>90</v>
      </c>
      <c r="AB50" s="180" t="s">
        <v>373</v>
      </c>
      <c r="AC50" s="186"/>
    </row>
    <row r="51" spans="1:29" x14ac:dyDescent="0.15">
      <c r="A51" s="180" t="s">
        <v>61</v>
      </c>
      <c r="B51" s="180" t="s">
        <v>371</v>
      </c>
      <c r="C51" s="180">
        <v>2018</v>
      </c>
      <c r="D51" s="181" t="s">
        <v>372</v>
      </c>
      <c r="E51" s="180" t="s">
        <v>133</v>
      </c>
      <c r="F51" s="180" t="s">
        <v>363</v>
      </c>
      <c r="G51" s="180" t="s">
        <v>42</v>
      </c>
      <c r="H51" s="182" t="s">
        <v>128</v>
      </c>
      <c r="I51" s="182" t="s">
        <v>153</v>
      </c>
      <c r="J51" s="180" t="s">
        <v>80</v>
      </c>
      <c r="K51" s="182" t="s">
        <v>45</v>
      </c>
      <c r="L51" s="182">
        <v>2</v>
      </c>
      <c r="M51" s="182"/>
      <c r="N51" s="182">
        <v>5</v>
      </c>
      <c r="O51" s="182">
        <v>0.65</v>
      </c>
      <c r="P51" s="182">
        <v>0.65</v>
      </c>
      <c r="Q51" s="183">
        <f t="shared" si="0"/>
        <v>0.65</v>
      </c>
      <c r="R51" s="182">
        <v>16.100000000000001</v>
      </c>
      <c r="S51" s="182">
        <v>92</v>
      </c>
      <c r="T51" s="184">
        <f t="shared" si="1"/>
        <v>36</v>
      </c>
      <c r="U51" s="182">
        <v>315</v>
      </c>
      <c r="V51" s="185">
        <f t="shared" si="2"/>
        <v>2268</v>
      </c>
      <c r="W51" s="182">
        <v>14</v>
      </c>
      <c r="X51" s="180" t="s">
        <v>46</v>
      </c>
      <c r="Y51" s="182" t="s">
        <v>84</v>
      </c>
      <c r="Z51" s="182" t="s">
        <v>69</v>
      </c>
      <c r="AA51" s="182" t="s">
        <v>90</v>
      </c>
      <c r="AB51" s="180" t="s">
        <v>373</v>
      </c>
      <c r="AC51" s="186"/>
    </row>
    <row r="52" spans="1:29" x14ac:dyDescent="0.15">
      <c r="A52" s="180" t="s">
        <v>61</v>
      </c>
      <c r="B52" s="180" t="s">
        <v>371</v>
      </c>
      <c r="C52" s="180">
        <v>2018</v>
      </c>
      <c r="D52" s="181" t="s">
        <v>372</v>
      </c>
      <c r="E52" s="180" t="s">
        <v>133</v>
      </c>
      <c r="F52" s="180" t="s">
        <v>363</v>
      </c>
      <c r="G52" s="180" t="s">
        <v>42</v>
      </c>
      <c r="H52" s="182" t="s">
        <v>128</v>
      </c>
      <c r="I52" s="182" t="s">
        <v>153</v>
      </c>
      <c r="J52" s="180" t="s">
        <v>80</v>
      </c>
      <c r="K52" s="182" t="s">
        <v>45</v>
      </c>
      <c r="L52" s="182">
        <v>3</v>
      </c>
      <c r="M52" s="182"/>
      <c r="N52" s="182">
        <v>5</v>
      </c>
      <c r="O52" s="182">
        <v>0.6</v>
      </c>
      <c r="P52" s="182">
        <v>0.6</v>
      </c>
      <c r="Q52" s="183">
        <f t="shared" si="0"/>
        <v>0.6</v>
      </c>
      <c r="R52" s="182">
        <v>15.9</v>
      </c>
      <c r="S52" s="182">
        <v>98</v>
      </c>
      <c r="T52" s="184">
        <f t="shared" si="1"/>
        <v>36</v>
      </c>
      <c r="U52" s="182">
        <v>315</v>
      </c>
      <c r="V52" s="185">
        <f t="shared" si="2"/>
        <v>2268</v>
      </c>
      <c r="W52" s="182">
        <v>14</v>
      </c>
      <c r="X52" s="180" t="s">
        <v>46</v>
      </c>
      <c r="Y52" s="182" t="s">
        <v>84</v>
      </c>
      <c r="Z52" s="182" t="s">
        <v>69</v>
      </c>
      <c r="AA52" s="182" t="s">
        <v>90</v>
      </c>
      <c r="AB52" s="180" t="s">
        <v>373</v>
      </c>
      <c r="AC52" s="186"/>
    </row>
    <row r="53" spans="1:29" x14ac:dyDescent="0.15">
      <c r="A53" s="180" t="s">
        <v>61</v>
      </c>
      <c r="B53" s="180" t="s">
        <v>371</v>
      </c>
      <c r="C53" s="180">
        <v>2018</v>
      </c>
      <c r="D53" s="181" t="s">
        <v>372</v>
      </c>
      <c r="E53" s="180" t="s">
        <v>367</v>
      </c>
      <c r="F53" s="180" t="s">
        <v>368</v>
      </c>
      <c r="G53" s="180" t="s">
        <v>42</v>
      </c>
      <c r="H53" s="182" t="s">
        <v>155</v>
      </c>
      <c r="I53" s="182" t="s">
        <v>153</v>
      </c>
      <c r="J53" s="180" t="s">
        <v>38</v>
      </c>
      <c r="K53" s="182" t="s">
        <v>154</v>
      </c>
      <c r="L53" s="182">
        <v>1</v>
      </c>
      <c r="M53" s="182"/>
      <c r="N53" s="182">
        <v>4</v>
      </c>
      <c r="O53" s="182">
        <v>0.8</v>
      </c>
      <c r="P53" s="182">
        <v>0.7</v>
      </c>
      <c r="Q53" s="183">
        <f t="shared" si="0"/>
        <v>0.75</v>
      </c>
      <c r="R53" s="182">
        <v>15.9</v>
      </c>
      <c r="S53" s="182">
        <v>120</v>
      </c>
      <c r="T53" s="184">
        <f t="shared" si="1"/>
        <v>30</v>
      </c>
      <c r="U53" s="182">
        <v>398</v>
      </c>
      <c r="V53" s="185">
        <f t="shared" si="2"/>
        <v>2985</v>
      </c>
      <c r="W53" s="182">
        <v>16</v>
      </c>
      <c r="X53" s="180" t="s">
        <v>46</v>
      </c>
      <c r="Y53" s="182" t="s">
        <v>84</v>
      </c>
      <c r="Z53" s="182" t="s">
        <v>90</v>
      </c>
      <c r="AA53" s="182" t="s">
        <v>69</v>
      </c>
      <c r="AB53" s="180" t="s">
        <v>373</v>
      </c>
      <c r="AC53" s="186"/>
    </row>
    <row r="54" spans="1:29" x14ac:dyDescent="0.15">
      <c r="A54" s="180" t="s">
        <v>61</v>
      </c>
      <c r="B54" s="180" t="s">
        <v>371</v>
      </c>
      <c r="C54" s="180">
        <v>2018</v>
      </c>
      <c r="D54" s="181" t="s">
        <v>372</v>
      </c>
      <c r="E54" s="180" t="s">
        <v>367</v>
      </c>
      <c r="F54" s="180" t="s">
        <v>368</v>
      </c>
      <c r="G54" s="180" t="s">
        <v>42</v>
      </c>
      <c r="H54" s="182" t="s">
        <v>155</v>
      </c>
      <c r="I54" s="182" t="s">
        <v>153</v>
      </c>
      <c r="J54" s="180" t="s">
        <v>38</v>
      </c>
      <c r="K54" s="182" t="s">
        <v>154</v>
      </c>
      <c r="L54" s="182">
        <v>2</v>
      </c>
      <c r="M54" s="182"/>
      <c r="N54" s="182">
        <v>4</v>
      </c>
      <c r="O54" s="182">
        <v>0.75</v>
      </c>
      <c r="P54" s="182">
        <v>0.7</v>
      </c>
      <c r="Q54" s="183">
        <f t="shared" si="0"/>
        <v>0.72499999999999998</v>
      </c>
      <c r="R54" s="182">
        <v>16.600000000000001</v>
      </c>
      <c r="S54" s="182">
        <v>118</v>
      </c>
      <c r="T54" s="184">
        <f t="shared" si="1"/>
        <v>30</v>
      </c>
      <c r="U54" s="182">
        <v>398</v>
      </c>
      <c r="V54" s="185">
        <f t="shared" si="2"/>
        <v>2985</v>
      </c>
      <c r="W54" s="182">
        <v>16</v>
      </c>
      <c r="X54" s="180" t="s">
        <v>46</v>
      </c>
      <c r="Y54" s="182" t="s">
        <v>84</v>
      </c>
      <c r="Z54" s="182" t="s">
        <v>90</v>
      </c>
      <c r="AA54" s="182" t="s">
        <v>69</v>
      </c>
      <c r="AB54" s="180" t="s">
        <v>373</v>
      </c>
      <c r="AC54" s="186"/>
    </row>
    <row r="55" spans="1:29" x14ac:dyDescent="0.15">
      <c r="A55" s="180" t="s">
        <v>61</v>
      </c>
      <c r="B55" s="180" t="s">
        <v>371</v>
      </c>
      <c r="C55" s="180">
        <v>2018</v>
      </c>
      <c r="D55" s="181" t="s">
        <v>372</v>
      </c>
      <c r="E55" s="180" t="s">
        <v>367</v>
      </c>
      <c r="F55" s="180" t="s">
        <v>368</v>
      </c>
      <c r="G55" s="180" t="s">
        <v>42</v>
      </c>
      <c r="H55" s="182" t="s">
        <v>155</v>
      </c>
      <c r="I55" s="182" t="s">
        <v>153</v>
      </c>
      <c r="J55" s="180" t="s">
        <v>38</v>
      </c>
      <c r="K55" s="182" t="s">
        <v>154</v>
      </c>
      <c r="L55" s="182">
        <v>3</v>
      </c>
      <c r="M55" s="182"/>
      <c r="N55" s="182">
        <v>4</v>
      </c>
      <c r="O55" s="182">
        <v>0.7</v>
      </c>
      <c r="P55" s="182">
        <v>0.7</v>
      </c>
      <c r="Q55" s="183">
        <f t="shared" si="0"/>
        <v>0.7</v>
      </c>
      <c r="R55" s="182">
        <v>16.8</v>
      </c>
      <c r="S55" s="182">
        <v>115</v>
      </c>
      <c r="T55" s="184">
        <f t="shared" si="1"/>
        <v>30</v>
      </c>
      <c r="U55" s="182">
        <v>398</v>
      </c>
      <c r="V55" s="185">
        <f t="shared" si="2"/>
        <v>2985</v>
      </c>
      <c r="W55" s="182">
        <v>16</v>
      </c>
      <c r="X55" s="180" t="s">
        <v>46</v>
      </c>
      <c r="Y55" s="182" t="s">
        <v>84</v>
      </c>
      <c r="Z55" s="182" t="s">
        <v>90</v>
      </c>
      <c r="AA55" s="182" t="s">
        <v>69</v>
      </c>
      <c r="AB55" s="180" t="s">
        <v>373</v>
      </c>
      <c r="AC55" s="186"/>
    </row>
    <row r="56" spans="1:29" x14ac:dyDescent="0.15">
      <c r="A56" s="180" t="s">
        <v>61</v>
      </c>
      <c r="B56" s="180" t="s">
        <v>371</v>
      </c>
      <c r="C56" s="180">
        <v>2018</v>
      </c>
      <c r="D56" s="181" t="s">
        <v>372</v>
      </c>
      <c r="E56" s="180" t="s">
        <v>367</v>
      </c>
      <c r="F56" s="180" t="s">
        <v>368</v>
      </c>
      <c r="G56" s="180" t="s">
        <v>42</v>
      </c>
      <c r="H56" s="182" t="s">
        <v>163</v>
      </c>
      <c r="I56" s="182" t="s">
        <v>153</v>
      </c>
      <c r="J56" s="180" t="s">
        <v>38</v>
      </c>
      <c r="K56" s="182" t="s">
        <v>54</v>
      </c>
      <c r="L56" s="182">
        <v>1</v>
      </c>
      <c r="M56" s="182"/>
      <c r="N56" s="182">
        <v>4</v>
      </c>
      <c r="O56" s="182">
        <v>0.6</v>
      </c>
      <c r="P56" s="182">
        <v>0.55000000000000004</v>
      </c>
      <c r="Q56" s="183">
        <f t="shared" si="0"/>
        <v>0.57499999999999996</v>
      </c>
      <c r="R56" s="182">
        <v>17</v>
      </c>
      <c r="S56" s="182">
        <v>113</v>
      </c>
      <c r="T56" s="184">
        <f t="shared" si="1"/>
        <v>30</v>
      </c>
      <c r="U56" s="182">
        <v>598</v>
      </c>
      <c r="V56" s="185">
        <f t="shared" si="2"/>
        <v>4485</v>
      </c>
      <c r="W56" s="182">
        <v>16</v>
      </c>
      <c r="X56" s="180" t="s">
        <v>46</v>
      </c>
      <c r="Y56" s="182" t="s">
        <v>84</v>
      </c>
      <c r="Z56" s="182" t="s">
        <v>90</v>
      </c>
      <c r="AA56" s="182" t="s">
        <v>69</v>
      </c>
      <c r="AB56" s="180" t="s">
        <v>373</v>
      </c>
      <c r="AC56" s="182"/>
    </row>
    <row r="57" spans="1:29" x14ac:dyDescent="0.15">
      <c r="A57" s="180" t="s">
        <v>61</v>
      </c>
      <c r="B57" s="180" t="s">
        <v>371</v>
      </c>
      <c r="C57" s="180">
        <v>2018</v>
      </c>
      <c r="D57" s="181" t="s">
        <v>372</v>
      </c>
      <c r="E57" s="180" t="s">
        <v>367</v>
      </c>
      <c r="F57" s="180" t="s">
        <v>368</v>
      </c>
      <c r="G57" s="180" t="s">
        <v>42</v>
      </c>
      <c r="H57" s="182" t="s">
        <v>163</v>
      </c>
      <c r="I57" s="182" t="s">
        <v>153</v>
      </c>
      <c r="J57" s="180" t="s">
        <v>38</v>
      </c>
      <c r="K57" s="182" t="s">
        <v>54</v>
      </c>
      <c r="L57" s="182">
        <v>2</v>
      </c>
      <c r="M57" s="182"/>
      <c r="N57" s="182">
        <v>4</v>
      </c>
      <c r="O57" s="182">
        <v>0.6</v>
      </c>
      <c r="P57" s="182">
        <v>0.6</v>
      </c>
      <c r="Q57" s="183">
        <f t="shared" si="0"/>
        <v>0.6</v>
      </c>
      <c r="R57" s="182">
        <v>17.100000000000001</v>
      </c>
      <c r="S57" s="182">
        <v>110</v>
      </c>
      <c r="T57" s="184">
        <f t="shared" si="1"/>
        <v>33</v>
      </c>
      <c r="U57" s="182">
        <v>598</v>
      </c>
      <c r="V57" s="185">
        <f t="shared" si="2"/>
        <v>4933.5</v>
      </c>
      <c r="W57" s="182">
        <v>16</v>
      </c>
      <c r="X57" s="180" t="s">
        <v>46</v>
      </c>
      <c r="Y57" s="182" t="s">
        <v>84</v>
      </c>
      <c r="Z57" s="182" t="s">
        <v>90</v>
      </c>
      <c r="AA57" s="182" t="s">
        <v>69</v>
      </c>
      <c r="AB57" s="180" t="s">
        <v>373</v>
      </c>
      <c r="AC57" s="182"/>
    </row>
    <row r="58" spans="1:29" x14ac:dyDescent="0.15">
      <c r="A58" s="180" t="s">
        <v>61</v>
      </c>
      <c r="B58" s="180" t="s">
        <v>371</v>
      </c>
      <c r="C58" s="180">
        <v>2018</v>
      </c>
      <c r="D58" s="181" t="s">
        <v>372</v>
      </c>
      <c r="E58" s="180" t="s">
        <v>367</v>
      </c>
      <c r="F58" s="180" t="s">
        <v>368</v>
      </c>
      <c r="G58" s="180" t="s">
        <v>42</v>
      </c>
      <c r="H58" s="182" t="s">
        <v>163</v>
      </c>
      <c r="I58" s="182" t="s">
        <v>153</v>
      </c>
      <c r="J58" s="180" t="s">
        <v>38</v>
      </c>
      <c r="K58" s="182" t="s">
        <v>54</v>
      </c>
      <c r="L58" s="182">
        <v>3</v>
      </c>
      <c r="M58" s="182"/>
      <c r="N58" s="182">
        <v>4</v>
      </c>
      <c r="O58" s="182">
        <v>0.55000000000000004</v>
      </c>
      <c r="P58" s="182">
        <v>0.6</v>
      </c>
      <c r="Q58" s="183">
        <f t="shared" si="0"/>
        <v>0.57499999999999996</v>
      </c>
      <c r="R58" s="182">
        <v>17.3</v>
      </c>
      <c r="S58" s="182">
        <v>108</v>
      </c>
      <c r="T58" s="184">
        <f t="shared" si="1"/>
        <v>33</v>
      </c>
      <c r="U58" s="182">
        <v>598</v>
      </c>
      <c r="V58" s="185">
        <f t="shared" si="2"/>
        <v>4933.5</v>
      </c>
      <c r="W58" s="182">
        <v>16</v>
      </c>
      <c r="X58" s="180" t="s">
        <v>46</v>
      </c>
      <c r="Y58" s="182" t="s">
        <v>84</v>
      </c>
      <c r="Z58" s="182" t="s">
        <v>90</v>
      </c>
      <c r="AA58" s="182" t="s">
        <v>69</v>
      </c>
      <c r="AB58" s="180" t="s">
        <v>373</v>
      </c>
      <c r="AC58" s="182"/>
    </row>
    <row r="59" spans="1:29" x14ac:dyDescent="0.15">
      <c r="A59" s="180" t="s">
        <v>61</v>
      </c>
      <c r="B59" s="180" t="s">
        <v>371</v>
      </c>
      <c r="C59" s="180">
        <v>2018</v>
      </c>
      <c r="D59" s="181" t="s">
        <v>372</v>
      </c>
      <c r="E59" s="180" t="s">
        <v>369</v>
      </c>
      <c r="F59" s="180" t="s">
        <v>368</v>
      </c>
      <c r="G59" s="180" t="s">
        <v>42</v>
      </c>
      <c r="H59" s="182" t="s">
        <v>155</v>
      </c>
      <c r="I59" s="182" t="s">
        <v>153</v>
      </c>
      <c r="J59" s="180" t="s">
        <v>38</v>
      </c>
      <c r="K59" s="182" t="s">
        <v>154</v>
      </c>
      <c r="L59" s="182">
        <v>1</v>
      </c>
      <c r="M59" s="182"/>
      <c r="N59" s="182">
        <v>4</v>
      </c>
      <c r="O59" s="182">
        <v>0.6</v>
      </c>
      <c r="P59" s="182">
        <v>0.5</v>
      </c>
      <c r="Q59" s="183">
        <f t="shared" si="0"/>
        <v>0.55000000000000004</v>
      </c>
      <c r="R59" s="182">
        <v>14.9</v>
      </c>
      <c r="S59" s="182">
        <v>110</v>
      </c>
      <c r="T59" s="184">
        <f t="shared" si="1"/>
        <v>33</v>
      </c>
      <c r="U59" s="182">
        <v>321</v>
      </c>
      <c r="V59" s="185">
        <f t="shared" si="2"/>
        <v>2648.25</v>
      </c>
      <c r="W59" s="182">
        <v>20</v>
      </c>
      <c r="X59" s="180" t="s">
        <v>46</v>
      </c>
      <c r="Y59" s="182" t="s">
        <v>90</v>
      </c>
      <c r="Z59" s="182" t="s">
        <v>40</v>
      </c>
      <c r="AA59" s="182" t="s">
        <v>84</v>
      </c>
      <c r="AB59" s="180" t="s">
        <v>373</v>
      </c>
      <c r="AC59" s="182"/>
    </row>
    <row r="60" spans="1:29" x14ac:dyDescent="0.15">
      <c r="A60" s="180" t="s">
        <v>61</v>
      </c>
      <c r="B60" s="180" t="s">
        <v>371</v>
      </c>
      <c r="C60" s="180">
        <v>2018</v>
      </c>
      <c r="D60" s="181" t="s">
        <v>372</v>
      </c>
      <c r="E60" s="180" t="s">
        <v>369</v>
      </c>
      <c r="F60" s="180" t="s">
        <v>368</v>
      </c>
      <c r="G60" s="180" t="s">
        <v>42</v>
      </c>
      <c r="H60" s="182" t="s">
        <v>155</v>
      </c>
      <c r="I60" s="182" t="s">
        <v>153</v>
      </c>
      <c r="J60" s="180" t="s">
        <v>38</v>
      </c>
      <c r="K60" s="182" t="s">
        <v>154</v>
      </c>
      <c r="L60" s="182">
        <v>2</v>
      </c>
      <c r="M60" s="182"/>
      <c r="N60" s="182">
        <v>4</v>
      </c>
      <c r="O60" s="182">
        <v>0.6</v>
      </c>
      <c r="P60" s="182">
        <v>0.6</v>
      </c>
      <c r="Q60" s="183">
        <f t="shared" si="0"/>
        <v>0.6</v>
      </c>
      <c r="R60" s="182">
        <v>15.1</v>
      </c>
      <c r="S60" s="182">
        <v>106</v>
      </c>
      <c r="T60" s="184">
        <f t="shared" si="1"/>
        <v>33</v>
      </c>
      <c r="U60" s="182">
        <v>321</v>
      </c>
      <c r="V60" s="185">
        <f t="shared" si="2"/>
        <v>2648.25</v>
      </c>
      <c r="W60" s="182">
        <v>20</v>
      </c>
      <c r="X60" s="180" t="s">
        <v>46</v>
      </c>
      <c r="Y60" s="182" t="s">
        <v>90</v>
      </c>
      <c r="Z60" s="182" t="s">
        <v>40</v>
      </c>
      <c r="AA60" s="182" t="s">
        <v>84</v>
      </c>
      <c r="AB60" s="180" t="s">
        <v>373</v>
      </c>
      <c r="AC60" s="182"/>
    </row>
    <row r="61" spans="1:29" x14ac:dyDescent="0.15">
      <c r="A61" s="180" t="s">
        <v>61</v>
      </c>
      <c r="B61" s="180" t="s">
        <v>371</v>
      </c>
      <c r="C61" s="180">
        <v>2018</v>
      </c>
      <c r="D61" s="181" t="s">
        <v>372</v>
      </c>
      <c r="E61" s="180" t="s">
        <v>369</v>
      </c>
      <c r="F61" s="180" t="s">
        <v>368</v>
      </c>
      <c r="G61" s="180" t="s">
        <v>42</v>
      </c>
      <c r="H61" s="182" t="s">
        <v>155</v>
      </c>
      <c r="I61" s="182" t="s">
        <v>153</v>
      </c>
      <c r="J61" s="180" t="s">
        <v>38</v>
      </c>
      <c r="K61" s="182" t="s">
        <v>154</v>
      </c>
      <c r="L61" s="182">
        <v>3</v>
      </c>
      <c r="M61" s="182"/>
      <c r="N61" s="182">
        <v>4</v>
      </c>
      <c r="O61" s="182">
        <v>0.55000000000000004</v>
      </c>
      <c r="P61" s="182">
        <v>0.6</v>
      </c>
      <c r="Q61" s="183">
        <f t="shared" si="0"/>
        <v>0.57499999999999996</v>
      </c>
      <c r="R61" s="182">
        <v>15.8</v>
      </c>
      <c r="S61" s="182">
        <v>108</v>
      </c>
      <c r="T61" s="184">
        <f t="shared" si="1"/>
        <v>33</v>
      </c>
      <c r="U61" s="182">
        <v>321</v>
      </c>
      <c r="V61" s="185">
        <f t="shared" si="2"/>
        <v>2648.25</v>
      </c>
      <c r="W61" s="182">
        <v>20</v>
      </c>
      <c r="X61" s="180" t="s">
        <v>46</v>
      </c>
      <c r="Y61" s="182" t="s">
        <v>90</v>
      </c>
      <c r="Z61" s="182" t="s">
        <v>40</v>
      </c>
      <c r="AA61" s="182" t="s">
        <v>84</v>
      </c>
      <c r="AB61" s="180" t="s">
        <v>373</v>
      </c>
      <c r="AC61" s="182"/>
    </row>
    <row r="62" spans="1:29" x14ac:dyDescent="0.15">
      <c r="A62" s="180" t="s">
        <v>61</v>
      </c>
      <c r="B62" s="180" t="s">
        <v>371</v>
      </c>
      <c r="C62" s="180">
        <v>2018</v>
      </c>
      <c r="D62" s="181" t="s">
        <v>372</v>
      </c>
      <c r="E62" s="180" t="s">
        <v>369</v>
      </c>
      <c r="F62" s="180" t="s">
        <v>368</v>
      </c>
      <c r="G62" s="180" t="s">
        <v>42</v>
      </c>
      <c r="H62" s="182" t="s">
        <v>127</v>
      </c>
      <c r="I62" s="182" t="s">
        <v>153</v>
      </c>
      <c r="J62" s="180" t="s">
        <v>330</v>
      </c>
      <c r="K62" s="182" t="s">
        <v>59</v>
      </c>
      <c r="L62" s="182">
        <v>1</v>
      </c>
      <c r="M62" s="182"/>
      <c r="N62" s="182">
        <v>5</v>
      </c>
      <c r="O62" s="182">
        <v>0.55000000000000004</v>
      </c>
      <c r="P62" s="182">
        <v>0.55000000000000004</v>
      </c>
      <c r="Q62" s="183">
        <f t="shared" si="0"/>
        <v>0.55000000000000004</v>
      </c>
      <c r="R62" s="182">
        <v>15.3</v>
      </c>
      <c r="S62" s="182">
        <v>112</v>
      </c>
      <c r="T62" s="184">
        <f t="shared" si="1"/>
        <v>33</v>
      </c>
      <c r="U62" s="182">
        <v>321</v>
      </c>
      <c r="V62" s="185">
        <f t="shared" si="2"/>
        <v>2118.6</v>
      </c>
      <c r="W62" s="182">
        <v>20</v>
      </c>
      <c r="X62" s="180" t="s">
        <v>46</v>
      </c>
      <c r="Y62" s="182" t="s">
        <v>90</v>
      </c>
      <c r="Z62" s="182" t="s">
        <v>40</v>
      </c>
      <c r="AA62" s="182" t="s">
        <v>84</v>
      </c>
      <c r="AB62" s="180" t="s">
        <v>373</v>
      </c>
      <c r="AC62" s="186"/>
    </row>
    <row r="63" spans="1:29" x14ac:dyDescent="0.15">
      <c r="A63" s="180" t="s">
        <v>61</v>
      </c>
      <c r="B63" s="180" t="s">
        <v>371</v>
      </c>
      <c r="C63" s="180">
        <v>2018</v>
      </c>
      <c r="D63" s="181" t="s">
        <v>372</v>
      </c>
      <c r="E63" s="180" t="s">
        <v>369</v>
      </c>
      <c r="F63" s="180" t="s">
        <v>368</v>
      </c>
      <c r="G63" s="180" t="s">
        <v>42</v>
      </c>
      <c r="H63" s="182" t="s">
        <v>127</v>
      </c>
      <c r="I63" s="182" t="s">
        <v>153</v>
      </c>
      <c r="J63" s="180" t="s">
        <v>330</v>
      </c>
      <c r="K63" s="182" t="s">
        <v>59</v>
      </c>
      <c r="L63" s="182">
        <v>2</v>
      </c>
      <c r="M63" s="182"/>
      <c r="N63" s="182">
        <v>5</v>
      </c>
      <c r="O63" s="182">
        <v>0.65</v>
      </c>
      <c r="P63" s="182">
        <v>0.6</v>
      </c>
      <c r="Q63" s="183">
        <f t="shared" si="0"/>
        <v>0.625</v>
      </c>
      <c r="R63" s="182">
        <v>16</v>
      </c>
      <c r="S63" s="182">
        <v>110</v>
      </c>
      <c r="T63" s="184">
        <f t="shared" si="1"/>
        <v>33</v>
      </c>
      <c r="U63" s="182">
        <v>321</v>
      </c>
      <c r="V63" s="185">
        <f t="shared" si="2"/>
        <v>2118.6</v>
      </c>
      <c r="W63" s="182">
        <v>20</v>
      </c>
      <c r="X63" s="180" t="s">
        <v>46</v>
      </c>
      <c r="Y63" s="182" t="s">
        <v>90</v>
      </c>
      <c r="Z63" s="182" t="s">
        <v>40</v>
      </c>
      <c r="AA63" s="182" t="s">
        <v>84</v>
      </c>
      <c r="AB63" s="180" t="s">
        <v>373</v>
      </c>
      <c r="AC63" s="186"/>
    </row>
    <row r="64" spans="1:29" x14ac:dyDescent="0.15">
      <c r="A64" s="180" t="s">
        <v>61</v>
      </c>
      <c r="B64" s="180" t="s">
        <v>371</v>
      </c>
      <c r="C64" s="180">
        <v>2018</v>
      </c>
      <c r="D64" s="181" t="s">
        <v>372</v>
      </c>
      <c r="E64" s="180" t="s">
        <v>369</v>
      </c>
      <c r="F64" s="180" t="s">
        <v>368</v>
      </c>
      <c r="G64" s="180" t="s">
        <v>42</v>
      </c>
      <c r="H64" s="182" t="s">
        <v>127</v>
      </c>
      <c r="I64" s="182" t="s">
        <v>153</v>
      </c>
      <c r="J64" s="180" t="s">
        <v>330</v>
      </c>
      <c r="K64" s="182" t="s">
        <v>59</v>
      </c>
      <c r="L64" s="182">
        <v>3</v>
      </c>
      <c r="M64" s="182"/>
      <c r="N64" s="182">
        <v>5</v>
      </c>
      <c r="O64" s="182">
        <v>0.6</v>
      </c>
      <c r="P64" s="182">
        <v>0.6</v>
      </c>
      <c r="Q64" s="183">
        <f t="shared" si="0"/>
        <v>0.6</v>
      </c>
      <c r="R64" s="182">
        <v>16.100000000000001</v>
      </c>
      <c r="S64" s="182">
        <v>111</v>
      </c>
      <c r="T64" s="184">
        <f t="shared" si="1"/>
        <v>33</v>
      </c>
      <c r="U64" s="182">
        <v>321</v>
      </c>
      <c r="V64" s="185">
        <f t="shared" si="2"/>
        <v>2118.6</v>
      </c>
      <c r="W64" s="182">
        <v>20</v>
      </c>
      <c r="X64" s="180" t="s">
        <v>46</v>
      </c>
      <c r="Y64" s="182" t="s">
        <v>90</v>
      </c>
      <c r="Z64" s="182" t="s">
        <v>40</v>
      </c>
      <c r="AA64" s="182" t="s">
        <v>84</v>
      </c>
      <c r="AB64" s="180" t="s">
        <v>373</v>
      </c>
      <c r="AC64" s="186"/>
    </row>
    <row r="65" spans="1:29" x14ac:dyDescent="0.15">
      <c r="A65" s="180" t="s">
        <v>61</v>
      </c>
      <c r="B65" s="180" t="s">
        <v>371</v>
      </c>
      <c r="C65" s="180">
        <v>2018</v>
      </c>
      <c r="D65" s="181" t="s">
        <v>372</v>
      </c>
      <c r="E65" s="180" t="s">
        <v>369</v>
      </c>
      <c r="F65" s="180" t="s">
        <v>368</v>
      </c>
      <c r="G65" s="180" t="s">
        <v>42</v>
      </c>
      <c r="H65" s="182" t="s">
        <v>163</v>
      </c>
      <c r="I65" s="182" t="s">
        <v>153</v>
      </c>
      <c r="J65" s="180" t="s">
        <v>38</v>
      </c>
      <c r="K65" s="182" t="s">
        <v>54</v>
      </c>
      <c r="L65" s="182">
        <v>1</v>
      </c>
      <c r="M65" s="182"/>
      <c r="N65" s="182">
        <v>4</v>
      </c>
      <c r="O65" s="182">
        <v>0.6</v>
      </c>
      <c r="P65" s="182">
        <v>0.65</v>
      </c>
      <c r="Q65" s="183">
        <f t="shared" si="0"/>
        <v>0.625</v>
      </c>
      <c r="R65" s="182">
        <v>17</v>
      </c>
      <c r="S65" s="182">
        <v>110</v>
      </c>
      <c r="T65" s="184">
        <f t="shared" si="1"/>
        <v>33</v>
      </c>
      <c r="U65" s="182">
        <v>626</v>
      </c>
      <c r="V65" s="185">
        <f t="shared" si="2"/>
        <v>5164.5</v>
      </c>
      <c r="W65" s="182">
        <v>20</v>
      </c>
      <c r="X65" s="180" t="s">
        <v>46</v>
      </c>
      <c r="Y65" s="182" t="s">
        <v>90</v>
      </c>
      <c r="Z65" s="182" t="s">
        <v>40</v>
      </c>
      <c r="AA65" s="182" t="s">
        <v>84</v>
      </c>
      <c r="AB65" s="180" t="s">
        <v>373</v>
      </c>
      <c r="AC65" s="186"/>
    </row>
    <row r="66" spans="1:29" x14ac:dyDescent="0.15">
      <c r="A66" s="180" t="s">
        <v>61</v>
      </c>
      <c r="B66" s="180" t="s">
        <v>371</v>
      </c>
      <c r="C66" s="180">
        <v>2018</v>
      </c>
      <c r="D66" s="181" t="s">
        <v>372</v>
      </c>
      <c r="E66" s="180" t="s">
        <v>369</v>
      </c>
      <c r="F66" s="180" t="s">
        <v>368</v>
      </c>
      <c r="G66" s="180" t="s">
        <v>42</v>
      </c>
      <c r="H66" s="182" t="s">
        <v>163</v>
      </c>
      <c r="I66" s="182" t="s">
        <v>153</v>
      </c>
      <c r="J66" s="180" t="s">
        <v>38</v>
      </c>
      <c r="K66" s="182" t="s">
        <v>54</v>
      </c>
      <c r="L66" s="182">
        <v>2</v>
      </c>
      <c r="M66" s="182"/>
      <c r="N66" s="182">
        <v>4</v>
      </c>
      <c r="O66" s="182">
        <v>0.55000000000000004</v>
      </c>
      <c r="P66" s="182">
        <v>0.5</v>
      </c>
      <c r="Q66" s="183">
        <f t="shared" ref="Q66:Q76" si="3">IF(OR(O66="",P66=""),"",AVERAGE(O66,P66))</f>
        <v>0.52500000000000002</v>
      </c>
      <c r="R66" s="182">
        <v>17</v>
      </c>
      <c r="S66" s="182">
        <v>108</v>
      </c>
      <c r="T66" s="184">
        <f t="shared" ref="T66:T76" si="4">IF(H66="","",IF(OR(H66="GREEN",H66="GK"),IF(S66&gt;=$AX$2,VLOOKUP(S66,$AX$2:$AY$15,2,1),""),IF(S66&gt;=$AZ$2,VLOOKUP(S66,$AZ$2:$BA$15,2,1),"")))</f>
        <v>33</v>
      </c>
      <c r="U66" s="182">
        <v>626</v>
      </c>
      <c r="V66" s="185">
        <f t="shared" ref="V66:V76" si="5">IF(OR(N66="",U66="",T66=""),"",U66/N66*T66)</f>
        <v>5164.5</v>
      </c>
      <c r="W66" s="182">
        <v>20</v>
      </c>
      <c r="X66" s="180" t="s">
        <v>46</v>
      </c>
      <c r="Y66" s="182" t="s">
        <v>90</v>
      </c>
      <c r="Z66" s="182" t="s">
        <v>40</v>
      </c>
      <c r="AA66" s="182" t="s">
        <v>84</v>
      </c>
      <c r="AB66" s="180" t="s">
        <v>373</v>
      </c>
      <c r="AC66" s="186"/>
    </row>
    <row r="67" spans="1:29" x14ac:dyDescent="0.15">
      <c r="A67" s="180" t="s">
        <v>61</v>
      </c>
      <c r="B67" s="180" t="s">
        <v>371</v>
      </c>
      <c r="C67" s="180">
        <v>2018</v>
      </c>
      <c r="D67" s="181" t="s">
        <v>372</v>
      </c>
      <c r="E67" s="180" t="s">
        <v>369</v>
      </c>
      <c r="F67" s="180" t="s">
        <v>368</v>
      </c>
      <c r="G67" s="180" t="s">
        <v>42</v>
      </c>
      <c r="H67" s="182" t="s">
        <v>163</v>
      </c>
      <c r="I67" s="182" t="s">
        <v>153</v>
      </c>
      <c r="J67" s="180" t="s">
        <v>38</v>
      </c>
      <c r="K67" s="182" t="s">
        <v>54</v>
      </c>
      <c r="L67" s="182">
        <v>3</v>
      </c>
      <c r="M67" s="182"/>
      <c r="N67" s="182">
        <v>4</v>
      </c>
      <c r="O67" s="182">
        <v>0.6</v>
      </c>
      <c r="P67" s="182">
        <v>0.6</v>
      </c>
      <c r="Q67" s="183">
        <f t="shared" si="3"/>
        <v>0.6</v>
      </c>
      <c r="R67" s="182">
        <v>16.8</v>
      </c>
      <c r="S67" s="182">
        <v>112</v>
      </c>
      <c r="T67" s="184">
        <f t="shared" si="4"/>
        <v>33</v>
      </c>
      <c r="U67" s="182">
        <v>626</v>
      </c>
      <c r="V67" s="185">
        <f t="shared" si="5"/>
        <v>5164.5</v>
      </c>
      <c r="W67" s="182">
        <v>20</v>
      </c>
      <c r="X67" s="180" t="s">
        <v>46</v>
      </c>
      <c r="Y67" s="182" t="s">
        <v>90</v>
      </c>
      <c r="Z67" s="182" t="s">
        <v>40</v>
      </c>
      <c r="AA67" s="182" t="s">
        <v>84</v>
      </c>
      <c r="AB67" s="180" t="s">
        <v>373</v>
      </c>
      <c r="AC67" s="186"/>
    </row>
    <row r="68" spans="1:29" x14ac:dyDescent="0.15">
      <c r="A68" s="180" t="s">
        <v>61</v>
      </c>
      <c r="B68" s="180" t="s">
        <v>371</v>
      </c>
      <c r="C68" s="180">
        <v>2018</v>
      </c>
      <c r="D68" s="181" t="s">
        <v>372</v>
      </c>
      <c r="E68" s="180" t="s">
        <v>369</v>
      </c>
      <c r="F68" s="180" t="s">
        <v>368</v>
      </c>
      <c r="G68" s="180" t="s">
        <v>42</v>
      </c>
      <c r="H68" s="182" t="s">
        <v>128</v>
      </c>
      <c r="I68" s="182" t="s">
        <v>153</v>
      </c>
      <c r="J68" s="180" t="s">
        <v>80</v>
      </c>
      <c r="K68" s="182" t="s">
        <v>45</v>
      </c>
      <c r="L68" s="182">
        <v>1</v>
      </c>
      <c r="M68" s="182"/>
      <c r="N68" s="182">
        <v>5</v>
      </c>
      <c r="O68" s="182">
        <v>0.5</v>
      </c>
      <c r="P68" s="182">
        <v>0.55000000000000004</v>
      </c>
      <c r="Q68" s="183">
        <f t="shared" si="3"/>
        <v>0.52500000000000002</v>
      </c>
      <c r="R68" s="182">
        <v>17.399999999999999</v>
      </c>
      <c r="S68" s="182">
        <v>93</v>
      </c>
      <c r="T68" s="184">
        <f t="shared" si="4"/>
        <v>36</v>
      </c>
      <c r="U68" s="182">
        <v>537</v>
      </c>
      <c r="V68" s="185">
        <f t="shared" si="5"/>
        <v>3866.4</v>
      </c>
      <c r="W68" s="182">
        <v>20</v>
      </c>
      <c r="X68" s="180" t="s">
        <v>46</v>
      </c>
      <c r="Y68" s="182" t="s">
        <v>90</v>
      </c>
      <c r="Z68" s="182" t="s">
        <v>40</v>
      </c>
      <c r="AA68" s="182" t="s">
        <v>84</v>
      </c>
      <c r="AB68" s="180" t="s">
        <v>373</v>
      </c>
      <c r="AC68" s="186"/>
    </row>
    <row r="69" spans="1:29" x14ac:dyDescent="0.15">
      <c r="A69" s="180" t="s">
        <v>61</v>
      </c>
      <c r="B69" s="180" t="s">
        <v>371</v>
      </c>
      <c r="C69" s="180">
        <v>2018</v>
      </c>
      <c r="D69" s="181" t="s">
        <v>372</v>
      </c>
      <c r="E69" s="180" t="s">
        <v>369</v>
      </c>
      <c r="F69" s="180" t="s">
        <v>368</v>
      </c>
      <c r="G69" s="180" t="s">
        <v>42</v>
      </c>
      <c r="H69" s="182" t="s">
        <v>128</v>
      </c>
      <c r="I69" s="182" t="s">
        <v>153</v>
      </c>
      <c r="J69" s="180" t="s">
        <v>80</v>
      </c>
      <c r="K69" s="182" t="s">
        <v>45</v>
      </c>
      <c r="L69" s="182">
        <v>2</v>
      </c>
      <c r="M69" s="182"/>
      <c r="N69" s="182">
        <v>5</v>
      </c>
      <c r="O69" s="182">
        <v>0.55000000000000004</v>
      </c>
      <c r="P69" s="182">
        <v>0.6</v>
      </c>
      <c r="Q69" s="183">
        <f t="shared" si="3"/>
        <v>0.57499999999999996</v>
      </c>
      <c r="R69" s="182">
        <v>17.3</v>
      </c>
      <c r="S69" s="182">
        <v>96</v>
      </c>
      <c r="T69" s="184">
        <f t="shared" si="4"/>
        <v>36</v>
      </c>
      <c r="U69" s="182">
        <v>537</v>
      </c>
      <c r="V69" s="185">
        <f t="shared" si="5"/>
        <v>3866.4</v>
      </c>
      <c r="W69" s="182">
        <v>20</v>
      </c>
      <c r="X69" s="180" t="s">
        <v>46</v>
      </c>
      <c r="Y69" s="182" t="s">
        <v>90</v>
      </c>
      <c r="Z69" s="182" t="s">
        <v>40</v>
      </c>
      <c r="AA69" s="182" t="s">
        <v>84</v>
      </c>
      <c r="AB69" s="180" t="s">
        <v>373</v>
      </c>
      <c r="AC69" s="186"/>
    </row>
    <row r="70" spans="1:29" x14ac:dyDescent="0.15">
      <c r="A70" s="180" t="s">
        <v>61</v>
      </c>
      <c r="B70" s="180" t="s">
        <v>371</v>
      </c>
      <c r="C70" s="180">
        <v>2018</v>
      </c>
      <c r="D70" s="181" t="s">
        <v>372</v>
      </c>
      <c r="E70" s="180" t="s">
        <v>369</v>
      </c>
      <c r="F70" s="180" t="s">
        <v>368</v>
      </c>
      <c r="G70" s="180" t="s">
        <v>42</v>
      </c>
      <c r="H70" s="182" t="s">
        <v>128</v>
      </c>
      <c r="I70" s="182" t="s">
        <v>153</v>
      </c>
      <c r="J70" s="180" t="s">
        <v>80</v>
      </c>
      <c r="K70" s="182" t="s">
        <v>45</v>
      </c>
      <c r="L70" s="182">
        <v>3</v>
      </c>
      <c r="M70" s="182"/>
      <c r="N70" s="182">
        <v>5</v>
      </c>
      <c r="O70" s="182">
        <v>0.6</v>
      </c>
      <c r="P70" s="182">
        <v>0.6</v>
      </c>
      <c r="Q70" s="183">
        <f t="shared" si="3"/>
        <v>0.6</v>
      </c>
      <c r="R70" s="182">
        <v>17</v>
      </c>
      <c r="S70" s="182">
        <v>94</v>
      </c>
      <c r="T70" s="184">
        <f t="shared" si="4"/>
        <v>36</v>
      </c>
      <c r="U70" s="182">
        <v>537</v>
      </c>
      <c r="V70" s="185">
        <f t="shared" si="5"/>
        <v>3866.4</v>
      </c>
      <c r="W70" s="182">
        <v>20</v>
      </c>
      <c r="X70" s="180" t="s">
        <v>46</v>
      </c>
      <c r="Y70" s="182" t="s">
        <v>90</v>
      </c>
      <c r="Z70" s="182" t="s">
        <v>40</v>
      </c>
      <c r="AA70" s="182" t="s">
        <v>84</v>
      </c>
      <c r="AB70" s="180" t="s">
        <v>373</v>
      </c>
      <c r="AC70" s="186"/>
    </row>
    <row r="71" spans="1:29" x14ac:dyDescent="0.15">
      <c r="A71" s="180" t="s">
        <v>61</v>
      </c>
      <c r="B71" s="180" t="s">
        <v>371</v>
      </c>
      <c r="C71" s="180">
        <v>2018</v>
      </c>
      <c r="D71" s="181" t="s">
        <v>372</v>
      </c>
      <c r="E71" s="180" t="s">
        <v>369</v>
      </c>
      <c r="F71" s="180" t="s">
        <v>368</v>
      </c>
      <c r="G71" s="180" t="s">
        <v>42</v>
      </c>
      <c r="H71" s="182" t="s">
        <v>128</v>
      </c>
      <c r="I71" s="182" t="s">
        <v>153</v>
      </c>
      <c r="J71" s="180" t="s">
        <v>80</v>
      </c>
      <c r="K71" s="182" t="s">
        <v>61</v>
      </c>
      <c r="L71" s="182">
        <v>1</v>
      </c>
      <c r="M71" s="182"/>
      <c r="N71" s="182">
        <v>1</v>
      </c>
      <c r="O71" s="182">
        <v>0.55000000000000004</v>
      </c>
      <c r="P71" s="182">
        <v>0.6</v>
      </c>
      <c r="Q71" s="183">
        <f t="shared" si="3"/>
        <v>0.57499999999999996</v>
      </c>
      <c r="R71" s="182">
        <v>16.8</v>
      </c>
      <c r="S71" s="182">
        <v>158</v>
      </c>
      <c r="T71" s="184">
        <f t="shared" si="4"/>
        <v>18</v>
      </c>
      <c r="U71" s="182">
        <v>213</v>
      </c>
      <c r="V71" s="185">
        <f t="shared" si="5"/>
        <v>3834</v>
      </c>
      <c r="W71" s="182">
        <v>20</v>
      </c>
      <c r="X71" s="180" t="s">
        <v>46</v>
      </c>
      <c r="Y71" s="182" t="s">
        <v>90</v>
      </c>
      <c r="Z71" s="182" t="s">
        <v>40</v>
      </c>
      <c r="AA71" s="182" t="s">
        <v>84</v>
      </c>
      <c r="AB71" s="180" t="s">
        <v>373</v>
      </c>
      <c r="AC71" s="182"/>
    </row>
    <row r="72" spans="1:29" x14ac:dyDescent="0.15">
      <c r="A72" s="180" t="s">
        <v>61</v>
      </c>
      <c r="B72" s="180" t="s">
        <v>371</v>
      </c>
      <c r="C72" s="180">
        <v>2018</v>
      </c>
      <c r="D72" s="181" t="s">
        <v>372</v>
      </c>
      <c r="E72" s="180" t="s">
        <v>369</v>
      </c>
      <c r="F72" s="180" t="s">
        <v>368</v>
      </c>
      <c r="G72" s="180" t="s">
        <v>42</v>
      </c>
      <c r="H72" s="182" t="s">
        <v>128</v>
      </c>
      <c r="I72" s="182" t="s">
        <v>153</v>
      </c>
      <c r="J72" s="180" t="s">
        <v>80</v>
      </c>
      <c r="K72" s="182" t="s">
        <v>61</v>
      </c>
      <c r="L72" s="182">
        <v>2</v>
      </c>
      <c r="M72" s="182"/>
      <c r="N72" s="182">
        <v>1</v>
      </c>
      <c r="O72" s="182">
        <v>0.5</v>
      </c>
      <c r="P72" s="182">
        <v>0.5</v>
      </c>
      <c r="Q72" s="183">
        <f t="shared" si="3"/>
        <v>0.5</v>
      </c>
      <c r="R72" s="182">
        <v>17.100000000000001</v>
      </c>
      <c r="S72" s="182">
        <v>161</v>
      </c>
      <c r="T72" s="184">
        <f t="shared" si="4"/>
        <v>18</v>
      </c>
      <c r="U72" s="182">
        <v>213</v>
      </c>
      <c r="V72" s="185">
        <f t="shared" si="5"/>
        <v>3834</v>
      </c>
      <c r="W72" s="182">
        <v>20</v>
      </c>
      <c r="X72" s="180" t="s">
        <v>46</v>
      </c>
      <c r="Y72" s="182" t="s">
        <v>90</v>
      </c>
      <c r="Z72" s="182" t="s">
        <v>40</v>
      </c>
      <c r="AA72" s="182" t="s">
        <v>84</v>
      </c>
      <c r="AB72" s="180" t="s">
        <v>373</v>
      </c>
      <c r="AC72" s="182"/>
    </row>
    <row r="73" spans="1:29" x14ac:dyDescent="0.15">
      <c r="A73" s="180" t="s">
        <v>61</v>
      </c>
      <c r="B73" s="180" t="s">
        <v>371</v>
      </c>
      <c r="C73" s="180">
        <v>2018</v>
      </c>
      <c r="D73" s="181" t="s">
        <v>372</v>
      </c>
      <c r="E73" s="180" t="s">
        <v>369</v>
      </c>
      <c r="F73" s="180" t="s">
        <v>368</v>
      </c>
      <c r="G73" s="180" t="s">
        <v>42</v>
      </c>
      <c r="H73" s="182" t="s">
        <v>128</v>
      </c>
      <c r="I73" s="182" t="s">
        <v>153</v>
      </c>
      <c r="J73" s="180" t="s">
        <v>80</v>
      </c>
      <c r="K73" s="182" t="s">
        <v>61</v>
      </c>
      <c r="L73" s="182">
        <v>3</v>
      </c>
      <c r="M73" s="182"/>
      <c r="N73" s="182">
        <v>1</v>
      </c>
      <c r="O73" s="182">
        <v>0.5</v>
      </c>
      <c r="P73" s="182">
        <v>0.5</v>
      </c>
      <c r="Q73" s="183">
        <f t="shared" si="3"/>
        <v>0.5</v>
      </c>
      <c r="R73" s="182">
        <v>17</v>
      </c>
      <c r="S73" s="182">
        <v>156</v>
      </c>
      <c r="T73" s="184">
        <f t="shared" si="4"/>
        <v>18</v>
      </c>
      <c r="U73" s="182">
        <v>213</v>
      </c>
      <c r="V73" s="185">
        <f t="shared" si="5"/>
        <v>3834</v>
      </c>
      <c r="W73" s="182">
        <v>20</v>
      </c>
      <c r="X73" s="180" t="s">
        <v>46</v>
      </c>
      <c r="Y73" s="182" t="s">
        <v>90</v>
      </c>
      <c r="Z73" s="182" t="s">
        <v>40</v>
      </c>
      <c r="AA73" s="182" t="s">
        <v>84</v>
      </c>
      <c r="AB73" s="180" t="s">
        <v>373</v>
      </c>
      <c r="AC73" s="182"/>
    </row>
    <row r="74" spans="1:29" x14ac:dyDescent="0.15">
      <c r="A74" s="180"/>
      <c r="B74" s="180"/>
      <c r="C74" s="180"/>
      <c r="D74" s="181"/>
      <c r="E74" s="180"/>
      <c r="F74" s="180"/>
      <c r="G74" s="180"/>
      <c r="H74" s="182"/>
      <c r="I74" s="182"/>
      <c r="J74" s="180"/>
      <c r="K74" s="182"/>
      <c r="L74" s="182"/>
      <c r="M74" s="182"/>
      <c r="N74" s="182"/>
      <c r="O74" s="182"/>
      <c r="P74" s="182"/>
      <c r="Q74" s="183" t="str">
        <f t="shared" si="3"/>
        <v/>
      </c>
      <c r="R74" s="182"/>
      <c r="S74" s="182"/>
      <c r="T74" s="184" t="str">
        <f t="shared" si="4"/>
        <v/>
      </c>
      <c r="U74" s="182"/>
      <c r="V74" s="185" t="str">
        <f t="shared" si="5"/>
        <v/>
      </c>
      <c r="W74" s="182"/>
      <c r="X74" s="180"/>
      <c r="Y74" s="182"/>
      <c r="Z74" s="182"/>
      <c r="AA74" s="182"/>
      <c r="AB74" s="180"/>
      <c r="AC74" s="182"/>
    </row>
    <row r="75" spans="1:29" x14ac:dyDescent="0.15">
      <c r="A75" s="180"/>
      <c r="B75" s="180"/>
      <c r="C75" s="180"/>
      <c r="D75" s="181"/>
      <c r="E75" s="180"/>
      <c r="F75" s="180"/>
      <c r="G75" s="180"/>
      <c r="H75" s="182"/>
      <c r="I75" s="182"/>
      <c r="J75" s="180"/>
      <c r="K75" s="182"/>
      <c r="L75" s="182"/>
      <c r="M75" s="182"/>
      <c r="N75" s="182"/>
      <c r="O75" s="182"/>
      <c r="P75" s="182"/>
      <c r="Q75" s="183" t="str">
        <f t="shared" si="3"/>
        <v/>
      </c>
      <c r="R75" s="182"/>
      <c r="S75" s="182"/>
      <c r="T75" s="184" t="str">
        <f t="shared" si="4"/>
        <v/>
      </c>
      <c r="U75" s="182"/>
      <c r="V75" s="185" t="str">
        <f t="shared" si="5"/>
        <v/>
      </c>
      <c r="W75" s="182"/>
      <c r="X75" s="180"/>
      <c r="Y75" s="182"/>
      <c r="Z75" s="182"/>
      <c r="AA75" s="182"/>
      <c r="AB75" s="180"/>
      <c r="AC75" s="182"/>
    </row>
    <row r="76" spans="1:29" x14ac:dyDescent="0.15">
      <c r="A76" s="180"/>
      <c r="B76" s="180"/>
      <c r="C76" s="180"/>
      <c r="D76" s="181"/>
      <c r="E76" s="180"/>
      <c r="F76" s="180"/>
      <c r="G76" s="180"/>
      <c r="H76" s="182"/>
      <c r="I76" s="182"/>
      <c r="J76" s="180"/>
      <c r="K76" s="182"/>
      <c r="L76" s="182"/>
      <c r="M76" s="182"/>
      <c r="N76" s="182"/>
      <c r="O76" s="182"/>
      <c r="P76" s="182"/>
      <c r="Q76" s="183" t="str">
        <f t="shared" si="3"/>
        <v/>
      </c>
      <c r="R76" s="182"/>
      <c r="S76" s="182"/>
      <c r="T76" s="184" t="str">
        <f t="shared" si="4"/>
        <v/>
      </c>
      <c r="U76" s="182"/>
      <c r="V76" s="185" t="str">
        <f t="shared" si="5"/>
        <v/>
      </c>
      <c r="W76" s="182"/>
      <c r="X76" s="180"/>
      <c r="Y76" s="182"/>
      <c r="Z76" s="182"/>
      <c r="AA76" s="182"/>
      <c r="AB76" s="180"/>
      <c r="AC76" s="182"/>
    </row>
    <row r="77" spans="1:29" x14ac:dyDescent="0.15">
      <c r="A77" s="180"/>
      <c r="B77" s="180"/>
      <c r="C77" s="180"/>
      <c r="D77" s="181"/>
      <c r="E77" s="180"/>
      <c r="F77" s="180"/>
      <c r="G77" s="180"/>
      <c r="H77" s="182"/>
      <c r="I77" s="182"/>
      <c r="J77" s="180"/>
      <c r="K77" s="182"/>
      <c r="L77" s="182"/>
      <c r="M77" s="182"/>
      <c r="N77" s="182"/>
      <c r="O77" s="182"/>
      <c r="P77" s="182"/>
      <c r="Q77" s="183"/>
      <c r="R77" s="182"/>
      <c r="S77" s="182"/>
      <c r="T77" s="184"/>
      <c r="U77" s="182"/>
      <c r="V77" s="185"/>
      <c r="W77" s="182"/>
      <c r="X77" s="180"/>
      <c r="Y77" s="182"/>
      <c r="Z77" s="182"/>
      <c r="AA77" s="182"/>
      <c r="AB77" s="180"/>
      <c r="AC77" s="182"/>
    </row>
    <row r="78" spans="1:29" x14ac:dyDescent="0.15">
      <c r="A78" s="180"/>
      <c r="B78" s="180"/>
      <c r="C78" s="180"/>
      <c r="D78" s="181"/>
      <c r="E78" s="180"/>
      <c r="F78" s="180"/>
      <c r="G78" s="180"/>
      <c r="H78" s="182"/>
      <c r="I78" s="182"/>
      <c r="J78" s="180"/>
      <c r="K78" s="182"/>
      <c r="L78" s="182"/>
      <c r="M78" s="182"/>
      <c r="N78" s="182"/>
      <c r="O78" s="182"/>
      <c r="P78" s="182"/>
      <c r="Q78" s="183"/>
      <c r="R78" s="182"/>
      <c r="S78" s="182"/>
      <c r="T78" s="184"/>
      <c r="U78" s="182"/>
      <c r="V78" s="185"/>
      <c r="W78" s="182"/>
      <c r="X78" s="180"/>
      <c r="Y78" s="182"/>
      <c r="Z78" s="182"/>
      <c r="AA78" s="182"/>
      <c r="AB78" s="180"/>
      <c r="AC78" s="182"/>
    </row>
    <row r="79" spans="1:29" x14ac:dyDescent="0.15">
      <c r="A79" s="180"/>
      <c r="B79" s="180"/>
      <c r="C79" s="180"/>
      <c r="D79" s="181"/>
      <c r="E79" s="180"/>
      <c r="F79" s="180"/>
      <c r="G79" s="180"/>
      <c r="H79" s="182"/>
      <c r="I79" s="182"/>
      <c r="J79" s="180"/>
      <c r="K79" s="182"/>
      <c r="L79" s="182"/>
      <c r="M79" s="182"/>
      <c r="N79" s="182"/>
      <c r="O79" s="182"/>
      <c r="P79" s="182"/>
      <c r="Q79" s="183"/>
      <c r="R79" s="182"/>
      <c r="S79" s="182"/>
      <c r="T79" s="184"/>
      <c r="U79" s="182"/>
      <c r="V79" s="185"/>
      <c r="W79" s="182"/>
      <c r="X79" s="180"/>
      <c r="Y79" s="182"/>
      <c r="Z79" s="182"/>
      <c r="AA79" s="182"/>
      <c r="AB79" s="180"/>
      <c r="AC79" s="182"/>
    </row>
    <row r="80" spans="1:29" x14ac:dyDescent="0.15">
      <c r="A80" s="180"/>
      <c r="B80" s="180"/>
      <c r="C80" s="180"/>
      <c r="D80" s="181"/>
      <c r="E80" s="180"/>
      <c r="F80" s="180"/>
      <c r="G80" s="180"/>
      <c r="H80" s="182"/>
      <c r="I80" s="182"/>
      <c r="J80" s="180"/>
      <c r="K80" s="182"/>
      <c r="L80" s="182"/>
      <c r="M80" s="182"/>
      <c r="N80" s="182"/>
      <c r="O80" s="182"/>
      <c r="P80" s="182"/>
      <c r="Q80" s="183"/>
      <c r="R80" s="182"/>
      <c r="S80" s="182"/>
      <c r="T80" s="184"/>
      <c r="U80" s="182"/>
      <c r="V80" s="185"/>
      <c r="W80" s="182"/>
      <c r="X80" s="180"/>
      <c r="Y80" s="182"/>
      <c r="Z80" s="182"/>
      <c r="AA80" s="182"/>
      <c r="AB80" s="180"/>
      <c r="AC80" s="182"/>
    </row>
    <row r="81" spans="1:29" x14ac:dyDescent="0.15">
      <c r="A81" s="180"/>
      <c r="B81" s="180"/>
      <c r="C81" s="180"/>
      <c r="D81" s="181"/>
      <c r="E81" s="180"/>
      <c r="F81" s="180"/>
      <c r="G81" s="180"/>
      <c r="H81" s="182"/>
      <c r="I81" s="182"/>
      <c r="J81" s="180"/>
      <c r="K81" s="182"/>
      <c r="L81" s="182"/>
      <c r="M81" s="182"/>
      <c r="N81" s="182"/>
      <c r="O81" s="182"/>
      <c r="P81" s="182"/>
      <c r="Q81" s="183"/>
      <c r="R81" s="182"/>
      <c r="S81" s="182"/>
      <c r="T81" s="184"/>
      <c r="U81" s="182"/>
      <c r="V81" s="185"/>
      <c r="W81" s="182"/>
      <c r="X81" s="180"/>
      <c r="Y81" s="182"/>
      <c r="Z81" s="182"/>
      <c r="AA81" s="182"/>
      <c r="AB81" s="180"/>
      <c r="AC81" s="182"/>
    </row>
    <row r="82" spans="1:29" x14ac:dyDescent="0.15">
      <c r="A82" s="180"/>
      <c r="B82" s="180"/>
      <c r="C82" s="180"/>
      <c r="D82" s="181"/>
      <c r="E82" s="180"/>
      <c r="F82" s="180"/>
      <c r="G82" s="180"/>
      <c r="H82" s="182"/>
      <c r="I82" s="182"/>
      <c r="J82" s="180"/>
      <c r="K82" s="182"/>
      <c r="L82" s="182"/>
      <c r="M82" s="182"/>
      <c r="N82" s="182"/>
      <c r="O82" s="182"/>
      <c r="P82" s="182"/>
      <c r="Q82" s="183"/>
      <c r="R82" s="182"/>
      <c r="S82" s="182"/>
      <c r="T82" s="184"/>
      <c r="U82" s="182"/>
      <c r="V82" s="185"/>
      <c r="W82" s="182"/>
      <c r="X82" s="180"/>
      <c r="Y82" s="182"/>
      <c r="Z82" s="182"/>
      <c r="AA82" s="182"/>
      <c r="AB82" s="180"/>
      <c r="AC82" s="182"/>
    </row>
    <row r="83" spans="1:29" x14ac:dyDescent="0.15">
      <c r="A83" s="180"/>
      <c r="B83" s="180"/>
      <c r="C83" s="180"/>
      <c r="D83" s="181"/>
      <c r="E83" s="180"/>
      <c r="F83" s="180"/>
      <c r="G83" s="180"/>
      <c r="H83" s="182"/>
      <c r="I83" s="182"/>
      <c r="J83" s="180"/>
      <c r="K83" s="182"/>
      <c r="L83" s="182"/>
      <c r="M83" s="182"/>
      <c r="N83" s="182"/>
      <c r="O83" s="182"/>
      <c r="P83" s="182"/>
      <c r="Q83" s="183"/>
      <c r="R83" s="182"/>
      <c r="S83" s="182"/>
      <c r="T83" s="184"/>
      <c r="U83" s="182"/>
      <c r="V83" s="185"/>
      <c r="W83" s="182"/>
      <c r="X83" s="180"/>
      <c r="Y83" s="182"/>
      <c r="Z83" s="182"/>
      <c r="AA83" s="182"/>
      <c r="AB83" s="180"/>
      <c r="AC83" s="182"/>
    </row>
    <row r="84" spans="1:29" x14ac:dyDescent="0.15">
      <c r="A84" s="180"/>
      <c r="B84" s="180"/>
      <c r="C84" s="180"/>
      <c r="D84" s="181"/>
      <c r="E84" s="180"/>
      <c r="F84" s="180"/>
      <c r="G84" s="180"/>
      <c r="H84" s="182"/>
      <c r="I84" s="182"/>
      <c r="J84" s="180"/>
      <c r="K84" s="182"/>
      <c r="L84" s="182"/>
      <c r="M84" s="182"/>
      <c r="N84" s="182"/>
      <c r="O84" s="182"/>
      <c r="P84" s="182"/>
      <c r="Q84" s="183"/>
      <c r="R84" s="182"/>
      <c r="S84" s="182"/>
      <c r="T84" s="184"/>
      <c r="U84" s="182"/>
      <c r="V84" s="185"/>
      <c r="W84" s="182"/>
      <c r="X84" s="180"/>
      <c r="Y84" s="182"/>
      <c r="Z84" s="182"/>
      <c r="AA84" s="182"/>
      <c r="AB84" s="180"/>
      <c r="AC84" s="182"/>
    </row>
    <row r="85" spans="1:29" x14ac:dyDescent="0.15">
      <c r="A85" s="180"/>
      <c r="B85" s="180"/>
      <c r="C85" s="180"/>
      <c r="D85" s="181"/>
      <c r="E85" s="180"/>
      <c r="F85" s="180"/>
      <c r="G85" s="180"/>
      <c r="H85" s="182"/>
      <c r="I85" s="182"/>
      <c r="J85" s="180"/>
      <c r="K85" s="182"/>
      <c r="L85" s="182"/>
      <c r="M85" s="182"/>
      <c r="N85" s="182"/>
      <c r="O85" s="182"/>
      <c r="P85" s="182"/>
      <c r="Q85" s="183"/>
      <c r="R85" s="182"/>
      <c r="S85" s="182"/>
      <c r="T85" s="184"/>
      <c r="U85" s="182"/>
      <c r="V85" s="185"/>
      <c r="W85" s="182"/>
      <c r="X85" s="180"/>
      <c r="Y85" s="182"/>
      <c r="Z85" s="182"/>
      <c r="AA85" s="182"/>
      <c r="AB85" s="180"/>
      <c r="AC85" s="182"/>
    </row>
    <row r="86" spans="1:29" x14ac:dyDescent="0.15">
      <c r="A86" s="180"/>
      <c r="B86" s="180"/>
      <c r="C86" s="180"/>
      <c r="D86" s="181"/>
      <c r="E86" s="182"/>
      <c r="F86" s="182"/>
      <c r="G86" s="180"/>
      <c r="H86" s="182"/>
      <c r="I86" s="182"/>
      <c r="J86" s="180"/>
      <c r="K86" s="182"/>
      <c r="L86" s="182"/>
      <c r="M86" s="182"/>
      <c r="N86" s="182"/>
      <c r="O86" s="182"/>
      <c r="P86" s="182"/>
      <c r="Q86" s="183"/>
      <c r="R86" s="182"/>
      <c r="S86" s="182"/>
      <c r="T86" s="184"/>
      <c r="U86" s="182"/>
      <c r="V86" s="185"/>
      <c r="W86" s="182"/>
      <c r="X86" s="180"/>
      <c r="Y86" s="182"/>
      <c r="Z86" s="182"/>
      <c r="AA86" s="182"/>
      <c r="AB86" s="180"/>
      <c r="AC86" s="182"/>
    </row>
    <row r="87" spans="1:29" x14ac:dyDescent="0.15">
      <c r="A87" s="180"/>
      <c r="B87" s="180"/>
      <c r="C87" s="180"/>
      <c r="D87" s="181"/>
      <c r="E87" s="182"/>
      <c r="F87" s="182"/>
      <c r="G87" s="180"/>
      <c r="H87" s="182"/>
      <c r="I87" s="182"/>
      <c r="J87" s="180"/>
      <c r="K87" s="182"/>
      <c r="L87" s="182"/>
      <c r="M87" s="182"/>
      <c r="N87" s="182"/>
      <c r="O87" s="182"/>
      <c r="P87" s="182"/>
      <c r="Q87" s="183"/>
      <c r="R87" s="182"/>
      <c r="S87" s="182"/>
      <c r="T87" s="184"/>
      <c r="U87" s="182"/>
      <c r="V87" s="185"/>
      <c r="W87" s="182"/>
      <c r="X87" s="180"/>
      <c r="Y87" s="182"/>
      <c r="Z87" s="182"/>
      <c r="AA87" s="182"/>
      <c r="AB87" s="180"/>
      <c r="AC87" s="182"/>
    </row>
    <row r="88" spans="1:29" x14ac:dyDescent="0.15">
      <c r="A88" s="180"/>
      <c r="B88" s="180"/>
      <c r="C88" s="180"/>
      <c r="D88" s="181"/>
      <c r="E88" s="182"/>
      <c r="F88" s="182"/>
      <c r="G88" s="180"/>
      <c r="H88" s="182"/>
      <c r="I88" s="182"/>
      <c r="J88" s="180"/>
      <c r="K88" s="182"/>
      <c r="L88" s="182"/>
      <c r="M88" s="182"/>
      <c r="N88" s="182"/>
      <c r="O88" s="182"/>
      <c r="P88" s="182"/>
      <c r="Q88" s="183"/>
      <c r="R88" s="182"/>
      <c r="S88" s="182"/>
      <c r="T88" s="184"/>
      <c r="U88" s="182"/>
      <c r="V88" s="185"/>
      <c r="W88" s="182"/>
      <c r="X88" s="180"/>
      <c r="Y88" s="182"/>
      <c r="Z88" s="182"/>
      <c r="AA88" s="182"/>
      <c r="AB88" s="180"/>
      <c r="AC88" s="182"/>
    </row>
    <row r="89" spans="1:29" x14ac:dyDescent="0.15">
      <c r="A89" s="180"/>
      <c r="B89" s="180"/>
      <c r="C89" s="180"/>
      <c r="D89" s="181"/>
      <c r="E89" s="182"/>
      <c r="F89" s="182"/>
      <c r="G89" s="180"/>
      <c r="H89" s="182"/>
      <c r="I89" s="182"/>
      <c r="J89" s="180"/>
      <c r="K89" s="182"/>
      <c r="L89" s="182"/>
      <c r="M89" s="182"/>
      <c r="N89" s="182"/>
      <c r="O89" s="182"/>
      <c r="P89" s="182"/>
      <c r="Q89" s="183"/>
      <c r="R89" s="182"/>
      <c r="S89" s="182"/>
      <c r="T89" s="184"/>
      <c r="U89" s="182"/>
      <c r="V89" s="185"/>
      <c r="W89" s="182"/>
      <c r="X89" s="180"/>
      <c r="Y89" s="182"/>
      <c r="Z89" s="182"/>
      <c r="AA89" s="182"/>
      <c r="AB89" s="180"/>
      <c r="AC89" s="182"/>
    </row>
    <row r="90" spans="1:29" x14ac:dyDescent="0.15">
      <c r="A90" s="180"/>
      <c r="B90" s="180"/>
      <c r="C90" s="180"/>
      <c r="D90" s="181"/>
      <c r="E90" s="182"/>
      <c r="F90" s="182"/>
      <c r="G90" s="180"/>
      <c r="H90" s="182"/>
      <c r="I90" s="182"/>
      <c r="J90" s="180"/>
      <c r="K90" s="182"/>
      <c r="L90" s="182"/>
      <c r="M90" s="182"/>
      <c r="N90" s="182"/>
      <c r="O90" s="182"/>
      <c r="P90" s="182"/>
      <c r="Q90" s="183"/>
      <c r="R90" s="182"/>
      <c r="S90" s="182"/>
      <c r="T90" s="184"/>
      <c r="U90" s="182"/>
      <c r="V90" s="185"/>
      <c r="W90" s="182"/>
      <c r="X90" s="180"/>
      <c r="Y90" s="182"/>
      <c r="Z90" s="182"/>
      <c r="AA90" s="182"/>
      <c r="AB90" s="180"/>
      <c r="AC90" s="182"/>
    </row>
    <row r="91" spans="1:29" x14ac:dyDescent="0.15">
      <c r="A91" s="180"/>
      <c r="B91" s="180"/>
      <c r="C91" s="180"/>
      <c r="D91" s="181"/>
      <c r="E91" s="182"/>
      <c r="F91" s="182"/>
      <c r="G91" s="180"/>
      <c r="H91" s="182"/>
      <c r="I91" s="182"/>
      <c r="J91" s="180"/>
      <c r="K91" s="182"/>
      <c r="L91" s="182"/>
      <c r="M91" s="182"/>
      <c r="N91" s="182"/>
      <c r="O91" s="182"/>
      <c r="P91" s="182"/>
      <c r="Q91" s="183"/>
      <c r="R91" s="182"/>
      <c r="S91" s="182"/>
      <c r="T91" s="184"/>
      <c r="U91" s="182"/>
      <c r="V91" s="185"/>
      <c r="W91" s="182"/>
      <c r="X91" s="180"/>
      <c r="Y91" s="182"/>
      <c r="Z91" s="182"/>
      <c r="AA91" s="182"/>
      <c r="AB91" s="180"/>
      <c r="AC91" s="182"/>
    </row>
    <row r="92" spans="1:29" x14ac:dyDescent="0.15">
      <c r="K92" s="182"/>
      <c r="AC92" s="182"/>
    </row>
    <row r="93" spans="1:29" x14ac:dyDescent="0.15">
      <c r="A93" s="180"/>
      <c r="B93" s="180"/>
      <c r="C93" s="180"/>
      <c r="D93" s="181"/>
      <c r="E93" s="182"/>
      <c r="F93" s="182"/>
      <c r="G93" s="180"/>
      <c r="H93" s="182"/>
      <c r="I93" s="182"/>
      <c r="J93" s="180"/>
      <c r="K93" s="182"/>
      <c r="L93" s="182"/>
      <c r="M93" s="182"/>
      <c r="N93" s="182"/>
      <c r="O93" s="182"/>
      <c r="P93" s="182"/>
      <c r="Q93" s="183"/>
      <c r="R93" s="182"/>
      <c r="S93" s="182"/>
      <c r="T93" s="184"/>
      <c r="U93" s="182"/>
      <c r="V93" s="185"/>
      <c r="W93" s="182"/>
      <c r="X93" s="180"/>
      <c r="Y93" s="182"/>
      <c r="Z93" s="182"/>
      <c r="AA93" s="182"/>
      <c r="AB93" s="180"/>
      <c r="AC93" s="182"/>
    </row>
    <row r="94" spans="1:29" x14ac:dyDescent="0.15">
      <c r="A94" s="180"/>
      <c r="B94" s="180"/>
      <c r="C94" s="180"/>
      <c r="D94" s="181"/>
      <c r="E94" s="182"/>
      <c r="F94" s="182"/>
      <c r="G94" s="180"/>
      <c r="H94" s="182"/>
      <c r="I94" s="182"/>
      <c r="J94" s="180"/>
      <c r="K94" s="182"/>
      <c r="L94" s="182"/>
      <c r="M94" s="182"/>
      <c r="N94" s="182"/>
      <c r="O94" s="182"/>
      <c r="P94" s="182"/>
      <c r="Q94" s="183"/>
      <c r="R94" s="182"/>
      <c r="S94" s="182"/>
      <c r="T94" s="184"/>
      <c r="U94" s="182"/>
      <c r="V94" s="185"/>
      <c r="W94" s="182"/>
      <c r="X94" s="180"/>
      <c r="Y94" s="182"/>
      <c r="Z94" s="182"/>
      <c r="AA94" s="182"/>
      <c r="AB94" s="180"/>
      <c r="AC94" s="182"/>
    </row>
    <row r="95" spans="1:29" x14ac:dyDescent="0.15">
      <c r="A95" s="180"/>
      <c r="B95" s="180"/>
      <c r="C95" s="180"/>
      <c r="D95" s="181"/>
      <c r="E95" s="182"/>
      <c r="F95" s="182"/>
      <c r="G95" s="180"/>
      <c r="H95" s="182"/>
      <c r="I95" s="182"/>
      <c r="J95" s="180"/>
      <c r="K95" s="182"/>
      <c r="L95" s="182"/>
      <c r="M95" s="182"/>
      <c r="N95" s="182"/>
      <c r="O95" s="182"/>
      <c r="P95" s="182"/>
      <c r="Q95" s="183"/>
      <c r="R95" s="182"/>
      <c r="S95" s="182"/>
      <c r="T95" s="184"/>
      <c r="U95" s="182"/>
      <c r="V95" s="185"/>
      <c r="W95" s="182"/>
      <c r="X95" s="180"/>
      <c r="Y95" s="182"/>
      <c r="Z95" s="182"/>
      <c r="AA95" s="182"/>
      <c r="AB95" s="180"/>
      <c r="AC95" s="182"/>
    </row>
    <row r="96" spans="1:29" x14ac:dyDescent="0.15">
      <c r="A96" s="180"/>
      <c r="B96" s="180"/>
      <c r="C96" s="180"/>
      <c r="D96" s="181"/>
      <c r="E96" s="182"/>
      <c r="F96" s="182"/>
      <c r="G96" s="180"/>
      <c r="H96" s="182"/>
      <c r="I96" s="182"/>
      <c r="J96" s="180"/>
      <c r="K96" s="182"/>
      <c r="L96" s="182"/>
      <c r="M96" s="182"/>
      <c r="N96" s="182"/>
      <c r="O96" s="182"/>
      <c r="P96" s="182"/>
      <c r="Q96" s="183"/>
      <c r="R96" s="182"/>
      <c r="S96" s="182"/>
      <c r="T96" s="184"/>
      <c r="U96" s="182"/>
      <c r="V96" s="185"/>
      <c r="W96" s="182"/>
      <c r="X96" s="180"/>
      <c r="Y96" s="182"/>
      <c r="Z96" s="182"/>
      <c r="AA96" s="182"/>
      <c r="AB96" s="180"/>
      <c r="AC96" s="182"/>
    </row>
    <row r="97" spans="1:29" x14ac:dyDescent="0.15">
      <c r="A97" s="180"/>
      <c r="B97" s="180"/>
      <c r="C97" s="180"/>
      <c r="D97" s="181"/>
      <c r="E97" s="182"/>
      <c r="F97" s="182"/>
      <c r="G97" s="180"/>
      <c r="H97" s="182"/>
      <c r="I97" s="182"/>
      <c r="J97" s="180"/>
      <c r="K97" s="182"/>
      <c r="L97" s="182"/>
      <c r="M97" s="182"/>
      <c r="N97" s="182"/>
      <c r="O97" s="182"/>
      <c r="P97" s="182"/>
      <c r="Q97" s="183"/>
      <c r="R97" s="182"/>
      <c r="S97" s="182"/>
      <c r="T97" s="184"/>
      <c r="U97" s="182"/>
      <c r="V97" s="185"/>
      <c r="W97" s="182"/>
      <c r="X97" s="180"/>
      <c r="Y97" s="182"/>
      <c r="Z97" s="182"/>
      <c r="AA97" s="182"/>
      <c r="AB97" s="180"/>
      <c r="AC97" s="182"/>
    </row>
    <row r="98" spans="1:29" x14ac:dyDescent="0.15">
      <c r="A98" s="180"/>
      <c r="B98" s="180"/>
      <c r="C98" s="180"/>
      <c r="D98" s="181"/>
      <c r="E98" s="182"/>
      <c r="F98" s="182"/>
      <c r="G98" s="180"/>
      <c r="H98" s="182"/>
      <c r="I98" s="182"/>
      <c r="J98" s="180"/>
      <c r="K98" s="182"/>
      <c r="L98" s="182"/>
      <c r="M98" s="182"/>
      <c r="N98" s="182"/>
      <c r="O98" s="182"/>
      <c r="P98" s="182"/>
      <c r="Q98" s="183"/>
      <c r="R98" s="182"/>
      <c r="S98" s="182"/>
      <c r="T98" s="184"/>
      <c r="U98" s="182"/>
      <c r="V98" s="185"/>
      <c r="W98" s="182"/>
      <c r="X98" s="180"/>
      <c r="Y98" s="182"/>
      <c r="Z98" s="182"/>
      <c r="AA98" s="182"/>
      <c r="AB98" s="180"/>
      <c r="AC98" s="182"/>
    </row>
    <row r="99" spans="1:29" x14ac:dyDescent="0.15">
      <c r="A99" s="180"/>
      <c r="B99" s="180"/>
      <c r="C99" s="180"/>
      <c r="D99" s="181"/>
      <c r="E99" s="182"/>
      <c r="F99" s="182"/>
      <c r="G99" s="180"/>
      <c r="H99" s="182"/>
      <c r="I99" s="182"/>
      <c r="J99" s="180"/>
      <c r="K99" s="182"/>
      <c r="L99" s="182"/>
      <c r="M99" s="182"/>
      <c r="N99" s="182"/>
      <c r="O99" s="182"/>
      <c r="P99" s="182"/>
      <c r="Q99" s="183"/>
      <c r="R99" s="182"/>
      <c r="S99" s="182"/>
      <c r="T99" s="184"/>
      <c r="U99" s="182"/>
      <c r="V99" s="185"/>
      <c r="W99" s="182"/>
      <c r="X99" s="180"/>
      <c r="Y99" s="182"/>
      <c r="Z99" s="182"/>
      <c r="AA99" s="182"/>
      <c r="AB99" s="180"/>
      <c r="AC99" s="182"/>
    </row>
    <row r="100" spans="1:29" x14ac:dyDescent="0.15">
      <c r="A100" s="180"/>
      <c r="B100" s="180"/>
      <c r="C100" s="180"/>
      <c r="D100" s="181"/>
      <c r="E100" s="182"/>
      <c r="F100" s="182"/>
      <c r="G100" s="180"/>
      <c r="H100" s="182"/>
      <c r="I100" s="182"/>
      <c r="J100" s="180"/>
      <c r="K100" s="182"/>
      <c r="L100" s="182"/>
      <c r="M100" s="182"/>
      <c r="N100" s="182"/>
      <c r="O100" s="182"/>
      <c r="P100" s="182"/>
      <c r="Q100" s="183"/>
      <c r="R100" s="182"/>
      <c r="S100" s="182"/>
      <c r="T100" s="184"/>
      <c r="U100" s="182"/>
      <c r="V100" s="185"/>
      <c r="W100" s="182"/>
      <c r="X100" s="180"/>
      <c r="Y100" s="182"/>
      <c r="Z100" s="182"/>
      <c r="AA100" s="182"/>
      <c r="AB100" s="180"/>
      <c r="AC100" s="182"/>
    </row>
    <row r="101" spans="1:29" x14ac:dyDescent="0.15">
      <c r="A101" s="180"/>
      <c r="B101" s="180"/>
      <c r="C101" s="180"/>
      <c r="D101" s="181"/>
      <c r="E101" s="182"/>
      <c r="F101" s="182"/>
      <c r="G101" s="180"/>
      <c r="H101" s="182"/>
      <c r="I101" s="182"/>
      <c r="J101" s="180"/>
      <c r="K101" s="182"/>
      <c r="L101" s="182"/>
      <c r="M101" s="182"/>
      <c r="N101" s="182"/>
      <c r="O101" s="182"/>
      <c r="P101" s="182"/>
      <c r="Q101" s="183"/>
      <c r="R101" s="182"/>
      <c r="S101" s="182"/>
      <c r="T101" s="184"/>
      <c r="U101" s="182"/>
      <c r="V101" s="185"/>
      <c r="W101" s="182"/>
      <c r="X101" s="180"/>
      <c r="Y101" s="182"/>
      <c r="Z101" s="182"/>
      <c r="AA101" s="182"/>
      <c r="AB101" s="180"/>
      <c r="AC101" s="182"/>
    </row>
    <row r="102" spans="1:29" x14ac:dyDescent="0.15">
      <c r="A102" s="180"/>
      <c r="B102" s="180"/>
      <c r="C102" s="180"/>
      <c r="D102" s="181"/>
      <c r="E102" s="182"/>
      <c r="F102" s="182"/>
      <c r="G102" s="180"/>
      <c r="H102" s="182"/>
      <c r="I102" s="182"/>
      <c r="J102" s="180"/>
      <c r="K102" s="182"/>
      <c r="L102" s="182"/>
      <c r="M102" s="182"/>
      <c r="N102" s="182"/>
      <c r="O102" s="182"/>
      <c r="P102" s="182"/>
      <c r="Q102" s="183"/>
      <c r="R102" s="182"/>
      <c r="S102" s="182"/>
      <c r="T102" s="184"/>
      <c r="U102" s="182"/>
      <c r="V102" s="185"/>
      <c r="W102" s="182"/>
      <c r="X102" s="180"/>
      <c r="Y102" s="182"/>
      <c r="Z102" s="182"/>
      <c r="AA102" s="182"/>
      <c r="AB102" s="180"/>
      <c r="AC102" s="182"/>
    </row>
    <row r="103" spans="1:29" x14ac:dyDescent="0.15">
      <c r="A103" s="180"/>
      <c r="B103" s="180"/>
      <c r="C103" s="180"/>
      <c r="D103" s="181"/>
      <c r="E103" s="182"/>
      <c r="F103" s="182"/>
      <c r="G103" s="180"/>
      <c r="H103" s="182"/>
      <c r="I103" s="182"/>
      <c r="J103" s="180"/>
      <c r="K103" s="182"/>
      <c r="L103" s="182"/>
      <c r="M103" s="182"/>
      <c r="N103" s="182"/>
      <c r="O103" s="182"/>
      <c r="P103" s="182"/>
      <c r="Q103" s="183"/>
      <c r="R103" s="182"/>
      <c r="S103" s="182"/>
      <c r="T103" s="184"/>
      <c r="U103" s="182"/>
      <c r="V103" s="185"/>
      <c r="W103" s="182"/>
      <c r="X103" s="180"/>
      <c r="Y103" s="182"/>
      <c r="Z103" s="182"/>
      <c r="AA103" s="182"/>
      <c r="AB103" s="180"/>
      <c r="AC103" s="182"/>
    </row>
    <row r="104" spans="1:29" x14ac:dyDescent="0.15">
      <c r="A104" s="180"/>
      <c r="B104" s="180"/>
      <c r="C104" s="180"/>
      <c r="D104" s="181"/>
      <c r="E104" s="182"/>
      <c r="F104" s="182"/>
      <c r="G104" s="180"/>
      <c r="H104" s="182"/>
      <c r="I104" s="182"/>
      <c r="J104" s="180"/>
      <c r="K104" s="182"/>
      <c r="L104" s="182"/>
      <c r="M104" s="182"/>
      <c r="N104" s="182"/>
      <c r="O104" s="182"/>
      <c r="P104" s="182"/>
      <c r="Q104" s="183"/>
      <c r="R104" s="182"/>
      <c r="S104" s="182"/>
      <c r="T104" s="184"/>
      <c r="U104" s="182"/>
      <c r="V104" s="185"/>
      <c r="W104" s="182"/>
      <c r="X104" s="180"/>
      <c r="Y104" s="182"/>
      <c r="Z104" s="182"/>
      <c r="AA104" s="182"/>
      <c r="AB104" s="180"/>
      <c r="AC104" s="182"/>
    </row>
    <row r="105" spans="1:29" x14ac:dyDescent="0.15">
      <c r="A105" s="180"/>
      <c r="B105" s="180"/>
      <c r="C105" s="180"/>
      <c r="D105" s="181"/>
      <c r="E105" s="182"/>
      <c r="F105" s="182"/>
      <c r="G105" s="180"/>
      <c r="H105" s="182"/>
      <c r="I105" s="182"/>
      <c r="J105" s="180"/>
      <c r="K105" s="182"/>
      <c r="L105" s="182"/>
      <c r="M105" s="182"/>
      <c r="N105" s="182"/>
      <c r="O105" s="182"/>
      <c r="P105" s="182"/>
      <c r="Q105" s="183"/>
      <c r="R105" s="182"/>
      <c r="S105" s="182"/>
      <c r="T105" s="184"/>
      <c r="U105" s="182"/>
      <c r="V105" s="185"/>
      <c r="W105" s="182"/>
      <c r="X105" s="180"/>
      <c r="Y105" s="182"/>
      <c r="Z105" s="182"/>
      <c r="AA105" s="182"/>
      <c r="AB105" s="180"/>
      <c r="AC105" s="182"/>
    </row>
    <row r="106" spans="1:29" x14ac:dyDescent="0.15">
      <c r="A106" s="180"/>
      <c r="B106" s="180"/>
      <c r="C106" s="180"/>
      <c r="D106" s="181"/>
      <c r="E106" s="182"/>
      <c r="F106" s="182"/>
      <c r="G106" s="180"/>
      <c r="H106" s="182"/>
      <c r="I106" s="182"/>
      <c r="J106" s="180"/>
      <c r="K106" s="182"/>
      <c r="L106" s="182"/>
      <c r="M106" s="182"/>
      <c r="N106" s="182"/>
      <c r="O106" s="182"/>
      <c r="P106" s="182"/>
      <c r="Q106" s="183"/>
      <c r="R106" s="182"/>
      <c r="S106" s="182"/>
      <c r="T106" s="184"/>
      <c r="U106" s="182"/>
      <c r="V106" s="185"/>
      <c r="W106" s="182"/>
      <c r="X106" s="180"/>
      <c r="Y106" s="182"/>
      <c r="Z106" s="182"/>
      <c r="AA106" s="182"/>
      <c r="AB106" s="180"/>
      <c r="AC106" s="182"/>
    </row>
    <row r="107" spans="1:29" x14ac:dyDescent="0.15">
      <c r="A107" s="180"/>
      <c r="B107" s="180"/>
      <c r="C107" s="180"/>
      <c r="D107" s="181"/>
      <c r="E107" s="182"/>
      <c r="F107" s="182"/>
      <c r="G107" s="180"/>
      <c r="H107" s="182"/>
      <c r="I107" s="182"/>
      <c r="J107" s="180"/>
      <c r="K107" s="182"/>
      <c r="L107" s="182"/>
      <c r="M107" s="182"/>
      <c r="N107" s="182"/>
      <c r="O107" s="182"/>
      <c r="P107" s="182"/>
      <c r="Q107" s="183"/>
      <c r="R107" s="182"/>
      <c r="S107" s="182"/>
      <c r="T107" s="184"/>
      <c r="U107" s="182"/>
      <c r="V107" s="185"/>
      <c r="W107" s="182"/>
      <c r="X107" s="180"/>
      <c r="Y107" s="182"/>
      <c r="Z107" s="182"/>
      <c r="AA107" s="182"/>
      <c r="AB107" s="180"/>
      <c r="AC107" s="182"/>
    </row>
    <row r="108" spans="1:29" x14ac:dyDescent="0.15">
      <c r="A108" s="180"/>
      <c r="B108" s="180"/>
      <c r="C108" s="180"/>
      <c r="D108" s="181"/>
      <c r="E108" s="182"/>
      <c r="F108" s="182"/>
      <c r="G108" s="180"/>
      <c r="H108" s="182"/>
      <c r="I108" s="182"/>
      <c r="J108" s="180"/>
      <c r="K108" s="182"/>
      <c r="L108" s="182"/>
      <c r="M108" s="182"/>
      <c r="N108" s="182"/>
      <c r="O108" s="182"/>
      <c r="P108" s="182"/>
      <c r="Q108" s="183"/>
      <c r="R108" s="182"/>
      <c r="S108" s="182"/>
      <c r="T108" s="184"/>
      <c r="U108" s="182"/>
      <c r="V108" s="185"/>
      <c r="W108" s="182"/>
      <c r="X108" s="180"/>
      <c r="Y108" s="182"/>
      <c r="Z108" s="182"/>
      <c r="AA108" s="182"/>
      <c r="AB108" s="180"/>
      <c r="AC108" s="182"/>
    </row>
    <row r="109" spans="1:29" x14ac:dyDescent="0.15">
      <c r="A109" s="180"/>
      <c r="B109" s="180"/>
      <c r="C109" s="180"/>
      <c r="D109" s="181"/>
      <c r="E109" s="182"/>
      <c r="F109" s="182"/>
      <c r="G109" s="180"/>
      <c r="H109" s="182"/>
      <c r="I109" s="182"/>
      <c r="J109" s="180"/>
      <c r="K109" s="182"/>
      <c r="L109" s="182"/>
      <c r="M109" s="182"/>
      <c r="N109" s="182"/>
      <c r="O109" s="182"/>
      <c r="P109" s="182"/>
      <c r="Q109" s="183"/>
      <c r="R109" s="182"/>
      <c r="S109" s="182"/>
      <c r="T109" s="184"/>
      <c r="U109" s="182"/>
      <c r="V109" s="185"/>
      <c r="W109" s="182"/>
      <c r="X109" s="180"/>
      <c r="Y109" s="182"/>
      <c r="Z109" s="182"/>
      <c r="AA109" s="182"/>
      <c r="AB109" s="180"/>
      <c r="AC109" s="182"/>
    </row>
    <row r="110" spans="1:29" x14ac:dyDescent="0.15">
      <c r="A110" s="182"/>
      <c r="B110" s="182"/>
      <c r="C110" s="182"/>
      <c r="D110" s="182"/>
      <c r="E110" s="182"/>
      <c r="F110" s="182"/>
      <c r="G110" s="182"/>
      <c r="H110" s="182"/>
      <c r="I110" s="182"/>
      <c r="J110" s="182"/>
      <c r="K110" s="182"/>
      <c r="L110" s="182"/>
      <c r="M110" s="182"/>
      <c r="N110" s="182"/>
      <c r="O110" s="182"/>
      <c r="P110" s="182"/>
      <c r="Q110" s="184"/>
      <c r="R110" s="182"/>
      <c r="S110" s="182"/>
      <c r="T110" s="184"/>
      <c r="U110" s="182"/>
      <c r="V110" s="184"/>
      <c r="W110" s="182"/>
      <c r="X110" s="182"/>
      <c r="Y110" s="182"/>
      <c r="Z110" s="182"/>
      <c r="AA110" s="182"/>
      <c r="AB110" s="182"/>
      <c r="AC110" s="182"/>
    </row>
    <row r="111" spans="1:29" x14ac:dyDescent="0.15">
      <c r="A111" s="182"/>
      <c r="B111" s="182"/>
      <c r="C111" s="182"/>
      <c r="D111" s="182"/>
      <c r="E111" s="182"/>
      <c r="F111" s="182"/>
      <c r="G111" s="182"/>
      <c r="H111" s="182"/>
      <c r="I111" s="182"/>
      <c r="J111" s="182"/>
      <c r="K111" s="182"/>
      <c r="L111" s="182" t="s">
        <v>396</v>
      </c>
      <c r="M111" s="182"/>
      <c r="N111" s="182"/>
      <c r="O111" s="182"/>
      <c r="P111" s="182"/>
      <c r="Q111" s="184"/>
      <c r="R111" s="182"/>
      <c r="S111" s="182"/>
      <c r="T111" s="184"/>
      <c r="U111" s="182"/>
      <c r="V111" s="184"/>
      <c r="W111" s="182"/>
      <c r="X111" s="182"/>
      <c r="Y111" s="182"/>
      <c r="Z111" s="182"/>
      <c r="AA111" s="182"/>
      <c r="AB111" s="182"/>
      <c r="AC111" s="182"/>
    </row>
    <row r="112" spans="1:29" x14ac:dyDescent="0.15">
      <c r="K112" s="182"/>
    </row>
    <row r="113" spans="11:11" x14ac:dyDescent="0.15">
      <c r="K113" s="182"/>
    </row>
    <row r="114" spans="11:11" x14ac:dyDescent="0.15">
      <c r="K114" s="182"/>
    </row>
    <row r="115" spans="11:11" x14ac:dyDescent="0.15">
      <c r="K115" s="182"/>
    </row>
    <row r="116" spans="11:11" x14ac:dyDescent="0.15">
      <c r="K116" s="182"/>
    </row>
    <row r="117" spans="11:11" x14ac:dyDescent="0.15">
      <c r="K117" s="182"/>
    </row>
  </sheetData>
  <autoFilter ref="A1:BA1">
    <sortState ref="A2:BA76">
      <sortCondition ref="Y1"/>
    </sortState>
  </autoFilter>
  <phoneticPr fontId="3"/>
  <dataValidations count="21">
    <dataValidation type="list" allowBlank="1" showInputMessage="1" showErrorMessage="1" sqref="K2:K117">
      <formula1>$AR$2:$AR$29</formula1>
    </dataValidation>
    <dataValidation type="list" allowBlank="1" showInputMessage="1" showErrorMessage="1" sqref="I64403:I64408 WVQ981886:WVQ981891 WLU981886:WLU981891 WBY981886:WBY981891 VSC981886:VSC981891 VIG981886:VIG981891 UYK981886:UYK981891 UOO981886:UOO981891 UES981886:UES981891 TUW981886:TUW981891 TLA981886:TLA981891 TBE981886:TBE981891 SRI981886:SRI981891 SHM981886:SHM981891 RXQ981886:RXQ981891 RNU981886:RNU981891 RDY981886:RDY981891 QUC981886:QUC981891 QKG981886:QKG981891 QAK981886:QAK981891 PQO981886:PQO981891 PGS981886:PGS981891 OWW981886:OWW981891 ONA981886:ONA981891 ODE981886:ODE981891 NTI981886:NTI981891 NJM981886:NJM981891 MZQ981886:MZQ981891 MPU981886:MPU981891 MFY981886:MFY981891 LWC981886:LWC981891 LMG981886:LMG981891 LCK981886:LCK981891 KSO981886:KSO981891 KIS981886:KIS981891 JYW981886:JYW981891 JPA981886:JPA981891 JFE981886:JFE981891 IVI981886:IVI981891 ILM981886:ILM981891 IBQ981886:IBQ981891 HRU981886:HRU981891 HHY981886:HHY981891 GYC981886:GYC981891 GOG981886:GOG981891 GEK981886:GEK981891 FUO981886:FUO981891 FKS981886:FKS981891 FAW981886:FAW981891 ERA981886:ERA981891 EHE981886:EHE981891 DXI981886:DXI981891 DNM981886:DNM981891 DDQ981886:DDQ981891 CTU981886:CTU981891 CJY981886:CJY981891 CAC981886:CAC981891 BQG981886:BQG981891 BGK981886:BGK981891 AWO981886:AWO981891 AMS981886:AMS981891 ACW981886:ACW981891 TA981886:TA981891 JE981886:JE981891 I981907:I981912 WVQ916350:WVQ916355 WLU916350:WLU916355 WBY916350:WBY916355 VSC916350:VSC916355 VIG916350:VIG916355 UYK916350:UYK916355 UOO916350:UOO916355 UES916350:UES916355 TUW916350:TUW916355 TLA916350:TLA916355 TBE916350:TBE916355 SRI916350:SRI916355 SHM916350:SHM916355 RXQ916350:RXQ916355 RNU916350:RNU916355 RDY916350:RDY916355 QUC916350:QUC916355 QKG916350:QKG916355 QAK916350:QAK916355 PQO916350:PQO916355 PGS916350:PGS916355 OWW916350:OWW916355 ONA916350:ONA916355 ODE916350:ODE916355 NTI916350:NTI916355 NJM916350:NJM916355 MZQ916350:MZQ916355 MPU916350:MPU916355 MFY916350:MFY916355 LWC916350:LWC916355 LMG916350:LMG916355 LCK916350:LCK916355 KSO916350:KSO916355 KIS916350:KIS916355 JYW916350:JYW916355 JPA916350:JPA916355 JFE916350:JFE916355 IVI916350:IVI916355 ILM916350:ILM916355 IBQ916350:IBQ916355 HRU916350:HRU916355 HHY916350:HHY916355 GYC916350:GYC916355 GOG916350:GOG916355 GEK916350:GEK916355 FUO916350:FUO916355 FKS916350:FKS916355 FAW916350:FAW916355 ERA916350:ERA916355 EHE916350:EHE916355 DXI916350:DXI916355 DNM916350:DNM916355 DDQ916350:DDQ916355 CTU916350:CTU916355 CJY916350:CJY916355 CAC916350:CAC916355 BQG916350:BQG916355 BGK916350:BGK916355 AWO916350:AWO916355 AMS916350:AMS916355 ACW916350:ACW916355 TA916350:TA916355 JE916350:JE916355 I916371:I916376 WVQ850814:WVQ850819 WLU850814:WLU850819 WBY850814:WBY850819 VSC850814:VSC850819 VIG850814:VIG850819 UYK850814:UYK850819 UOO850814:UOO850819 UES850814:UES850819 TUW850814:TUW850819 TLA850814:TLA850819 TBE850814:TBE850819 SRI850814:SRI850819 SHM850814:SHM850819 RXQ850814:RXQ850819 RNU850814:RNU850819 RDY850814:RDY850819 QUC850814:QUC850819 QKG850814:QKG850819 QAK850814:QAK850819 PQO850814:PQO850819 PGS850814:PGS850819 OWW850814:OWW850819 ONA850814:ONA850819 ODE850814:ODE850819 NTI850814:NTI850819 NJM850814:NJM850819 MZQ850814:MZQ850819 MPU850814:MPU850819 MFY850814:MFY850819 LWC850814:LWC850819 LMG850814:LMG850819 LCK850814:LCK850819 KSO850814:KSO850819 KIS850814:KIS850819 JYW850814:JYW850819 JPA850814:JPA850819 JFE850814:JFE850819 IVI850814:IVI850819 ILM850814:ILM850819 IBQ850814:IBQ850819 HRU850814:HRU850819 HHY850814:HHY850819 GYC850814:GYC850819 GOG850814:GOG850819 GEK850814:GEK850819 FUO850814:FUO850819 FKS850814:FKS850819 FAW850814:FAW850819 ERA850814:ERA850819 EHE850814:EHE850819 DXI850814:DXI850819 DNM850814:DNM850819 DDQ850814:DDQ850819 CTU850814:CTU850819 CJY850814:CJY850819 CAC850814:CAC850819 BQG850814:BQG850819 BGK850814:BGK850819 AWO850814:AWO850819 AMS850814:AMS850819 ACW850814:ACW850819 TA850814:TA850819 JE850814:JE850819 I850835:I850840 WVQ785278:WVQ785283 WLU785278:WLU785283 WBY785278:WBY785283 VSC785278:VSC785283 VIG785278:VIG785283 UYK785278:UYK785283 UOO785278:UOO785283 UES785278:UES785283 TUW785278:TUW785283 TLA785278:TLA785283 TBE785278:TBE785283 SRI785278:SRI785283 SHM785278:SHM785283 RXQ785278:RXQ785283 RNU785278:RNU785283 RDY785278:RDY785283 QUC785278:QUC785283 QKG785278:QKG785283 QAK785278:QAK785283 PQO785278:PQO785283 PGS785278:PGS785283 OWW785278:OWW785283 ONA785278:ONA785283 ODE785278:ODE785283 NTI785278:NTI785283 NJM785278:NJM785283 MZQ785278:MZQ785283 MPU785278:MPU785283 MFY785278:MFY785283 LWC785278:LWC785283 LMG785278:LMG785283 LCK785278:LCK785283 KSO785278:KSO785283 KIS785278:KIS785283 JYW785278:JYW785283 JPA785278:JPA785283 JFE785278:JFE785283 IVI785278:IVI785283 ILM785278:ILM785283 IBQ785278:IBQ785283 HRU785278:HRU785283 HHY785278:HHY785283 GYC785278:GYC785283 GOG785278:GOG785283 GEK785278:GEK785283 FUO785278:FUO785283 FKS785278:FKS785283 FAW785278:FAW785283 ERA785278:ERA785283 EHE785278:EHE785283 DXI785278:DXI785283 DNM785278:DNM785283 DDQ785278:DDQ785283 CTU785278:CTU785283 CJY785278:CJY785283 CAC785278:CAC785283 BQG785278:BQG785283 BGK785278:BGK785283 AWO785278:AWO785283 AMS785278:AMS785283 ACW785278:ACW785283 TA785278:TA785283 JE785278:JE785283 I785299:I785304 WVQ719742:WVQ719747 WLU719742:WLU719747 WBY719742:WBY719747 VSC719742:VSC719747 VIG719742:VIG719747 UYK719742:UYK719747 UOO719742:UOO719747 UES719742:UES719747 TUW719742:TUW719747 TLA719742:TLA719747 TBE719742:TBE719747 SRI719742:SRI719747 SHM719742:SHM719747 RXQ719742:RXQ719747 RNU719742:RNU719747 RDY719742:RDY719747 QUC719742:QUC719747 QKG719742:QKG719747 QAK719742:QAK719747 PQO719742:PQO719747 PGS719742:PGS719747 OWW719742:OWW719747 ONA719742:ONA719747 ODE719742:ODE719747 NTI719742:NTI719747 NJM719742:NJM719747 MZQ719742:MZQ719747 MPU719742:MPU719747 MFY719742:MFY719747 LWC719742:LWC719747 LMG719742:LMG719747 LCK719742:LCK719747 KSO719742:KSO719747 KIS719742:KIS719747 JYW719742:JYW719747 JPA719742:JPA719747 JFE719742:JFE719747 IVI719742:IVI719747 ILM719742:ILM719747 IBQ719742:IBQ719747 HRU719742:HRU719747 HHY719742:HHY719747 GYC719742:GYC719747 GOG719742:GOG719747 GEK719742:GEK719747 FUO719742:FUO719747 FKS719742:FKS719747 FAW719742:FAW719747 ERA719742:ERA719747 EHE719742:EHE719747 DXI719742:DXI719747 DNM719742:DNM719747 DDQ719742:DDQ719747 CTU719742:CTU719747 CJY719742:CJY719747 CAC719742:CAC719747 BQG719742:BQG719747 BGK719742:BGK719747 AWO719742:AWO719747 AMS719742:AMS719747 ACW719742:ACW719747 TA719742:TA719747 JE719742:JE719747 I719763:I719768 WVQ654206:WVQ654211 WLU654206:WLU654211 WBY654206:WBY654211 VSC654206:VSC654211 VIG654206:VIG654211 UYK654206:UYK654211 UOO654206:UOO654211 UES654206:UES654211 TUW654206:TUW654211 TLA654206:TLA654211 TBE654206:TBE654211 SRI654206:SRI654211 SHM654206:SHM654211 RXQ654206:RXQ654211 RNU654206:RNU654211 RDY654206:RDY654211 QUC654206:QUC654211 QKG654206:QKG654211 QAK654206:QAK654211 PQO654206:PQO654211 PGS654206:PGS654211 OWW654206:OWW654211 ONA654206:ONA654211 ODE654206:ODE654211 NTI654206:NTI654211 NJM654206:NJM654211 MZQ654206:MZQ654211 MPU654206:MPU654211 MFY654206:MFY654211 LWC654206:LWC654211 LMG654206:LMG654211 LCK654206:LCK654211 KSO654206:KSO654211 KIS654206:KIS654211 JYW654206:JYW654211 JPA654206:JPA654211 JFE654206:JFE654211 IVI654206:IVI654211 ILM654206:ILM654211 IBQ654206:IBQ654211 HRU654206:HRU654211 HHY654206:HHY654211 GYC654206:GYC654211 GOG654206:GOG654211 GEK654206:GEK654211 FUO654206:FUO654211 FKS654206:FKS654211 FAW654206:FAW654211 ERA654206:ERA654211 EHE654206:EHE654211 DXI654206:DXI654211 DNM654206:DNM654211 DDQ654206:DDQ654211 CTU654206:CTU654211 CJY654206:CJY654211 CAC654206:CAC654211 BQG654206:BQG654211 BGK654206:BGK654211 AWO654206:AWO654211 AMS654206:AMS654211 ACW654206:ACW654211 TA654206:TA654211 JE654206:JE654211 I654227:I654232 WVQ588670:WVQ588675 WLU588670:WLU588675 WBY588670:WBY588675 VSC588670:VSC588675 VIG588670:VIG588675 UYK588670:UYK588675 UOO588670:UOO588675 UES588670:UES588675 TUW588670:TUW588675 TLA588670:TLA588675 TBE588670:TBE588675 SRI588670:SRI588675 SHM588670:SHM588675 RXQ588670:RXQ588675 RNU588670:RNU588675 RDY588670:RDY588675 QUC588670:QUC588675 QKG588670:QKG588675 QAK588670:QAK588675 PQO588670:PQO588675 PGS588670:PGS588675 OWW588670:OWW588675 ONA588670:ONA588675 ODE588670:ODE588675 NTI588670:NTI588675 NJM588670:NJM588675 MZQ588670:MZQ588675 MPU588670:MPU588675 MFY588670:MFY588675 LWC588670:LWC588675 LMG588670:LMG588675 LCK588670:LCK588675 KSO588670:KSO588675 KIS588670:KIS588675 JYW588670:JYW588675 JPA588670:JPA588675 JFE588670:JFE588675 IVI588670:IVI588675 ILM588670:ILM588675 IBQ588670:IBQ588675 HRU588670:HRU588675 HHY588670:HHY588675 GYC588670:GYC588675 GOG588670:GOG588675 GEK588670:GEK588675 FUO588670:FUO588675 FKS588670:FKS588675 FAW588670:FAW588675 ERA588670:ERA588675 EHE588670:EHE588675 DXI588670:DXI588675 DNM588670:DNM588675 DDQ588670:DDQ588675 CTU588670:CTU588675 CJY588670:CJY588675 CAC588670:CAC588675 BQG588670:BQG588675 BGK588670:BGK588675 AWO588670:AWO588675 AMS588670:AMS588675 ACW588670:ACW588675 TA588670:TA588675 JE588670:JE588675 I588691:I588696 WVQ523134:WVQ523139 WLU523134:WLU523139 WBY523134:WBY523139 VSC523134:VSC523139 VIG523134:VIG523139 UYK523134:UYK523139 UOO523134:UOO523139 UES523134:UES523139 TUW523134:TUW523139 TLA523134:TLA523139 TBE523134:TBE523139 SRI523134:SRI523139 SHM523134:SHM523139 RXQ523134:RXQ523139 RNU523134:RNU523139 RDY523134:RDY523139 QUC523134:QUC523139 QKG523134:QKG523139 QAK523134:QAK523139 PQO523134:PQO523139 PGS523134:PGS523139 OWW523134:OWW523139 ONA523134:ONA523139 ODE523134:ODE523139 NTI523134:NTI523139 NJM523134:NJM523139 MZQ523134:MZQ523139 MPU523134:MPU523139 MFY523134:MFY523139 LWC523134:LWC523139 LMG523134:LMG523139 LCK523134:LCK523139 KSO523134:KSO523139 KIS523134:KIS523139 JYW523134:JYW523139 JPA523134:JPA523139 JFE523134:JFE523139 IVI523134:IVI523139 ILM523134:ILM523139 IBQ523134:IBQ523139 HRU523134:HRU523139 HHY523134:HHY523139 GYC523134:GYC523139 GOG523134:GOG523139 GEK523134:GEK523139 FUO523134:FUO523139 FKS523134:FKS523139 FAW523134:FAW523139 ERA523134:ERA523139 EHE523134:EHE523139 DXI523134:DXI523139 DNM523134:DNM523139 DDQ523134:DDQ523139 CTU523134:CTU523139 CJY523134:CJY523139 CAC523134:CAC523139 BQG523134:BQG523139 BGK523134:BGK523139 AWO523134:AWO523139 AMS523134:AMS523139 ACW523134:ACW523139 TA523134:TA523139 JE523134:JE523139 I523155:I523160 WVQ457598:WVQ457603 WLU457598:WLU457603 WBY457598:WBY457603 VSC457598:VSC457603 VIG457598:VIG457603 UYK457598:UYK457603 UOO457598:UOO457603 UES457598:UES457603 TUW457598:TUW457603 TLA457598:TLA457603 TBE457598:TBE457603 SRI457598:SRI457603 SHM457598:SHM457603 RXQ457598:RXQ457603 RNU457598:RNU457603 RDY457598:RDY457603 QUC457598:QUC457603 QKG457598:QKG457603 QAK457598:QAK457603 PQO457598:PQO457603 PGS457598:PGS457603 OWW457598:OWW457603 ONA457598:ONA457603 ODE457598:ODE457603 NTI457598:NTI457603 NJM457598:NJM457603 MZQ457598:MZQ457603 MPU457598:MPU457603 MFY457598:MFY457603 LWC457598:LWC457603 LMG457598:LMG457603 LCK457598:LCK457603 KSO457598:KSO457603 KIS457598:KIS457603 JYW457598:JYW457603 JPA457598:JPA457603 JFE457598:JFE457603 IVI457598:IVI457603 ILM457598:ILM457603 IBQ457598:IBQ457603 HRU457598:HRU457603 HHY457598:HHY457603 GYC457598:GYC457603 GOG457598:GOG457603 GEK457598:GEK457603 FUO457598:FUO457603 FKS457598:FKS457603 FAW457598:FAW457603 ERA457598:ERA457603 EHE457598:EHE457603 DXI457598:DXI457603 DNM457598:DNM457603 DDQ457598:DDQ457603 CTU457598:CTU457603 CJY457598:CJY457603 CAC457598:CAC457603 BQG457598:BQG457603 BGK457598:BGK457603 AWO457598:AWO457603 AMS457598:AMS457603 ACW457598:ACW457603 TA457598:TA457603 JE457598:JE457603 I457619:I457624 WVQ392062:WVQ392067 WLU392062:WLU392067 WBY392062:WBY392067 VSC392062:VSC392067 VIG392062:VIG392067 UYK392062:UYK392067 UOO392062:UOO392067 UES392062:UES392067 TUW392062:TUW392067 TLA392062:TLA392067 TBE392062:TBE392067 SRI392062:SRI392067 SHM392062:SHM392067 RXQ392062:RXQ392067 RNU392062:RNU392067 RDY392062:RDY392067 QUC392062:QUC392067 QKG392062:QKG392067 QAK392062:QAK392067 PQO392062:PQO392067 PGS392062:PGS392067 OWW392062:OWW392067 ONA392062:ONA392067 ODE392062:ODE392067 NTI392062:NTI392067 NJM392062:NJM392067 MZQ392062:MZQ392067 MPU392062:MPU392067 MFY392062:MFY392067 LWC392062:LWC392067 LMG392062:LMG392067 LCK392062:LCK392067 KSO392062:KSO392067 KIS392062:KIS392067 JYW392062:JYW392067 JPA392062:JPA392067 JFE392062:JFE392067 IVI392062:IVI392067 ILM392062:ILM392067 IBQ392062:IBQ392067 HRU392062:HRU392067 HHY392062:HHY392067 GYC392062:GYC392067 GOG392062:GOG392067 GEK392062:GEK392067 FUO392062:FUO392067 FKS392062:FKS392067 FAW392062:FAW392067 ERA392062:ERA392067 EHE392062:EHE392067 DXI392062:DXI392067 DNM392062:DNM392067 DDQ392062:DDQ392067 CTU392062:CTU392067 CJY392062:CJY392067 CAC392062:CAC392067 BQG392062:BQG392067 BGK392062:BGK392067 AWO392062:AWO392067 AMS392062:AMS392067 ACW392062:ACW392067 TA392062:TA392067 JE392062:JE392067 I392083:I392088 WVQ326526:WVQ326531 WLU326526:WLU326531 WBY326526:WBY326531 VSC326526:VSC326531 VIG326526:VIG326531 UYK326526:UYK326531 UOO326526:UOO326531 UES326526:UES326531 TUW326526:TUW326531 TLA326526:TLA326531 TBE326526:TBE326531 SRI326526:SRI326531 SHM326526:SHM326531 RXQ326526:RXQ326531 RNU326526:RNU326531 RDY326526:RDY326531 QUC326526:QUC326531 QKG326526:QKG326531 QAK326526:QAK326531 PQO326526:PQO326531 PGS326526:PGS326531 OWW326526:OWW326531 ONA326526:ONA326531 ODE326526:ODE326531 NTI326526:NTI326531 NJM326526:NJM326531 MZQ326526:MZQ326531 MPU326526:MPU326531 MFY326526:MFY326531 LWC326526:LWC326531 LMG326526:LMG326531 LCK326526:LCK326531 KSO326526:KSO326531 KIS326526:KIS326531 JYW326526:JYW326531 JPA326526:JPA326531 JFE326526:JFE326531 IVI326526:IVI326531 ILM326526:ILM326531 IBQ326526:IBQ326531 HRU326526:HRU326531 HHY326526:HHY326531 GYC326526:GYC326531 GOG326526:GOG326531 GEK326526:GEK326531 FUO326526:FUO326531 FKS326526:FKS326531 FAW326526:FAW326531 ERA326526:ERA326531 EHE326526:EHE326531 DXI326526:DXI326531 DNM326526:DNM326531 DDQ326526:DDQ326531 CTU326526:CTU326531 CJY326526:CJY326531 CAC326526:CAC326531 BQG326526:BQG326531 BGK326526:BGK326531 AWO326526:AWO326531 AMS326526:AMS326531 ACW326526:ACW326531 TA326526:TA326531 JE326526:JE326531 I326547:I326552 WVQ260990:WVQ260995 WLU260990:WLU260995 WBY260990:WBY260995 VSC260990:VSC260995 VIG260990:VIG260995 UYK260990:UYK260995 UOO260990:UOO260995 UES260990:UES260995 TUW260990:TUW260995 TLA260990:TLA260995 TBE260990:TBE260995 SRI260990:SRI260995 SHM260990:SHM260995 RXQ260990:RXQ260995 RNU260990:RNU260995 RDY260990:RDY260995 QUC260990:QUC260995 QKG260990:QKG260995 QAK260990:QAK260995 PQO260990:PQO260995 PGS260990:PGS260995 OWW260990:OWW260995 ONA260990:ONA260995 ODE260990:ODE260995 NTI260990:NTI260995 NJM260990:NJM260995 MZQ260990:MZQ260995 MPU260990:MPU260995 MFY260990:MFY260995 LWC260990:LWC260995 LMG260990:LMG260995 LCK260990:LCK260995 KSO260990:KSO260995 KIS260990:KIS260995 JYW260990:JYW260995 JPA260990:JPA260995 JFE260990:JFE260995 IVI260990:IVI260995 ILM260990:ILM260995 IBQ260990:IBQ260995 HRU260990:HRU260995 HHY260990:HHY260995 GYC260990:GYC260995 GOG260990:GOG260995 GEK260990:GEK260995 FUO260990:FUO260995 FKS260990:FKS260995 FAW260990:FAW260995 ERA260990:ERA260995 EHE260990:EHE260995 DXI260990:DXI260995 DNM260990:DNM260995 DDQ260990:DDQ260995 CTU260990:CTU260995 CJY260990:CJY260995 CAC260990:CAC260995 BQG260990:BQG260995 BGK260990:BGK260995 AWO260990:AWO260995 AMS260990:AMS260995 ACW260990:ACW260995 TA260990:TA260995 JE260990:JE260995 I261011:I261016 WVQ195454:WVQ195459 WLU195454:WLU195459 WBY195454:WBY195459 VSC195454:VSC195459 VIG195454:VIG195459 UYK195454:UYK195459 UOO195454:UOO195459 UES195454:UES195459 TUW195454:TUW195459 TLA195454:TLA195459 TBE195454:TBE195459 SRI195454:SRI195459 SHM195454:SHM195459 RXQ195454:RXQ195459 RNU195454:RNU195459 RDY195454:RDY195459 QUC195454:QUC195459 QKG195454:QKG195459 QAK195454:QAK195459 PQO195454:PQO195459 PGS195454:PGS195459 OWW195454:OWW195459 ONA195454:ONA195459 ODE195454:ODE195459 NTI195454:NTI195459 NJM195454:NJM195459 MZQ195454:MZQ195459 MPU195454:MPU195459 MFY195454:MFY195459 LWC195454:LWC195459 LMG195454:LMG195459 LCK195454:LCK195459 KSO195454:KSO195459 KIS195454:KIS195459 JYW195454:JYW195459 JPA195454:JPA195459 JFE195454:JFE195459 IVI195454:IVI195459 ILM195454:ILM195459 IBQ195454:IBQ195459 HRU195454:HRU195459 HHY195454:HHY195459 GYC195454:GYC195459 GOG195454:GOG195459 GEK195454:GEK195459 FUO195454:FUO195459 FKS195454:FKS195459 FAW195454:FAW195459 ERA195454:ERA195459 EHE195454:EHE195459 DXI195454:DXI195459 DNM195454:DNM195459 DDQ195454:DDQ195459 CTU195454:CTU195459 CJY195454:CJY195459 CAC195454:CAC195459 BQG195454:BQG195459 BGK195454:BGK195459 AWO195454:AWO195459 AMS195454:AMS195459 ACW195454:ACW195459 TA195454:TA195459 JE195454:JE195459 I195475:I195480 WVQ129918:WVQ129923 WLU129918:WLU129923 WBY129918:WBY129923 VSC129918:VSC129923 VIG129918:VIG129923 UYK129918:UYK129923 UOO129918:UOO129923 UES129918:UES129923 TUW129918:TUW129923 TLA129918:TLA129923 TBE129918:TBE129923 SRI129918:SRI129923 SHM129918:SHM129923 RXQ129918:RXQ129923 RNU129918:RNU129923 RDY129918:RDY129923 QUC129918:QUC129923 QKG129918:QKG129923 QAK129918:QAK129923 PQO129918:PQO129923 PGS129918:PGS129923 OWW129918:OWW129923 ONA129918:ONA129923 ODE129918:ODE129923 NTI129918:NTI129923 NJM129918:NJM129923 MZQ129918:MZQ129923 MPU129918:MPU129923 MFY129918:MFY129923 LWC129918:LWC129923 LMG129918:LMG129923 LCK129918:LCK129923 KSO129918:KSO129923 KIS129918:KIS129923 JYW129918:JYW129923 JPA129918:JPA129923 JFE129918:JFE129923 IVI129918:IVI129923 ILM129918:ILM129923 IBQ129918:IBQ129923 HRU129918:HRU129923 HHY129918:HHY129923 GYC129918:GYC129923 GOG129918:GOG129923 GEK129918:GEK129923 FUO129918:FUO129923 FKS129918:FKS129923 FAW129918:FAW129923 ERA129918:ERA129923 EHE129918:EHE129923 DXI129918:DXI129923 DNM129918:DNM129923 DDQ129918:DDQ129923 CTU129918:CTU129923 CJY129918:CJY129923 CAC129918:CAC129923 BQG129918:BQG129923 BGK129918:BGK129923 AWO129918:AWO129923 AMS129918:AMS129923 ACW129918:ACW129923 TA129918:TA129923 JE129918:JE129923 I129939:I129944 WVQ64382:WVQ64387 WLU64382:WLU64387 WBY64382:WBY64387 VSC64382:VSC64387 VIG64382:VIG64387 UYK64382:UYK64387 UOO64382:UOO64387 UES64382:UES64387 TUW64382:TUW64387 TLA64382:TLA64387 TBE64382:TBE64387 SRI64382:SRI64387 SHM64382:SHM64387 RXQ64382:RXQ64387 RNU64382:RNU64387 RDY64382:RDY64387 QUC64382:QUC64387 QKG64382:QKG64387 QAK64382:QAK64387 PQO64382:PQO64387 PGS64382:PGS64387 OWW64382:OWW64387 ONA64382:ONA64387 ODE64382:ODE64387 NTI64382:NTI64387 NJM64382:NJM64387 MZQ64382:MZQ64387 MPU64382:MPU64387 MFY64382:MFY64387 LWC64382:LWC64387 LMG64382:LMG64387 LCK64382:LCK64387 KSO64382:KSO64387 KIS64382:KIS64387 JYW64382:JYW64387 JPA64382:JPA64387 JFE64382:JFE64387 IVI64382:IVI64387 ILM64382:ILM64387 IBQ64382:IBQ64387 HRU64382:HRU64387 HHY64382:HHY64387 GYC64382:GYC64387 GOG64382:GOG64387 GEK64382:GEK64387 FUO64382:FUO64387 FKS64382:FKS64387 FAW64382:FAW64387 ERA64382:ERA64387 EHE64382:EHE64387 DXI64382:DXI64387 DNM64382:DNM64387 DDQ64382:DDQ64387 CTU64382:CTU64387 CJY64382:CJY64387 CAC64382:CAC64387 BQG64382:BQG64387 BGK64382:BGK64387 AWO64382:AWO64387 AMS64382:AMS64387 ACW64382:ACW64387 TA64382:TA64387 JE64382:JE64387">
      <formula1>$AN$8:$AN$9</formula1>
    </dataValidation>
    <dataValidation type="list" allowBlank="1" showInputMessage="1" showErrorMessage="1" sqref="WVS981802:WVS981891 WVS2:WVS70 WLW2:WLW70 WCA2:WCA70 VSE2:VSE70 VII2:VII70 UYM2:UYM70 UOQ2:UOQ70 UEU2:UEU70 TUY2:TUY70 TLC2:TLC70 TBG2:TBG70 SRK2:SRK70 SHO2:SHO70 RXS2:RXS70 RNW2:RNW70 REA2:REA70 QUE2:QUE70 QKI2:QKI70 QAM2:QAM70 PQQ2:PQQ70 PGU2:PGU70 OWY2:OWY70 ONC2:ONC70 ODG2:ODG70 NTK2:NTK70 NJO2:NJO70 MZS2:MZS70 MPW2:MPW70 MGA2:MGA70 LWE2:LWE70 LMI2:LMI70 LCM2:LCM70 KSQ2:KSQ70 KIU2:KIU70 JYY2:JYY70 JPC2:JPC70 JFG2:JFG70 IVK2:IVK70 ILO2:ILO70 IBS2:IBS70 HRW2:HRW70 HIA2:HIA70 GYE2:GYE70 GOI2:GOI70 GEM2:GEM70 FUQ2:FUQ70 FKU2:FKU70 FAY2:FAY70 ERC2:ERC70 EHG2:EHG70 DXK2:DXK70 DNO2:DNO70 DDS2:DDS70 CTW2:CTW70 CKA2:CKA70 CAE2:CAE70 BQI2:BQI70 BGM2:BGM70 AWQ2:AWQ70 AMU2:AMU70 ACY2:ACY70 TC2:TC70 JG2:JG70 K64307:K64396 JG64298:JG64387 TC64298:TC64387 ACY64298:ACY64387 AMU64298:AMU64387 AWQ64298:AWQ64387 BGM64298:BGM64387 BQI64298:BQI64387 CAE64298:CAE64387 CKA64298:CKA64387 CTW64298:CTW64387 DDS64298:DDS64387 DNO64298:DNO64387 DXK64298:DXK64387 EHG64298:EHG64387 ERC64298:ERC64387 FAY64298:FAY64387 FKU64298:FKU64387 FUQ64298:FUQ64387 GEM64298:GEM64387 GOI64298:GOI64387 GYE64298:GYE64387 HIA64298:HIA64387 HRW64298:HRW64387 IBS64298:IBS64387 ILO64298:ILO64387 IVK64298:IVK64387 JFG64298:JFG64387 JPC64298:JPC64387 JYY64298:JYY64387 KIU64298:KIU64387 KSQ64298:KSQ64387 LCM64298:LCM64387 LMI64298:LMI64387 LWE64298:LWE64387 MGA64298:MGA64387 MPW64298:MPW64387 MZS64298:MZS64387 NJO64298:NJO64387 NTK64298:NTK64387 ODG64298:ODG64387 ONC64298:ONC64387 OWY64298:OWY64387 PGU64298:PGU64387 PQQ64298:PQQ64387 QAM64298:QAM64387 QKI64298:QKI64387 QUE64298:QUE64387 REA64298:REA64387 RNW64298:RNW64387 RXS64298:RXS64387 SHO64298:SHO64387 SRK64298:SRK64387 TBG64298:TBG64387 TLC64298:TLC64387 TUY64298:TUY64387 UEU64298:UEU64387 UOQ64298:UOQ64387 UYM64298:UYM64387 VII64298:VII64387 VSE64298:VSE64387 WCA64298:WCA64387 WLW64298:WLW64387 WVS64298:WVS64387 K129843:K129932 JG129834:JG129923 TC129834:TC129923 ACY129834:ACY129923 AMU129834:AMU129923 AWQ129834:AWQ129923 BGM129834:BGM129923 BQI129834:BQI129923 CAE129834:CAE129923 CKA129834:CKA129923 CTW129834:CTW129923 DDS129834:DDS129923 DNO129834:DNO129923 DXK129834:DXK129923 EHG129834:EHG129923 ERC129834:ERC129923 FAY129834:FAY129923 FKU129834:FKU129923 FUQ129834:FUQ129923 GEM129834:GEM129923 GOI129834:GOI129923 GYE129834:GYE129923 HIA129834:HIA129923 HRW129834:HRW129923 IBS129834:IBS129923 ILO129834:ILO129923 IVK129834:IVK129923 JFG129834:JFG129923 JPC129834:JPC129923 JYY129834:JYY129923 KIU129834:KIU129923 KSQ129834:KSQ129923 LCM129834:LCM129923 LMI129834:LMI129923 LWE129834:LWE129923 MGA129834:MGA129923 MPW129834:MPW129923 MZS129834:MZS129923 NJO129834:NJO129923 NTK129834:NTK129923 ODG129834:ODG129923 ONC129834:ONC129923 OWY129834:OWY129923 PGU129834:PGU129923 PQQ129834:PQQ129923 QAM129834:QAM129923 QKI129834:QKI129923 QUE129834:QUE129923 REA129834:REA129923 RNW129834:RNW129923 RXS129834:RXS129923 SHO129834:SHO129923 SRK129834:SRK129923 TBG129834:TBG129923 TLC129834:TLC129923 TUY129834:TUY129923 UEU129834:UEU129923 UOQ129834:UOQ129923 UYM129834:UYM129923 VII129834:VII129923 VSE129834:VSE129923 WCA129834:WCA129923 WLW129834:WLW129923 WVS129834:WVS129923 K195379:K195468 JG195370:JG195459 TC195370:TC195459 ACY195370:ACY195459 AMU195370:AMU195459 AWQ195370:AWQ195459 BGM195370:BGM195459 BQI195370:BQI195459 CAE195370:CAE195459 CKA195370:CKA195459 CTW195370:CTW195459 DDS195370:DDS195459 DNO195370:DNO195459 DXK195370:DXK195459 EHG195370:EHG195459 ERC195370:ERC195459 FAY195370:FAY195459 FKU195370:FKU195459 FUQ195370:FUQ195459 GEM195370:GEM195459 GOI195370:GOI195459 GYE195370:GYE195459 HIA195370:HIA195459 HRW195370:HRW195459 IBS195370:IBS195459 ILO195370:ILO195459 IVK195370:IVK195459 JFG195370:JFG195459 JPC195370:JPC195459 JYY195370:JYY195459 KIU195370:KIU195459 KSQ195370:KSQ195459 LCM195370:LCM195459 LMI195370:LMI195459 LWE195370:LWE195459 MGA195370:MGA195459 MPW195370:MPW195459 MZS195370:MZS195459 NJO195370:NJO195459 NTK195370:NTK195459 ODG195370:ODG195459 ONC195370:ONC195459 OWY195370:OWY195459 PGU195370:PGU195459 PQQ195370:PQQ195459 QAM195370:QAM195459 QKI195370:QKI195459 QUE195370:QUE195459 REA195370:REA195459 RNW195370:RNW195459 RXS195370:RXS195459 SHO195370:SHO195459 SRK195370:SRK195459 TBG195370:TBG195459 TLC195370:TLC195459 TUY195370:TUY195459 UEU195370:UEU195459 UOQ195370:UOQ195459 UYM195370:UYM195459 VII195370:VII195459 VSE195370:VSE195459 WCA195370:WCA195459 WLW195370:WLW195459 WVS195370:WVS195459 K260915:K261004 JG260906:JG260995 TC260906:TC260995 ACY260906:ACY260995 AMU260906:AMU260995 AWQ260906:AWQ260995 BGM260906:BGM260995 BQI260906:BQI260995 CAE260906:CAE260995 CKA260906:CKA260995 CTW260906:CTW260995 DDS260906:DDS260995 DNO260906:DNO260995 DXK260906:DXK260995 EHG260906:EHG260995 ERC260906:ERC260995 FAY260906:FAY260995 FKU260906:FKU260995 FUQ260906:FUQ260995 GEM260906:GEM260995 GOI260906:GOI260995 GYE260906:GYE260995 HIA260906:HIA260995 HRW260906:HRW260995 IBS260906:IBS260995 ILO260906:ILO260995 IVK260906:IVK260995 JFG260906:JFG260995 JPC260906:JPC260995 JYY260906:JYY260995 KIU260906:KIU260995 KSQ260906:KSQ260995 LCM260906:LCM260995 LMI260906:LMI260995 LWE260906:LWE260995 MGA260906:MGA260995 MPW260906:MPW260995 MZS260906:MZS260995 NJO260906:NJO260995 NTK260906:NTK260995 ODG260906:ODG260995 ONC260906:ONC260995 OWY260906:OWY260995 PGU260906:PGU260995 PQQ260906:PQQ260995 QAM260906:QAM260995 QKI260906:QKI260995 QUE260906:QUE260995 REA260906:REA260995 RNW260906:RNW260995 RXS260906:RXS260995 SHO260906:SHO260995 SRK260906:SRK260995 TBG260906:TBG260995 TLC260906:TLC260995 TUY260906:TUY260995 UEU260906:UEU260995 UOQ260906:UOQ260995 UYM260906:UYM260995 VII260906:VII260995 VSE260906:VSE260995 WCA260906:WCA260995 WLW260906:WLW260995 WVS260906:WVS260995 K326451:K326540 JG326442:JG326531 TC326442:TC326531 ACY326442:ACY326531 AMU326442:AMU326531 AWQ326442:AWQ326531 BGM326442:BGM326531 BQI326442:BQI326531 CAE326442:CAE326531 CKA326442:CKA326531 CTW326442:CTW326531 DDS326442:DDS326531 DNO326442:DNO326531 DXK326442:DXK326531 EHG326442:EHG326531 ERC326442:ERC326531 FAY326442:FAY326531 FKU326442:FKU326531 FUQ326442:FUQ326531 GEM326442:GEM326531 GOI326442:GOI326531 GYE326442:GYE326531 HIA326442:HIA326531 HRW326442:HRW326531 IBS326442:IBS326531 ILO326442:ILO326531 IVK326442:IVK326531 JFG326442:JFG326531 JPC326442:JPC326531 JYY326442:JYY326531 KIU326442:KIU326531 KSQ326442:KSQ326531 LCM326442:LCM326531 LMI326442:LMI326531 LWE326442:LWE326531 MGA326442:MGA326531 MPW326442:MPW326531 MZS326442:MZS326531 NJO326442:NJO326531 NTK326442:NTK326531 ODG326442:ODG326531 ONC326442:ONC326531 OWY326442:OWY326531 PGU326442:PGU326531 PQQ326442:PQQ326531 QAM326442:QAM326531 QKI326442:QKI326531 QUE326442:QUE326531 REA326442:REA326531 RNW326442:RNW326531 RXS326442:RXS326531 SHO326442:SHO326531 SRK326442:SRK326531 TBG326442:TBG326531 TLC326442:TLC326531 TUY326442:TUY326531 UEU326442:UEU326531 UOQ326442:UOQ326531 UYM326442:UYM326531 VII326442:VII326531 VSE326442:VSE326531 WCA326442:WCA326531 WLW326442:WLW326531 WVS326442:WVS326531 K391987:K392076 JG391978:JG392067 TC391978:TC392067 ACY391978:ACY392067 AMU391978:AMU392067 AWQ391978:AWQ392067 BGM391978:BGM392067 BQI391978:BQI392067 CAE391978:CAE392067 CKA391978:CKA392067 CTW391978:CTW392067 DDS391978:DDS392067 DNO391978:DNO392067 DXK391978:DXK392067 EHG391978:EHG392067 ERC391978:ERC392067 FAY391978:FAY392067 FKU391978:FKU392067 FUQ391978:FUQ392067 GEM391978:GEM392067 GOI391978:GOI392067 GYE391978:GYE392067 HIA391978:HIA392067 HRW391978:HRW392067 IBS391978:IBS392067 ILO391978:ILO392067 IVK391978:IVK392067 JFG391978:JFG392067 JPC391978:JPC392067 JYY391978:JYY392067 KIU391978:KIU392067 KSQ391978:KSQ392067 LCM391978:LCM392067 LMI391978:LMI392067 LWE391978:LWE392067 MGA391978:MGA392067 MPW391978:MPW392067 MZS391978:MZS392067 NJO391978:NJO392067 NTK391978:NTK392067 ODG391978:ODG392067 ONC391978:ONC392067 OWY391978:OWY392067 PGU391978:PGU392067 PQQ391978:PQQ392067 QAM391978:QAM392067 QKI391978:QKI392067 QUE391978:QUE392067 REA391978:REA392067 RNW391978:RNW392067 RXS391978:RXS392067 SHO391978:SHO392067 SRK391978:SRK392067 TBG391978:TBG392067 TLC391978:TLC392067 TUY391978:TUY392067 UEU391978:UEU392067 UOQ391978:UOQ392067 UYM391978:UYM392067 VII391978:VII392067 VSE391978:VSE392067 WCA391978:WCA392067 WLW391978:WLW392067 WVS391978:WVS392067 K457523:K457612 JG457514:JG457603 TC457514:TC457603 ACY457514:ACY457603 AMU457514:AMU457603 AWQ457514:AWQ457603 BGM457514:BGM457603 BQI457514:BQI457603 CAE457514:CAE457603 CKA457514:CKA457603 CTW457514:CTW457603 DDS457514:DDS457603 DNO457514:DNO457603 DXK457514:DXK457603 EHG457514:EHG457603 ERC457514:ERC457603 FAY457514:FAY457603 FKU457514:FKU457603 FUQ457514:FUQ457603 GEM457514:GEM457603 GOI457514:GOI457603 GYE457514:GYE457603 HIA457514:HIA457603 HRW457514:HRW457603 IBS457514:IBS457603 ILO457514:ILO457603 IVK457514:IVK457603 JFG457514:JFG457603 JPC457514:JPC457603 JYY457514:JYY457603 KIU457514:KIU457603 KSQ457514:KSQ457603 LCM457514:LCM457603 LMI457514:LMI457603 LWE457514:LWE457603 MGA457514:MGA457603 MPW457514:MPW457603 MZS457514:MZS457603 NJO457514:NJO457603 NTK457514:NTK457603 ODG457514:ODG457603 ONC457514:ONC457603 OWY457514:OWY457603 PGU457514:PGU457603 PQQ457514:PQQ457603 QAM457514:QAM457603 QKI457514:QKI457603 QUE457514:QUE457603 REA457514:REA457603 RNW457514:RNW457603 RXS457514:RXS457603 SHO457514:SHO457603 SRK457514:SRK457603 TBG457514:TBG457603 TLC457514:TLC457603 TUY457514:TUY457603 UEU457514:UEU457603 UOQ457514:UOQ457603 UYM457514:UYM457603 VII457514:VII457603 VSE457514:VSE457603 WCA457514:WCA457603 WLW457514:WLW457603 WVS457514:WVS457603 K523059:K523148 JG523050:JG523139 TC523050:TC523139 ACY523050:ACY523139 AMU523050:AMU523139 AWQ523050:AWQ523139 BGM523050:BGM523139 BQI523050:BQI523139 CAE523050:CAE523139 CKA523050:CKA523139 CTW523050:CTW523139 DDS523050:DDS523139 DNO523050:DNO523139 DXK523050:DXK523139 EHG523050:EHG523139 ERC523050:ERC523139 FAY523050:FAY523139 FKU523050:FKU523139 FUQ523050:FUQ523139 GEM523050:GEM523139 GOI523050:GOI523139 GYE523050:GYE523139 HIA523050:HIA523139 HRW523050:HRW523139 IBS523050:IBS523139 ILO523050:ILO523139 IVK523050:IVK523139 JFG523050:JFG523139 JPC523050:JPC523139 JYY523050:JYY523139 KIU523050:KIU523139 KSQ523050:KSQ523139 LCM523050:LCM523139 LMI523050:LMI523139 LWE523050:LWE523139 MGA523050:MGA523139 MPW523050:MPW523139 MZS523050:MZS523139 NJO523050:NJO523139 NTK523050:NTK523139 ODG523050:ODG523139 ONC523050:ONC523139 OWY523050:OWY523139 PGU523050:PGU523139 PQQ523050:PQQ523139 QAM523050:QAM523139 QKI523050:QKI523139 QUE523050:QUE523139 REA523050:REA523139 RNW523050:RNW523139 RXS523050:RXS523139 SHO523050:SHO523139 SRK523050:SRK523139 TBG523050:TBG523139 TLC523050:TLC523139 TUY523050:TUY523139 UEU523050:UEU523139 UOQ523050:UOQ523139 UYM523050:UYM523139 VII523050:VII523139 VSE523050:VSE523139 WCA523050:WCA523139 WLW523050:WLW523139 WVS523050:WVS523139 K588595:K588684 JG588586:JG588675 TC588586:TC588675 ACY588586:ACY588675 AMU588586:AMU588675 AWQ588586:AWQ588675 BGM588586:BGM588675 BQI588586:BQI588675 CAE588586:CAE588675 CKA588586:CKA588675 CTW588586:CTW588675 DDS588586:DDS588675 DNO588586:DNO588675 DXK588586:DXK588675 EHG588586:EHG588675 ERC588586:ERC588675 FAY588586:FAY588675 FKU588586:FKU588675 FUQ588586:FUQ588675 GEM588586:GEM588675 GOI588586:GOI588675 GYE588586:GYE588675 HIA588586:HIA588675 HRW588586:HRW588675 IBS588586:IBS588675 ILO588586:ILO588675 IVK588586:IVK588675 JFG588586:JFG588675 JPC588586:JPC588675 JYY588586:JYY588675 KIU588586:KIU588675 KSQ588586:KSQ588675 LCM588586:LCM588675 LMI588586:LMI588675 LWE588586:LWE588675 MGA588586:MGA588675 MPW588586:MPW588675 MZS588586:MZS588675 NJO588586:NJO588675 NTK588586:NTK588675 ODG588586:ODG588675 ONC588586:ONC588675 OWY588586:OWY588675 PGU588586:PGU588675 PQQ588586:PQQ588675 QAM588586:QAM588675 QKI588586:QKI588675 QUE588586:QUE588675 REA588586:REA588675 RNW588586:RNW588675 RXS588586:RXS588675 SHO588586:SHO588675 SRK588586:SRK588675 TBG588586:TBG588675 TLC588586:TLC588675 TUY588586:TUY588675 UEU588586:UEU588675 UOQ588586:UOQ588675 UYM588586:UYM588675 VII588586:VII588675 VSE588586:VSE588675 WCA588586:WCA588675 WLW588586:WLW588675 WVS588586:WVS588675 K654131:K654220 JG654122:JG654211 TC654122:TC654211 ACY654122:ACY654211 AMU654122:AMU654211 AWQ654122:AWQ654211 BGM654122:BGM654211 BQI654122:BQI654211 CAE654122:CAE654211 CKA654122:CKA654211 CTW654122:CTW654211 DDS654122:DDS654211 DNO654122:DNO654211 DXK654122:DXK654211 EHG654122:EHG654211 ERC654122:ERC654211 FAY654122:FAY654211 FKU654122:FKU654211 FUQ654122:FUQ654211 GEM654122:GEM654211 GOI654122:GOI654211 GYE654122:GYE654211 HIA654122:HIA654211 HRW654122:HRW654211 IBS654122:IBS654211 ILO654122:ILO654211 IVK654122:IVK654211 JFG654122:JFG654211 JPC654122:JPC654211 JYY654122:JYY654211 KIU654122:KIU654211 KSQ654122:KSQ654211 LCM654122:LCM654211 LMI654122:LMI654211 LWE654122:LWE654211 MGA654122:MGA654211 MPW654122:MPW654211 MZS654122:MZS654211 NJO654122:NJO654211 NTK654122:NTK654211 ODG654122:ODG654211 ONC654122:ONC654211 OWY654122:OWY654211 PGU654122:PGU654211 PQQ654122:PQQ654211 QAM654122:QAM654211 QKI654122:QKI654211 QUE654122:QUE654211 REA654122:REA654211 RNW654122:RNW654211 RXS654122:RXS654211 SHO654122:SHO654211 SRK654122:SRK654211 TBG654122:TBG654211 TLC654122:TLC654211 TUY654122:TUY654211 UEU654122:UEU654211 UOQ654122:UOQ654211 UYM654122:UYM654211 VII654122:VII654211 VSE654122:VSE654211 WCA654122:WCA654211 WLW654122:WLW654211 WVS654122:WVS654211 K719667:K719756 JG719658:JG719747 TC719658:TC719747 ACY719658:ACY719747 AMU719658:AMU719747 AWQ719658:AWQ719747 BGM719658:BGM719747 BQI719658:BQI719747 CAE719658:CAE719747 CKA719658:CKA719747 CTW719658:CTW719747 DDS719658:DDS719747 DNO719658:DNO719747 DXK719658:DXK719747 EHG719658:EHG719747 ERC719658:ERC719747 FAY719658:FAY719747 FKU719658:FKU719747 FUQ719658:FUQ719747 GEM719658:GEM719747 GOI719658:GOI719747 GYE719658:GYE719747 HIA719658:HIA719747 HRW719658:HRW719747 IBS719658:IBS719747 ILO719658:ILO719747 IVK719658:IVK719747 JFG719658:JFG719747 JPC719658:JPC719747 JYY719658:JYY719747 KIU719658:KIU719747 KSQ719658:KSQ719747 LCM719658:LCM719747 LMI719658:LMI719747 LWE719658:LWE719747 MGA719658:MGA719747 MPW719658:MPW719747 MZS719658:MZS719747 NJO719658:NJO719747 NTK719658:NTK719747 ODG719658:ODG719747 ONC719658:ONC719747 OWY719658:OWY719747 PGU719658:PGU719747 PQQ719658:PQQ719747 QAM719658:QAM719747 QKI719658:QKI719747 QUE719658:QUE719747 REA719658:REA719747 RNW719658:RNW719747 RXS719658:RXS719747 SHO719658:SHO719747 SRK719658:SRK719747 TBG719658:TBG719747 TLC719658:TLC719747 TUY719658:TUY719747 UEU719658:UEU719747 UOQ719658:UOQ719747 UYM719658:UYM719747 VII719658:VII719747 VSE719658:VSE719747 WCA719658:WCA719747 WLW719658:WLW719747 WVS719658:WVS719747 K785203:K785292 JG785194:JG785283 TC785194:TC785283 ACY785194:ACY785283 AMU785194:AMU785283 AWQ785194:AWQ785283 BGM785194:BGM785283 BQI785194:BQI785283 CAE785194:CAE785283 CKA785194:CKA785283 CTW785194:CTW785283 DDS785194:DDS785283 DNO785194:DNO785283 DXK785194:DXK785283 EHG785194:EHG785283 ERC785194:ERC785283 FAY785194:FAY785283 FKU785194:FKU785283 FUQ785194:FUQ785283 GEM785194:GEM785283 GOI785194:GOI785283 GYE785194:GYE785283 HIA785194:HIA785283 HRW785194:HRW785283 IBS785194:IBS785283 ILO785194:ILO785283 IVK785194:IVK785283 JFG785194:JFG785283 JPC785194:JPC785283 JYY785194:JYY785283 KIU785194:KIU785283 KSQ785194:KSQ785283 LCM785194:LCM785283 LMI785194:LMI785283 LWE785194:LWE785283 MGA785194:MGA785283 MPW785194:MPW785283 MZS785194:MZS785283 NJO785194:NJO785283 NTK785194:NTK785283 ODG785194:ODG785283 ONC785194:ONC785283 OWY785194:OWY785283 PGU785194:PGU785283 PQQ785194:PQQ785283 QAM785194:QAM785283 QKI785194:QKI785283 QUE785194:QUE785283 REA785194:REA785283 RNW785194:RNW785283 RXS785194:RXS785283 SHO785194:SHO785283 SRK785194:SRK785283 TBG785194:TBG785283 TLC785194:TLC785283 TUY785194:TUY785283 UEU785194:UEU785283 UOQ785194:UOQ785283 UYM785194:UYM785283 VII785194:VII785283 VSE785194:VSE785283 WCA785194:WCA785283 WLW785194:WLW785283 WVS785194:WVS785283 K850739:K850828 JG850730:JG850819 TC850730:TC850819 ACY850730:ACY850819 AMU850730:AMU850819 AWQ850730:AWQ850819 BGM850730:BGM850819 BQI850730:BQI850819 CAE850730:CAE850819 CKA850730:CKA850819 CTW850730:CTW850819 DDS850730:DDS850819 DNO850730:DNO850819 DXK850730:DXK850819 EHG850730:EHG850819 ERC850730:ERC850819 FAY850730:FAY850819 FKU850730:FKU850819 FUQ850730:FUQ850819 GEM850730:GEM850819 GOI850730:GOI850819 GYE850730:GYE850819 HIA850730:HIA850819 HRW850730:HRW850819 IBS850730:IBS850819 ILO850730:ILO850819 IVK850730:IVK850819 JFG850730:JFG850819 JPC850730:JPC850819 JYY850730:JYY850819 KIU850730:KIU850819 KSQ850730:KSQ850819 LCM850730:LCM850819 LMI850730:LMI850819 LWE850730:LWE850819 MGA850730:MGA850819 MPW850730:MPW850819 MZS850730:MZS850819 NJO850730:NJO850819 NTK850730:NTK850819 ODG850730:ODG850819 ONC850730:ONC850819 OWY850730:OWY850819 PGU850730:PGU850819 PQQ850730:PQQ850819 QAM850730:QAM850819 QKI850730:QKI850819 QUE850730:QUE850819 REA850730:REA850819 RNW850730:RNW850819 RXS850730:RXS850819 SHO850730:SHO850819 SRK850730:SRK850819 TBG850730:TBG850819 TLC850730:TLC850819 TUY850730:TUY850819 UEU850730:UEU850819 UOQ850730:UOQ850819 UYM850730:UYM850819 VII850730:VII850819 VSE850730:VSE850819 WCA850730:WCA850819 WLW850730:WLW850819 WVS850730:WVS850819 K916275:K916364 JG916266:JG916355 TC916266:TC916355 ACY916266:ACY916355 AMU916266:AMU916355 AWQ916266:AWQ916355 BGM916266:BGM916355 BQI916266:BQI916355 CAE916266:CAE916355 CKA916266:CKA916355 CTW916266:CTW916355 DDS916266:DDS916355 DNO916266:DNO916355 DXK916266:DXK916355 EHG916266:EHG916355 ERC916266:ERC916355 FAY916266:FAY916355 FKU916266:FKU916355 FUQ916266:FUQ916355 GEM916266:GEM916355 GOI916266:GOI916355 GYE916266:GYE916355 HIA916266:HIA916355 HRW916266:HRW916355 IBS916266:IBS916355 ILO916266:ILO916355 IVK916266:IVK916355 JFG916266:JFG916355 JPC916266:JPC916355 JYY916266:JYY916355 KIU916266:KIU916355 KSQ916266:KSQ916355 LCM916266:LCM916355 LMI916266:LMI916355 LWE916266:LWE916355 MGA916266:MGA916355 MPW916266:MPW916355 MZS916266:MZS916355 NJO916266:NJO916355 NTK916266:NTK916355 ODG916266:ODG916355 ONC916266:ONC916355 OWY916266:OWY916355 PGU916266:PGU916355 PQQ916266:PQQ916355 QAM916266:QAM916355 QKI916266:QKI916355 QUE916266:QUE916355 REA916266:REA916355 RNW916266:RNW916355 RXS916266:RXS916355 SHO916266:SHO916355 SRK916266:SRK916355 TBG916266:TBG916355 TLC916266:TLC916355 TUY916266:TUY916355 UEU916266:UEU916355 UOQ916266:UOQ916355 UYM916266:UYM916355 VII916266:VII916355 VSE916266:VSE916355 WCA916266:WCA916355 WLW916266:WLW916355 WVS916266:WVS916355 K981811:K981900 JG981802:JG981891 TC981802:TC981891 ACY981802:ACY981891 AMU981802:AMU981891 AWQ981802:AWQ981891 BGM981802:BGM981891 BQI981802:BQI981891 CAE981802:CAE981891 CKA981802:CKA981891 CTW981802:CTW981891 DDS981802:DDS981891 DNO981802:DNO981891 DXK981802:DXK981891 EHG981802:EHG981891 ERC981802:ERC981891 FAY981802:FAY981891 FKU981802:FKU981891 FUQ981802:FUQ981891 GEM981802:GEM981891 GOI981802:GOI981891 GYE981802:GYE981891 HIA981802:HIA981891 HRW981802:HRW981891 IBS981802:IBS981891 ILO981802:ILO981891 IVK981802:IVK981891 JFG981802:JFG981891 JPC981802:JPC981891 JYY981802:JYY981891 KIU981802:KIU981891 KSQ981802:KSQ981891 LCM981802:LCM981891 LMI981802:LMI981891 LWE981802:LWE981891 MGA981802:MGA981891 MPW981802:MPW981891 MZS981802:MZS981891 NJO981802:NJO981891 NTK981802:NTK981891 ODG981802:ODG981891 ONC981802:ONC981891 OWY981802:OWY981891 PGU981802:PGU981891 PQQ981802:PQQ981891 QAM981802:QAM981891 QKI981802:QKI981891 QUE981802:QUE981891 REA981802:REA981891 RNW981802:RNW981891 RXS981802:RXS981891 SHO981802:SHO981891 SRK981802:SRK981891 TBG981802:TBG981891 TLC981802:TLC981891 TUY981802:TUY981891 UEU981802:UEU981891 UOQ981802:UOQ981891 UYM981802:UYM981891 VII981802:VII981891 VSE981802:VSE981891 WCA981802:WCA981891 WLW981802:WLW981891">
      <formula1>$AR$2:$AR$27</formula1>
    </dataValidation>
    <dataValidation type="list" allowBlank="1" showInputMessage="1" showErrorMessage="1" sqref="WVR981802:WVR981891 WLV981802:WLV981891 WBZ981802:WBZ981891 VSD981802:VSD981891 VIH981802:VIH981891 UYL981802:UYL981891 UOP981802:UOP981891 UET981802:UET981891 TUX981802:TUX981891 TLB981802:TLB981891 TBF981802:TBF981891 SRJ981802:SRJ981891 SHN981802:SHN981891 RXR981802:RXR981891 RNV981802:RNV981891 RDZ981802:RDZ981891 QUD981802:QUD981891 QKH981802:QKH981891 QAL981802:QAL981891 PQP981802:PQP981891 PGT981802:PGT981891 OWX981802:OWX981891 ONB981802:ONB981891 ODF981802:ODF981891 NTJ981802:NTJ981891 NJN981802:NJN981891 MZR981802:MZR981891 MPV981802:MPV981891 MFZ981802:MFZ981891 LWD981802:LWD981891 LMH981802:LMH981891 LCL981802:LCL981891 KSP981802:KSP981891 KIT981802:KIT981891 JYX981802:JYX981891 JPB981802:JPB981891 JFF981802:JFF981891 IVJ981802:IVJ981891 ILN981802:ILN981891 IBR981802:IBR981891 HRV981802:HRV981891 HHZ981802:HHZ981891 GYD981802:GYD981891 GOH981802:GOH981891 GEL981802:GEL981891 FUP981802:FUP981891 FKT981802:FKT981891 FAX981802:FAX981891 ERB981802:ERB981891 EHF981802:EHF981891 DXJ981802:DXJ981891 DNN981802:DNN981891 DDR981802:DDR981891 CTV981802:CTV981891 CJZ981802:CJZ981891 CAD981802:CAD981891 BQH981802:BQH981891 BGL981802:BGL981891 AWP981802:AWP981891 AMT981802:AMT981891 ACX981802:ACX981891 TB981802:TB981891 JF981802:JF981891 J981811:J981900 WVR916266:WVR916355 WLV916266:WLV916355 WBZ916266:WBZ916355 VSD916266:VSD916355 VIH916266:VIH916355 UYL916266:UYL916355 UOP916266:UOP916355 UET916266:UET916355 TUX916266:TUX916355 TLB916266:TLB916355 TBF916266:TBF916355 SRJ916266:SRJ916355 SHN916266:SHN916355 RXR916266:RXR916355 RNV916266:RNV916355 RDZ916266:RDZ916355 QUD916266:QUD916355 QKH916266:QKH916355 QAL916266:QAL916355 PQP916266:PQP916355 PGT916266:PGT916355 OWX916266:OWX916355 ONB916266:ONB916355 ODF916266:ODF916355 NTJ916266:NTJ916355 NJN916266:NJN916355 MZR916266:MZR916355 MPV916266:MPV916355 MFZ916266:MFZ916355 LWD916266:LWD916355 LMH916266:LMH916355 LCL916266:LCL916355 KSP916266:KSP916355 KIT916266:KIT916355 JYX916266:JYX916355 JPB916266:JPB916355 JFF916266:JFF916355 IVJ916266:IVJ916355 ILN916266:ILN916355 IBR916266:IBR916355 HRV916266:HRV916355 HHZ916266:HHZ916355 GYD916266:GYD916355 GOH916266:GOH916355 GEL916266:GEL916355 FUP916266:FUP916355 FKT916266:FKT916355 FAX916266:FAX916355 ERB916266:ERB916355 EHF916266:EHF916355 DXJ916266:DXJ916355 DNN916266:DNN916355 DDR916266:DDR916355 CTV916266:CTV916355 CJZ916266:CJZ916355 CAD916266:CAD916355 BQH916266:BQH916355 BGL916266:BGL916355 AWP916266:AWP916355 AMT916266:AMT916355 ACX916266:ACX916355 TB916266:TB916355 JF916266:JF916355 J916275:J916364 WVR850730:WVR850819 WLV850730:WLV850819 WBZ850730:WBZ850819 VSD850730:VSD850819 VIH850730:VIH850819 UYL850730:UYL850819 UOP850730:UOP850819 UET850730:UET850819 TUX850730:TUX850819 TLB850730:TLB850819 TBF850730:TBF850819 SRJ850730:SRJ850819 SHN850730:SHN850819 RXR850730:RXR850819 RNV850730:RNV850819 RDZ850730:RDZ850819 QUD850730:QUD850819 QKH850730:QKH850819 QAL850730:QAL850819 PQP850730:PQP850819 PGT850730:PGT850819 OWX850730:OWX850819 ONB850730:ONB850819 ODF850730:ODF850819 NTJ850730:NTJ850819 NJN850730:NJN850819 MZR850730:MZR850819 MPV850730:MPV850819 MFZ850730:MFZ850819 LWD850730:LWD850819 LMH850730:LMH850819 LCL850730:LCL850819 KSP850730:KSP850819 KIT850730:KIT850819 JYX850730:JYX850819 JPB850730:JPB850819 JFF850730:JFF850819 IVJ850730:IVJ850819 ILN850730:ILN850819 IBR850730:IBR850819 HRV850730:HRV850819 HHZ850730:HHZ850819 GYD850730:GYD850819 GOH850730:GOH850819 GEL850730:GEL850819 FUP850730:FUP850819 FKT850730:FKT850819 FAX850730:FAX850819 ERB850730:ERB850819 EHF850730:EHF850819 DXJ850730:DXJ850819 DNN850730:DNN850819 DDR850730:DDR850819 CTV850730:CTV850819 CJZ850730:CJZ850819 CAD850730:CAD850819 BQH850730:BQH850819 BGL850730:BGL850819 AWP850730:AWP850819 AMT850730:AMT850819 ACX850730:ACX850819 TB850730:TB850819 JF850730:JF850819 J850739:J850828 WVR785194:WVR785283 WLV785194:WLV785283 WBZ785194:WBZ785283 VSD785194:VSD785283 VIH785194:VIH785283 UYL785194:UYL785283 UOP785194:UOP785283 UET785194:UET785283 TUX785194:TUX785283 TLB785194:TLB785283 TBF785194:TBF785283 SRJ785194:SRJ785283 SHN785194:SHN785283 RXR785194:RXR785283 RNV785194:RNV785283 RDZ785194:RDZ785283 QUD785194:QUD785283 QKH785194:QKH785283 QAL785194:QAL785283 PQP785194:PQP785283 PGT785194:PGT785283 OWX785194:OWX785283 ONB785194:ONB785283 ODF785194:ODF785283 NTJ785194:NTJ785283 NJN785194:NJN785283 MZR785194:MZR785283 MPV785194:MPV785283 MFZ785194:MFZ785283 LWD785194:LWD785283 LMH785194:LMH785283 LCL785194:LCL785283 KSP785194:KSP785283 KIT785194:KIT785283 JYX785194:JYX785283 JPB785194:JPB785283 JFF785194:JFF785283 IVJ785194:IVJ785283 ILN785194:ILN785283 IBR785194:IBR785283 HRV785194:HRV785283 HHZ785194:HHZ785283 GYD785194:GYD785283 GOH785194:GOH785283 GEL785194:GEL785283 FUP785194:FUP785283 FKT785194:FKT785283 FAX785194:FAX785283 ERB785194:ERB785283 EHF785194:EHF785283 DXJ785194:DXJ785283 DNN785194:DNN785283 DDR785194:DDR785283 CTV785194:CTV785283 CJZ785194:CJZ785283 CAD785194:CAD785283 BQH785194:BQH785283 BGL785194:BGL785283 AWP785194:AWP785283 AMT785194:AMT785283 ACX785194:ACX785283 TB785194:TB785283 JF785194:JF785283 J785203:J785292 WVR719658:WVR719747 WLV719658:WLV719747 WBZ719658:WBZ719747 VSD719658:VSD719747 VIH719658:VIH719747 UYL719658:UYL719747 UOP719658:UOP719747 UET719658:UET719747 TUX719658:TUX719747 TLB719658:TLB719747 TBF719658:TBF719747 SRJ719658:SRJ719747 SHN719658:SHN719747 RXR719658:RXR719747 RNV719658:RNV719747 RDZ719658:RDZ719747 QUD719658:QUD719747 QKH719658:QKH719747 QAL719658:QAL719747 PQP719658:PQP719747 PGT719658:PGT719747 OWX719658:OWX719747 ONB719658:ONB719747 ODF719658:ODF719747 NTJ719658:NTJ719747 NJN719658:NJN719747 MZR719658:MZR719747 MPV719658:MPV719747 MFZ719658:MFZ719747 LWD719658:LWD719747 LMH719658:LMH719747 LCL719658:LCL719747 KSP719658:KSP719747 KIT719658:KIT719747 JYX719658:JYX719747 JPB719658:JPB719747 JFF719658:JFF719747 IVJ719658:IVJ719747 ILN719658:ILN719747 IBR719658:IBR719747 HRV719658:HRV719747 HHZ719658:HHZ719747 GYD719658:GYD719747 GOH719658:GOH719747 GEL719658:GEL719747 FUP719658:FUP719747 FKT719658:FKT719747 FAX719658:FAX719747 ERB719658:ERB719747 EHF719658:EHF719747 DXJ719658:DXJ719747 DNN719658:DNN719747 DDR719658:DDR719747 CTV719658:CTV719747 CJZ719658:CJZ719747 CAD719658:CAD719747 BQH719658:BQH719747 BGL719658:BGL719747 AWP719658:AWP719747 AMT719658:AMT719747 ACX719658:ACX719747 TB719658:TB719747 JF719658:JF719747 J719667:J719756 WVR654122:WVR654211 WLV654122:WLV654211 WBZ654122:WBZ654211 VSD654122:VSD654211 VIH654122:VIH654211 UYL654122:UYL654211 UOP654122:UOP654211 UET654122:UET654211 TUX654122:TUX654211 TLB654122:TLB654211 TBF654122:TBF654211 SRJ654122:SRJ654211 SHN654122:SHN654211 RXR654122:RXR654211 RNV654122:RNV654211 RDZ654122:RDZ654211 QUD654122:QUD654211 QKH654122:QKH654211 QAL654122:QAL654211 PQP654122:PQP654211 PGT654122:PGT654211 OWX654122:OWX654211 ONB654122:ONB654211 ODF654122:ODF654211 NTJ654122:NTJ654211 NJN654122:NJN654211 MZR654122:MZR654211 MPV654122:MPV654211 MFZ654122:MFZ654211 LWD654122:LWD654211 LMH654122:LMH654211 LCL654122:LCL654211 KSP654122:KSP654211 KIT654122:KIT654211 JYX654122:JYX654211 JPB654122:JPB654211 JFF654122:JFF654211 IVJ654122:IVJ654211 ILN654122:ILN654211 IBR654122:IBR654211 HRV654122:HRV654211 HHZ654122:HHZ654211 GYD654122:GYD654211 GOH654122:GOH654211 GEL654122:GEL654211 FUP654122:FUP654211 FKT654122:FKT654211 FAX654122:FAX654211 ERB654122:ERB654211 EHF654122:EHF654211 DXJ654122:DXJ654211 DNN654122:DNN654211 DDR654122:DDR654211 CTV654122:CTV654211 CJZ654122:CJZ654211 CAD654122:CAD654211 BQH654122:BQH654211 BGL654122:BGL654211 AWP654122:AWP654211 AMT654122:AMT654211 ACX654122:ACX654211 TB654122:TB654211 JF654122:JF654211 J654131:J654220 WVR588586:WVR588675 WLV588586:WLV588675 WBZ588586:WBZ588675 VSD588586:VSD588675 VIH588586:VIH588675 UYL588586:UYL588675 UOP588586:UOP588675 UET588586:UET588675 TUX588586:TUX588675 TLB588586:TLB588675 TBF588586:TBF588675 SRJ588586:SRJ588675 SHN588586:SHN588675 RXR588586:RXR588675 RNV588586:RNV588675 RDZ588586:RDZ588675 QUD588586:QUD588675 QKH588586:QKH588675 QAL588586:QAL588675 PQP588586:PQP588675 PGT588586:PGT588675 OWX588586:OWX588675 ONB588586:ONB588675 ODF588586:ODF588675 NTJ588586:NTJ588675 NJN588586:NJN588675 MZR588586:MZR588675 MPV588586:MPV588675 MFZ588586:MFZ588675 LWD588586:LWD588675 LMH588586:LMH588675 LCL588586:LCL588675 KSP588586:KSP588675 KIT588586:KIT588675 JYX588586:JYX588675 JPB588586:JPB588675 JFF588586:JFF588675 IVJ588586:IVJ588675 ILN588586:ILN588675 IBR588586:IBR588675 HRV588586:HRV588675 HHZ588586:HHZ588675 GYD588586:GYD588675 GOH588586:GOH588675 GEL588586:GEL588675 FUP588586:FUP588675 FKT588586:FKT588675 FAX588586:FAX588675 ERB588586:ERB588675 EHF588586:EHF588675 DXJ588586:DXJ588675 DNN588586:DNN588675 DDR588586:DDR588675 CTV588586:CTV588675 CJZ588586:CJZ588675 CAD588586:CAD588675 BQH588586:BQH588675 BGL588586:BGL588675 AWP588586:AWP588675 AMT588586:AMT588675 ACX588586:ACX588675 TB588586:TB588675 JF588586:JF588675 J588595:J588684 WVR523050:WVR523139 WLV523050:WLV523139 WBZ523050:WBZ523139 VSD523050:VSD523139 VIH523050:VIH523139 UYL523050:UYL523139 UOP523050:UOP523139 UET523050:UET523139 TUX523050:TUX523139 TLB523050:TLB523139 TBF523050:TBF523139 SRJ523050:SRJ523139 SHN523050:SHN523139 RXR523050:RXR523139 RNV523050:RNV523139 RDZ523050:RDZ523139 QUD523050:QUD523139 QKH523050:QKH523139 QAL523050:QAL523139 PQP523050:PQP523139 PGT523050:PGT523139 OWX523050:OWX523139 ONB523050:ONB523139 ODF523050:ODF523139 NTJ523050:NTJ523139 NJN523050:NJN523139 MZR523050:MZR523139 MPV523050:MPV523139 MFZ523050:MFZ523139 LWD523050:LWD523139 LMH523050:LMH523139 LCL523050:LCL523139 KSP523050:KSP523139 KIT523050:KIT523139 JYX523050:JYX523139 JPB523050:JPB523139 JFF523050:JFF523139 IVJ523050:IVJ523139 ILN523050:ILN523139 IBR523050:IBR523139 HRV523050:HRV523139 HHZ523050:HHZ523139 GYD523050:GYD523139 GOH523050:GOH523139 GEL523050:GEL523139 FUP523050:FUP523139 FKT523050:FKT523139 FAX523050:FAX523139 ERB523050:ERB523139 EHF523050:EHF523139 DXJ523050:DXJ523139 DNN523050:DNN523139 DDR523050:DDR523139 CTV523050:CTV523139 CJZ523050:CJZ523139 CAD523050:CAD523139 BQH523050:BQH523139 BGL523050:BGL523139 AWP523050:AWP523139 AMT523050:AMT523139 ACX523050:ACX523139 TB523050:TB523139 JF523050:JF523139 J523059:J523148 WVR457514:WVR457603 WLV457514:WLV457603 WBZ457514:WBZ457603 VSD457514:VSD457603 VIH457514:VIH457603 UYL457514:UYL457603 UOP457514:UOP457603 UET457514:UET457603 TUX457514:TUX457603 TLB457514:TLB457603 TBF457514:TBF457603 SRJ457514:SRJ457603 SHN457514:SHN457603 RXR457514:RXR457603 RNV457514:RNV457603 RDZ457514:RDZ457603 QUD457514:QUD457603 QKH457514:QKH457603 QAL457514:QAL457603 PQP457514:PQP457603 PGT457514:PGT457603 OWX457514:OWX457603 ONB457514:ONB457603 ODF457514:ODF457603 NTJ457514:NTJ457603 NJN457514:NJN457603 MZR457514:MZR457603 MPV457514:MPV457603 MFZ457514:MFZ457603 LWD457514:LWD457603 LMH457514:LMH457603 LCL457514:LCL457603 KSP457514:KSP457603 KIT457514:KIT457603 JYX457514:JYX457603 JPB457514:JPB457603 JFF457514:JFF457603 IVJ457514:IVJ457603 ILN457514:ILN457603 IBR457514:IBR457603 HRV457514:HRV457603 HHZ457514:HHZ457603 GYD457514:GYD457603 GOH457514:GOH457603 GEL457514:GEL457603 FUP457514:FUP457603 FKT457514:FKT457603 FAX457514:FAX457603 ERB457514:ERB457603 EHF457514:EHF457603 DXJ457514:DXJ457603 DNN457514:DNN457603 DDR457514:DDR457603 CTV457514:CTV457603 CJZ457514:CJZ457603 CAD457514:CAD457603 BQH457514:BQH457603 BGL457514:BGL457603 AWP457514:AWP457603 AMT457514:AMT457603 ACX457514:ACX457603 TB457514:TB457603 JF457514:JF457603 J457523:J457612 WVR391978:WVR392067 WLV391978:WLV392067 WBZ391978:WBZ392067 VSD391978:VSD392067 VIH391978:VIH392067 UYL391978:UYL392067 UOP391978:UOP392067 UET391978:UET392067 TUX391978:TUX392067 TLB391978:TLB392067 TBF391978:TBF392067 SRJ391978:SRJ392067 SHN391978:SHN392067 RXR391978:RXR392067 RNV391978:RNV392067 RDZ391978:RDZ392067 QUD391978:QUD392067 QKH391978:QKH392067 QAL391978:QAL392067 PQP391978:PQP392067 PGT391978:PGT392067 OWX391978:OWX392067 ONB391978:ONB392067 ODF391978:ODF392067 NTJ391978:NTJ392067 NJN391978:NJN392067 MZR391978:MZR392067 MPV391978:MPV392067 MFZ391978:MFZ392067 LWD391978:LWD392067 LMH391978:LMH392067 LCL391978:LCL392067 KSP391978:KSP392067 KIT391978:KIT392067 JYX391978:JYX392067 JPB391978:JPB392067 JFF391978:JFF392067 IVJ391978:IVJ392067 ILN391978:ILN392067 IBR391978:IBR392067 HRV391978:HRV392067 HHZ391978:HHZ392067 GYD391978:GYD392067 GOH391978:GOH392067 GEL391978:GEL392067 FUP391978:FUP392067 FKT391978:FKT392067 FAX391978:FAX392067 ERB391978:ERB392067 EHF391978:EHF392067 DXJ391978:DXJ392067 DNN391978:DNN392067 DDR391978:DDR392067 CTV391978:CTV392067 CJZ391978:CJZ392067 CAD391978:CAD392067 BQH391978:BQH392067 BGL391978:BGL392067 AWP391978:AWP392067 AMT391978:AMT392067 ACX391978:ACX392067 TB391978:TB392067 JF391978:JF392067 J391987:J392076 WVR326442:WVR326531 WLV326442:WLV326531 WBZ326442:WBZ326531 VSD326442:VSD326531 VIH326442:VIH326531 UYL326442:UYL326531 UOP326442:UOP326531 UET326442:UET326531 TUX326442:TUX326531 TLB326442:TLB326531 TBF326442:TBF326531 SRJ326442:SRJ326531 SHN326442:SHN326531 RXR326442:RXR326531 RNV326442:RNV326531 RDZ326442:RDZ326531 QUD326442:QUD326531 QKH326442:QKH326531 QAL326442:QAL326531 PQP326442:PQP326531 PGT326442:PGT326531 OWX326442:OWX326531 ONB326442:ONB326531 ODF326442:ODF326531 NTJ326442:NTJ326531 NJN326442:NJN326531 MZR326442:MZR326531 MPV326442:MPV326531 MFZ326442:MFZ326531 LWD326442:LWD326531 LMH326442:LMH326531 LCL326442:LCL326531 KSP326442:KSP326531 KIT326442:KIT326531 JYX326442:JYX326531 JPB326442:JPB326531 JFF326442:JFF326531 IVJ326442:IVJ326531 ILN326442:ILN326531 IBR326442:IBR326531 HRV326442:HRV326531 HHZ326442:HHZ326531 GYD326442:GYD326531 GOH326442:GOH326531 GEL326442:GEL326531 FUP326442:FUP326531 FKT326442:FKT326531 FAX326442:FAX326531 ERB326442:ERB326531 EHF326442:EHF326531 DXJ326442:DXJ326531 DNN326442:DNN326531 DDR326442:DDR326531 CTV326442:CTV326531 CJZ326442:CJZ326531 CAD326442:CAD326531 BQH326442:BQH326531 BGL326442:BGL326531 AWP326442:AWP326531 AMT326442:AMT326531 ACX326442:ACX326531 TB326442:TB326531 JF326442:JF326531 J326451:J326540 WVR260906:WVR260995 WLV260906:WLV260995 WBZ260906:WBZ260995 VSD260906:VSD260995 VIH260906:VIH260995 UYL260906:UYL260995 UOP260906:UOP260995 UET260906:UET260995 TUX260906:TUX260995 TLB260906:TLB260995 TBF260906:TBF260995 SRJ260906:SRJ260995 SHN260906:SHN260995 RXR260906:RXR260995 RNV260906:RNV260995 RDZ260906:RDZ260995 QUD260906:QUD260995 QKH260906:QKH260995 QAL260906:QAL260995 PQP260906:PQP260995 PGT260906:PGT260995 OWX260906:OWX260995 ONB260906:ONB260995 ODF260906:ODF260995 NTJ260906:NTJ260995 NJN260906:NJN260995 MZR260906:MZR260995 MPV260906:MPV260995 MFZ260906:MFZ260995 LWD260906:LWD260995 LMH260906:LMH260995 LCL260906:LCL260995 KSP260906:KSP260995 KIT260906:KIT260995 JYX260906:JYX260995 JPB260906:JPB260995 JFF260906:JFF260995 IVJ260906:IVJ260995 ILN260906:ILN260995 IBR260906:IBR260995 HRV260906:HRV260995 HHZ260906:HHZ260995 GYD260906:GYD260995 GOH260906:GOH260995 GEL260906:GEL260995 FUP260906:FUP260995 FKT260906:FKT260995 FAX260906:FAX260995 ERB260906:ERB260995 EHF260906:EHF260995 DXJ260906:DXJ260995 DNN260906:DNN260995 DDR260906:DDR260995 CTV260906:CTV260995 CJZ260906:CJZ260995 CAD260906:CAD260995 BQH260906:BQH260995 BGL260906:BGL260995 AWP260906:AWP260995 AMT260906:AMT260995 ACX260906:ACX260995 TB260906:TB260995 JF260906:JF260995 J260915:J261004 WVR195370:WVR195459 WLV195370:WLV195459 WBZ195370:WBZ195459 VSD195370:VSD195459 VIH195370:VIH195459 UYL195370:UYL195459 UOP195370:UOP195459 UET195370:UET195459 TUX195370:TUX195459 TLB195370:TLB195459 TBF195370:TBF195459 SRJ195370:SRJ195459 SHN195370:SHN195459 RXR195370:RXR195459 RNV195370:RNV195459 RDZ195370:RDZ195459 QUD195370:QUD195459 QKH195370:QKH195459 QAL195370:QAL195459 PQP195370:PQP195459 PGT195370:PGT195459 OWX195370:OWX195459 ONB195370:ONB195459 ODF195370:ODF195459 NTJ195370:NTJ195459 NJN195370:NJN195459 MZR195370:MZR195459 MPV195370:MPV195459 MFZ195370:MFZ195459 LWD195370:LWD195459 LMH195370:LMH195459 LCL195370:LCL195459 KSP195370:KSP195459 KIT195370:KIT195459 JYX195370:JYX195459 JPB195370:JPB195459 JFF195370:JFF195459 IVJ195370:IVJ195459 ILN195370:ILN195459 IBR195370:IBR195459 HRV195370:HRV195459 HHZ195370:HHZ195459 GYD195370:GYD195459 GOH195370:GOH195459 GEL195370:GEL195459 FUP195370:FUP195459 FKT195370:FKT195459 FAX195370:FAX195459 ERB195370:ERB195459 EHF195370:EHF195459 DXJ195370:DXJ195459 DNN195370:DNN195459 DDR195370:DDR195459 CTV195370:CTV195459 CJZ195370:CJZ195459 CAD195370:CAD195459 BQH195370:BQH195459 BGL195370:BGL195459 AWP195370:AWP195459 AMT195370:AMT195459 ACX195370:ACX195459 TB195370:TB195459 JF195370:JF195459 J195379:J195468 WVR129834:WVR129923 WLV129834:WLV129923 WBZ129834:WBZ129923 VSD129834:VSD129923 VIH129834:VIH129923 UYL129834:UYL129923 UOP129834:UOP129923 UET129834:UET129923 TUX129834:TUX129923 TLB129834:TLB129923 TBF129834:TBF129923 SRJ129834:SRJ129923 SHN129834:SHN129923 RXR129834:RXR129923 RNV129834:RNV129923 RDZ129834:RDZ129923 QUD129834:QUD129923 QKH129834:QKH129923 QAL129834:QAL129923 PQP129834:PQP129923 PGT129834:PGT129923 OWX129834:OWX129923 ONB129834:ONB129923 ODF129834:ODF129923 NTJ129834:NTJ129923 NJN129834:NJN129923 MZR129834:MZR129923 MPV129834:MPV129923 MFZ129834:MFZ129923 LWD129834:LWD129923 LMH129834:LMH129923 LCL129834:LCL129923 KSP129834:KSP129923 KIT129834:KIT129923 JYX129834:JYX129923 JPB129834:JPB129923 JFF129834:JFF129923 IVJ129834:IVJ129923 ILN129834:ILN129923 IBR129834:IBR129923 HRV129834:HRV129923 HHZ129834:HHZ129923 GYD129834:GYD129923 GOH129834:GOH129923 GEL129834:GEL129923 FUP129834:FUP129923 FKT129834:FKT129923 FAX129834:FAX129923 ERB129834:ERB129923 EHF129834:EHF129923 DXJ129834:DXJ129923 DNN129834:DNN129923 DDR129834:DDR129923 CTV129834:CTV129923 CJZ129834:CJZ129923 CAD129834:CAD129923 BQH129834:BQH129923 BGL129834:BGL129923 AWP129834:AWP129923 AMT129834:AMT129923 ACX129834:ACX129923 TB129834:TB129923 JF129834:JF129923 J129843:J129932 WVR64298:WVR64387 WLV64298:WLV64387 WBZ64298:WBZ64387 VSD64298:VSD64387 VIH64298:VIH64387 UYL64298:UYL64387 UOP64298:UOP64387 UET64298:UET64387 TUX64298:TUX64387 TLB64298:TLB64387 TBF64298:TBF64387 SRJ64298:SRJ64387 SHN64298:SHN64387 RXR64298:RXR64387 RNV64298:RNV64387 RDZ64298:RDZ64387 QUD64298:QUD64387 QKH64298:QKH64387 QAL64298:QAL64387 PQP64298:PQP64387 PGT64298:PGT64387 OWX64298:OWX64387 ONB64298:ONB64387 ODF64298:ODF64387 NTJ64298:NTJ64387 NJN64298:NJN64387 MZR64298:MZR64387 MPV64298:MPV64387 MFZ64298:MFZ64387 LWD64298:LWD64387 LMH64298:LMH64387 LCL64298:LCL64387 KSP64298:KSP64387 KIT64298:KIT64387 JYX64298:JYX64387 JPB64298:JPB64387 JFF64298:JFF64387 IVJ64298:IVJ64387 ILN64298:ILN64387 IBR64298:IBR64387 HRV64298:HRV64387 HHZ64298:HHZ64387 GYD64298:GYD64387 GOH64298:GOH64387 GEL64298:GEL64387 FUP64298:FUP64387 FKT64298:FKT64387 FAX64298:FAX64387 ERB64298:ERB64387 EHF64298:EHF64387 DXJ64298:DXJ64387 DNN64298:DNN64387 DDR64298:DDR64387 CTV64298:CTV64387 CJZ64298:CJZ64387 CAD64298:CAD64387 BQH64298:BQH64387 BGL64298:BGL64387 AWP64298:AWP64387 AMT64298:AMT64387 ACX64298:ACX64387 TB64298:TB64387 JF64298:JF64387 J64307:J64396 JF2:JF70 TB2:TB70 ACX2:ACX70 AMT2:AMT70 AWP2:AWP70 BGL2:BGL70 BQH2:BQH70 CAD2:CAD70 CJZ2:CJZ70 CTV2:CTV70 DDR2:DDR70 DNN2:DNN70 DXJ2:DXJ70 EHF2:EHF70 ERB2:ERB70 FAX2:FAX70 FKT2:FKT70 FUP2:FUP70 GEL2:GEL70 GOH2:GOH70 GYD2:GYD70 HHZ2:HHZ70 HRV2:HRV70 IBR2:IBR70 ILN2:ILN70 IVJ2:IVJ70 JFF2:JFF70 JPB2:JPB70 JYX2:JYX70 KIT2:KIT70 KSP2:KSP70 LCL2:LCL70 LMH2:LMH70 LWD2:LWD70 MFZ2:MFZ70 MPV2:MPV70 MZR2:MZR70 NJN2:NJN70 NTJ2:NTJ70 ODF2:ODF70 ONB2:ONB70 OWX2:OWX70 PGT2:PGT70 PQP2:PQP70 QAL2:QAL70 QKH2:QKH70 QUD2:QUD70 RDZ2:RDZ70 RNV2:RNV70 RXR2:RXR70 SHN2:SHN70 SRJ2:SRJ70 TBF2:TBF70 TLB2:TLB70 TUX2:TUX70 UET2:UET70 UOP2:UOP70 UYL2:UYL70 VIH2:VIH70 VSD2:VSD70 WBZ2:WBZ70 WLV2:WLV70 WVR2:WVR70">
      <formula1>$AP$2:$AP$15</formula1>
    </dataValidation>
    <dataValidation type="list" allowBlank="1" showInputMessage="1" showErrorMessage="1" sqref="WVN981802:WVN981891 WLR981802:WLR981891 WBV981802:WBV981891 VRZ981802:VRZ981891 VID981802:VID981891 UYH981802:UYH981891 UOL981802:UOL981891 UEP981802:UEP981891 TUT981802:TUT981891 TKX981802:TKX981891 TBB981802:TBB981891 SRF981802:SRF981891 SHJ981802:SHJ981891 RXN981802:RXN981891 RNR981802:RNR981891 RDV981802:RDV981891 QTZ981802:QTZ981891 QKD981802:QKD981891 QAH981802:QAH981891 PQL981802:PQL981891 PGP981802:PGP981891 OWT981802:OWT981891 OMX981802:OMX981891 ODB981802:ODB981891 NTF981802:NTF981891 NJJ981802:NJJ981891 MZN981802:MZN981891 MPR981802:MPR981891 MFV981802:MFV981891 LVZ981802:LVZ981891 LMD981802:LMD981891 LCH981802:LCH981891 KSL981802:KSL981891 KIP981802:KIP981891 JYT981802:JYT981891 JOX981802:JOX981891 JFB981802:JFB981891 IVF981802:IVF981891 ILJ981802:ILJ981891 IBN981802:IBN981891 HRR981802:HRR981891 HHV981802:HHV981891 GXZ981802:GXZ981891 GOD981802:GOD981891 GEH981802:GEH981891 FUL981802:FUL981891 FKP981802:FKP981891 FAT981802:FAT981891 EQX981802:EQX981891 EHB981802:EHB981891 DXF981802:DXF981891 DNJ981802:DNJ981891 DDN981802:DDN981891 CTR981802:CTR981891 CJV981802:CJV981891 BZZ981802:BZZ981891 BQD981802:BQD981891 BGH981802:BGH981891 AWL981802:AWL981891 AMP981802:AMP981891 ACT981802:ACT981891 SX981802:SX981891 JB981802:JB981891 F981811:F981900 WVN916266:WVN916355 WLR916266:WLR916355 WBV916266:WBV916355 VRZ916266:VRZ916355 VID916266:VID916355 UYH916266:UYH916355 UOL916266:UOL916355 UEP916266:UEP916355 TUT916266:TUT916355 TKX916266:TKX916355 TBB916266:TBB916355 SRF916266:SRF916355 SHJ916266:SHJ916355 RXN916266:RXN916355 RNR916266:RNR916355 RDV916266:RDV916355 QTZ916266:QTZ916355 QKD916266:QKD916355 QAH916266:QAH916355 PQL916266:PQL916355 PGP916266:PGP916355 OWT916266:OWT916355 OMX916266:OMX916355 ODB916266:ODB916355 NTF916266:NTF916355 NJJ916266:NJJ916355 MZN916266:MZN916355 MPR916266:MPR916355 MFV916266:MFV916355 LVZ916266:LVZ916355 LMD916266:LMD916355 LCH916266:LCH916355 KSL916266:KSL916355 KIP916266:KIP916355 JYT916266:JYT916355 JOX916266:JOX916355 JFB916266:JFB916355 IVF916266:IVF916355 ILJ916266:ILJ916355 IBN916266:IBN916355 HRR916266:HRR916355 HHV916266:HHV916355 GXZ916266:GXZ916355 GOD916266:GOD916355 GEH916266:GEH916355 FUL916266:FUL916355 FKP916266:FKP916355 FAT916266:FAT916355 EQX916266:EQX916355 EHB916266:EHB916355 DXF916266:DXF916355 DNJ916266:DNJ916355 DDN916266:DDN916355 CTR916266:CTR916355 CJV916266:CJV916355 BZZ916266:BZZ916355 BQD916266:BQD916355 BGH916266:BGH916355 AWL916266:AWL916355 AMP916266:AMP916355 ACT916266:ACT916355 SX916266:SX916355 JB916266:JB916355 F916275:F916364 WVN850730:WVN850819 WLR850730:WLR850819 WBV850730:WBV850819 VRZ850730:VRZ850819 VID850730:VID850819 UYH850730:UYH850819 UOL850730:UOL850819 UEP850730:UEP850819 TUT850730:TUT850819 TKX850730:TKX850819 TBB850730:TBB850819 SRF850730:SRF850819 SHJ850730:SHJ850819 RXN850730:RXN850819 RNR850730:RNR850819 RDV850730:RDV850819 QTZ850730:QTZ850819 QKD850730:QKD850819 QAH850730:QAH850819 PQL850730:PQL850819 PGP850730:PGP850819 OWT850730:OWT850819 OMX850730:OMX850819 ODB850730:ODB850819 NTF850730:NTF850819 NJJ850730:NJJ850819 MZN850730:MZN850819 MPR850730:MPR850819 MFV850730:MFV850819 LVZ850730:LVZ850819 LMD850730:LMD850819 LCH850730:LCH850819 KSL850730:KSL850819 KIP850730:KIP850819 JYT850730:JYT850819 JOX850730:JOX850819 JFB850730:JFB850819 IVF850730:IVF850819 ILJ850730:ILJ850819 IBN850730:IBN850819 HRR850730:HRR850819 HHV850730:HHV850819 GXZ850730:GXZ850819 GOD850730:GOD850819 GEH850730:GEH850819 FUL850730:FUL850819 FKP850730:FKP850819 FAT850730:FAT850819 EQX850730:EQX850819 EHB850730:EHB850819 DXF850730:DXF850819 DNJ850730:DNJ850819 DDN850730:DDN850819 CTR850730:CTR850819 CJV850730:CJV850819 BZZ850730:BZZ850819 BQD850730:BQD850819 BGH850730:BGH850819 AWL850730:AWL850819 AMP850730:AMP850819 ACT850730:ACT850819 SX850730:SX850819 JB850730:JB850819 F850739:F850828 WVN785194:WVN785283 WLR785194:WLR785283 WBV785194:WBV785283 VRZ785194:VRZ785283 VID785194:VID785283 UYH785194:UYH785283 UOL785194:UOL785283 UEP785194:UEP785283 TUT785194:TUT785283 TKX785194:TKX785283 TBB785194:TBB785283 SRF785194:SRF785283 SHJ785194:SHJ785283 RXN785194:RXN785283 RNR785194:RNR785283 RDV785194:RDV785283 QTZ785194:QTZ785283 QKD785194:QKD785283 QAH785194:QAH785283 PQL785194:PQL785283 PGP785194:PGP785283 OWT785194:OWT785283 OMX785194:OMX785283 ODB785194:ODB785283 NTF785194:NTF785283 NJJ785194:NJJ785283 MZN785194:MZN785283 MPR785194:MPR785283 MFV785194:MFV785283 LVZ785194:LVZ785283 LMD785194:LMD785283 LCH785194:LCH785283 KSL785194:KSL785283 KIP785194:KIP785283 JYT785194:JYT785283 JOX785194:JOX785283 JFB785194:JFB785283 IVF785194:IVF785283 ILJ785194:ILJ785283 IBN785194:IBN785283 HRR785194:HRR785283 HHV785194:HHV785283 GXZ785194:GXZ785283 GOD785194:GOD785283 GEH785194:GEH785283 FUL785194:FUL785283 FKP785194:FKP785283 FAT785194:FAT785283 EQX785194:EQX785283 EHB785194:EHB785283 DXF785194:DXF785283 DNJ785194:DNJ785283 DDN785194:DDN785283 CTR785194:CTR785283 CJV785194:CJV785283 BZZ785194:BZZ785283 BQD785194:BQD785283 BGH785194:BGH785283 AWL785194:AWL785283 AMP785194:AMP785283 ACT785194:ACT785283 SX785194:SX785283 JB785194:JB785283 F785203:F785292 WVN719658:WVN719747 WLR719658:WLR719747 WBV719658:WBV719747 VRZ719658:VRZ719747 VID719658:VID719747 UYH719658:UYH719747 UOL719658:UOL719747 UEP719658:UEP719747 TUT719658:TUT719747 TKX719658:TKX719747 TBB719658:TBB719747 SRF719658:SRF719747 SHJ719658:SHJ719747 RXN719658:RXN719747 RNR719658:RNR719747 RDV719658:RDV719747 QTZ719658:QTZ719747 QKD719658:QKD719747 QAH719658:QAH719747 PQL719658:PQL719747 PGP719658:PGP719747 OWT719658:OWT719747 OMX719658:OMX719747 ODB719658:ODB719747 NTF719658:NTF719747 NJJ719658:NJJ719747 MZN719658:MZN719747 MPR719658:MPR719747 MFV719658:MFV719747 LVZ719658:LVZ719747 LMD719658:LMD719747 LCH719658:LCH719747 KSL719658:KSL719747 KIP719658:KIP719747 JYT719658:JYT719747 JOX719658:JOX719747 JFB719658:JFB719747 IVF719658:IVF719747 ILJ719658:ILJ719747 IBN719658:IBN719747 HRR719658:HRR719747 HHV719658:HHV719747 GXZ719658:GXZ719747 GOD719658:GOD719747 GEH719658:GEH719747 FUL719658:FUL719747 FKP719658:FKP719747 FAT719658:FAT719747 EQX719658:EQX719747 EHB719658:EHB719747 DXF719658:DXF719747 DNJ719658:DNJ719747 DDN719658:DDN719747 CTR719658:CTR719747 CJV719658:CJV719747 BZZ719658:BZZ719747 BQD719658:BQD719747 BGH719658:BGH719747 AWL719658:AWL719747 AMP719658:AMP719747 ACT719658:ACT719747 SX719658:SX719747 JB719658:JB719747 F719667:F719756 WVN654122:WVN654211 WLR654122:WLR654211 WBV654122:WBV654211 VRZ654122:VRZ654211 VID654122:VID654211 UYH654122:UYH654211 UOL654122:UOL654211 UEP654122:UEP654211 TUT654122:TUT654211 TKX654122:TKX654211 TBB654122:TBB654211 SRF654122:SRF654211 SHJ654122:SHJ654211 RXN654122:RXN654211 RNR654122:RNR654211 RDV654122:RDV654211 QTZ654122:QTZ654211 QKD654122:QKD654211 QAH654122:QAH654211 PQL654122:PQL654211 PGP654122:PGP654211 OWT654122:OWT654211 OMX654122:OMX654211 ODB654122:ODB654211 NTF654122:NTF654211 NJJ654122:NJJ654211 MZN654122:MZN654211 MPR654122:MPR654211 MFV654122:MFV654211 LVZ654122:LVZ654211 LMD654122:LMD654211 LCH654122:LCH654211 KSL654122:KSL654211 KIP654122:KIP654211 JYT654122:JYT654211 JOX654122:JOX654211 JFB654122:JFB654211 IVF654122:IVF654211 ILJ654122:ILJ654211 IBN654122:IBN654211 HRR654122:HRR654211 HHV654122:HHV654211 GXZ654122:GXZ654211 GOD654122:GOD654211 GEH654122:GEH654211 FUL654122:FUL654211 FKP654122:FKP654211 FAT654122:FAT654211 EQX654122:EQX654211 EHB654122:EHB654211 DXF654122:DXF654211 DNJ654122:DNJ654211 DDN654122:DDN654211 CTR654122:CTR654211 CJV654122:CJV654211 BZZ654122:BZZ654211 BQD654122:BQD654211 BGH654122:BGH654211 AWL654122:AWL654211 AMP654122:AMP654211 ACT654122:ACT654211 SX654122:SX654211 JB654122:JB654211 F654131:F654220 WVN588586:WVN588675 WLR588586:WLR588675 WBV588586:WBV588675 VRZ588586:VRZ588675 VID588586:VID588675 UYH588586:UYH588675 UOL588586:UOL588675 UEP588586:UEP588675 TUT588586:TUT588675 TKX588586:TKX588675 TBB588586:TBB588675 SRF588586:SRF588675 SHJ588586:SHJ588675 RXN588586:RXN588675 RNR588586:RNR588675 RDV588586:RDV588675 QTZ588586:QTZ588675 QKD588586:QKD588675 QAH588586:QAH588675 PQL588586:PQL588675 PGP588586:PGP588675 OWT588586:OWT588675 OMX588586:OMX588675 ODB588586:ODB588675 NTF588586:NTF588675 NJJ588586:NJJ588675 MZN588586:MZN588675 MPR588586:MPR588675 MFV588586:MFV588675 LVZ588586:LVZ588675 LMD588586:LMD588675 LCH588586:LCH588675 KSL588586:KSL588675 KIP588586:KIP588675 JYT588586:JYT588675 JOX588586:JOX588675 JFB588586:JFB588675 IVF588586:IVF588675 ILJ588586:ILJ588675 IBN588586:IBN588675 HRR588586:HRR588675 HHV588586:HHV588675 GXZ588586:GXZ588675 GOD588586:GOD588675 GEH588586:GEH588675 FUL588586:FUL588675 FKP588586:FKP588675 FAT588586:FAT588675 EQX588586:EQX588675 EHB588586:EHB588675 DXF588586:DXF588675 DNJ588586:DNJ588675 DDN588586:DDN588675 CTR588586:CTR588675 CJV588586:CJV588675 BZZ588586:BZZ588675 BQD588586:BQD588675 BGH588586:BGH588675 AWL588586:AWL588675 AMP588586:AMP588675 ACT588586:ACT588675 SX588586:SX588675 JB588586:JB588675 F588595:F588684 WVN523050:WVN523139 WLR523050:WLR523139 WBV523050:WBV523139 VRZ523050:VRZ523139 VID523050:VID523139 UYH523050:UYH523139 UOL523050:UOL523139 UEP523050:UEP523139 TUT523050:TUT523139 TKX523050:TKX523139 TBB523050:TBB523139 SRF523050:SRF523139 SHJ523050:SHJ523139 RXN523050:RXN523139 RNR523050:RNR523139 RDV523050:RDV523139 QTZ523050:QTZ523139 QKD523050:QKD523139 QAH523050:QAH523139 PQL523050:PQL523139 PGP523050:PGP523139 OWT523050:OWT523139 OMX523050:OMX523139 ODB523050:ODB523139 NTF523050:NTF523139 NJJ523050:NJJ523139 MZN523050:MZN523139 MPR523050:MPR523139 MFV523050:MFV523139 LVZ523050:LVZ523139 LMD523050:LMD523139 LCH523050:LCH523139 KSL523050:KSL523139 KIP523050:KIP523139 JYT523050:JYT523139 JOX523050:JOX523139 JFB523050:JFB523139 IVF523050:IVF523139 ILJ523050:ILJ523139 IBN523050:IBN523139 HRR523050:HRR523139 HHV523050:HHV523139 GXZ523050:GXZ523139 GOD523050:GOD523139 GEH523050:GEH523139 FUL523050:FUL523139 FKP523050:FKP523139 FAT523050:FAT523139 EQX523050:EQX523139 EHB523050:EHB523139 DXF523050:DXF523139 DNJ523050:DNJ523139 DDN523050:DDN523139 CTR523050:CTR523139 CJV523050:CJV523139 BZZ523050:BZZ523139 BQD523050:BQD523139 BGH523050:BGH523139 AWL523050:AWL523139 AMP523050:AMP523139 ACT523050:ACT523139 SX523050:SX523139 JB523050:JB523139 F523059:F523148 WVN457514:WVN457603 WLR457514:WLR457603 WBV457514:WBV457603 VRZ457514:VRZ457603 VID457514:VID457603 UYH457514:UYH457603 UOL457514:UOL457603 UEP457514:UEP457603 TUT457514:TUT457603 TKX457514:TKX457603 TBB457514:TBB457603 SRF457514:SRF457603 SHJ457514:SHJ457603 RXN457514:RXN457603 RNR457514:RNR457603 RDV457514:RDV457603 QTZ457514:QTZ457603 QKD457514:QKD457603 QAH457514:QAH457603 PQL457514:PQL457603 PGP457514:PGP457603 OWT457514:OWT457603 OMX457514:OMX457603 ODB457514:ODB457603 NTF457514:NTF457603 NJJ457514:NJJ457603 MZN457514:MZN457603 MPR457514:MPR457603 MFV457514:MFV457603 LVZ457514:LVZ457603 LMD457514:LMD457603 LCH457514:LCH457603 KSL457514:KSL457603 KIP457514:KIP457603 JYT457514:JYT457603 JOX457514:JOX457603 JFB457514:JFB457603 IVF457514:IVF457603 ILJ457514:ILJ457603 IBN457514:IBN457603 HRR457514:HRR457603 HHV457514:HHV457603 GXZ457514:GXZ457603 GOD457514:GOD457603 GEH457514:GEH457603 FUL457514:FUL457603 FKP457514:FKP457603 FAT457514:FAT457603 EQX457514:EQX457603 EHB457514:EHB457603 DXF457514:DXF457603 DNJ457514:DNJ457603 DDN457514:DDN457603 CTR457514:CTR457603 CJV457514:CJV457603 BZZ457514:BZZ457603 BQD457514:BQD457603 BGH457514:BGH457603 AWL457514:AWL457603 AMP457514:AMP457603 ACT457514:ACT457603 SX457514:SX457603 JB457514:JB457603 F457523:F457612 WVN391978:WVN392067 WLR391978:WLR392067 WBV391978:WBV392067 VRZ391978:VRZ392067 VID391978:VID392067 UYH391978:UYH392067 UOL391978:UOL392067 UEP391978:UEP392067 TUT391978:TUT392067 TKX391978:TKX392067 TBB391978:TBB392067 SRF391978:SRF392067 SHJ391978:SHJ392067 RXN391978:RXN392067 RNR391978:RNR392067 RDV391978:RDV392067 QTZ391978:QTZ392067 QKD391978:QKD392067 QAH391978:QAH392067 PQL391978:PQL392067 PGP391978:PGP392067 OWT391978:OWT392067 OMX391978:OMX392067 ODB391978:ODB392067 NTF391978:NTF392067 NJJ391978:NJJ392067 MZN391978:MZN392067 MPR391978:MPR392067 MFV391978:MFV392067 LVZ391978:LVZ392067 LMD391978:LMD392067 LCH391978:LCH392067 KSL391978:KSL392067 KIP391978:KIP392067 JYT391978:JYT392067 JOX391978:JOX392067 JFB391978:JFB392067 IVF391978:IVF392067 ILJ391978:ILJ392067 IBN391978:IBN392067 HRR391978:HRR392067 HHV391978:HHV392067 GXZ391978:GXZ392067 GOD391978:GOD392067 GEH391978:GEH392067 FUL391978:FUL392067 FKP391978:FKP392067 FAT391978:FAT392067 EQX391978:EQX392067 EHB391978:EHB392067 DXF391978:DXF392067 DNJ391978:DNJ392067 DDN391978:DDN392067 CTR391978:CTR392067 CJV391978:CJV392067 BZZ391978:BZZ392067 BQD391978:BQD392067 BGH391978:BGH392067 AWL391978:AWL392067 AMP391978:AMP392067 ACT391978:ACT392067 SX391978:SX392067 JB391978:JB392067 F391987:F392076 WVN326442:WVN326531 WLR326442:WLR326531 WBV326442:WBV326531 VRZ326442:VRZ326531 VID326442:VID326531 UYH326442:UYH326531 UOL326442:UOL326531 UEP326442:UEP326531 TUT326442:TUT326531 TKX326442:TKX326531 TBB326442:TBB326531 SRF326442:SRF326531 SHJ326442:SHJ326531 RXN326442:RXN326531 RNR326442:RNR326531 RDV326442:RDV326531 QTZ326442:QTZ326531 QKD326442:QKD326531 QAH326442:QAH326531 PQL326442:PQL326531 PGP326442:PGP326531 OWT326442:OWT326531 OMX326442:OMX326531 ODB326442:ODB326531 NTF326442:NTF326531 NJJ326442:NJJ326531 MZN326442:MZN326531 MPR326442:MPR326531 MFV326442:MFV326531 LVZ326442:LVZ326531 LMD326442:LMD326531 LCH326442:LCH326531 KSL326442:KSL326531 KIP326442:KIP326531 JYT326442:JYT326531 JOX326442:JOX326531 JFB326442:JFB326531 IVF326442:IVF326531 ILJ326442:ILJ326531 IBN326442:IBN326531 HRR326442:HRR326531 HHV326442:HHV326531 GXZ326442:GXZ326531 GOD326442:GOD326531 GEH326442:GEH326531 FUL326442:FUL326531 FKP326442:FKP326531 FAT326442:FAT326531 EQX326442:EQX326531 EHB326442:EHB326531 DXF326442:DXF326531 DNJ326442:DNJ326531 DDN326442:DDN326531 CTR326442:CTR326531 CJV326442:CJV326531 BZZ326442:BZZ326531 BQD326442:BQD326531 BGH326442:BGH326531 AWL326442:AWL326531 AMP326442:AMP326531 ACT326442:ACT326531 SX326442:SX326531 JB326442:JB326531 F326451:F326540 WVN260906:WVN260995 WLR260906:WLR260995 WBV260906:WBV260995 VRZ260906:VRZ260995 VID260906:VID260995 UYH260906:UYH260995 UOL260906:UOL260995 UEP260906:UEP260995 TUT260906:TUT260995 TKX260906:TKX260995 TBB260906:TBB260995 SRF260906:SRF260995 SHJ260906:SHJ260995 RXN260906:RXN260995 RNR260906:RNR260995 RDV260906:RDV260995 QTZ260906:QTZ260995 QKD260906:QKD260995 QAH260906:QAH260995 PQL260906:PQL260995 PGP260906:PGP260995 OWT260906:OWT260995 OMX260906:OMX260995 ODB260906:ODB260995 NTF260906:NTF260995 NJJ260906:NJJ260995 MZN260906:MZN260995 MPR260906:MPR260995 MFV260906:MFV260995 LVZ260906:LVZ260995 LMD260906:LMD260995 LCH260906:LCH260995 KSL260906:KSL260995 KIP260906:KIP260995 JYT260906:JYT260995 JOX260906:JOX260995 JFB260906:JFB260995 IVF260906:IVF260995 ILJ260906:ILJ260995 IBN260906:IBN260995 HRR260906:HRR260995 HHV260906:HHV260995 GXZ260906:GXZ260995 GOD260906:GOD260995 GEH260906:GEH260995 FUL260906:FUL260995 FKP260906:FKP260995 FAT260906:FAT260995 EQX260906:EQX260995 EHB260906:EHB260995 DXF260906:DXF260995 DNJ260906:DNJ260995 DDN260906:DDN260995 CTR260906:CTR260995 CJV260906:CJV260995 BZZ260906:BZZ260995 BQD260906:BQD260995 BGH260906:BGH260995 AWL260906:AWL260995 AMP260906:AMP260995 ACT260906:ACT260995 SX260906:SX260995 JB260906:JB260995 F260915:F261004 WVN195370:WVN195459 WLR195370:WLR195459 WBV195370:WBV195459 VRZ195370:VRZ195459 VID195370:VID195459 UYH195370:UYH195459 UOL195370:UOL195459 UEP195370:UEP195459 TUT195370:TUT195459 TKX195370:TKX195459 TBB195370:TBB195459 SRF195370:SRF195459 SHJ195370:SHJ195459 RXN195370:RXN195459 RNR195370:RNR195459 RDV195370:RDV195459 QTZ195370:QTZ195459 QKD195370:QKD195459 QAH195370:QAH195459 PQL195370:PQL195459 PGP195370:PGP195459 OWT195370:OWT195459 OMX195370:OMX195459 ODB195370:ODB195459 NTF195370:NTF195459 NJJ195370:NJJ195459 MZN195370:MZN195459 MPR195370:MPR195459 MFV195370:MFV195459 LVZ195370:LVZ195459 LMD195370:LMD195459 LCH195370:LCH195459 KSL195370:KSL195459 KIP195370:KIP195459 JYT195370:JYT195459 JOX195370:JOX195459 JFB195370:JFB195459 IVF195370:IVF195459 ILJ195370:ILJ195459 IBN195370:IBN195459 HRR195370:HRR195459 HHV195370:HHV195459 GXZ195370:GXZ195459 GOD195370:GOD195459 GEH195370:GEH195459 FUL195370:FUL195459 FKP195370:FKP195459 FAT195370:FAT195459 EQX195370:EQX195459 EHB195370:EHB195459 DXF195370:DXF195459 DNJ195370:DNJ195459 DDN195370:DDN195459 CTR195370:CTR195459 CJV195370:CJV195459 BZZ195370:BZZ195459 BQD195370:BQD195459 BGH195370:BGH195459 AWL195370:AWL195459 AMP195370:AMP195459 ACT195370:ACT195459 SX195370:SX195459 JB195370:JB195459 F195379:F195468 WVN129834:WVN129923 WLR129834:WLR129923 WBV129834:WBV129923 VRZ129834:VRZ129923 VID129834:VID129923 UYH129834:UYH129923 UOL129834:UOL129923 UEP129834:UEP129923 TUT129834:TUT129923 TKX129834:TKX129923 TBB129834:TBB129923 SRF129834:SRF129923 SHJ129834:SHJ129923 RXN129834:RXN129923 RNR129834:RNR129923 RDV129834:RDV129923 QTZ129834:QTZ129923 QKD129834:QKD129923 QAH129834:QAH129923 PQL129834:PQL129923 PGP129834:PGP129923 OWT129834:OWT129923 OMX129834:OMX129923 ODB129834:ODB129923 NTF129834:NTF129923 NJJ129834:NJJ129923 MZN129834:MZN129923 MPR129834:MPR129923 MFV129834:MFV129923 LVZ129834:LVZ129923 LMD129834:LMD129923 LCH129834:LCH129923 KSL129834:KSL129923 KIP129834:KIP129923 JYT129834:JYT129923 JOX129834:JOX129923 JFB129834:JFB129923 IVF129834:IVF129923 ILJ129834:ILJ129923 IBN129834:IBN129923 HRR129834:HRR129923 HHV129834:HHV129923 GXZ129834:GXZ129923 GOD129834:GOD129923 GEH129834:GEH129923 FUL129834:FUL129923 FKP129834:FKP129923 FAT129834:FAT129923 EQX129834:EQX129923 EHB129834:EHB129923 DXF129834:DXF129923 DNJ129834:DNJ129923 DDN129834:DDN129923 CTR129834:CTR129923 CJV129834:CJV129923 BZZ129834:BZZ129923 BQD129834:BQD129923 BGH129834:BGH129923 AWL129834:AWL129923 AMP129834:AMP129923 ACT129834:ACT129923 SX129834:SX129923 JB129834:JB129923 F129843:F129932 WVN64298:WVN64387 WLR64298:WLR64387 WBV64298:WBV64387 VRZ64298:VRZ64387 VID64298:VID64387 UYH64298:UYH64387 UOL64298:UOL64387 UEP64298:UEP64387 TUT64298:TUT64387 TKX64298:TKX64387 TBB64298:TBB64387 SRF64298:SRF64387 SHJ64298:SHJ64387 RXN64298:RXN64387 RNR64298:RNR64387 RDV64298:RDV64387 QTZ64298:QTZ64387 QKD64298:QKD64387 QAH64298:QAH64387 PQL64298:PQL64387 PGP64298:PGP64387 OWT64298:OWT64387 OMX64298:OMX64387 ODB64298:ODB64387 NTF64298:NTF64387 NJJ64298:NJJ64387 MZN64298:MZN64387 MPR64298:MPR64387 MFV64298:MFV64387 LVZ64298:LVZ64387 LMD64298:LMD64387 LCH64298:LCH64387 KSL64298:KSL64387 KIP64298:KIP64387 JYT64298:JYT64387 JOX64298:JOX64387 JFB64298:JFB64387 IVF64298:IVF64387 ILJ64298:ILJ64387 IBN64298:IBN64387 HRR64298:HRR64387 HHV64298:HHV64387 GXZ64298:GXZ64387 GOD64298:GOD64387 GEH64298:GEH64387 FUL64298:FUL64387 FKP64298:FKP64387 FAT64298:FAT64387 EQX64298:EQX64387 EHB64298:EHB64387 DXF64298:DXF64387 DNJ64298:DNJ64387 DDN64298:DDN64387 CTR64298:CTR64387 CJV64298:CJV64387 BZZ64298:BZZ64387 BQD64298:BQD64387 BGH64298:BGH64387 AWL64298:AWL64387 AMP64298:AMP64387 ACT64298:ACT64387 SX64298:SX64387 JB64298:JB64387 F64307:F64396 JB2:JB70 SX2:SX70 ACT2:ACT70 AMP2:AMP70 AWL2:AWL70 BGH2:BGH70 BQD2:BQD70 BZZ2:BZZ70 CJV2:CJV70 CTR2:CTR70 DDN2:DDN70 DNJ2:DNJ70 DXF2:DXF70 EHB2:EHB70 EQX2:EQX70 FAT2:FAT70 FKP2:FKP70 FUL2:FUL70 GEH2:GEH70 GOD2:GOD70 GXZ2:GXZ70 HHV2:HHV70 HRR2:HRR70 IBN2:IBN70 ILJ2:ILJ70 IVF2:IVF70 JFB2:JFB70 JOX2:JOX70 JYT2:JYT70 KIP2:KIP70 KSL2:KSL70 LCH2:LCH70 LMD2:LMD70 LVZ2:LVZ70 MFV2:MFV70 MPR2:MPR70 MZN2:MZN70 NJJ2:NJJ70 NTF2:NTF70 ODB2:ODB70 OMX2:OMX70 OWT2:OWT70 PGP2:PGP70 PQL2:PQL70 QAH2:QAH70 QKD2:QKD70 QTZ2:QTZ70 RDV2:RDV70 RNR2:RNR70 RXN2:RXN70 SHJ2:SHJ70 SRF2:SRF70 TBB2:TBB70 TKX2:TKX70 TUT2:TUT70 UEP2:UEP70 UOL2:UOL70 UYH2:UYH70 VID2:VID70 VRZ2:VRZ70 WBV2:WBV70 WLR2:WLR70 WVN2:WVN70">
      <formula1>$AH$2:$AH$13</formula1>
    </dataValidation>
    <dataValidation type="list" allowBlank="1" showInputMessage="1" showErrorMessage="1" sqref="WVM981802:WVM981891 WLQ981802:WLQ981891 WBU981802:WBU981891 VRY981802:VRY981891 VIC981802:VIC981891 UYG981802:UYG981891 UOK981802:UOK981891 UEO981802:UEO981891 TUS981802:TUS981891 TKW981802:TKW981891 TBA981802:TBA981891 SRE981802:SRE981891 SHI981802:SHI981891 RXM981802:RXM981891 RNQ981802:RNQ981891 RDU981802:RDU981891 QTY981802:QTY981891 QKC981802:QKC981891 QAG981802:QAG981891 PQK981802:PQK981891 PGO981802:PGO981891 OWS981802:OWS981891 OMW981802:OMW981891 ODA981802:ODA981891 NTE981802:NTE981891 NJI981802:NJI981891 MZM981802:MZM981891 MPQ981802:MPQ981891 MFU981802:MFU981891 LVY981802:LVY981891 LMC981802:LMC981891 LCG981802:LCG981891 KSK981802:KSK981891 KIO981802:KIO981891 JYS981802:JYS981891 JOW981802:JOW981891 JFA981802:JFA981891 IVE981802:IVE981891 ILI981802:ILI981891 IBM981802:IBM981891 HRQ981802:HRQ981891 HHU981802:HHU981891 GXY981802:GXY981891 GOC981802:GOC981891 GEG981802:GEG981891 FUK981802:FUK981891 FKO981802:FKO981891 FAS981802:FAS981891 EQW981802:EQW981891 EHA981802:EHA981891 DXE981802:DXE981891 DNI981802:DNI981891 DDM981802:DDM981891 CTQ981802:CTQ981891 CJU981802:CJU981891 BZY981802:BZY981891 BQC981802:BQC981891 BGG981802:BGG981891 AWK981802:AWK981891 AMO981802:AMO981891 ACS981802:ACS981891 SW981802:SW981891 JA981802:JA981891 E981811:E981900 WVM916266:WVM916355 WLQ916266:WLQ916355 WBU916266:WBU916355 VRY916266:VRY916355 VIC916266:VIC916355 UYG916266:UYG916355 UOK916266:UOK916355 UEO916266:UEO916355 TUS916266:TUS916355 TKW916266:TKW916355 TBA916266:TBA916355 SRE916266:SRE916355 SHI916266:SHI916355 RXM916266:RXM916355 RNQ916266:RNQ916355 RDU916266:RDU916355 QTY916266:QTY916355 QKC916266:QKC916355 QAG916266:QAG916355 PQK916266:PQK916355 PGO916266:PGO916355 OWS916266:OWS916355 OMW916266:OMW916355 ODA916266:ODA916355 NTE916266:NTE916355 NJI916266:NJI916355 MZM916266:MZM916355 MPQ916266:MPQ916355 MFU916266:MFU916355 LVY916266:LVY916355 LMC916266:LMC916355 LCG916266:LCG916355 KSK916266:KSK916355 KIO916266:KIO916355 JYS916266:JYS916355 JOW916266:JOW916355 JFA916266:JFA916355 IVE916266:IVE916355 ILI916266:ILI916355 IBM916266:IBM916355 HRQ916266:HRQ916355 HHU916266:HHU916355 GXY916266:GXY916355 GOC916266:GOC916355 GEG916266:GEG916355 FUK916266:FUK916355 FKO916266:FKO916355 FAS916266:FAS916355 EQW916266:EQW916355 EHA916266:EHA916355 DXE916266:DXE916355 DNI916266:DNI916355 DDM916266:DDM916355 CTQ916266:CTQ916355 CJU916266:CJU916355 BZY916266:BZY916355 BQC916266:BQC916355 BGG916266:BGG916355 AWK916266:AWK916355 AMO916266:AMO916355 ACS916266:ACS916355 SW916266:SW916355 JA916266:JA916355 E916275:E916364 WVM850730:WVM850819 WLQ850730:WLQ850819 WBU850730:WBU850819 VRY850730:VRY850819 VIC850730:VIC850819 UYG850730:UYG850819 UOK850730:UOK850819 UEO850730:UEO850819 TUS850730:TUS850819 TKW850730:TKW850819 TBA850730:TBA850819 SRE850730:SRE850819 SHI850730:SHI850819 RXM850730:RXM850819 RNQ850730:RNQ850819 RDU850730:RDU850819 QTY850730:QTY850819 QKC850730:QKC850819 QAG850730:QAG850819 PQK850730:PQK850819 PGO850730:PGO850819 OWS850730:OWS850819 OMW850730:OMW850819 ODA850730:ODA850819 NTE850730:NTE850819 NJI850730:NJI850819 MZM850730:MZM850819 MPQ850730:MPQ850819 MFU850730:MFU850819 LVY850730:LVY850819 LMC850730:LMC850819 LCG850730:LCG850819 KSK850730:KSK850819 KIO850730:KIO850819 JYS850730:JYS850819 JOW850730:JOW850819 JFA850730:JFA850819 IVE850730:IVE850819 ILI850730:ILI850819 IBM850730:IBM850819 HRQ850730:HRQ850819 HHU850730:HHU850819 GXY850730:GXY850819 GOC850730:GOC850819 GEG850730:GEG850819 FUK850730:FUK850819 FKO850730:FKO850819 FAS850730:FAS850819 EQW850730:EQW850819 EHA850730:EHA850819 DXE850730:DXE850819 DNI850730:DNI850819 DDM850730:DDM850819 CTQ850730:CTQ850819 CJU850730:CJU850819 BZY850730:BZY850819 BQC850730:BQC850819 BGG850730:BGG850819 AWK850730:AWK850819 AMO850730:AMO850819 ACS850730:ACS850819 SW850730:SW850819 JA850730:JA850819 E850739:E850828 WVM785194:WVM785283 WLQ785194:WLQ785283 WBU785194:WBU785283 VRY785194:VRY785283 VIC785194:VIC785283 UYG785194:UYG785283 UOK785194:UOK785283 UEO785194:UEO785283 TUS785194:TUS785283 TKW785194:TKW785283 TBA785194:TBA785283 SRE785194:SRE785283 SHI785194:SHI785283 RXM785194:RXM785283 RNQ785194:RNQ785283 RDU785194:RDU785283 QTY785194:QTY785283 QKC785194:QKC785283 QAG785194:QAG785283 PQK785194:PQK785283 PGO785194:PGO785283 OWS785194:OWS785283 OMW785194:OMW785283 ODA785194:ODA785283 NTE785194:NTE785283 NJI785194:NJI785283 MZM785194:MZM785283 MPQ785194:MPQ785283 MFU785194:MFU785283 LVY785194:LVY785283 LMC785194:LMC785283 LCG785194:LCG785283 KSK785194:KSK785283 KIO785194:KIO785283 JYS785194:JYS785283 JOW785194:JOW785283 JFA785194:JFA785283 IVE785194:IVE785283 ILI785194:ILI785283 IBM785194:IBM785283 HRQ785194:HRQ785283 HHU785194:HHU785283 GXY785194:GXY785283 GOC785194:GOC785283 GEG785194:GEG785283 FUK785194:FUK785283 FKO785194:FKO785283 FAS785194:FAS785283 EQW785194:EQW785283 EHA785194:EHA785283 DXE785194:DXE785283 DNI785194:DNI785283 DDM785194:DDM785283 CTQ785194:CTQ785283 CJU785194:CJU785283 BZY785194:BZY785283 BQC785194:BQC785283 BGG785194:BGG785283 AWK785194:AWK785283 AMO785194:AMO785283 ACS785194:ACS785283 SW785194:SW785283 JA785194:JA785283 E785203:E785292 WVM719658:WVM719747 WLQ719658:WLQ719747 WBU719658:WBU719747 VRY719658:VRY719747 VIC719658:VIC719747 UYG719658:UYG719747 UOK719658:UOK719747 UEO719658:UEO719747 TUS719658:TUS719747 TKW719658:TKW719747 TBA719658:TBA719747 SRE719658:SRE719747 SHI719658:SHI719747 RXM719658:RXM719747 RNQ719658:RNQ719747 RDU719658:RDU719747 QTY719658:QTY719747 QKC719658:QKC719747 QAG719658:QAG719747 PQK719658:PQK719747 PGO719658:PGO719747 OWS719658:OWS719747 OMW719658:OMW719747 ODA719658:ODA719747 NTE719658:NTE719747 NJI719658:NJI719747 MZM719658:MZM719747 MPQ719658:MPQ719747 MFU719658:MFU719747 LVY719658:LVY719747 LMC719658:LMC719747 LCG719658:LCG719747 KSK719658:KSK719747 KIO719658:KIO719747 JYS719658:JYS719747 JOW719658:JOW719747 JFA719658:JFA719747 IVE719658:IVE719747 ILI719658:ILI719747 IBM719658:IBM719747 HRQ719658:HRQ719747 HHU719658:HHU719747 GXY719658:GXY719747 GOC719658:GOC719747 GEG719658:GEG719747 FUK719658:FUK719747 FKO719658:FKO719747 FAS719658:FAS719747 EQW719658:EQW719747 EHA719658:EHA719747 DXE719658:DXE719747 DNI719658:DNI719747 DDM719658:DDM719747 CTQ719658:CTQ719747 CJU719658:CJU719747 BZY719658:BZY719747 BQC719658:BQC719747 BGG719658:BGG719747 AWK719658:AWK719747 AMO719658:AMO719747 ACS719658:ACS719747 SW719658:SW719747 JA719658:JA719747 E719667:E719756 WVM654122:WVM654211 WLQ654122:WLQ654211 WBU654122:WBU654211 VRY654122:VRY654211 VIC654122:VIC654211 UYG654122:UYG654211 UOK654122:UOK654211 UEO654122:UEO654211 TUS654122:TUS654211 TKW654122:TKW654211 TBA654122:TBA654211 SRE654122:SRE654211 SHI654122:SHI654211 RXM654122:RXM654211 RNQ654122:RNQ654211 RDU654122:RDU654211 QTY654122:QTY654211 QKC654122:QKC654211 QAG654122:QAG654211 PQK654122:PQK654211 PGO654122:PGO654211 OWS654122:OWS654211 OMW654122:OMW654211 ODA654122:ODA654211 NTE654122:NTE654211 NJI654122:NJI654211 MZM654122:MZM654211 MPQ654122:MPQ654211 MFU654122:MFU654211 LVY654122:LVY654211 LMC654122:LMC654211 LCG654122:LCG654211 KSK654122:KSK654211 KIO654122:KIO654211 JYS654122:JYS654211 JOW654122:JOW654211 JFA654122:JFA654211 IVE654122:IVE654211 ILI654122:ILI654211 IBM654122:IBM654211 HRQ654122:HRQ654211 HHU654122:HHU654211 GXY654122:GXY654211 GOC654122:GOC654211 GEG654122:GEG654211 FUK654122:FUK654211 FKO654122:FKO654211 FAS654122:FAS654211 EQW654122:EQW654211 EHA654122:EHA654211 DXE654122:DXE654211 DNI654122:DNI654211 DDM654122:DDM654211 CTQ654122:CTQ654211 CJU654122:CJU654211 BZY654122:BZY654211 BQC654122:BQC654211 BGG654122:BGG654211 AWK654122:AWK654211 AMO654122:AMO654211 ACS654122:ACS654211 SW654122:SW654211 JA654122:JA654211 E654131:E654220 WVM588586:WVM588675 WLQ588586:WLQ588675 WBU588586:WBU588675 VRY588586:VRY588675 VIC588586:VIC588675 UYG588586:UYG588675 UOK588586:UOK588675 UEO588586:UEO588675 TUS588586:TUS588675 TKW588586:TKW588675 TBA588586:TBA588675 SRE588586:SRE588675 SHI588586:SHI588675 RXM588586:RXM588675 RNQ588586:RNQ588675 RDU588586:RDU588675 QTY588586:QTY588675 QKC588586:QKC588675 QAG588586:QAG588675 PQK588586:PQK588675 PGO588586:PGO588675 OWS588586:OWS588675 OMW588586:OMW588675 ODA588586:ODA588675 NTE588586:NTE588675 NJI588586:NJI588675 MZM588586:MZM588675 MPQ588586:MPQ588675 MFU588586:MFU588675 LVY588586:LVY588675 LMC588586:LMC588675 LCG588586:LCG588675 KSK588586:KSK588675 KIO588586:KIO588675 JYS588586:JYS588675 JOW588586:JOW588675 JFA588586:JFA588675 IVE588586:IVE588675 ILI588586:ILI588675 IBM588586:IBM588675 HRQ588586:HRQ588675 HHU588586:HHU588675 GXY588586:GXY588675 GOC588586:GOC588675 GEG588586:GEG588675 FUK588586:FUK588675 FKO588586:FKO588675 FAS588586:FAS588675 EQW588586:EQW588675 EHA588586:EHA588675 DXE588586:DXE588675 DNI588586:DNI588675 DDM588586:DDM588675 CTQ588586:CTQ588675 CJU588586:CJU588675 BZY588586:BZY588675 BQC588586:BQC588675 BGG588586:BGG588675 AWK588586:AWK588675 AMO588586:AMO588675 ACS588586:ACS588675 SW588586:SW588675 JA588586:JA588675 E588595:E588684 WVM523050:WVM523139 WLQ523050:WLQ523139 WBU523050:WBU523139 VRY523050:VRY523139 VIC523050:VIC523139 UYG523050:UYG523139 UOK523050:UOK523139 UEO523050:UEO523139 TUS523050:TUS523139 TKW523050:TKW523139 TBA523050:TBA523139 SRE523050:SRE523139 SHI523050:SHI523139 RXM523050:RXM523139 RNQ523050:RNQ523139 RDU523050:RDU523139 QTY523050:QTY523139 QKC523050:QKC523139 QAG523050:QAG523139 PQK523050:PQK523139 PGO523050:PGO523139 OWS523050:OWS523139 OMW523050:OMW523139 ODA523050:ODA523139 NTE523050:NTE523139 NJI523050:NJI523139 MZM523050:MZM523139 MPQ523050:MPQ523139 MFU523050:MFU523139 LVY523050:LVY523139 LMC523050:LMC523139 LCG523050:LCG523139 KSK523050:KSK523139 KIO523050:KIO523139 JYS523050:JYS523139 JOW523050:JOW523139 JFA523050:JFA523139 IVE523050:IVE523139 ILI523050:ILI523139 IBM523050:IBM523139 HRQ523050:HRQ523139 HHU523050:HHU523139 GXY523050:GXY523139 GOC523050:GOC523139 GEG523050:GEG523139 FUK523050:FUK523139 FKO523050:FKO523139 FAS523050:FAS523139 EQW523050:EQW523139 EHA523050:EHA523139 DXE523050:DXE523139 DNI523050:DNI523139 DDM523050:DDM523139 CTQ523050:CTQ523139 CJU523050:CJU523139 BZY523050:BZY523139 BQC523050:BQC523139 BGG523050:BGG523139 AWK523050:AWK523139 AMO523050:AMO523139 ACS523050:ACS523139 SW523050:SW523139 JA523050:JA523139 E523059:E523148 WVM457514:WVM457603 WLQ457514:WLQ457603 WBU457514:WBU457603 VRY457514:VRY457603 VIC457514:VIC457603 UYG457514:UYG457603 UOK457514:UOK457603 UEO457514:UEO457603 TUS457514:TUS457603 TKW457514:TKW457603 TBA457514:TBA457603 SRE457514:SRE457603 SHI457514:SHI457603 RXM457514:RXM457603 RNQ457514:RNQ457603 RDU457514:RDU457603 QTY457514:QTY457603 QKC457514:QKC457603 QAG457514:QAG457603 PQK457514:PQK457603 PGO457514:PGO457603 OWS457514:OWS457603 OMW457514:OMW457603 ODA457514:ODA457603 NTE457514:NTE457603 NJI457514:NJI457603 MZM457514:MZM457603 MPQ457514:MPQ457603 MFU457514:MFU457603 LVY457514:LVY457603 LMC457514:LMC457603 LCG457514:LCG457603 KSK457514:KSK457603 KIO457514:KIO457603 JYS457514:JYS457603 JOW457514:JOW457603 JFA457514:JFA457603 IVE457514:IVE457603 ILI457514:ILI457603 IBM457514:IBM457603 HRQ457514:HRQ457603 HHU457514:HHU457603 GXY457514:GXY457603 GOC457514:GOC457603 GEG457514:GEG457603 FUK457514:FUK457603 FKO457514:FKO457603 FAS457514:FAS457603 EQW457514:EQW457603 EHA457514:EHA457603 DXE457514:DXE457603 DNI457514:DNI457603 DDM457514:DDM457603 CTQ457514:CTQ457603 CJU457514:CJU457603 BZY457514:BZY457603 BQC457514:BQC457603 BGG457514:BGG457603 AWK457514:AWK457603 AMO457514:AMO457603 ACS457514:ACS457603 SW457514:SW457603 JA457514:JA457603 E457523:E457612 WVM391978:WVM392067 WLQ391978:WLQ392067 WBU391978:WBU392067 VRY391978:VRY392067 VIC391978:VIC392067 UYG391978:UYG392067 UOK391978:UOK392067 UEO391978:UEO392067 TUS391978:TUS392067 TKW391978:TKW392067 TBA391978:TBA392067 SRE391978:SRE392067 SHI391978:SHI392067 RXM391978:RXM392067 RNQ391978:RNQ392067 RDU391978:RDU392067 QTY391978:QTY392067 QKC391978:QKC392067 QAG391978:QAG392067 PQK391978:PQK392067 PGO391978:PGO392067 OWS391978:OWS392067 OMW391978:OMW392067 ODA391978:ODA392067 NTE391978:NTE392067 NJI391978:NJI392067 MZM391978:MZM392067 MPQ391978:MPQ392067 MFU391978:MFU392067 LVY391978:LVY392067 LMC391978:LMC392067 LCG391978:LCG392067 KSK391978:KSK392067 KIO391978:KIO392067 JYS391978:JYS392067 JOW391978:JOW392067 JFA391978:JFA392067 IVE391978:IVE392067 ILI391978:ILI392067 IBM391978:IBM392067 HRQ391978:HRQ392067 HHU391978:HHU392067 GXY391978:GXY392067 GOC391978:GOC392067 GEG391978:GEG392067 FUK391978:FUK392067 FKO391978:FKO392067 FAS391978:FAS392067 EQW391978:EQW392067 EHA391978:EHA392067 DXE391978:DXE392067 DNI391978:DNI392067 DDM391978:DDM392067 CTQ391978:CTQ392067 CJU391978:CJU392067 BZY391978:BZY392067 BQC391978:BQC392067 BGG391978:BGG392067 AWK391978:AWK392067 AMO391978:AMO392067 ACS391978:ACS392067 SW391978:SW392067 JA391978:JA392067 E391987:E392076 WVM326442:WVM326531 WLQ326442:WLQ326531 WBU326442:WBU326531 VRY326442:VRY326531 VIC326442:VIC326531 UYG326442:UYG326531 UOK326442:UOK326531 UEO326442:UEO326531 TUS326442:TUS326531 TKW326442:TKW326531 TBA326442:TBA326531 SRE326442:SRE326531 SHI326442:SHI326531 RXM326442:RXM326531 RNQ326442:RNQ326531 RDU326442:RDU326531 QTY326442:QTY326531 QKC326442:QKC326531 QAG326442:QAG326531 PQK326442:PQK326531 PGO326442:PGO326531 OWS326442:OWS326531 OMW326442:OMW326531 ODA326442:ODA326531 NTE326442:NTE326531 NJI326442:NJI326531 MZM326442:MZM326531 MPQ326442:MPQ326531 MFU326442:MFU326531 LVY326442:LVY326531 LMC326442:LMC326531 LCG326442:LCG326531 KSK326442:KSK326531 KIO326442:KIO326531 JYS326442:JYS326531 JOW326442:JOW326531 JFA326442:JFA326531 IVE326442:IVE326531 ILI326442:ILI326531 IBM326442:IBM326531 HRQ326442:HRQ326531 HHU326442:HHU326531 GXY326442:GXY326531 GOC326442:GOC326531 GEG326442:GEG326531 FUK326442:FUK326531 FKO326442:FKO326531 FAS326442:FAS326531 EQW326442:EQW326531 EHA326442:EHA326531 DXE326442:DXE326531 DNI326442:DNI326531 DDM326442:DDM326531 CTQ326442:CTQ326531 CJU326442:CJU326531 BZY326442:BZY326531 BQC326442:BQC326531 BGG326442:BGG326531 AWK326442:AWK326531 AMO326442:AMO326531 ACS326442:ACS326531 SW326442:SW326531 JA326442:JA326531 E326451:E326540 WVM260906:WVM260995 WLQ260906:WLQ260995 WBU260906:WBU260995 VRY260906:VRY260995 VIC260906:VIC260995 UYG260906:UYG260995 UOK260906:UOK260995 UEO260906:UEO260995 TUS260906:TUS260995 TKW260906:TKW260995 TBA260906:TBA260995 SRE260906:SRE260995 SHI260906:SHI260995 RXM260906:RXM260995 RNQ260906:RNQ260995 RDU260906:RDU260995 QTY260906:QTY260995 QKC260906:QKC260995 QAG260906:QAG260995 PQK260906:PQK260995 PGO260906:PGO260995 OWS260906:OWS260995 OMW260906:OMW260995 ODA260906:ODA260995 NTE260906:NTE260995 NJI260906:NJI260995 MZM260906:MZM260995 MPQ260906:MPQ260995 MFU260906:MFU260995 LVY260906:LVY260995 LMC260906:LMC260995 LCG260906:LCG260995 KSK260906:KSK260995 KIO260906:KIO260995 JYS260906:JYS260995 JOW260906:JOW260995 JFA260906:JFA260995 IVE260906:IVE260995 ILI260906:ILI260995 IBM260906:IBM260995 HRQ260906:HRQ260995 HHU260906:HHU260995 GXY260906:GXY260995 GOC260906:GOC260995 GEG260906:GEG260995 FUK260906:FUK260995 FKO260906:FKO260995 FAS260906:FAS260995 EQW260906:EQW260995 EHA260906:EHA260995 DXE260906:DXE260995 DNI260906:DNI260995 DDM260906:DDM260995 CTQ260906:CTQ260995 CJU260906:CJU260995 BZY260906:BZY260995 BQC260906:BQC260995 BGG260906:BGG260995 AWK260906:AWK260995 AMO260906:AMO260995 ACS260906:ACS260995 SW260906:SW260995 JA260906:JA260995 E260915:E261004 WVM195370:WVM195459 WLQ195370:WLQ195459 WBU195370:WBU195459 VRY195370:VRY195459 VIC195370:VIC195459 UYG195370:UYG195459 UOK195370:UOK195459 UEO195370:UEO195459 TUS195370:TUS195459 TKW195370:TKW195459 TBA195370:TBA195459 SRE195370:SRE195459 SHI195370:SHI195459 RXM195370:RXM195459 RNQ195370:RNQ195459 RDU195370:RDU195459 QTY195370:QTY195459 QKC195370:QKC195459 QAG195370:QAG195459 PQK195370:PQK195459 PGO195370:PGO195459 OWS195370:OWS195459 OMW195370:OMW195459 ODA195370:ODA195459 NTE195370:NTE195459 NJI195370:NJI195459 MZM195370:MZM195459 MPQ195370:MPQ195459 MFU195370:MFU195459 LVY195370:LVY195459 LMC195370:LMC195459 LCG195370:LCG195459 KSK195370:KSK195459 KIO195370:KIO195459 JYS195370:JYS195459 JOW195370:JOW195459 JFA195370:JFA195459 IVE195370:IVE195459 ILI195370:ILI195459 IBM195370:IBM195459 HRQ195370:HRQ195459 HHU195370:HHU195459 GXY195370:GXY195459 GOC195370:GOC195459 GEG195370:GEG195459 FUK195370:FUK195459 FKO195370:FKO195459 FAS195370:FAS195459 EQW195370:EQW195459 EHA195370:EHA195459 DXE195370:DXE195459 DNI195370:DNI195459 DDM195370:DDM195459 CTQ195370:CTQ195459 CJU195370:CJU195459 BZY195370:BZY195459 BQC195370:BQC195459 BGG195370:BGG195459 AWK195370:AWK195459 AMO195370:AMO195459 ACS195370:ACS195459 SW195370:SW195459 JA195370:JA195459 E195379:E195468 WVM129834:WVM129923 WLQ129834:WLQ129923 WBU129834:WBU129923 VRY129834:VRY129923 VIC129834:VIC129923 UYG129834:UYG129923 UOK129834:UOK129923 UEO129834:UEO129923 TUS129834:TUS129923 TKW129834:TKW129923 TBA129834:TBA129923 SRE129834:SRE129923 SHI129834:SHI129923 RXM129834:RXM129923 RNQ129834:RNQ129923 RDU129834:RDU129923 QTY129834:QTY129923 QKC129834:QKC129923 QAG129834:QAG129923 PQK129834:PQK129923 PGO129834:PGO129923 OWS129834:OWS129923 OMW129834:OMW129923 ODA129834:ODA129923 NTE129834:NTE129923 NJI129834:NJI129923 MZM129834:MZM129923 MPQ129834:MPQ129923 MFU129834:MFU129923 LVY129834:LVY129923 LMC129834:LMC129923 LCG129834:LCG129923 KSK129834:KSK129923 KIO129834:KIO129923 JYS129834:JYS129923 JOW129834:JOW129923 JFA129834:JFA129923 IVE129834:IVE129923 ILI129834:ILI129923 IBM129834:IBM129923 HRQ129834:HRQ129923 HHU129834:HHU129923 GXY129834:GXY129923 GOC129834:GOC129923 GEG129834:GEG129923 FUK129834:FUK129923 FKO129834:FKO129923 FAS129834:FAS129923 EQW129834:EQW129923 EHA129834:EHA129923 DXE129834:DXE129923 DNI129834:DNI129923 DDM129834:DDM129923 CTQ129834:CTQ129923 CJU129834:CJU129923 BZY129834:BZY129923 BQC129834:BQC129923 BGG129834:BGG129923 AWK129834:AWK129923 AMO129834:AMO129923 ACS129834:ACS129923 SW129834:SW129923 JA129834:JA129923 E129843:E129932 WVM64298:WVM64387 WLQ64298:WLQ64387 WBU64298:WBU64387 VRY64298:VRY64387 VIC64298:VIC64387 UYG64298:UYG64387 UOK64298:UOK64387 UEO64298:UEO64387 TUS64298:TUS64387 TKW64298:TKW64387 TBA64298:TBA64387 SRE64298:SRE64387 SHI64298:SHI64387 RXM64298:RXM64387 RNQ64298:RNQ64387 RDU64298:RDU64387 QTY64298:QTY64387 QKC64298:QKC64387 QAG64298:QAG64387 PQK64298:PQK64387 PGO64298:PGO64387 OWS64298:OWS64387 OMW64298:OMW64387 ODA64298:ODA64387 NTE64298:NTE64387 NJI64298:NJI64387 MZM64298:MZM64387 MPQ64298:MPQ64387 MFU64298:MFU64387 LVY64298:LVY64387 LMC64298:LMC64387 LCG64298:LCG64387 KSK64298:KSK64387 KIO64298:KIO64387 JYS64298:JYS64387 JOW64298:JOW64387 JFA64298:JFA64387 IVE64298:IVE64387 ILI64298:ILI64387 IBM64298:IBM64387 HRQ64298:HRQ64387 HHU64298:HHU64387 GXY64298:GXY64387 GOC64298:GOC64387 GEG64298:GEG64387 FUK64298:FUK64387 FKO64298:FKO64387 FAS64298:FAS64387 EQW64298:EQW64387 EHA64298:EHA64387 DXE64298:DXE64387 DNI64298:DNI64387 DDM64298:DDM64387 CTQ64298:CTQ64387 CJU64298:CJU64387 BZY64298:BZY64387 BQC64298:BQC64387 BGG64298:BGG64387 AWK64298:AWK64387 AMO64298:AMO64387 ACS64298:ACS64387 SW64298:SW64387 JA64298:JA64387 E64307:E64396 JA2:JA70 SW2:SW70 ACS2:ACS70 AMO2:AMO70 AWK2:AWK70 BGG2:BGG70 BQC2:BQC70 BZY2:BZY70 CJU2:CJU70 CTQ2:CTQ70 DDM2:DDM70 DNI2:DNI70 DXE2:DXE70 EHA2:EHA70 EQW2:EQW70 FAS2:FAS70 FKO2:FKO70 FUK2:FUK70 GEG2:GEG70 GOC2:GOC70 GXY2:GXY70 HHU2:HHU70 HRQ2:HRQ70 IBM2:IBM70 ILI2:ILI70 IVE2:IVE70 JFA2:JFA70 JOW2:JOW70 JYS2:JYS70 KIO2:KIO70 KSK2:KSK70 LCG2:LCG70 LMC2:LMC70 LVY2:LVY70 MFU2:MFU70 MPQ2:MPQ70 MZM2:MZM70 NJI2:NJI70 NTE2:NTE70 ODA2:ODA70 OMW2:OMW70 OWS2:OWS70 PGO2:PGO70 PQK2:PQK70 QAG2:QAG70 QKC2:QKC70 QTY2:QTY70 RDU2:RDU70 RNQ2:RNQ70 RXM2:RXM70 SHI2:SHI70 SRE2:SRE70 TBA2:TBA70 TKW2:TKW70 TUS2:TUS70 UEO2:UEO70 UOK2:UOK70 UYG2:UYG70 VIC2:VIC70 VRY2:VRY70 WBU2:WBU70 WLQ2:WLQ70 WVM2:WVM70">
      <formula1>$AG$2:$AG$13</formula1>
    </dataValidation>
    <dataValidation type="list" allowBlank="1" showInputMessage="1" showErrorMessage="1" sqref="WWF981802:WWF981885 WMJ981802:WMJ981885 WCN981802:WCN981885 VSR981802:VSR981885 VIV981802:VIV981885 UYZ981802:UYZ981885 UPD981802:UPD981885 UFH981802:UFH981885 TVL981802:TVL981885 TLP981802:TLP981885 TBT981802:TBT981885 SRX981802:SRX981885 SIB981802:SIB981885 RYF981802:RYF981885 ROJ981802:ROJ981885 REN981802:REN981885 QUR981802:QUR981885 QKV981802:QKV981885 QAZ981802:QAZ981885 PRD981802:PRD981885 PHH981802:PHH981885 OXL981802:OXL981885 ONP981802:ONP981885 ODT981802:ODT981885 NTX981802:NTX981885 NKB981802:NKB981885 NAF981802:NAF981885 MQJ981802:MQJ981885 MGN981802:MGN981885 LWR981802:LWR981885 LMV981802:LMV981885 LCZ981802:LCZ981885 KTD981802:KTD981885 KJH981802:KJH981885 JZL981802:JZL981885 JPP981802:JPP981885 JFT981802:JFT981885 IVX981802:IVX981885 IMB981802:IMB981885 ICF981802:ICF981885 HSJ981802:HSJ981885 HIN981802:HIN981885 GYR981802:GYR981885 GOV981802:GOV981885 GEZ981802:GEZ981885 FVD981802:FVD981885 FLH981802:FLH981885 FBL981802:FBL981885 ERP981802:ERP981885 EHT981802:EHT981885 DXX981802:DXX981885 DOB981802:DOB981885 DEF981802:DEF981885 CUJ981802:CUJ981885 CKN981802:CKN981885 CAR981802:CAR981885 BQV981802:BQV981885 BGZ981802:BGZ981885 AXD981802:AXD981885 ANH981802:ANH981885 ADL981802:ADL981885 TP981802:TP981885 JT981802:JT981885 X981802:X981885 WWF916266:WWF916349 WMJ916266:WMJ916349 WCN916266:WCN916349 VSR916266:VSR916349 VIV916266:VIV916349 UYZ916266:UYZ916349 UPD916266:UPD916349 UFH916266:UFH916349 TVL916266:TVL916349 TLP916266:TLP916349 TBT916266:TBT916349 SRX916266:SRX916349 SIB916266:SIB916349 RYF916266:RYF916349 ROJ916266:ROJ916349 REN916266:REN916349 QUR916266:QUR916349 QKV916266:QKV916349 QAZ916266:QAZ916349 PRD916266:PRD916349 PHH916266:PHH916349 OXL916266:OXL916349 ONP916266:ONP916349 ODT916266:ODT916349 NTX916266:NTX916349 NKB916266:NKB916349 NAF916266:NAF916349 MQJ916266:MQJ916349 MGN916266:MGN916349 LWR916266:LWR916349 LMV916266:LMV916349 LCZ916266:LCZ916349 KTD916266:KTD916349 KJH916266:KJH916349 JZL916266:JZL916349 JPP916266:JPP916349 JFT916266:JFT916349 IVX916266:IVX916349 IMB916266:IMB916349 ICF916266:ICF916349 HSJ916266:HSJ916349 HIN916266:HIN916349 GYR916266:GYR916349 GOV916266:GOV916349 GEZ916266:GEZ916349 FVD916266:FVD916349 FLH916266:FLH916349 FBL916266:FBL916349 ERP916266:ERP916349 EHT916266:EHT916349 DXX916266:DXX916349 DOB916266:DOB916349 DEF916266:DEF916349 CUJ916266:CUJ916349 CKN916266:CKN916349 CAR916266:CAR916349 BQV916266:BQV916349 BGZ916266:BGZ916349 AXD916266:AXD916349 ANH916266:ANH916349 ADL916266:ADL916349 TP916266:TP916349 JT916266:JT916349 X916266:X916349 WWF850730:WWF850813 WMJ850730:WMJ850813 WCN850730:WCN850813 VSR850730:VSR850813 VIV850730:VIV850813 UYZ850730:UYZ850813 UPD850730:UPD850813 UFH850730:UFH850813 TVL850730:TVL850813 TLP850730:TLP850813 TBT850730:TBT850813 SRX850730:SRX850813 SIB850730:SIB850813 RYF850730:RYF850813 ROJ850730:ROJ850813 REN850730:REN850813 QUR850730:QUR850813 QKV850730:QKV850813 QAZ850730:QAZ850813 PRD850730:PRD850813 PHH850730:PHH850813 OXL850730:OXL850813 ONP850730:ONP850813 ODT850730:ODT850813 NTX850730:NTX850813 NKB850730:NKB850813 NAF850730:NAF850813 MQJ850730:MQJ850813 MGN850730:MGN850813 LWR850730:LWR850813 LMV850730:LMV850813 LCZ850730:LCZ850813 KTD850730:KTD850813 KJH850730:KJH850813 JZL850730:JZL850813 JPP850730:JPP850813 JFT850730:JFT850813 IVX850730:IVX850813 IMB850730:IMB850813 ICF850730:ICF850813 HSJ850730:HSJ850813 HIN850730:HIN850813 GYR850730:GYR850813 GOV850730:GOV850813 GEZ850730:GEZ850813 FVD850730:FVD850813 FLH850730:FLH850813 FBL850730:FBL850813 ERP850730:ERP850813 EHT850730:EHT850813 DXX850730:DXX850813 DOB850730:DOB850813 DEF850730:DEF850813 CUJ850730:CUJ850813 CKN850730:CKN850813 CAR850730:CAR850813 BQV850730:BQV850813 BGZ850730:BGZ850813 AXD850730:AXD850813 ANH850730:ANH850813 ADL850730:ADL850813 TP850730:TP850813 JT850730:JT850813 X850730:X850813 WWF785194:WWF785277 WMJ785194:WMJ785277 WCN785194:WCN785277 VSR785194:VSR785277 VIV785194:VIV785277 UYZ785194:UYZ785277 UPD785194:UPD785277 UFH785194:UFH785277 TVL785194:TVL785277 TLP785194:TLP785277 TBT785194:TBT785277 SRX785194:SRX785277 SIB785194:SIB785277 RYF785194:RYF785277 ROJ785194:ROJ785277 REN785194:REN785277 QUR785194:QUR785277 QKV785194:QKV785277 QAZ785194:QAZ785277 PRD785194:PRD785277 PHH785194:PHH785277 OXL785194:OXL785277 ONP785194:ONP785277 ODT785194:ODT785277 NTX785194:NTX785277 NKB785194:NKB785277 NAF785194:NAF785277 MQJ785194:MQJ785277 MGN785194:MGN785277 LWR785194:LWR785277 LMV785194:LMV785277 LCZ785194:LCZ785277 KTD785194:KTD785277 KJH785194:KJH785277 JZL785194:JZL785277 JPP785194:JPP785277 JFT785194:JFT785277 IVX785194:IVX785277 IMB785194:IMB785277 ICF785194:ICF785277 HSJ785194:HSJ785277 HIN785194:HIN785277 GYR785194:GYR785277 GOV785194:GOV785277 GEZ785194:GEZ785277 FVD785194:FVD785277 FLH785194:FLH785277 FBL785194:FBL785277 ERP785194:ERP785277 EHT785194:EHT785277 DXX785194:DXX785277 DOB785194:DOB785277 DEF785194:DEF785277 CUJ785194:CUJ785277 CKN785194:CKN785277 CAR785194:CAR785277 BQV785194:BQV785277 BGZ785194:BGZ785277 AXD785194:AXD785277 ANH785194:ANH785277 ADL785194:ADL785277 TP785194:TP785277 JT785194:JT785277 X785194:X785277 WWF719658:WWF719741 WMJ719658:WMJ719741 WCN719658:WCN719741 VSR719658:VSR719741 VIV719658:VIV719741 UYZ719658:UYZ719741 UPD719658:UPD719741 UFH719658:UFH719741 TVL719658:TVL719741 TLP719658:TLP719741 TBT719658:TBT719741 SRX719658:SRX719741 SIB719658:SIB719741 RYF719658:RYF719741 ROJ719658:ROJ719741 REN719658:REN719741 QUR719658:QUR719741 QKV719658:QKV719741 QAZ719658:QAZ719741 PRD719658:PRD719741 PHH719658:PHH719741 OXL719658:OXL719741 ONP719658:ONP719741 ODT719658:ODT719741 NTX719658:NTX719741 NKB719658:NKB719741 NAF719658:NAF719741 MQJ719658:MQJ719741 MGN719658:MGN719741 LWR719658:LWR719741 LMV719658:LMV719741 LCZ719658:LCZ719741 KTD719658:KTD719741 KJH719658:KJH719741 JZL719658:JZL719741 JPP719658:JPP719741 JFT719658:JFT719741 IVX719658:IVX719741 IMB719658:IMB719741 ICF719658:ICF719741 HSJ719658:HSJ719741 HIN719658:HIN719741 GYR719658:GYR719741 GOV719658:GOV719741 GEZ719658:GEZ719741 FVD719658:FVD719741 FLH719658:FLH719741 FBL719658:FBL719741 ERP719658:ERP719741 EHT719658:EHT719741 DXX719658:DXX719741 DOB719658:DOB719741 DEF719658:DEF719741 CUJ719658:CUJ719741 CKN719658:CKN719741 CAR719658:CAR719741 BQV719658:BQV719741 BGZ719658:BGZ719741 AXD719658:AXD719741 ANH719658:ANH719741 ADL719658:ADL719741 TP719658:TP719741 JT719658:JT719741 X719658:X719741 WWF654122:WWF654205 WMJ654122:WMJ654205 WCN654122:WCN654205 VSR654122:VSR654205 VIV654122:VIV654205 UYZ654122:UYZ654205 UPD654122:UPD654205 UFH654122:UFH654205 TVL654122:TVL654205 TLP654122:TLP654205 TBT654122:TBT654205 SRX654122:SRX654205 SIB654122:SIB654205 RYF654122:RYF654205 ROJ654122:ROJ654205 REN654122:REN654205 QUR654122:QUR654205 QKV654122:QKV654205 QAZ654122:QAZ654205 PRD654122:PRD654205 PHH654122:PHH654205 OXL654122:OXL654205 ONP654122:ONP654205 ODT654122:ODT654205 NTX654122:NTX654205 NKB654122:NKB654205 NAF654122:NAF654205 MQJ654122:MQJ654205 MGN654122:MGN654205 LWR654122:LWR654205 LMV654122:LMV654205 LCZ654122:LCZ654205 KTD654122:KTD654205 KJH654122:KJH654205 JZL654122:JZL654205 JPP654122:JPP654205 JFT654122:JFT654205 IVX654122:IVX654205 IMB654122:IMB654205 ICF654122:ICF654205 HSJ654122:HSJ654205 HIN654122:HIN654205 GYR654122:GYR654205 GOV654122:GOV654205 GEZ654122:GEZ654205 FVD654122:FVD654205 FLH654122:FLH654205 FBL654122:FBL654205 ERP654122:ERP654205 EHT654122:EHT654205 DXX654122:DXX654205 DOB654122:DOB654205 DEF654122:DEF654205 CUJ654122:CUJ654205 CKN654122:CKN654205 CAR654122:CAR654205 BQV654122:BQV654205 BGZ654122:BGZ654205 AXD654122:AXD654205 ANH654122:ANH654205 ADL654122:ADL654205 TP654122:TP654205 JT654122:JT654205 X654122:X654205 WWF588586:WWF588669 WMJ588586:WMJ588669 WCN588586:WCN588669 VSR588586:VSR588669 VIV588586:VIV588669 UYZ588586:UYZ588669 UPD588586:UPD588669 UFH588586:UFH588669 TVL588586:TVL588669 TLP588586:TLP588669 TBT588586:TBT588669 SRX588586:SRX588669 SIB588586:SIB588669 RYF588586:RYF588669 ROJ588586:ROJ588669 REN588586:REN588669 QUR588586:QUR588669 QKV588586:QKV588669 QAZ588586:QAZ588669 PRD588586:PRD588669 PHH588586:PHH588669 OXL588586:OXL588669 ONP588586:ONP588669 ODT588586:ODT588669 NTX588586:NTX588669 NKB588586:NKB588669 NAF588586:NAF588669 MQJ588586:MQJ588669 MGN588586:MGN588669 LWR588586:LWR588669 LMV588586:LMV588669 LCZ588586:LCZ588669 KTD588586:KTD588669 KJH588586:KJH588669 JZL588586:JZL588669 JPP588586:JPP588669 JFT588586:JFT588669 IVX588586:IVX588669 IMB588586:IMB588669 ICF588586:ICF588669 HSJ588586:HSJ588669 HIN588586:HIN588669 GYR588586:GYR588669 GOV588586:GOV588669 GEZ588586:GEZ588669 FVD588586:FVD588669 FLH588586:FLH588669 FBL588586:FBL588669 ERP588586:ERP588669 EHT588586:EHT588669 DXX588586:DXX588669 DOB588586:DOB588669 DEF588586:DEF588669 CUJ588586:CUJ588669 CKN588586:CKN588669 CAR588586:CAR588669 BQV588586:BQV588669 BGZ588586:BGZ588669 AXD588586:AXD588669 ANH588586:ANH588669 ADL588586:ADL588669 TP588586:TP588669 JT588586:JT588669 X588586:X588669 WWF523050:WWF523133 WMJ523050:WMJ523133 WCN523050:WCN523133 VSR523050:VSR523133 VIV523050:VIV523133 UYZ523050:UYZ523133 UPD523050:UPD523133 UFH523050:UFH523133 TVL523050:TVL523133 TLP523050:TLP523133 TBT523050:TBT523133 SRX523050:SRX523133 SIB523050:SIB523133 RYF523050:RYF523133 ROJ523050:ROJ523133 REN523050:REN523133 QUR523050:QUR523133 QKV523050:QKV523133 QAZ523050:QAZ523133 PRD523050:PRD523133 PHH523050:PHH523133 OXL523050:OXL523133 ONP523050:ONP523133 ODT523050:ODT523133 NTX523050:NTX523133 NKB523050:NKB523133 NAF523050:NAF523133 MQJ523050:MQJ523133 MGN523050:MGN523133 LWR523050:LWR523133 LMV523050:LMV523133 LCZ523050:LCZ523133 KTD523050:KTD523133 KJH523050:KJH523133 JZL523050:JZL523133 JPP523050:JPP523133 JFT523050:JFT523133 IVX523050:IVX523133 IMB523050:IMB523133 ICF523050:ICF523133 HSJ523050:HSJ523133 HIN523050:HIN523133 GYR523050:GYR523133 GOV523050:GOV523133 GEZ523050:GEZ523133 FVD523050:FVD523133 FLH523050:FLH523133 FBL523050:FBL523133 ERP523050:ERP523133 EHT523050:EHT523133 DXX523050:DXX523133 DOB523050:DOB523133 DEF523050:DEF523133 CUJ523050:CUJ523133 CKN523050:CKN523133 CAR523050:CAR523133 BQV523050:BQV523133 BGZ523050:BGZ523133 AXD523050:AXD523133 ANH523050:ANH523133 ADL523050:ADL523133 TP523050:TP523133 JT523050:JT523133 X523050:X523133 WWF457514:WWF457597 WMJ457514:WMJ457597 WCN457514:WCN457597 VSR457514:VSR457597 VIV457514:VIV457597 UYZ457514:UYZ457597 UPD457514:UPD457597 UFH457514:UFH457597 TVL457514:TVL457597 TLP457514:TLP457597 TBT457514:TBT457597 SRX457514:SRX457597 SIB457514:SIB457597 RYF457514:RYF457597 ROJ457514:ROJ457597 REN457514:REN457597 QUR457514:QUR457597 QKV457514:QKV457597 QAZ457514:QAZ457597 PRD457514:PRD457597 PHH457514:PHH457597 OXL457514:OXL457597 ONP457514:ONP457597 ODT457514:ODT457597 NTX457514:NTX457597 NKB457514:NKB457597 NAF457514:NAF457597 MQJ457514:MQJ457597 MGN457514:MGN457597 LWR457514:LWR457597 LMV457514:LMV457597 LCZ457514:LCZ457597 KTD457514:KTD457597 KJH457514:KJH457597 JZL457514:JZL457597 JPP457514:JPP457597 JFT457514:JFT457597 IVX457514:IVX457597 IMB457514:IMB457597 ICF457514:ICF457597 HSJ457514:HSJ457597 HIN457514:HIN457597 GYR457514:GYR457597 GOV457514:GOV457597 GEZ457514:GEZ457597 FVD457514:FVD457597 FLH457514:FLH457597 FBL457514:FBL457597 ERP457514:ERP457597 EHT457514:EHT457597 DXX457514:DXX457597 DOB457514:DOB457597 DEF457514:DEF457597 CUJ457514:CUJ457597 CKN457514:CKN457597 CAR457514:CAR457597 BQV457514:BQV457597 BGZ457514:BGZ457597 AXD457514:AXD457597 ANH457514:ANH457597 ADL457514:ADL457597 TP457514:TP457597 JT457514:JT457597 X457514:X457597 WWF391978:WWF392061 WMJ391978:WMJ392061 WCN391978:WCN392061 VSR391978:VSR392061 VIV391978:VIV392061 UYZ391978:UYZ392061 UPD391978:UPD392061 UFH391978:UFH392061 TVL391978:TVL392061 TLP391978:TLP392061 TBT391978:TBT392061 SRX391978:SRX392061 SIB391978:SIB392061 RYF391978:RYF392061 ROJ391978:ROJ392061 REN391978:REN392061 QUR391978:QUR392061 QKV391978:QKV392061 QAZ391978:QAZ392061 PRD391978:PRD392061 PHH391978:PHH392061 OXL391978:OXL392061 ONP391978:ONP392061 ODT391978:ODT392061 NTX391978:NTX392061 NKB391978:NKB392061 NAF391978:NAF392061 MQJ391978:MQJ392061 MGN391978:MGN392061 LWR391978:LWR392061 LMV391978:LMV392061 LCZ391978:LCZ392061 KTD391978:KTD392061 KJH391978:KJH392061 JZL391978:JZL392061 JPP391978:JPP392061 JFT391978:JFT392061 IVX391978:IVX392061 IMB391978:IMB392061 ICF391978:ICF392061 HSJ391978:HSJ392061 HIN391978:HIN392061 GYR391978:GYR392061 GOV391978:GOV392061 GEZ391978:GEZ392061 FVD391978:FVD392061 FLH391978:FLH392061 FBL391978:FBL392061 ERP391978:ERP392061 EHT391978:EHT392061 DXX391978:DXX392061 DOB391978:DOB392061 DEF391978:DEF392061 CUJ391978:CUJ392061 CKN391978:CKN392061 CAR391978:CAR392061 BQV391978:BQV392061 BGZ391978:BGZ392061 AXD391978:AXD392061 ANH391978:ANH392061 ADL391978:ADL392061 TP391978:TP392061 JT391978:JT392061 X391978:X392061 WWF326442:WWF326525 WMJ326442:WMJ326525 WCN326442:WCN326525 VSR326442:VSR326525 VIV326442:VIV326525 UYZ326442:UYZ326525 UPD326442:UPD326525 UFH326442:UFH326525 TVL326442:TVL326525 TLP326442:TLP326525 TBT326442:TBT326525 SRX326442:SRX326525 SIB326442:SIB326525 RYF326442:RYF326525 ROJ326442:ROJ326525 REN326442:REN326525 QUR326442:QUR326525 QKV326442:QKV326525 QAZ326442:QAZ326525 PRD326442:PRD326525 PHH326442:PHH326525 OXL326442:OXL326525 ONP326442:ONP326525 ODT326442:ODT326525 NTX326442:NTX326525 NKB326442:NKB326525 NAF326442:NAF326525 MQJ326442:MQJ326525 MGN326442:MGN326525 LWR326442:LWR326525 LMV326442:LMV326525 LCZ326442:LCZ326525 KTD326442:KTD326525 KJH326442:KJH326525 JZL326442:JZL326525 JPP326442:JPP326525 JFT326442:JFT326525 IVX326442:IVX326525 IMB326442:IMB326525 ICF326442:ICF326525 HSJ326442:HSJ326525 HIN326442:HIN326525 GYR326442:GYR326525 GOV326442:GOV326525 GEZ326442:GEZ326525 FVD326442:FVD326525 FLH326442:FLH326525 FBL326442:FBL326525 ERP326442:ERP326525 EHT326442:EHT326525 DXX326442:DXX326525 DOB326442:DOB326525 DEF326442:DEF326525 CUJ326442:CUJ326525 CKN326442:CKN326525 CAR326442:CAR326525 BQV326442:BQV326525 BGZ326442:BGZ326525 AXD326442:AXD326525 ANH326442:ANH326525 ADL326442:ADL326525 TP326442:TP326525 JT326442:JT326525 X326442:X326525 WWF260906:WWF260989 WMJ260906:WMJ260989 WCN260906:WCN260989 VSR260906:VSR260989 VIV260906:VIV260989 UYZ260906:UYZ260989 UPD260906:UPD260989 UFH260906:UFH260989 TVL260906:TVL260989 TLP260906:TLP260989 TBT260906:TBT260989 SRX260906:SRX260989 SIB260906:SIB260989 RYF260906:RYF260989 ROJ260906:ROJ260989 REN260906:REN260989 QUR260906:QUR260989 QKV260906:QKV260989 QAZ260906:QAZ260989 PRD260906:PRD260989 PHH260906:PHH260989 OXL260906:OXL260989 ONP260906:ONP260989 ODT260906:ODT260989 NTX260906:NTX260989 NKB260906:NKB260989 NAF260906:NAF260989 MQJ260906:MQJ260989 MGN260906:MGN260989 LWR260906:LWR260989 LMV260906:LMV260989 LCZ260906:LCZ260989 KTD260906:KTD260989 KJH260906:KJH260989 JZL260906:JZL260989 JPP260906:JPP260989 JFT260906:JFT260989 IVX260906:IVX260989 IMB260906:IMB260989 ICF260906:ICF260989 HSJ260906:HSJ260989 HIN260906:HIN260989 GYR260906:GYR260989 GOV260906:GOV260989 GEZ260906:GEZ260989 FVD260906:FVD260989 FLH260906:FLH260989 FBL260906:FBL260989 ERP260906:ERP260989 EHT260906:EHT260989 DXX260906:DXX260989 DOB260906:DOB260989 DEF260906:DEF260989 CUJ260906:CUJ260989 CKN260906:CKN260989 CAR260906:CAR260989 BQV260906:BQV260989 BGZ260906:BGZ260989 AXD260906:AXD260989 ANH260906:ANH260989 ADL260906:ADL260989 TP260906:TP260989 JT260906:JT260989 X260906:X260989 WWF195370:WWF195453 WMJ195370:WMJ195453 WCN195370:WCN195453 VSR195370:VSR195453 VIV195370:VIV195453 UYZ195370:UYZ195453 UPD195370:UPD195453 UFH195370:UFH195453 TVL195370:TVL195453 TLP195370:TLP195453 TBT195370:TBT195453 SRX195370:SRX195453 SIB195370:SIB195453 RYF195370:RYF195453 ROJ195370:ROJ195453 REN195370:REN195453 QUR195370:QUR195453 QKV195370:QKV195453 QAZ195370:QAZ195453 PRD195370:PRD195453 PHH195370:PHH195453 OXL195370:OXL195453 ONP195370:ONP195453 ODT195370:ODT195453 NTX195370:NTX195453 NKB195370:NKB195453 NAF195370:NAF195453 MQJ195370:MQJ195453 MGN195370:MGN195453 LWR195370:LWR195453 LMV195370:LMV195453 LCZ195370:LCZ195453 KTD195370:KTD195453 KJH195370:KJH195453 JZL195370:JZL195453 JPP195370:JPP195453 JFT195370:JFT195453 IVX195370:IVX195453 IMB195370:IMB195453 ICF195370:ICF195453 HSJ195370:HSJ195453 HIN195370:HIN195453 GYR195370:GYR195453 GOV195370:GOV195453 GEZ195370:GEZ195453 FVD195370:FVD195453 FLH195370:FLH195453 FBL195370:FBL195453 ERP195370:ERP195453 EHT195370:EHT195453 DXX195370:DXX195453 DOB195370:DOB195453 DEF195370:DEF195453 CUJ195370:CUJ195453 CKN195370:CKN195453 CAR195370:CAR195453 BQV195370:BQV195453 BGZ195370:BGZ195453 AXD195370:AXD195453 ANH195370:ANH195453 ADL195370:ADL195453 TP195370:TP195453 JT195370:JT195453 X195370:X195453 WWF129834:WWF129917 WMJ129834:WMJ129917 WCN129834:WCN129917 VSR129834:VSR129917 VIV129834:VIV129917 UYZ129834:UYZ129917 UPD129834:UPD129917 UFH129834:UFH129917 TVL129834:TVL129917 TLP129834:TLP129917 TBT129834:TBT129917 SRX129834:SRX129917 SIB129834:SIB129917 RYF129834:RYF129917 ROJ129834:ROJ129917 REN129834:REN129917 QUR129834:QUR129917 QKV129834:QKV129917 QAZ129834:QAZ129917 PRD129834:PRD129917 PHH129834:PHH129917 OXL129834:OXL129917 ONP129834:ONP129917 ODT129834:ODT129917 NTX129834:NTX129917 NKB129834:NKB129917 NAF129834:NAF129917 MQJ129834:MQJ129917 MGN129834:MGN129917 LWR129834:LWR129917 LMV129834:LMV129917 LCZ129834:LCZ129917 KTD129834:KTD129917 KJH129834:KJH129917 JZL129834:JZL129917 JPP129834:JPP129917 JFT129834:JFT129917 IVX129834:IVX129917 IMB129834:IMB129917 ICF129834:ICF129917 HSJ129834:HSJ129917 HIN129834:HIN129917 GYR129834:GYR129917 GOV129834:GOV129917 GEZ129834:GEZ129917 FVD129834:FVD129917 FLH129834:FLH129917 FBL129834:FBL129917 ERP129834:ERP129917 EHT129834:EHT129917 DXX129834:DXX129917 DOB129834:DOB129917 DEF129834:DEF129917 CUJ129834:CUJ129917 CKN129834:CKN129917 CAR129834:CAR129917 BQV129834:BQV129917 BGZ129834:BGZ129917 AXD129834:AXD129917 ANH129834:ANH129917 ADL129834:ADL129917 TP129834:TP129917 JT129834:JT129917 X129834:X129917 WWF64298:WWF64381 WMJ64298:WMJ64381 WCN64298:WCN64381 VSR64298:VSR64381 VIV64298:VIV64381 UYZ64298:UYZ64381 UPD64298:UPD64381 UFH64298:UFH64381 TVL64298:TVL64381 TLP64298:TLP64381 TBT64298:TBT64381 SRX64298:SRX64381 SIB64298:SIB64381 RYF64298:RYF64381 ROJ64298:ROJ64381 REN64298:REN64381 QUR64298:QUR64381 QKV64298:QKV64381 QAZ64298:QAZ64381 PRD64298:PRD64381 PHH64298:PHH64381 OXL64298:OXL64381 ONP64298:ONP64381 ODT64298:ODT64381 NTX64298:NTX64381 NKB64298:NKB64381 NAF64298:NAF64381 MQJ64298:MQJ64381 MGN64298:MGN64381 LWR64298:LWR64381 LMV64298:LMV64381 LCZ64298:LCZ64381 KTD64298:KTD64381 KJH64298:KJH64381 JZL64298:JZL64381 JPP64298:JPP64381 JFT64298:JFT64381 IVX64298:IVX64381 IMB64298:IMB64381 ICF64298:ICF64381 HSJ64298:HSJ64381 HIN64298:HIN64381 GYR64298:GYR64381 GOV64298:GOV64381 GEZ64298:GEZ64381 FVD64298:FVD64381 FLH64298:FLH64381 FBL64298:FBL64381 ERP64298:ERP64381 EHT64298:EHT64381 DXX64298:DXX64381 DOB64298:DOB64381 DEF64298:DEF64381 CUJ64298:CUJ64381 CKN64298:CKN64381 CAR64298:CAR64381 BQV64298:BQV64381 BGZ64298:BGZ64381 AXD64298:AXD64381 ANH64298:ANH64381 ADL64298:ADL64381 TP64298:TP64381 JT64298:JT64381 X64298:X64381 X93:X497 JT2:JT70 TP2:TP70 ADL2:ADL70 ANH2:ANH70 AXD2:AXD70 BGZ2:BGZ70 BQV2:BQV70 CAR2:CAR70 CKN2:CKN70 CUJ2:CUJ70 DEF2:DEF70 DOB2:DOB70 DXX2:DXX70 EHT2:EHT70 ERP2:ERP70 FBL2:FBL70 FLH2:FLH70 FVD2:FVD70 GEZ2:GEZ70 GOV2:GOV70 GYR2:GYR70 HIN2:HIN70 HSJ2:HSJ70 ICF2:ICF70 IMB2:IMB70 IVX2:IVX70 JFT2:JFT70 JPP2:JPP70 JZL2:JZL70 KJH2:KJH70 KTD2:KTD70 LCZ2:LCZ70 LMV2:LMV70 LWR2:LWR70 MGN2:MGN70 MQJ2:MQJ70 NAF2:NAF70 NKB2:NKB70 NTX2:NTX70 ODT2:ODT70 ONP2:ONP70 OXL2:OXL70 PHH2:PHH70 PRD2:PRD70 QAZ2:QAZ70 QKV2:QKV70 QUR2:QUR70 REN2:REN70 ROJ2:ROJ70 RYF2:RYF70 SIB2:SIB70 SRX2:SRX70 TBT2:TBT70 TLP2:TLP70 TVL2:TVL70 UFH2:UFH70 UPD2:UPD70 UYZ2:UYZ70 VIV2:VIV70 VSR2:VSR70 WCN2:WCN70 WMJ2:WMJ70 WWF2:WWF70 X2:X91">
      <formula1>$AT$2:$AT$3</formula1>
    </dataValidation>
    <dataValidation operator="equal" allowBlank="1" showInputMessage="1" showErrorMessage="1" sqref="WVJ981802:WVJ981891 WLN981802:WLN981891 WBR981802:WBR981891 VRV981802:VRV981891 VHZ981802:VHZ981891 UYD981802:UYD981891 UOH981802:UOH981891 UEL981802:UEL981891 TUP981802:TUP981891 TKT981802:TKT981891 TAX981802:TAX981891 SRB981802:SRB981891 SHF981802:SHF981891 RXJ981802:RXJ981891 RNN981802:RNN981891 RDR981802:RDR981891 QTV981802:QTV981891 QJZ981802:QJZ981891 QAD981802:QAD981891 PQH981802:PQH981891 PGL981802:PGL981891 OWP981802:OWP981891 OMT981802:OMT981891 OCX981802:OCX981891 NTB981802:NTB981891 NJF981802:NJF981891 MZJ981802:MZJ981891 MPN981802:MPN981891 MFR981802:MFR981891 LVV981802:LVV981891 LLZ981802:LLZ981891 LCD981802:LCD981891 KSH981802:KSH981891 KIL981802:KIL981891 JYP981802:JYP981891 JOT981802:JOT981891 JEX981802:JEX981891 IVB981802:IVB981891 ILF981802:ILF981891 IBJ981802:IBJ981891 HRN981802:HRN981891 HHR981802:HHR981891 GXV981802:GXV981891 GNZ981802:GNZ981891 GED981802:GED981891 FUH981802:FUH981891 FKL981802:FKL981891 FAP981802:FAP981891 EQT981802:EQT981891 EGX981802:EGX981891 DXB981802:DXB981891 DNF981802:DNF981891 DDJ981802:DDJ981891 CTN981802:CTN981891 CJR981802:CJR981891 BZV981802:BZV981891 BPZ981802:BPZ981891 BGD981802:BGD981891 AWH981802:AWH981891 AML981802:AML981891 ACP981802:ACP981891 ST981802:ST981891 IX981802:IX981891 B981808:B981897 WVJ916266:WVJ916355 WLN916266:WLN916355 WBR916266:WBR916355 VRV916266:VRV916355 VHZ916266:VHZ916355 UYD916266:UYD916355 UOH916266:UOH916355 UEL916266:UEL916355 TUP916266:TUP916355 TKT916266:TKT916355 TAX916266:TAX916355 SRB916266:SRB916355 SHF916266:SHF916355 RXJ916266:RXJ916355 RNN916266:RNN916355 RDR916266:RDR916355 QTV916266:QTV916355 QJZ916266:QJZ916355 QAD916266:QAD916355 PQH916266:PQH916355 PGL916266:PGL916355 OWP916266:OWP916355 OMT916266:OMT916355 OCX916266:OCX916355 NTB916266:NTB916355 NJF916266:NJF916355 MZJ916266:MZJ916355 MPN916266:MPN916355 MFR916266:MFR916355 LVV916266:LVV916355 LLZ916266:LLZ916355 LCD916266:LCD916355 KSH916266:KSH916355 KIL916266:KIL916355 JYP916266:JYP916355 JOT916266:JOT916355 JEX916266:JEX916355 IVB916266:IVB916355 ILF916266:ILF916355 IBJ916266:IBJ916355 HRN916266:HRN916355 HHR916266:HHR916355 GXV916266:GXV916355 GNZ916266:GNZ916355 GED916266:GED916355 FUH916266:FUH916355 FKL916266:FKL916355 FAP916266:FAP916355 EQT916266:EQT916355 EGX916266:EGX916355 DXB916266:DXB916355 DNF916266:DNF916355 DDJ916266:DDJ916355 CTN916266:CTN916355 CJR916266:CJR916355 BZV916266:BZV916355 BPZ916266:BPZ916355 BGD916266:BGD916355 AWH916266:AWH916355 AML916266:AML916355 ACP916266:ACP916355 ST916266:ST916355 IX916266:IX916355 B916272:B916361 WVJ850730:WVJ850819 WLN850730:WLN850819 WBR850730:WBR850819 VRV850730:VRV850819 VHZ850730:VHZ850819 UYD850730:UYD850819 UOH850730:UOH850819 UEL850730:UEL850819 TUP850730:TUP850819 TKT850730:TKT850819 TAX850730:TAX850819 SRB850730:SRB850819 SHF850730:SHF850819 RXJ850730:RXJ850819 RNN850730:RNN850819 RDR850730:RDR850819 QTV850730:QTV850819 QJZ850730:QJZ850819 QAD850730:QAD850819 PQH850730:PQH850819 PGL850730:PGL850819 OWP850730:OWP850819 OMT850730:OMT850819 OCX850730:OCX850819 NTB850730:NTB850819 NJF850730:NJF850819 MZJ850730:MZJ850819 MPN850730:MPN850819 MFR850730:MFR850819 LVV850730:LVV850819 LLZ850730:LLZ850819 LCD850730:LCD850819 KSH850730:KSH850819 KIL850730:KIL850819 JYP850730:JYP850819 JOT850730:JOT850819 JEX850730:JEX850819 IVB850730:IVB850819 ILF850730:ILF850819 IBJ850730:IBJ850819 HRN850730:HRN850819 HHR850730:HHR850819 GXV850730:GXV850819 GNZ850730:GNZ850819 GED850730:GED850819 FUH850730:FUH850819 FKL850730:FKL850819 FAP850730:FAP850819 EQT850730:EQT850819 EGX850730:EGX850819 DXB850730:DXB850819 DNF850730:DNF850819 DDJ850730:DDJ850819 CTN850730:CTN850819 CJR850730:CJR850819 BZV850730:BZV850819 BPZ850730:BPZ850819 BGD850730:BGD850819 AWH850730:AWH850819 AML850730:AML850819 ACP850730:ACP850819 ST850730:ST850819 IX850730:IX850819 B850736:B850825 WVJ785194:WVJ785283 WLN785194:WLN785283 WBR785194:WBR785283 VRV785194:VRV785283 VHZ785194:VHZ785283 UYD785194:UYD785283 UOH785194:UOH785283 UEL785194:UEL785283 TUP785194:TUP785283 TKT785194:TKT785283 TAX785194:TAX785283 SRB785194:SRB785283 SHF785194:SHF785283 RXJ785194:RXJ785283 RNN785194:RNN785283 RDR785194:RDR785283 QTV785194:QTV785283 QJZ785194:QJZ785283 QAD785194:QAD785283 PQH785194:PQH785283 PGL785194:PGL785283 OWP785194:OWP785283 OMT785194:OMT785283 OCX785194:OCX785283 NTB785194:NTB785283 NJF785194:NJF785283 MZJ785194:MZJ785283 MPN785194:MPN785283 MFR785194:MFR785283 LVV785194:LVV785283 LLZ785194:LLZ785283 LCD785194:LCD785283 KSH785194:KSH785283 KIL785194:KIL785283 JYP785194:JYP785283 JOT785194:JOT785283 JEX785194:JEX785283 IVB785194:IVB785283 ILF785194:ILF785283 IBJ785194:IBJ785283 HRN785194:HRN785283 HHR785194:HHR785283 GXV785194:GXV785283 GNZ785194:GNZ785283 GED785194:GED785283 FUH785194:FUH785283 FKL785194:FKL785283 FAP785194:FAP785283 EQT785194:EQT785283 EGX785194:EGX785283 DXB785194:DXB785283 DNF785194:DNF785283 DDJ785194:DDJ785283 CTN785194:CTN785283 CJR785194:CJR785283 BZV785194:BZV785283 BPZ785194:BPZ785283 BGD785194:BGD785283 AWH785194:AWH785283 AML785194:AML785283 ACP785194:ACP785283 ST785194:ST785283 IX785194:IX785283 B785200:B785289 WVJ719658:WVJ719747 WLN719658:WLN719747 WBR719658:WBR719747 VRV719658:VRV719747 VHZ719658:VHZ719747 UYD719658:UYD719747 UOH719658:UOH719747 UEL719658:UEL719747 TUP719658:TUP719747 TKT719658:TKT719747 TAX719658:TAX719747 SRB719658:SRB719747 SHF719658:SHF719747 RXJ719658:RXJ719747 RNN719658:RNN719747 RDR719658:RDR719747 QTV719658:QTV719747 QJZ719658:QJZ719747 QAD719658:QAD719747 PQH719658:PQH719747 PGL719658:PGL719747 OWP719658:OWP719747 OMT719658:OMT719747 OCX719658:OCX719747 NTB719658:NTB719747 NJF719658:NJF719747 MZJ719658:MZJ719747 MPN719658:MPN719747 MFR719658:MFR719747 LVV719658:LVV719747 LLZ719658:LLZ719747 LCD719658:LCD719747 KSH719658:KSH719747 KIL719658:KIL719747 JYP719658:JYP719747 JOT719658:JOT719747 JEX719658:JEX719747 IVB719658:IVB719747 ILF719658:ILF719747 IBJ719658:IBJ719747 HRN719658:HRN719747 HHR719658:HHR719747 GXV719658:GXV719747 GNZ719658:GNZ719747 GED719658:GED719747 FUH719658:FUH719747 FKL719658:FKL719747 FAP719658:FAP719747 EQT719658:EQT719747 EGX719658:EGX719747 DXB719658:DXB719747 DNF719658:DNF719747 DDJ719658:DDJ719747 CTN719658:CTN719747 CJR719658:CJR719747 BZV719658:BZV719747 BPZ719658:BPZ719747 BGD719658:BGD719747 AWH719658:AWH719747 AML719658:AML719747 ACP719658:ACP719747 ST719658:ST719747 IX719658:IX719747 B719664:B719753 WVJ654122:WVJ654211 WLN654122:WLN654211 WBR654122:WBR654211 VRV654122:VRV654211 VHZ654122:VHZ654211 UYD654122:UYD654211 UOH654122:UOH654211 UEL654122:UEL654211 TUP654122:TUP654211 TKT654122:TKT654211 TAX654122:TAX654211 SRB654122:SRB654211 SHF654122:SHF654211 RXJ654122:RXJ654211 RNN654122:RNN654211 RDR654122:RDR654211 QTV654122:QTV654211 QJZ654122:QJZ654211 QAD654122:QAD654211 PQH654122:PQH654211 PGL654122:PGL654211 OWP654122:OWP654211 OMT654122:OMT654211 OCX654122:OCX654211 NTB654122:NTB654211 NJF654122:NJF654211 MZJ654122:MZJ654211 MPN654122:MPN654211 MFR654122:MFR654211 LVV654122:LVV654211 LLZ654122:LLZ654211 LCD654122:LCD654211 KSH654122:KSH654211 KIL654122:KIL654211 JYP654122:JYP654211 JOT654122:JOT654211 JEX654122:JEX654211 IVB654122:IVB654211 ILF654122:ILF654211 IBJ654122:IBJ654211 HRN654122:HRN654211 HHR654122:HHR654211 GXV654122:GXV654211 GNZ654122:GNZ654211 GED654122:GED654211 FUH654122:FUH654211 FKL654122:FKL654211 FAP654122:FAP654211 EQT654122:EQT654211 EGX654122:EGX654211 DXB654122:DXB654211 DNF654122:DNF654211 DDJ654122:DDJ654211 CTN654122:CTN654211 CJR654122:CJR654211 BZV654122:BZV654211 BPZ654122:BPZ654211 BGD654122:BGD654211 AWH654122:AWH654211 AML654122:AML654211 ACP654122:ACP654211 ST654122:ST654211 IX654122:IX654211 B654128:B654217 WVJ588586:WVJ588675 WLN588586:WLN588675 WBR588586:WBR588675 VRV588586:VRV588675 VHZ588586:VHZ588675 UYD588586:UYD588675 UOH588586:UOH588675 UEL588586:UEL588675 TUP588586:TUP588675 TKT588586:TKT588675 TAX588586:TAX588675 SRB588586:SRB588675 SHF588586:SHF588675 RXJ588586:RXJ588675 RNN588586:RNN588675 RDR588586:RDR588675 QTV588586:QTV588675 QJZ588586:QJZ588675 QAD588586:QAD588675 PQH588586:PQH588675 PGL588586:PGL588675 OWP588586:OWP588675 OMT588586:OMT588675 OCX588586:OCX588675 NTB588586:NTB588675 NJF588586:NJF588675 MZJ588586:MZJ588675 MPN588586:MPN588675 MFR588586:MFR588675 LVV588586:LVV588675 LLZ588586:LLZ588675 LCD588586:LCD588675 KSH588586:KSH588675 KIL588586:KIL588675 JYP588586:JYP588675 JOT588586:JOT588675 JEX588586:JEX588675 IVB588586:IVB588675 ILF588586:ILF588675 IBJ588586:IBJ588675 HRN588586:HRN588675 HHR588586:HHR588675 GXV588586:GXV588675 GNZ588586:GNZ588675 GED588586:GED588675 FUH588586:FUH588675 FKL588586:FKL588675 FAP588586:FAP588675 EQT588586:EQT588675 EGX588586:EGX588675 DXB588586:DXB588675 DNF588586:DNF588675 DDJ588586:DDJ588675 CTN588586:CTN588675 CJR588586:CJR588675 BZV588586:BZV588675 BPZ588586:BPZ588675 BGD588586:BGD588675 AWH588586:AWH588675 AML588586:AML588675 ACP588586:ACP588675 ST588586:ST588675 IX588586:IX588675 B588592:B588681 WVJ523050:WVJ523139 WLN523050:WLN523139 WBR523050:WBR523139 VRV523050:VRV523139 VHZ523050:VHZ523139 UYD523050:UYD523139 UOH523050:UOH523139 UEL523050:UEL523139 TUP523050:TUP523139 TKT523050:TKT523139 TAX523050:TAX523139 SRB523050:SRB523139 SHF523050:SHF523139 RXJ523050:RXJ523139 RNN523050:RNN523139 RDR523050:RDR523139 QTV523050:QTV523139 QJZ523050:QJZ523139 QAD523050:QAD523139 PQH523050:PQH523139 PGL523050:PGL523139 OWP523050:OWP523139 OMT523050:OMT523139 OCX523050:OCX523139 NTB523050:NTB523139 NJF523050:NJF523139 MZJ523050:MZJ523139 MPN523050:MPN523139 MFR523050:MFR523139 LVV523050:LVV523139 LLZ523050:LLZ523139 LCD523050:LCD523139 KSH523050:KSH523139 KIL523050:KIL523139 JYP523050:JYP523139 JOT523050:JOT523139 JEX523050:JEX523139 IVB523050:IVB523139 ILF523050:ILF523139 IBJ523050:IBJ523139 HRN523050:HRN523139 HHR523050:HHR523139 GXV523050:GXV523139 GNZ523050:GNZ523139 GED523050:GED523139 FUH523050:FUH523139 FKL523050:FKL523139 FAP523050:FAP523139 EQT523050:EQT523139 EGX523050:EGX523139 DXB523050:DXB523139 DNF523050:DNF523139 DDJ523050:DDJ523139 CTN523050:CTN523139 CJR523050:CJR523139 BZV523050:BZV523139 BPZ523050:BPZ523139 BGD523050:BGD523139 AWH523050:AWH523139 AML523050:AML523139 ACP523050:ACP523139 ST523050:ST523139 IX523050:IX523139 B523056:B523145 WVJ457514:WVJ457603 WLN457514:WLN457603 WBR457514:WBR457603 VRV457514:VRV457603 VHZ457514:VHZ457603 UYD457514:UYD457603 UOH457514:UOH457603 UEL457514:UEL457603 TUP457514:TUP457603 TKT457514:TKT457603 TAX457514:TAX457603 SRB457514:SRB457603 SHF457514:SHF457603 RXJ457514:RXJ457603 RNN457514:RNN457603 RDR457514:RDR457603 QTV457514:QTV457603 QJZ457514:QJZ457603 QAD457514:QAD457603 PQH457514:PQH457603 PGL457514:PGL457603 OWP457514:OWP457603 OMT457514:OMT457603 OCX457514:OCX457603 NTB457514:NTB457603 NJF457514:NJF457603 MZJ457514:MZJ457603 MPN457514:MPN457603 MFR457514:MFR457603 LVV457514:LVV457603 LLZ457514:LLZ457603 LCD457514:LCD457603 KSH457514:KSH457603 KIL457514:KIL457603 JYP457514:JYP457603 JOT457514:JOT457603 JEX457514:JEX457603 IVB457514:IVB457603 ILF457514:ILF457603 IBJ457514:IBJ457603 HRN457514:HRN457603 HHR457514:HHR457603 GXV457514:GXV457603 GNZ457514:GNZ457603 GED457514:GED457603 FUH457514:FUH457603 FKL457514:FKL457603 FAP457514:FAP457603 EQT457514:EQT457603 EGX457514:EGX457603 DXB457514:DXB457603 DNF457514:DNF457603 DDJ457514:DDJ457603 CTN457514:CTN457603 CJR457514:CJR457603 BZV457514:BZV457603 BPZ457514:BPZ457603 BGD457514:BGD457603 AWH457514:AWH457603 AML457514:AML457603 ACP457514:ACP457603 ST457514:ST457603 IX457514:IX457603 B457520:B457609 WVJ391978:WVJ392067 WLN391978:WLN392067 WBR391978:WBR392067 VRV391978:VRV392067 VHZ391978:VHZ392067 UYD391978:UYD392067 UOH391978:UOH392067 UEL391978:UEL392067 TUP391978:TUP392067 TKT391978:TKT392067 TAX391978:TAX392067 SRB391978:SRB392067 SHF391978:SHF392067 RXJ391978:RXJ392067 RNN391978:RNN392067 RDR391978:RDR392067 QTV391978:QTV392067 QJZ391978:QJZ392067 QAD391978:QAD392067 PQH391978:PQH392067 PGL391978:PGL392067 OWP391978:OWP392067 OMT391978:OMT392067 OCX391978:OCX392067 NTB391978:NTB392067 NJF391978:NJF392067 MZJ391978:MZJ392067 MPN391978:MPN392067 MFR391978:MFR392067 LVV391978:LVV392067 LLZ391978:LLZ392067 LCD391978:LCD392067 KSH391978:KSH392067 KIL391978:KIL392067 JYP391978:JYP392067 JOT391978:JOT392067 JEX391978:JEX392067 IVB391978:IVB392067 ILF391978:ILF392067 IBJ391978:IBJ392067 HRN391978:HRN392067 HHR391978:HHR392067 GXV391978:GXV392067 GNZ391978:GNZ392067 GED391978:GED392067 FUH391978:FUH392067 FKL391978:FKL392067 FAP391978:FAP392067 EQT391978:EQT392067 EGX391978:EGX392067 DXB391978:DXB392067 DNF391978:DNF392067 DDJ391978:DDJ392067 CTN391978:CTN392067 CJR391978:CJR392067 BZV391978:BZV392067 BPZ391978:BPZ392067 BGD391978:BGD392067 AWH391978:AWH392067 AML391978:AML392067 ACP391978:ACP392067 ST391978:ST392067 IX391978:IX392067 B391984:B392073 WVJ326442:WVJ326531 WLN326442:WLN326531 WBR326442:WBR326531 VRV326442:VRV326531 VHZ326442:VHZ326531 UYD326442:UYD326531 UOH326442:UOH326531 UEL326442:UEL326531 TUP326442:TUP326531 TKT326442:TKT326531 TAX326442:TAX326531 SRB326442:SRB326531 SHF326442:SHF326531 RXJ326442:RXJ326531 RNN326442:RNN326531 RDR326442:RDR326531 QTV326442:QTV326531 QJZ326442:QJZ326531 QAD326442:QAD326531 PQH326442:PQH326531 PGL326442:PGL326531 OWP326442:OWP326531 OMT326442:OMT326531 OCX326442:OCX326531 NTB326442:NTB326531 NJF326442:NJF326531 MZJ326442:MZJ326531 MPN326442:MPN326531 MFR326442:MFR326531 LVV326442:LVV326531 LLZ326442:LLZ326531 LCD326442:LCD326531 KSH326442:KSH326531 KIL326442:KIL326531 JYP326442:JYP326531 JOT326442:JOT326531 JEX326442:JEX326531 IVB326442:IVB326531 ILF326442:ILF326531 IBJ326442:IBJ326531 HRN326442:HRN326531 HHR326442:HHR326531 GXV326442:GXV326531 GNZ326442:GNZ326531 GED326442:GED326531 FUH326442:FUH326531 FKL326442:FKL326531 FAP326442:FAP326531 EQT326442:EQT326531 EGX326442:EGX326531 DXB326442:DXB326531 DNF326442:DNF326531 DDJ326442:DDJ326531 CTN326442:CTN326531 CJR326442:CJR326531 BZV326442:BZV326531 BPZ326442:BPZ326531 BGD326442:BGD326531 AWH326442:AWH326531 AML326442:AML326531 ACP326442:ACP326531 ST326442:ST326531 IX326442:IX326531 B326448:B326537 WVJ260906:WVJ260995 WLN260906:WLN260995 WBR260906:WBR260995 VRV260906:VRV260995 VHZ260906:VHZ260995 UYD260906:UYD260995 UOH260906:UOH260995 UEL260906:UEL260995 TUP260906:TUP260995 TKT260906:TKT260995 TAX260906:TAX260995 SRB260906:SRB260995 SHF260906:SHF260995 RXJ260906:RXJ260995 RNN260906:RNN260995 RDR260906:RDR260995 QTV260906:QTV260995 QJZ260906:QJZ260995 QAD260906:QAD260995 PQH260906:PQH260995 PGL260906:PGL260995 OWP260906:OWP260995 OMT260906:OMT260995 OCX260906:OCX260995 NTB260906:NTB260995 NJF260906:NJF260995 MZJ260906:MZJ260995 MPN260906:MPN260995 MFR260906:MFR260995 LVV260906:LVV260995 LLZ260906:LLZ260995 LCD260906:LCD260995 KSH260906:KSH260995 KIL260906:KIL260995 JYP260906:JYP260995 JOT260906:JOT260995 JEX260906:JEX260995 IVB260906:IVB260995 ILF260906:ILF260995 IBJ260906:IBJ260995 HRN260906:HRN260995 HHR260906:HHR260995 GXV260906:GXV260995 GNZ260906:GNZ260995 GED260906:GED260995 FUH260906:FUH260995 FKL260906:FKL260995 FAP260906:FAP260995 EQT260906:EQT260995 EGX260906:EGX260995 DXB260906:DXB260995 DNF260906:DNF260995 DDJ260906:DDJ260995 CTN260906:CTN260995 CJR260906:CJR260995 BZV260906:BZV260995 BPZ260906:BPZ260995 BGD260906:BGD260995 AWH260906:AWH260995 AML260906:AML260995 ACP260906:ACP260995 ST260906:ST260995 IX260906:IX260995 B260912:B261001 WVJ195370:WVJ195459 WLN195370:WLN195459 WBR195370:WBR195459 VRV195370:VRV195459 VHZ195370:VHZ195459 UYD195370:UYD195459 UOH195370:UOH195459 UEL195370:UEL195459 TUP195370:TUP195459 TKT195370:TKT195459 TAX195370:TAX195459 SRB195370:SRB195459 SHF195370:SHF195459 RXJ195370:RXJ195459 RNN195370:RNN195459 RDR195370:RDR195459 QTV195370:QTV195459 QJZ195370:QJZ195459 QAD195370:QAD195459 PQH195370:PQH195459 PGL195370:PGL195459 OWP195370:OWP195459 OMT195370:OMT195459 OCX195370:OCX195459 NTB195370:NTB195459 NJF195370:NJF195459 MZJ195370:MZJ195459 MPN195370:MPN195459 MFR195370:MFR195459 LVV195370:LVV195459 LLZ195370:LLZ195459 LCD195370:LCD195459 KSH195370:KSH195459 KIL195370:KIL195459 JYP195370:JYP195459 JOT195370:JOT195459 JEX195370:JEX195459 IVB195370:IVB195459 ILF195370:ILF195459 IBJ195370:IBJ195459 HRN195370:HRN195459 HHR195370:HHR195459 GXV195370:GXV195459 GNZ195370:GNZ195459 GED195370:GED195459 FUH195370:FUH195459 FKL195370:FKL195459 FAP195370:FAP195459 EQT195370:EQT195459 EGX195370:EGX195459 DXB195370:DXB195459 DNF195370:DNF195459 DDJ195370:DDJ195459 CTN195370:CTN195459 CJR195370:CJR195459 BZV195370:BZV195459 BPZ195370:BPZ195459 BGD195370:BGD195459 AWH195370:AWH195459 AML195370:AML195459 ACP195370:ACP195459 ST195370:ST195459 IX195370:IX195459 B195376:B195465 WVJ129834:WVJ129923 WLN129834:WLN129923 WBR129834:WBR129923 VRV129834:VRV129923 VHZ129834:VHZ129923 UYD129834:UYD129923 UOH129834:UOH129923 UEL129834:UEL129923 TUP129834:TUP129923 TKT129834:TKT129923 TAX129834:TAX129923 SRB129834:SRB129923 SHF129834:SHF129923 RXJ129834:RXJ129923 RNN129834:RNN129923 RDR129834:RDR129923 QTV129834:QTV129923 QJZ129834:QJZ129923 QAD129834:QAD129923 PQH129834:PQH129923 PGL129834:PGL129923 OWP129834:OWP129923 OMT129834:OMT129923 OCX129834:OCX129923 NTB129834:NTB129923 NJF129834:NJF129923 MZJ129834:MZJ129923 MPN129834:MPN129923 MFR129834:MFR129923 LVV129834:LVV129923 LLZ129834:LLZ129923 LCD129834:LCD129923 KSH129834:KSH129923 KIL129834:KIL129923 JYP129834:JYP129923 JOT129834:JOT129923 JEX129834:JEX129923 IVB129834:IVB129923 ILF129834:ILF129923 IBJ129834:IBJ129923 HRN129834:HRN129923 HHR129834:HHR129923 GXV129834:GXV129923 GNZ129834:GNZ129923 GED129834:GED129923 FUH129834:FUH129923 FKL129834:FKL129923 FAP129834:FAP129923 EQT129834:EQT129923 EGX129834:EGX129923 DXB129834:DXB129923 DNF129834:DNF129923 DDJ129834:DDJ129923 CTN129834:CTN129923 CJR129834:CJR129923 BZV129834:BZV129923 BPZ129834:BPZ129923 BGD129834:BGD129923 AWH129834:AWH129923 AML129834:AML129923 ACP129834:ACP129923 ST129834:ST129923 IX129834:IX129923 B129840:B129929 WVJ64298:WVJ64387 WLN64298:WLN64387 WBR64298:WBR64387 VRV64298:VRV64387 VHZ64298:VHZ64387 UYD64298:UYD64387 UOH64298:UOH64387 UEL64298:UEL64387 TUP64298:TUP64387 TKT64298:TKT64387 TAX64298:TAX64387 SRB64298:SRB64387 SHF64298:SHF64387 RXJ64298:RXJ64387 RNN64298:RNN64387 RDR64298:RDR64387 QTV64298:QTV64387 QJZ64298:QJZ64387 QAD64298:QAD64387 PQH64298:PQH64387 PGL64298:PGL64387 OWP64298:OWP64387 OMT64298:OMT64387 OCX64298:OCX64387 NTB64298:NTB64387 NJF64298:NJF64387 MZJ64298:MZJ64387 MPN64298:MPN64387 MFR64298:MFR64387 LVV64298:LVV64387 LLZ64298:LLZ64387 LCD64298:LCD64387 KSH64298:KSH64387 KIL64298:KIL64387 JYP64298:JYP64387 JOT64298:JOT64387 JEX64298:JEX64387 IVB64298:IVB64387 ILF64298:ILF64387 IBJ64298:IBJ64387 HRN64298:HRN64387 HHR64298:HHR64387 GXV64298:GXV64387 GNZ64298:GNZ64387 GED64298:GED64387 FUH64298:FUH64387 FKL64298:FKL64387 FAP64298:FAP64387 EQT64298:EQT64387 EGX64298:EGX64387 DXB64298:DXB64387 DNF64298:DNF64387 DDJ64298:DDJ64387 CTN64298:CTN64387 CJR64298:CJR64387 BZV64298:BZV64387 BPZ64298:BPZ64387 BGD64298:BGD64387 AWH64298:AWH64387 AML64298:AML64387 ACP64298:ACP64387 ST64298:ST64387 IX64298:IX64387 B64304:B64393 B93:B109 IX2:IX70 ST2:ST70 ACP2:ACP70 AML2:AML70 AWH2:AWH70 BGD2:BGD70 BPZ2:BPZ70 BZV2:BZV70 CJR2:CJR70 CTN2:CTN70 DDJ2:DDJ70 DNF2:DNF70 DXB2:DXB70 EGX2:EGX70 EQT2:EQT70 FAP2:FAP70 FKL2:FKL70 FUH2:FUH70 GED2:GED70 GNZ2:GNZ70 GXV2:GXV70 HHR2:HHR70 HRN2:HRN70 IBJ2:IBJ70 ILF2:ILF70 IVB2:IVB70 JEX2:JEX70 JOT2:JOT70 JYP2:JYP70 KIL2:KIL70 KSH2:KSH70 LCD2:LCD70 LLZ2:LLZ70 LVV2:LVV70 MFR2:MFR70 MPN2:MPN70 MZJ2:MZJ70 NJF2:NJF70 NTB2:NTB70 OCX2:OCX70 OMT2:OMT70 OWP2:OWP70 PGL2:PGL70 PQH2:PQH70 QAD2:QAD70 QJZ2:QJZ70 QTV2:QTV70 RDR2:RDR70 RNN2:RNN70 RXJ2:RXJ70 SHF2:SHF70 SRB2:SRB70 TAX2:TAX70 TKT2:TKT70 TUP2:TUP70 UEL2:UEL70 UOH2:UOH70 UYD2:UYD70 VHZ2:VHZ70 VRV2:VRV70 WBR2:WBR70 WLN2:WLN70 WVJ2:WVJ70 B2:B91"/>
    <dataValidation type="list" allowBlank="1" showInputMessage="1" showErrorMessage="1" sqref="WVI981802:WVI981891 WLM981802:WLM981891 WBQ981802:WBQ981891 VRU981802:VRU981891 VHY981802:VHY981891 UYC981802:UYC981891 UOG981802:UOG981891 UEK981802:UEK981891 TUO981802:TUO981891 TKS981802:TKS981891 TAW981802:TAW981891 SRA981802:SRA981891 SHE981802:SHE981891 RXI981802:RXI981891 RNM981802:RNM981891 RDQ981802:RDQ981891 QTU981802:QTU981891 QJY981802:QJY981891 QAC981802:QAC981891 PQG981802:PQG981891 PGK981802:PGK981891 OWO981802:OWO981891 OMS981802:OMS981891 OCW981802:OCW981891 NTA981802:NTA981891 NJE981802:NJE981891 MZI981802:MZI981891 MPM981802:MPM981891 MFQ981802:MFQ981891 LVU981802:LVU981891 LLY981802:LLY981891 LCC981802:LCC981891 KSG981802:KSG981891 KIK981802:KIK981891 JYO981802:JYO981891 JOS981802:JOS981891 JEW981802:JEW981891 IVA981802:IVA981891 ILE981802:ILE981891 IBI981802:IBI981891 HRM981802:HRM981891 HHQ981802:HHQ981891 GXU981802:GXU981891 GNY981802:GNY981891 GEC981802:GEC981891 FUG981802:FUG981891 FKK981802:FKK981891 FAO981802:FAO981891 EQS981802:EQS981891 EGW981802:EGW981891 DXA981802:DXA981891 DNE981802:DNE981891 DDI981802:DDI981891 CTM981802:CTM981891 CJQ981802:CJQ981891 BZU981802:BZU981891 BPY981802:BPY981891 BGC981802:BGC981891 AWG981802:AWG981891 AMK981802:AMK981891 ACO981802:ACO981891 SS981802:SS981891 IW981802:IW981891 A981808:A981897 WVI916266:WVI916355 WLM916266:WLM916355 WBQ916266:WBQ916355 VRU916266:VRU916355 VHY916266:VHY916355 UYC916266:UYC916355 UOG916266:UOG916355 UEK916266:UEK916355 TUO916266:TUO916355 TKS916266:TKS916355 TAW916266:TAW916355 SRA916266:SRA916355 SHE916266:SHE916355 RXI916266:RXI916355 RNM916266:RNM916355 RDQ916266:RDQ916355 QTU916266:QTU916355 QJY916266:QJY916355 QAC916266:QAC916355 PQG916266:PQG916355 PGK916266:PGK916355 OWO916266:OWO916355 OMS916266:OMS916355 OCW916266:OCW916355 NTA916266:NTA916355 NJE916266:NJE916355 MZI916266:MZI916355 MPM916266:MPM916355 MFQ916266:MFQ916355 LVU916266:LVU916355 LLY916266:LLY916355 LCC916266:LCC916355 KSG916266:KSG916355 KIK916266:KIK916355 JYO916266:JYO916355 JOS916266:JOS916355 JEW916266:JEW916355 IVA916266:IVA916355 ILE916266:ILE916355 IBI916266:IBI916355 HRM916266:HRM916355 HHQ916266:HHQ916355 GXU916266:GXU916355 GNY916266:GNY916355 GEC916266:GEC916355 FUG916266:FUG916355 FKK916266:FKK916355 FAO916266:FAO916355 EQS916266:EQS916355 EGW916266:EGW916355 DXA916266:DXA916355 DNE916266:DNE916355 DDI916266:DDI916355 CTM916266:CTM916355 CJQ916266:CJQ916355 BZU916266:BZU916355 BPY916266:BPY916355 BGC916266:BGC916355 AWG916266:AWG916355 AMK916266:AMK916355 ACO916266:ACO916355 SS916266:SS916355 IW916266:IW916355 A916272:A916361 WVI850730:WVI850819 WLM850730:WLM850819 WBQ850730:WBQ850819 VRU850730:VRU850819 VHY850730:VHY850819 UYC850730:UYC850819 UOG850730:UOG850819 UEK850730:UEK850819 TUO850730:TUO850819 TKS850730:TKS850819 TAW850730:TAW850819 SRA850730:SRA850819 SHE850730:SHE850819 RXI850730:RXI850819 RNM850730:RNM850819 RDQ850730:RDQ850819 QTU850730:QTU850819 QJY850730:QJY850819 QAC850730:QAC850819 PQG850730:PQG850819 PGK850730:PGK850819 OWO850730:OWO850819 OMS850730:OMS850819 OCW850730:OCW850819 NTA850730:NTA850819 NJE850730:NJE850819 MZI850730:MZI850819 MPM850730:MPM850819 MFQ850730:MFQ850819 LVU850730:LVU850819 LLY850730:LLY850819 LCC850730:LCC850819 KSG850730:KSG850819 KIK850730:KIK850819 JYO850730:JYO850819 JOS850730:JOS850819 JEW850730:JEW850819 IVA850730:IVA850819 ILE850730:ILE850819 IBI850730:IBI850819 HRM850730:HRM850819 HHQ850730:HHQ850819 GXU850730:GXU850819 GNY850730:GNY850819 GEC850730:GEC850819 FUG850730:FUG850819 FKK850730:FKK850819 FAO850730:FAO850819 EQS850730:EQS850819 EGW850730:EGW850819 DXA850730:DXA850819 DNE850730:DNE850819 DDI850730:DDI850819 CTM850730:CTM850819 CJQ850730:CJQ850819 BZU850730:BZU850819 BPY850730:BPY850819 BGC850730:BGC850819 AWG850730:AWG850819 AMK850730:AMK850819 ACO850730:ACO850819 SS850730:SS850819 IW850730:IW850819 A850736:A850825 WVI785194:WVI785283 WLM785194:WLM785283 WBQ785194:WBQ785283 VRU785194:VRU785283 VHY785194:VHY785283 UYC785194:UYC785283 UOG785194:UOG785283 UEK785194:UEK785283 TUO785194:TUO785283 TKS785194:TKS785283 TAW785194:TAW785283 SRA785194:SRA785283 SHE785194:SHE785283 RXI785194:RXI785283 RNM785194:RNM785283 RDQ785194:RDQ785283 QTU785194:QTU785283 QJY785194:QJY785283 QAC785194:QAC785283 PQG785194:PQG785283 PGK785194:PGK785283 OWO785194:OWO785283 OMS785194:OMS785283 OCW785194:OCW785283 NTA785194:NTA785283 NJE785194:NJE785283 MZI785194:MZI785283 MPM785194:MPM785283 MFQ785194:MFQ785283 LVU785194:LVU785283 LLY785194:LLY785283 LCC785194:LCC785283 KSG785194:KSG785283 KIK785194:KIK785283 JYO785194:JYO785283 JOS785194:JOS785283 JEW785194:JEW785283 IVA785194:IVA785283 ILE785194:ILE785283 IBI785194:IBI785283 HRM785194:HRM785283 HHQ785194:HHQ785283 GXU785194:GXU785283 GNY785194:GNY785283 GEC785194:GEC785283 FUG785194:FUG785283 FKK785194:FKK785283 FAO785194:FAO785283 EQS785194:EQS785283 EGW785194:EGW785283 DXA785194:DXA785283 DNE785194:DNE785283 DDI785194:DDI785283 CTM785194:CTM785283 CJQ785194:CJQ785283 BZU785194:BZU785283 BPY785194:BPY785283 BGC785194:BGC785283 AWG785194:AWG785283 AMK785194:AMK785283 ACO785194:ACO785283 SS785194:SS785283 IW785194:IW785283 A785200:A785289 WVI719658:WVI719747 WLM719658:WLM719747 WBQ719658:WBQ719747 VRU719658:VRU719747 VHY719658:VHY719747 UYC719658:UYC719747 UOG719658:UOG719747 UEK719658:UEK719747 TUO719658:TUO719747 TKS719658:TKS719747 TAW719658:TAW719747 SRA719658:SRA719747 SHE719658:SHE719747 RXI719658:RXI719747 RNM719658:RNM719747 RDQ719658:RDQ719747 QTU719658:QTU719747 QJY719658:QJY719747 QAC719658:QAC719747 PQG719658:PQG719747 PGK719658:PGK719747 OWO719658:OWO719747 OMS719658:OMS719747 OCW719658:OCW719747 NTA719658:NTA719747 NJE719658:NJE719747 MZI719658:MZI719747 MPM719658:MPM719747 MFQ719658:MFQ719747 LVU719658:LVU719747 LLY719658:LLY719747 LCC719658:LCC719747 KSG719658:KSG719747 KIK719658:KIK719747 JYO719658:JYO719747 JOS719658:JOS719747 JEW719658:JEW719747 IVA719658:IVA719747 ILE719658:ILE719747 IBI719658:IBI719747 HRM719658:HRM719747 HHQ719658:HHQ719747 GXU719658:GXU719747 GNY719658:GNY719747 GEC719658:GEC719747 FUG719658:FUG719747 FKK719658:FKK719747 FAO719658:FAO719747 EQS719658:EQS719747 EGW719658:EGW719747 DXA719658:DXA719747 DNE719658:DNE719747 DDI719658:DDI719747 CTM719658:CTM719747 CJQ719658:CJQ719747 BZU719658:BZU719747 BPY719658:BPY719747 BGC719658:BGC719747 AWG719658:AWG719747 AMK719658:AMK719747 ACO719658:ACO719747 SS719658:SS719747 IW719658:IW719747 A719664:A719753 WVI654122:WVI654211 WLM654122:WLM654211 WBQ654122:WBQ654211 VRU654122:VRU654211 VHY654122:VHY654211 UYC654122:UYC654211 UOG654122:UOG654211 UEK654122:UEK654211 TUO654122:TUO654211 TKS654122:TKS654211 TAW654122:TAW654211 SRA654122:SRA654211 SHE654122:SHE654211 RXI654122:RXI654211 RNM654122:RNM654211 RDQ654122:RDQ654211 QTU654122:QTU654211 QJY654122:QJY654211 QAC654122:QAC654211 PQG654122:PQG654211 PGK654122:PGK654211 OWO654122:OWO654211 OMS654122:OMS654211 OCW654122:OCW654211 NTA654122:NTA654211 NJE654122:NJE654211 MZI654122:MZI654211 MPM654122:MPM654211 MFQ654122:MFQ654211 LVU654122:LVU654211 LLY654122:LLY654211 LCC654122:LCC654211 KSG654122:KSG654211 KIK654122:KIK654211 JYO654122:JYO654211 JOS654122:JOS654211 JEW654122:JEW654211 IVA654122:IVA654211 ILE654122:ILE654211 IBI654122:IBI654211 HRM654122:HRM654211 HHQ654122:HHQ654211 GXU654122:GXU654211 GNY654122:GNY654211 GEC654122:GEC654211 FUG654122:FUG654211 FKK654122:FKK654211 FAO654122:FAO654211 EQS654122:EQS654211 EGW654122:EGW654211 DXA654122:DXA654211 DNE654122:DNE654211 DDI654122:DDI654211 CTM654122:CTM654211 CJQ654122:CJQ654211 BZU654122:BZU654211 BPY654122:BPY654211 BGC654122:BGC654211 AWG654122:AWG654211 AMK654122:AMK654211 ACO654122:ACO654211 SS654122:SS654211 IW654122:IW654211 A654128:A654217 WVI588586:WVI588675 WLM588586:WLM588675 WBQ588586:WBQ588675 VRU588586:VRU588675 VHY588586:VHY588675 UYC588586:UYC588675 UOG588586:UOG588675 UEK588586:UEK588675 TUO588586:TUO588675 TKS588586:TKS588675 TAW588586:TAW588675 SRA588586:SRA588675 SHE588586:SHE588675 RXI588586:RXI588675 RNM588586:RNM588675 RDQ588586:RDQ588675 QTU588586:QTU588675 QJY588586:QJY588675 QAC588586:QAC588675 PQG588586:PQG588675 PGK588586:PGK588675 OWO588586:OWO588675 OMS588586:OMS588675 OCW588586:OCW588675 NTA588586:NTA588675 NJE588586:NJE588675 MZI588586:MZI588675 MPM588586:MPM588675 MFQ588586:MFQ588675 LVU588586:LVU588675 LLY588586:LLY588675 LCC588586:LCC588675 KSG588586:KSG588675 KIK588586:KIK588675 JYO588586:JYO588675 JOS588586:JOS588675 JEW588586:JEW588675 IVA588586:IVA588675 ILE588586:ILE588675 IBI588586:IBI588675 HRM588586:HRM588675 HHQ588586:HHQ588675 GXU588586:GXU588675 GNY588586:GNY588675 GEC588586:GEC588675 FUG588586:FUG588675 FKK588586:FKK588675 FAO588586:FAO588675 EQS588586:EQS588675 EGW588586:EGW588675 DXA588586:DXA588675 DNE588586:DNE588675 DDI588586:DDI588675 CTM588586:CTM588675 CJQ588586:CJQ588675 BZU588586:BZU588675 BPY588586:BPY588675 BGC588586:BGC588675 AWG588586:AWG588675 AMK588586:AMK588675 ACO588586:ACO588675 SS588586:SS588675 IW588586:IW588675 A588592:A588681 WVI523050:WVI523139 WLM523050:WLM523139 WBQ523050:WBQ523139 VRU523050:VRU523139 VHY523050:VHY523139 UYC523050:UYC523139 UOG523050:UOG523139 UEK523050:UEK523139 TUO523050:TUO523139 TKS523050:TKS523139 TAW523050:TAW523139 SRA523050:SRA523139 SHE523050:SHE523139 RXI523050:RXI523139 RNM523050:RNM523139 RDQ523050:RDQ523139 QTU523050:QTU523139 QJY523050:QJY523139 QAC523050:QAC523139 PQG523050:PQG523139 PGK523050:PGK523139 OWO523050:OWO523139 OMS523050:OMS523139 OCW523050:OCW523139 NTA523050:NTA523139 NJE523050:NJE523139 MZI523050:MZI523139 MPM523050:MPM523139 MFQ523050:MFQ523139 LVU523050:LVU523139 LLY523050:LLY523139 LCC523050:LCC523139 KSG523050:KSG523139 KIK523050:KIK523139 JYO523050:JYO523139 JOS523050:JOS523139 JEW523050:JEW523139 IVA523050:IVA523139 ILE523050:ILE523139 IBI523050:IBI523139 HRM523050:HRM523139 HHQ523050:HHQ523139 GXU523050:GXU523139 GNY523050:GNY523139 GEC523050:GEC523139 FUG523050:FUG523139 FKK523050:FKK523139 FAO523050:FAO523139 EQS523050:EQS523139 EGW523050:EGW523139 DXA523050:DXA523139 DNE523050:DNE523139 DDI523050:DDI523139 CTM523050:CTM523139 CJQ523050:CJQ523139 BZU523050:BZU523139 BPY523050:BPY523139 BGC523050:BGC523139 AWG523050:AWG523139 AMK523050:AMK523139 ACO523050:ACO523139 SS523050:SS523139 IW523050:IW523139 A523056:A523145 WVI457514:WVI457603 WLM457514:WLM457603 WBQ457514:WBQ457603 VRU457514:VRU457603 VHY457514:VHY457603 UYC457514:UYC457603 UOG457514:UOG457603 UEK457514:UEK457603 TUO457514:TUO457603 TKS457514:TKS457603 TAW457514:TAW457603 SRA457514:SRA457603 SHE457514:SHE457603 RXI457514:RXI457603 RNM457514:RNM457603 RDQ457514:RDQ457603 QTU457514:QTU457603 QJY457514:QJY457603 QAC457514:QAC457603 PQG457514:PQG457603 PGK457514:PGK457603 OWO457514:OWO457603 OMS457514:OMS457603 OCW457514:OCW457603 NTA457514:NTA457603 NJE457514:NJE457603 MZI457514:MZI457603 MPM457514:MPM457603 MFQ457514:MFQ457603 LVU457514:LVU457603 LLY457514:LLY457603 LCC457514:LCC457603 KSG457514:KSG457603 KIK457514:KIK457603 JYO457514:JYO457603 JOS457514:JOS457603 JEW457514:JEW457603 IVA457514:IVA457603 ILE457514:ILE457603 IBI457514:IBI457603 HRM457514:HRM457603 HHQ457514:HHQ457603 GXU457514:GXU457603 GNY457514:GNY457603 GEC457514:GEC457603 FUG457514:FUG457603 FKK457514:FKK457603 FAO457514:FAO457603 EQS457514:EQS457603 EGW457514:EGW457603 DXA457514:DXA457603 DNE457514:DNE457603 DDI457514:DDI457603 CTM457514:CTM457603 CJQ457514:CJQ457603 BZU457514:BZU457603 BPY457514:BPY457603 BGC457514:BGC457603 AWG457514:AWG457603 AMK457514:AMK457603 ACO457514:ACO457603 SS457514:SS457603 IW457514:IW457603 A457520:A457609 WVI391978:WVI392067 WLM391978:WLM392067 WBQ391978:WBQ392067 VRU391978:VRU392067 VHY391978:VHY392067 UYC391978:UYC392067 UOG391978:UOG392067 UEK391978:UEK392067 TUO391978:TUO392067 TKS391978:TKS392067 TAW391978:TAW392067 SRA391978:SRA392067 SHE391978:SHE392067 RXI391978:RXI392067 RNM391978:RNM392067 RDQ391978:RDQ392067 QTU391978:QTU392067 QJY391978:QJY392067 QAC391978:QAC392067 PQG391978:PQG392067 PGK391978:PGK392067 OWO391978:OWO392067 OMS391978:OMS392067 OCW391978:OCW392067 NTA391978:NTA392067 NJE391978:NJE392067 MZI391978:MZI392067 MPM391978:MPM392067 MFQ391978:MFQ392067 LVU391978:LVU392067 LLY391978:LLY392067 LCC391978:LCC392067 KSG391978:KSG392067 KIK391978:KIK392067 JYO391978:JYO392067 JOS391978:JOS392067 JEW391978:JEW392067 IVA391978:IVA392067 ILE391978:ILE392067 IBI391978:IBI392067 HRM391978:HRM392067 HHQ391978:HHQ392067 GXU391978:GXU392067 GNY391978:GNY392067 GEC391978:GEC392067 FUG391978:FUG392067 FKK391978:FKK392067 FAO391978:FAO392067 EQS391978:EQS392067 EGW391978:EGW392067 DXA391978:DXA392067 DNE391978:DNE392067 DDI391978:DDI392067 CTM391978:CTM392067 CJQ391978:CJQ392067 BZU391978:BZU392067 BPY391978:BPY392067 BGC391978:BGC392067 AWG391978:AWG392067 AMK391978:AMK392067 ACO391978:ACO392067 SS391978:SS392067 IW391978:IW392067 A391984:A392073 WVI326442:WVI326531 WLM326442:WLM326531 WBQ326442:WBQ326531 VRU326442:VRU326531 VHY326442:VHY326531 UYC326442:UYC326531 UOG326442:UOG326531 UEK326442:UEK326531 TUO326442:TUO326531 TKS326442:TKS326531 TAW326442:TAW326531 SRA326442:SRA326531 SHE326442:SHE326531 RXI326442:RXI326531 RNM326442:RNM326531 RDQ326442:RDQ326531 QTU326442:QTU326531 QJY326442:QJY326531 QAC326442:QAC326531 PQG326442:PQG326531 PGK326442:PGK326531 OWO326442:OWO326531 OMS326442:OMS326531 OCW326442:OCW326531 NTA326442:NTA326531 NJE326442:NJE326531 MZI326442:MZI326531 MPM326442:MPM326531 MFQ326442:MFQ326531 LVU326442:LVU326531 LLY326442:LLY326531 LCC326442:LCC326531 KSG326442:KSG326531 KIK326442:KIK326531 JYO326442:JYO326531 JOS326442:JOS326531 JEW326442:JEW326531 IVA326442:IVA326531 ILE326442:ILE326531 IBI326442:IBI326531 HRM326442:HRM326531 HHQ326442:HHQ326531 GXU326442:GXU326531 GNY326442:GNY326531 GEC326442:GEC326531 FUG326442:FUG326531 FKK326442:FKK326531 FAO326442:FAO326531 EQS326442:EQS326531 EGW326442:EGW326531 DXA326442:DXA326531 DNE326442:DNE326531 DDI326442:DDI326531 CTM326442:CTM326531 CJQ326442:CJQ326531 BZU326442:BZU326531 BPY326442:BPY326531 BGC326442:BGC326531 AWG326442:AWG326531 AMK326442:AMK326531 ACO326442:ACO326531 SS326442:SS326531 IW326442:IW326531 A326448:A326537 WVI260906:WVI260995 WLM260906:WLM260995 WBQ260906:WBQ260995 VRU260906:VRU260995 VHY260906:VHY260995 UYC260906:UYC260995 UOG260906:UOG260995 UEK260906:UEK260995 TUO260906:TUO260995 TKS260906:TKS260995 TAW260906:TAW260995 SRA260906:SRA260995 SHE260906:SHE260995 RXI260906:RXI260995 RNM260906:RNM260995 RDQ260906:RDQ260995 QTU260906:QTU260995 QJY260906:QJY260995 QAC260906:QAC260995 PQG260906:PQG260995 PGK260906:PGK260995 OWO260906:OWO260995 OMS260906:OMS260995 OCW260906:OCW260995 NTA260906:NTA260995 NJE260906:NJE260995 MZI260906:MZI260995 MPM260906:MPM260995 MFQ260906:MFQ260995 LVU260906:LVU260995 LLY260906:LLY260995 LCC260906:LCC260995 KSG260906:KSG260995 KIK260906:KIK260995 JYO260906:JYO260995 JOS260906:JOS260995 JEW260906:JEW260995 IVA260906:IVA260995 ILE260906:ILE260995 IBI260906:IBI260995 HRM260906:HRM260995 HHQ260906:HHQ260995 GXU260906:GXU260995 GNY260906:GNY260995 GEC260906:GEC260995 FUG260906:FUG260995 FKK260906:FKK260995 FAO260906:FAO260995 EQS260906:EQS260995 EGW260906:EGW260995 DXA260906:DXA260995 DNE260906:DNE260995 DDI260906:DDI260995 CTM260906:CTM260995 CJQ260906:CJQ260995 BZU260906:BZU260995 BPY260906:BPY260995 BGC260906:BGC260995 AWG260906:AWG260995 AMK260906:AMK260995 ACO260906:ACO260995 SS260906:SS260995 IW260906:IW260995 A260912:A261001 WVI195370:WVI195459 WLM195370:WLM195459 WBQ195370:WBQ195459 VRU195370:VRU195459 VHY195370:VHY195459 UYC195370:UYC195459 UOG195370:UOG195459 UEK195370:UEK195459 TUO195370:TUO195459 TKS195370:TKS195459 TAW195370:TAW195459 SRA195370:SRA195459 SHE195370:SHE195459 RXI195370:RXI195459 RNM195370:RNM195459 RDQ195370:RDQ195459 QTU195370:QTU195459 QJY195370:QJY195459 QAC195370:QAC195459 PQG195370:PQG195459 PGK195370:PGK195459 OWO195370:OWO195459 OMS195370:OMS195459 OCW195370:OCW195459 NTA195370:NTA195459 NJE195370:NJE195459 MZI195370:MZI195459 MPM195370:MPM195459 MFQ195370:MFQ195459 LVU195370:LVU195459 LLY195370:LLY195459 LCC195370:LCC195459 KSG195370:KSG195459 KIK195370:KIK195459 JYO195370:JYO195459 JOS195370:JOS195459 JEW195370:JEW195459 IVA195370:IVA195459 ILE195370:ILE195459 IBI195370:IBI195459 HRM195370:HRM195459 HHQ195370:HHQ195459 GXU195370:GXU195459 GNY195370:GNY195459 GEC195370:GEC195459 FUG195370:FUG195459 FKK195370:FKK195459 FAO195370:FAO195459 EQS195370:EQS195459 EGW195370:EGW195459 DXA195370:DXA195459 DNE195370:DNE195459 DDI195370:DDI195459 CTM195370:CTM195459 CJQ195370:CJQ195459 BZU195370:BZU195459 BPY195370:BPY195459 BGC195370:BGC195459 AWG195370:AWG195459 AMK195370:AMK195459 ACO195370:ACO195459 SS195370:SS195459 IW195370:IW195459 A195376:A195465 WVI129834:WVI129923 WLM129834:WLM129923 WBQ129834:WBQ129923 VRU129834:VRU129923 VHY129834:VHY129923 UYC129834:UYC129923 UOG129834:UOG129923 UEK129834:UEK129923 TUO129834:TUO129923 TKS129834:TKS129923 TAW129834:TAW129923 SRA129834:SRA129923 SHE129834:SHE129923 RXI129834:RXI129923 RNM129834:RNM129923 RDQ129834:RDQ129923 QTU129834:QTU129923 QJY129834:QJY129923 QAC129834:QAC129923 PQG129834:PQG129923 PGK129834:PGK129923 OWO129834:OWO129923 OMS129834:OMS129923 OCW129834:OCW129923 NTA129834:NTA129923 NJE129834:NJE129923 MZI129834:MZI129923 MPM129834:MPM129923 MFQ129834:MFQ129923 LVU129834:LVU129923 LLY129834:LLY129923 LCC129834:LCC129923 KSG129834:KSG129923 KIK129834:KIK129923 JYO129834:JYO129923 JOS129834:JOS129923 JEW129834:JEW129923 IVA129834:IVA129923 ILE129834:ILE129923 IBI129834:IBI129923 HRM129834:HRM129923 HHQ129834:HHQ129923 GXU129834:GXU129923 GNY129834:GNY129923 GEC129834:GEC129923 FUG129834:FUG129923 FKK129834:FKK129923 FAO129834:FAO129923 EQS129834:EQS129923 EGW129834:EGW129923 DXA129834:DXA129923 DNE129834:DNE129923 DDI129834:DDI129923 CTM129834:CTM129923 CJQ129834:CJQ129923 BZU129834:BZU129923 BPY129834:BPY129923 BGC129834:BGC129923 AWG129834:AWG129923 AMK129834:AMK129923 ACO129834:ACO129923 SS129834:SS129923 IW129834:IW129923 A129840:A129929 WVI64298:WVI64387 WLM64298:WLM64387 WBQ64298:WBQ64387 VRU64298:VRU64387 VHY64298:VHY64387 UYC64298:UYC64387 UOG64298:UOG64387 UEK64298:UEK64387 TUO64298:TUO64387 TKS64298:TKS64387 TAW64298:TAW64387 SRA64298:SRA64387 SHE64298:SHE64387 RXI64298:RXI64387 RNM64298:RNM64387 RDQ64298:RDQ64387 QTU64298:QTU64387 QJY64298:QJY64387 QAC64298:QAC64387 PQG64298:PQG64387 PGK64298:PGK64387 OWO64298:OWO64387 OMS64298:OMS64387 OCW64298:OCW64387 NTA64298:NTA64387 NJE64298:NJE64387 MZI64298:MZI64387 MPM64298:MPM64387 MFQ64298:MFQ64387 LVU64298:LVU64387 LLY64298:LLY64387 LCC64298:LCC64387 KSG64298:KSG64387 KIK64298:KIK64387 JYO64298:JYO64387 JOS64298:JOS64387 JEW64298:JEW64387 IVA64298:IVA64387 ILE64298:ILE64387 IBI64298:IBI64387 HRM64298:HRM64387 HHQ64298:HHQ64387 GXU64298:GXU64387 GNY64298:GNY64387 GEC64298:GEC64387 FUG64298:FUG64387 FKK64298:FKK64387 FAO64298:FAO64387 EQS64298:EQS64387 EGW64298:EGW64387 DXA64298:DXA64387 DNE64298:DNE64387 DDI64298:DDI64387 CTM64298:CTM64387 CJQ64298:CJQ64387 BZU64298:BZU64387 BPY64298:BPY64387 BGC64298:BGC64387 AWG64298:AWG64387 AMK64298:AMK64387 ACO64298:ACO64387 SS64298:SS64387 IW64298:IW64387 A64304:A64393 IW2:IW70 SS2:SS70 ACO2:ACO70 AMK2:AMK70 AWG2:AWG70 BGC2:BGC70 BPY2:BPY70 BZU2:BZU70 CJQ2:CJQ70 CTM2:CTM70 DDI2:DDI70 DNE2:DNE70 DXA2:DXA70 EGW2:EGW70 EQS2:EQS70 FAO2:FAO70 FKK2:FKK70 FUG2:FUG70 GEC2:GEC70 GNY2:GNY70 GXU2:GXU70 HHQ2:HHQ70 HRM2:HRM70 IBI2:IBI70 ILE2:ILE70 IVA2:IVA70 JEW2:JEW70 JOS2:JOS70 JYO2:JYO70 KIK2:KIK70 KSG2:KSG70 LCC2:LCC70 LLY2:LLY70 LVU2:LVU70 MFQ2:MFQ70 MPM2:MPM70 MZI2:MZI70 NJE2:NJE70 NTA2:NTA70 OCW2:OCW70 OMS2:OMS70 OWO2:OWO70 PGK2:PGK70 PQG2:PQG70 QAC2:QAC70 QJY2:QJY70 QTU2:QTU70 RDQ2:RDQ70 RNM2:RNM70 RXI2:RXI70 SHE2:SHE70 SRA2:SRA70 TAW2:TAW70 TKS2:TKS70 TUO2:TUO70 UEK2:UEK70 UOG2:UOG70 UYC2:UYC70 VHY2:VHY70 VRU2:VRU70 WBQ2:WBQ70 WLM2:WLM70 WVI2:WVI70">
      <formula1>$AE$2:$AE$22</formula1>
    </dataValidation>
    <dataValidation type="list" allowBlank="1" showInputMessage="1" showErrorMessage="1" sqref="WVO981802:WVO981891 WLS981802:WLS981891 WBW981802:WBW981891 VSA981802:VSA981891 VIE981802:VIE981891 UYI981802:UYI981891 UOM981802:UOM981891 UEQ981802:UEQ981891 TUU981802:TUU981891 TKY981802:TKY981891 TBC981802:TBC981891 SRG981802:SRG981891 SHK981802:SHK981891 RXO981802:RXO981891 RNS981802:RNS981891 RDW981802:RDW981891 QUA981802:QUA981891 QKE981802:QKE981891 QAI981802:QAI981891 PQM981802:PQM981891 PGQ981802:PGQ981891 OWU981802:OWU981891 OMY981802:OMY981891 ODC981802:ODC981891 NTG981802:NTG981891 NJK981802:NJK981891 MZO981802:MZO981891 MPS981802:MPS981891 MFW981802:MFW981891 LWA981802:LWA981891 LME981802:LME981891 LCI981802:LCI981891 KSM981802:KSM981891 KIQ981802:KIQ981891 JYU981802:JYU981891 JOY981802:JOY981891 JFC981802:JFC981891 IVG981802:IVG981891 ILK981802:ILK981891 IBO981802:IBO981891 HRS981802:HRS981891 HHW981802:HHW981891 GYA981802:GYA981891 GOE981802:GOE981891 GEI981802:GEI981891 FUM981802:FUM981891 FKQ981802:FKQ981891 FAU981802:FAU981891 EQY981802:EQY981891 EHC981802:EHC981891 DXG981802:DXG981891 DNK981802:DNK981891 DDO981802:DDO981891 CTS981802:CTS981891 CJW981802:CJW981891 CAA981802:CAA981891 BQE981802:BQE981891 BGI981802:BGI981891 AWM981802:AWM981891 AMQ981802:AMQ981891 ACU981802:ACU981891 SY981802:SY981891 JC981802:JC981891 G981811:G981900 WVO916266:WVO916355 WLS916266:WLS916355 WBW916266:WBW916355 VSA916266:VSA916355 VIE916266:VIE916355 UYI916266:UYI916355 UOM916266:UOM916355 UEQ916266:UEQ916355 TUU916266:TUU916355 TKY916266:TKY916355 TBC916266:TBC916355 SRG916266:SRG916355 SHK916266:SHK916355 RXO916266:RXO916355 RNS916266:RNS916355 RDW916266:RDW916355 QUA916266:QUA916355 QKE916266:QKE916355 QAI916266:QAI916355 PQM916266:PQM916355 PGQ916266:PGQ916355 OWU916266:OWU916355 OMY916266:OMY916355 ODC916266:ODC916355 NTG916266:NTG916355 NJK916266:NJK916355 MZO916266:MZO916355 MPS916266:MPS916355 MFW916266:MFW916355 LWA916266:LWA916355 LME916266:LME916355 LCI916266:LCI916355 KSM916266:KSM916355 KIQ916266:KIQ916355 JYU916266:JYU916355 JOY916266:JOY916355 JFC916266:JFC916355 IVG916266:IVG916355 ILK916266:ILK916355 IBO916266:IBO916355 HRS916266:HRS916355 HHW916266:HHW916355 GYA916266:GYA916355 GOE916266:GOE916355 GEI916266:GEI916355 FUM916266:FUM916355 FKQ916266:FKQ916355 FAU916266:FAU916355 EQY916266:EQY916355 EHC916266:EHC916355 DXG916266:DXG916355 DNK916266:DNK916355 DDO916266:DDO916355 CTS916266:CTS916355 CJW916266:CJW916355 CAA916266:CAA916355 BQE916266:BQE916355 BGI916266:BGI916355 AWM916266:AWM916355 AMQ916266:AMQ916355 ACU916266:ACU916355 SY916266:SY916355 JC916266:JC916355 G916275:G916364 WVO850730:WVO850819 WLS850730:WLS850819 WBW850730:WBW850819 VSA850730:VSA850819 VIE850730:VIE850819 UYI850730:UYI850819 UOM850730:UOM850819 UEQ850730:UEQ850819 TUU850730:TUU850819 TKY850730:TKY850819 TBC850730:TBC850819 SRG850730:SRG850819 SHK850730:SHK850819 RXO850730:RXO850819 RNS850730:RNS850819 RDW850730:RDW850819 QUA850730:QUA850819 QKE850730:QKE850819 QAI850730:QAI850819 PQM850730:PQM850819 PGQ850730:PGQ850819 OWU850730:OWU850819 OMY850730:OMY850819 ODC850730:ODC850819 NTG850730:NTG850819 NJK850730:NJK850819 MZO850730:MZO850819 MPS850730:MPS850819 MFW850730:MFW850819 LWA850730:LWA850819 LME850730:LME850819 LCI850730:LCI850819 KSM850730:KSM850819 KIQ850730:KIQ850819 JYU850730:JYU850819 JOY850730:JOY850819 JFC850730:JFC850819 IVG850730:IVG850819 ILK850730:ILK850819 IBO850730:IBO850819 HRS850730:HRS850819 HHW850730:HHW850819 GYA850730:GYA850819 GOE850730:GOE850819 GEI850730:GEI850819 FUM850730:FUM850819 FKQ850730:FKQ850819 FAU850730:FAU850819 EQY850730:EQY850819 EHC850730:EHC850819 DXG850730:DXG850819 DNK850730:DNK850819 DDO850730:DDO850819 CTS850730:CTS850819 CJW850730:CJW850819 CAA850730:CAA850819 BQE850730:BQE850819 BGI850730:BGI850819 AWM850730:AWM850819 AMQ850730:AMQ850819 ACU850730:ACU850819 SY850730:SY850819 JC850730:JC850819 G850739:G850828 WVO785194:WVO785283 WLS785194:WLS785283 WBW785194:WBW785283 VSA785194:VSA785283 VIE785194:VIE785283 UYI785194:UYI785283 UOM785194:UOM785283 UEQ785194:UEQ785283 TUU785194:TUU785283 TKY785194:TKY785283 TBC785194:TBC785283 SRG785194:SRG785283 SHK785194:SHK785283 RXO785194:RXO785283 RNS785194:RNS785283 RDW785194:RDW785283 QUA785194:QUA785283 QKE785194:QKE785283 QAI785194:QAI785283 PQM785194:PQM785283 PGQ785194:PGQ785283 OWU785194:OWU785283 OMY785194:OMY785283 ODC785194:ODC785283 NTG785194:NTG785283 NJK785194:NJK785283 MZO785194:MZO785283 MPS785194:MPS785283 MFW785194:MFW785283 LWA785194:LWA785283 LME785194:LME785283 LCI785194:LCI785283 KSM785194:KSM785283 KIQ785194:KIQ785283 JYU785194:JYU785283 JOY785194:JOY785283 JFC785194:JFC785283 IVG785194:IVG785283 ILK785194:ILK785283 IBO785194:IBO785283 HRS785194:HRS785283 HHW785194:HHW785283 GYA785194:GYA785283 GOE785194:GOE785283 GEI785194:GEI785283 FUM785194:FUM785283 FKQ785194:FKQ785283 FAU785194:FAU785283 EQY785194:EQY785283 EHC785194:EHC785283 DXG785194:DXG785283 DNK785194:DNK785283 DDO785194:DDO785283 CTS785194:CTS785283 CJW785194:CJW785283 CAA785194:CAA785283 BQE785194:BQE785283 BGI785194:BGI785283 AWM785194:AWM785283 AMQ785194:AMQ785283 ACU785194:ACU785283 SY785194:SY785283 JC785194:JC785283 G785203:G785292 WVO719658:WVO719747 WLS719658:WLS719747 WBW719658:WBW719747 VSA719658:VSA719747 VIE719658:VIE719747 UYI719658:UYI719747 UOM719658:UOM719747 UEQ719658:UEQ719747 TUU719658:TUU719747 TKY719658:TKY719747 TBC719658:TBC719747 SRG719658:SRG719747 SHK719658:SHK719747 RXO719658:RXO719747 RNS719658:RNS719747 RDW719658:RDW719747 QUA719658:QUA719747 QKE719658:QKE719747 QAI719658:QAI719747 PQM719658:PQM719747 PGQ719658:PGQ719747 OWU719658:OWU719747 OMY719658:OMY719747 ODC719658:ODC719747 NTG719658:NTG719747 NJK719658:NJK719747 MZO719658:MZO719747 MPS719658:MPS719747 MFW719658:MFW719747 LWA719658:LWA719747 LME719658:LME719747 LCI719658:LCI719747 KSM719658:KSM719747 KIQ719658:KIQ719747 JYU719658:JYU719747 JOY719658:JOY719747 JFC719658:JFC719747 IVG719658:IVG719747 ILK719658:ILK719747 IBO719658:IBO719747 HRS719658:HRS719747 HHW719658:HHW719747 GYA719658:GYA719747 GOE719658:GOE719747 GEI719658:GEI719747 FUM719658:FUM719747 FKQ719658:FKQ719747 FAU719658:FAU719747 EQY719658:EQY719747 EHC719658:EHC719747 DXG719658:DXG719747 DNK719658:DNK719747 DDO719658:DDO719747 CTS719658:CTS719747 CJW719658:CJW719747 CAA719658:CAA719747 BQE719658:BQE719747 BGI719658:BGI719747 AWM719658:AWM719747 AMQ719658:AMQ719747 ACU719658:ACU719747 SY719658:SY719747 JC719658:JC719747 G719667:G719756 WVO654122:WVO654211 WLS654122:WLS654211 WBW654122:WBW654211 VSA654122:VSA654211 VIE654122:VIE654211 UYI654122:UYI654211 UOM654122:UOM654211 UEQ654122:UEQ654211 TUU654122:TUU654211 TKY654122:TKY654211 TBC654122:TBC654211 SRG654122:SRG654211 SHK654122:SHK654211 RXO654122:RXO654211 RNS654122:RNS654211 RDW654122:RDW654211 QUA654122:QUA654211 QKE654122:QKE654211 QAI654122:QAI654211 PQM654122:PQM654211 PGQ654122:PGQ654211 OWU654122:OWU654211 OMY654122:OMY654211 ODC654122:ODC654211 NTG654122:NTG654211 NJK654122:NJK654211 MZO654122:MZO654211 MPS654122:MPS654211 MFW654122:MFW654211 LWA654122:LWA654211 LME654122:LME654211 LCI654122:LCI654211 KSM654122:KSM654211 KIQ654122:KIQ654211 JYU654122:JYU654211 JOY654122:JOY654211 JFC654122:JFC654211 IVG654122:IVG654211 ILK654122:ILK654211 IBO654122:IBO654211 HRS654122:HRS654211 HHW654122:HHW654211 GYA654122:GYA654211 GOE654122:GOE654211 GEI654122:GEI654211 FUM654122:FUM654211 FKQ654122:FKQ654211 FAU654122:FAU654211 EQY654122:EQY654211 EHC654122:EHC654211 DXG654122:DXG654211 DNK654122:DNK654211 DDO654122:DDO654211 CTS654122:CTS654211 CJW654122:CJW654211 CAA654122:CAA654211 BQE654122:BQE654211 BGI654122:BGI654211 AWM654122:AWM654211 AMQ654122:AMQ654211 ACU654122:ACU654211 SY654122:SY654211 JC654122:JC654211 G654131:G654220 WVO588586:WVO588675 WLS588586:WLS588675 WBW588586:WBW588675 VSA588586:VSA588675 VIE588586:VIE588675 UYI588586:UYI588675 UOM588586:UOM588675 UEQ588586:UEQ588675 TUU588586:TUU588675 TKY588586:TKY588675 TBC588586:TBC588675 SRG588586:SRG588675 SHK588586:SHK588675 RXO588586:RXO588675 RNS588586:RNS588675 RDW588586:RDW588675 QUA588586:QUA588675 QKE588586:QKE588675 QAI588586:QAI588675 PQM588586:PQM588675 PGQ588586:PGQ588675 OWU588586:OWU588675 OMY588586:OMY588675 ODC588586:ODC588675 NTG588586:NTG588675 NJK588586:NJK588675 MZO588586:MZO588675 MPS588586:MPS588675 MFW588586:MFW588675 LWA588586:LWA588675 LME588586:LME588675 LCI588586:LCI588675 KSM588586:KSM588675 KIQ588586:KIQ588675 JYU588586:JYU588675 JOY588586:JOY588675 JFC588586:JFC588675 IVG588586:IVG588675 ILK588586:ILK588675 IBO588586:IBO588675 HRS588586:HRS588675 HHW588586:HHW588675 GYA588586:GYA588675 GOE588586:GOE588675 GEI588586:GEI588675 FUM588586:FUM588675 FKQ588586:FKQ588675 FAU588586:FAU588675 EQY588586:EQY588675 EHC588586:EHC588675 DXG588586:DXG588675 DNK588586:DNK588675 DDO588586:DDO588675 CTS588586:CTS588675 CJW588586:CJW588675 CAA588586:CAA588675 BQE588586:BQE588675 BGI588586:BGI588675 AWM588586:AWM588675 AMQ588586:AMQ588675 ACU588586:ACU588675 SY588586:SY588675 JC588586:JC588675 G588595:G588684 WVO523050:WVO523139 WLS523050:WLS523139 WBW523050:WBW523139 VSA523050:VSA523139 VIE523050:VIE523139 UYI523050:UYI523139 UOM523050:UOM523139 UEQ523050:UEQ523139 TUU523050:TUU523139 TKY523050:TKY523139 TBC523050:TBC523139 SRG523050:SRG523139 SHK523050:SHK523139 RXO523050:RXO523139 RNS523050:RNS523139 RDW523050:RDW523139 QUA523050:QUA523139 QKE523050:QKE523139 QAI523050:QAI523139 PQM523050:PQM523139 PGQ523050:PGQ523139 OWU523050:OWU523139 OMY523050:OMY523139 ODC523050:ODC523139 NTG523050:NTG523139 NJK523050:NJK523139 MZO523050:MZO523139 MPS523050:MPS523139 MFW523050:MFW523139 LWA523050:LWA523139 LME523050:LME523139 LCI523050:LCI523139 KSM523050:KSM523139 KIQ523050:KIQ523139 JYU523050:JYU523139 JOY523050:JOY523139 JFC523050:JFC523139 IVG523050:IVG523139 ILK523050:ILK523139 IBO523050:IBO523139 HRS523050:HRS523139 HHW523050:HHW523139 GYA523050:GYA523139 GOE523050:GOE523139 GEI523050:GEI523139 FUM523050:FUM523139 FKQ523050:FKQ523139 FAU523050:FAU523139 EQY523050:EQY523139 EHC523050:EHC523139 DXG523050:DXG523139 DNK523050:DNK523139 DDO523050:DDO523139 CTS523050:CTS523139 CJW523050:CJW523139 CAA523050:CAA523139 BQE523050:BQE523139 BGI523050:BGI523139 AWM523050:AWM523139 AMQ523050:AMQ523139 ACU523050:ACU523139 SY523050:SY523139 JC523050:JC523139 G523059:G523148 WVO457514:WVO457603 WLS457514:WLS457603 WBW457514:WBW457603 VSA457514:VSA457603 VIE457514:VIE457603 UYI457514:UYI457603 UOM457514:UOM457603 UEQ457514:UEQ457603 TUU457514:TUU457603 TKY457514:TKY457603 TBC457514:TBC457603 SRG457514:SRG457603 SHK457514:SHK457603 RXO457514:RXO457603 RNS457514:RNS457603 RDW457514:RDW457603 QUA457514:QUA457603 QKE457514:QKE457603 QAI457514:QAI457603 PQM457514:PQM457603 PGQ457514:PGQ457603 OWU457514:OWU457603 OMY457514:OMY457603 ODC457514:ODC457603 NTG457514:NTG457603 NJK457514:NJK457603 MZO457514:MZO457603 MPS457514:MPS457603 MFW457514:MFW457603 LWA457514:LWA457603 LME457514:LME457603 LCI457514:LCI457603 KSM457514:KSM457603 KIQ457514:KIQ457603 JYU457514:JYU457603 JOY457514:JOY457603 JFC457514:JFC457603 IVG457514:IVG457603 ILK457514:ILK457603 IBO457514:IBO457603 HRS457514:HRS457603 HHW457514:HHW457603 GYA457514:GYA457603 GOE457514:GOE457603 GEI457514:GEI457603 FUM457514:FUM457603 FKQ457514:FKQ457603 FAU457514:FAU457603 EQY457514:EQY457603 EHC457514:EHC457603 DXG457514:DXG457603 DNK457514:DNK457603 DDO457514:DDO457603 CTS457514:CTS457603 CJW457514:CJW457603 CAA457514:CAA457603 BQE457514:BQE457603 BGI457514:BGI457603 AWM457514:AWM457603 AMQ457514:AMQ457603 ACU457514:ACU457603 SY457514:SY457603 JC457514:JC457603 G457523:G457612 WVO391978:WVO392067 WLS391978:WLS392067 WBW391978:WBW392067 VSA391978:VSA392067 VIE391978:VIE392067 UYI391978:UYI392067 UOM391978:UOM392067 UEQ391978:UEQ392067 TUU391978:TUU392067 TKY391978:TKY392067 TBC391978:TBC392067 SRG391978:SRG392067 SHK391978:SHK392067 RXO391978:RXO392067 RNS391978:RNS392067 RDW391978:RDW392067 QUA391978:QUA392067 QKE391978:QKE392067 QAI391978:QAI392067 PQM391978:PQM392067 PGQ391978:PGQ392067 OWU391978:OWU392067 OMY391978:OMY392067 ODC391978:ODC392067 NTG391978:NTG392067 NJK391978:NJK392067 MZO391978:MZO392067 MPS391978:MPS392067 MFW391978:MFW392067 LWA391978:LWA392067 LME391978:LME392067 LCI391978:LCI392067 KSM391978:KSM392067 KIQ391978:KIQ392067 JYU391978:JYU392067 JOY391978:JOY392067 JFC391978:JFC392067 IVG391978:IVG392067 ILK391978:ILK392067 IBO391978:IBO392067 HRS391978:HRS392067 HHW391978:HHW392067 GYA391978:GYA392067 GOE391978:GOE392067 GEI391978:GEI392067 FUM391978:FUM392067 FKQ391978:FKQ392067 FAU391978:FAU392067 EQY391978:EQY392067 EHC391978:EHC392067 DXG391978:DXG392067 DNK391978:DNK392067 DDO391978:DDO392067 CTS391978:CTS392067 CJW391978:CJW392067 CAA391978:CAA392067 BQE391978:BQE392067 BGI391978:BGI392067 AWM391978:AWM392067 AMQ391978:AMQ392067 ACU391978:ACU392067 SY391978:SY392067 JC391978:JC392067 G391987:G392076 WVO326442:WVO326531 WLS326442:WLS326531 WBW326442:WBW326531 VSA326442:VSA326531 VIE326442:VIE326531 UYI326442:UYI326531 UOM326442:UOM326531 UEQ326442:UEQ326531 TUU326442:TUU326531 TKY326442:TKY326531 TBC326442:TBC326531 SRG326442:SRG326531 SHK326442:SHK326531 RXO326442:RXO326531 RNS326442:RNS326531 RDW326442:RDW326531 QUA326442:QUA326531 QKE326442:QKE326531 QAI326442:QAI326531 PQM326442:PQM326531 PGQ326442:PGQ326531 OWU326442:OWU326531 OMY326442:OMY326531 ODC326442:ODC326531 NTG326442:NTG326531 NJK326442:NJK326531 MZO326442:MZO326531 MPS326442:MPS326531 MFW326442:MFW326531 LWA326442:LWA326531 LME326442:LME326531 LCI326442:LCI326531 KSM326442:KSM326531 KIQ326442:KIQ326531 JYU326442:JYU326531 JOY326442:JOY326531 JFC326442:JFC326531 IVG326442:IVG326531 ILK326442:ILK326531 IBO326442:IBO326531 HRS326442:HRS326531 HHW326442:HHW326531 GYA326442:GYA326531 GOE326442:GOE326531 GEI326442:GEI326531 FUM326442:FUM326531 FKQ326442:FKQ326531 FAU326442:FAU326531 EQY326442:EQY326531 EHC326442:EHC326531 DXG326442:DXG326531 DNK326442:DNK326531 DDO326442:DDO326531 CTS326442:CTS326531 CJW326442:CJW326531 CAA326442:CAA326531 BQE326442:BQE326531 BGI326442:BGI326531 AWM326442:AWM326531 AMQ326442:AMQ326531 ACU326442:ACU326531 SY326442:SY326531 JC326442:JC326531 G326451:G326540 WVO260906:WVO260995 WLS260906:WLS260995 WBW260906:WBW260995 VSA260906:VSA260995 VIE260906:VIE260995 UYI260906:UYI260995 UOM260906:UOM260995 UEQ260906:UEQ260995 TUU260906:TUU260995 TKY260906:TKY260995 TBC260906:TBC260995 SRG260906:SRG260995 SHK260906:SHK260995 RXO260906:RXO260995 RNS260906:RNS260995 RDW260906:RDW260995 QUA260906:QUA260995 QKE260906:QKE260995 QAI260906:QAI260995 PQM260906:PQM260995 PGQ260906:PGQ260995 OWU260906:OWU260995 OMY260906:OMY260995 ODC260906:ODC260995 NTG260906:NTG260995 NJK260906:NJK260995 MZO260906:MZO260995 MPS260906:MPS260995 MFW260906:MFW260995 LWA260906:LWA260995 LME260906:LME260995 LCI260906:LCI260995 KSM260906:KSM260995 KIQ260906:KIQ260995 JYU260906:JYU260995 JOY260906:JOY260995 JFC260906:JFC260995 IVG260906:IVG260995 ILK260906:ILK260995 IBO260906:IBO260995 HRS260906:HRS260995 HHW260906:HHW260995 GYA260906:GYA260995 GOE260906:GOE260995 GEI260906:GEI260995 FUM260906:FUM260995 FKQ260906:FKQ260995 FAU260906:FAU260995 EQY260906:EQY260995 EHC260906:EHC260995 DXG260906:DXG260995 DNK260906:DNK260995 DDO260906:DDO260995 CTS260906:CTS260995 CJW260906:CJW260995 CAA260906:CAA260995 BQE260906:BQE260995 BGI260906:BGI260995 AWM260906:AWM260995 AMQ260906:AMQ260995 ACU260906:ACU260995 SY260906:SY260995 JC260906:JC260995 G260915:G261004 WVO195370:WVO195459 WLS195370:WLS195459 WBW195370:WBW195459 VSA195370:VSA195459 VIE195370:VIE195459 UYI195370:UYI195459 UOM195370:UOM195459 UEQ195370:UEQ195459 TUU195370:TUU195459 TKY195370:TKY195459 TBC195370:TBC195459 SRG195370:SRG195459 SHK195370:SHK195459 RXO195370:RXO195459 RNS195370:RNS195459 RDW195370:RDW195459 QUA195370:QUA195459 QKE195370:QKE195459 QAI195370:QAI195459 PQM195370:PQM195459 PGQ195370:PGQ195459 OWU195370:OWU195459 OMY195370:OMY195459 ODC195370:ODC195459 NTG195370:NTG195459 NJK195370:NJK195459 MZO195370:MZO195459 MPS195370:MPS195459 MFW195370:MFW195459 LWA195370:LWA195459 LME195370:LME195459 LCI195370:LCI195459 KSM195370:KSM195459 KIQ195370:KIQ195459 JYU195370:JYU195459 JOY195370:JOY195459 JFC195370:JFC195459 IVG195370:IVG195459 ILK195370:ILK195459 IBO195370:IBO195459 HRS195370:HRS195459 HHW195370:HHW195459 GYA195370:GYA195459 GOE195370:GOE195459 GEI195370:GEI195459 FUM195370:FUM195459 FKQ195370:FKQ195459 FAU195370:FAU195459 EQY195370:EQY195459 EHC195370:EHC195459 DXG195370:DXG195459 DNK195370:DNK195459 DDO195370:DDO195459 CTS195370:CTS195459 CJW195370:CJW195459 CAA195370:CAA195459 BQE195370:BQE195459 BGI195370:BGI195459 AWM195370:AWM195459 AMQ195370:AMQ195459 ACU195370:ACU195459 SY195370:SY195459 JC195370:JC195459 G195379:G195468 WVO129834:WVO129923 WLS129834:WLS129923 WBW129834:WBW129923 VSA129834:VSA129923 VIE129834:VIE129923 UYI129834:UYI129923 UOM129834:UOM129923 UEQ129834:UEQ129923 TUU129834:TUU129923 TKY129834:TKY129923 TBC129834:TBC129923 SRG129834:SRG129923 SHK129834:SHK129923 RXO129834:RXO129923 RNS129834:RNS129923 RDW129834:RDW129923 QUA129834:QUA129923 QKE129834:QKE129923 QAI129834:QAI129923 PQM129834:PQM129923 PGQ129834:PGQ129923 OWU129834:OWU129923 OMY129834:OMY129923 ODC129834:ODC129923 NTG129834:NTG129923 NJK129834:NJK129923 MZO129834:MZO129923 MPS129834:MPS129923 MFW129834:MFW129923 LWA129834:LWA129923 LME129834:LME129923 LCI129834:LCI129923 KSM129834:KSM129923 KIQ129834:KIQ129923 JYU129834:JYU129923 JOY129834:JOY129923 JFC129834:JFC129923 IVG129834:IVG129923 ILK129834:ILK129923 IBO129834:IBO129923 HRS129834:HRS129923 HHW129834:HHW129923 GYA129834:GYA129923 GOE129834:GOE129923 GEI129834:GEI129923 FUM129834:FUM129923 FKQ129834:FKQ129923 FAU129834:FAU129923 EQY129834:EQY129923 EHC129834:EHC129923 DXG129834:DXG129923 DNK129834:DNK129923 DDO129834:DDO129923 CTS129834:CTS129923 CJW129834:CJW129923 CAA129834:CAA129923 BQE129834:BQE129923 BGI129834:BGI129923 AWM129834:AWM129923 AMQ129834:AMQ129923 ACU129834:ACU129923 SY129834:SY129923 JC129834:JC129923 G129843:G129932 WVO64298:WVO64387 WLS64298:WLS64387 WBW64298:WBW64387 VSA64298:VSA64387 VIE64298:VIE64387 UYI64298:UYI64387 UOM64298:UOM64387 UEQ64298:UEQ64387 TUU64298:TUU64387 TKY64298:TKY64387 TBC64298:TBC64387 SRG64298:SRG64387 SHK64298:SHK64387 RXO64298:RXO64387 RNS64298:RNS64387 RDW64298:RDW64387 QUA64298:QUA64387 QKE64298:QKE64387 QAI64298:QAI64387 PQM64298:PQM64387 PGQ64298:PGQ64387 OWU64298:OWU64387 OMY64298:OMY64387 ODC64298:ODC64387 NTG64298:NTG64387 NJK64298:NJK64387 MZO64298:MZO64387 MPS64298:MPS64387 MFW64298:MFW64387 LWA64298:LWA64387 LME64298:LME64387 LCI64298:LCI64387 KSM64298:KSM64387 KIQ64298:KIQ64387 JYU64298:JYU64387 JOY64298:JOY64387 JFC64298:JFC64387 IVG64298:IVG64387 ILK64298:ILK64387 IBO64298:IBO64387 HRS64298:HRS64387 HHW64298:HHW64387 GYA64298:GYA64387 GOE64298:GOE64387 GEI64298:GEI64387 FUM64298:FUM64387 FKQ64298:FKQ64387 FAU64298:FAU64387 EQY64298:EQY64387 EHC64298:EHC64387 DXG64298:DXG64387 DNK64298:DNK64387 DDO64298:DDO64387 CTS64298:CTS64387 CJW64298:CJW64387 CAA64298:CAA64387 BQE64298:BQE64387 BGI64298:BGI64387 AWM64298:AWM64387 AMQ64298:AMQ64387 ACU64298:ACU64387 SY64298:SY64387 JC64298:JC64387 G64307:G64396 G93:G497 JC2:JC70 SY2:SY70 ACU2:ACU70 AMQ2:AMQ70 AWM2:AWM70 BGI2:BGI70 BQE2:BQE70 CAA2:CAA70 CJW2:CJW70 CTS2:CTS70 DDO2:DDO70 DNK2:DNK70 DXG2:DXG70 EHC2:EHC70 EQY2:EQY70 FAU2:FAU70 FKQ2:FKQ70 FUM2:FUM70 GEI2:GEI70 GOE2:GOE70 GYA2:GYA70 HHW2:HHW70 HRS2:HRS70 IBO2:IBO70 ILK2:ILK70 IVG2:IVG70 JFC2:JFC70 JOY2:JOY70 JYU2:JYU70 KIQ2:KIQ70 KSM2:KSM70 LCI2:LCI70 LME2:LME70 LWA2:LWA70 MFW2:MFW70 MPS2:MPS70 MZO2:MZO70 NJK2:NJK70 NTG2:NTG70 ODC2:ODC70 OMY2:OMY70 OWU2:OWU70 PGQ2:PGQ70 PQM2:PQM70 QAI2:QAI70 QKE2:QKE70 QUA2:QUA70 RDW2:RDW70 RNS2:RNS70 RXO2:RXO70 SHK2:SHK70 SRG2:SRG70 TBC2:TBC70 TKY2:TKY70 TUU2:TUU70 UEQ2:UEQ70 UOM2:UOM70 UYI2:UYI70 VIE2:VIE70 VSA2:VSA70 WBW2:WBW70 WLS2:WLS70 WVO2:WVO70 G2:G91">
      <formula1>$AJ$2:$AJ$4</formula1>
    </dataValidation>
    <dataValidation type="list" allowBlank="1" showInputMessage="1" showErrorMessage="1" sqref="WVP981802:WVP981891 WLT981802:WLT981891 WBX981802:WBX981891 VSB981802:VSB981891 VIF981802:VIF981891 UYJ981802:UYJ981891 UON981802:UON981891 UER981802:UER981891 TUV981802:TUV981891 TKZ981802:TKZ981891 TBD981802:TBD981891 SRH981802:SRH981891 SHL981802:SHL981891 RXP981802:RXP981891 RNT981802:RNT981891 RDX981802:RDX981891 QUB981802:QUB981891 QKF981802:QKF981891 QAJ981802:QAJ981891 PQN981802:PQN981891 PGR981802:PGR981891 OWV981802:OWV981891 OMZ981802:OMZ981891 ODD981802:ODD981891 NTH981802:NTH981891 NJL981802:NJL981891 MZP981802:MZP981891 MPT981802:MPT981891 MFX981802:MFX981891 LWB981802:LWB981891 LMF981802:LMF981891 LCJ981802:LCJ981891 KSN981802:KSN981891 KIR981802:KIR981891 JYV981802:JYV981891 JOZ981802:JOZ981891 JFD981802:JFD981891 IVH981802:IVH981891 ILL981802:ILL981891 IBP981802:IBP981891 HRT981802:HRT981891 HHX981802:HHX981891 GYB981802:GYB981891 GOF981802:GOF981891 GEJ981802:GEJ981891 FUN981802:FUN981891 FKR981802:FKR981891 FAV981802:FAV981891 EQZ981802:EQZ981891 EHD981802:EHD981891 DXH981802:DXH981891 DNL981802:DNL981891 DDP981802:DDP981891 CTT981802:CTT981891 CJX981802:CJX981891 CAB981802:CAB981891 BQF981802:BQF981891 BGJ981802:BGJ981891 AWN981802:AWN981891 AMR981802:AMR981891 ACV981802:ACV981891 SZ981802:SZ981891 JD981802:JD981891 H981823:H981912 WVP916266:WVP916355 WLT916266:WLT916355 WBX916266:WBX916355 VSB916266:VSB916355 VIF916266:VIF916355 UYJ916266:UYJ916355 UON916266:UON916355 UER916266:UER916355 TUV916266:TUV916355 TKZ916266:TKZ916355 TBD916266:TBD916355 SRH916266:SRH916355 SHL916266:SHL916355 RXP916266:RXP916355 RNT916266:RNT916355 RDX916266:RDX916355 QUB916266:QUB916355 QKF916266:QKF916355 QAJ916266:QAJ916355 PQN916266:PQN916355 PGR916266:PGR916355 OWV916266:OWV916355 OMZ916266:OMZ916355 ODD916266:ODD916355 NTH916266:NTH916355 NJL916266:NJL916355 MZP916266:MZP916355 MPT916266:MPT916355 MFX916266:MFX916355 LWB916266:LWB916355 LMF916266:LMF916355 LCJ916266:LCJ916355 KSN916266:KSN916355 KIR916266:KIR916355 JYV916266:JYV916355 JOZ916266:JOZ916355 JFD916266:JFD916355 IVH916266:IVH916355 ILL916266:ILL916355 IBP916266:IBP916355 HRT916266:HRT916355 HHX916266:HHX916355 GYB916266:GYB916355 GOF916266:GOF916355 GEJ916266:GEJ916355 FUN916266:FUN916355 FKR916266:FKR916355 FAV916266:FAV916355 EQZ916266:EQZ916355 EHD916266:EHD916355 DXH916266:DXH916355 DNL916266:DNL916355 DDP916266:DDP916355 CTT916266:CTT916355 CJX916266:CJX916355 CAB916266:CAB916355 BQF916266:BQF916355 BGJ916266:BGJ916355 AWN916266:AWN916355 AMR916266:AMR916355 ACV916266:ACV916355 SZ916266:SZ916355 JD916266:JD916355 H916287:H916376 WVP850730:WVP850819 WLT850730:WLT850819 WBX850730:WBX850819 VSB850730:VSB850819 VIF850730:VIF850819 UYJ850730:UYJ850819 UON850730:UON850819 UER850730:UER850819 TUV850730:TUV850819 TKZ850730:TKZ850819 TBD850730:TBD850819 SRH850730:SRH850819 SHL850730:SHL850819 RXP850730:RXP850819 RNT850730:RNT850819 RDX850730:RDX850819 QUB850730:QUB850819 QKF850730:QKF850819 QAJ850730:QAJ850819 PQN850730:PQN850819 PGR850730:PGR850819 OWV850730:OWV850819 OMZ850730:OMZ850819 ODD850730:ODD850819 NTH850730:NTH850819 NJL850730:NJL850819 MZP850730:MZP850819 MPT850730:MPT850819 MFX850730:MFX850819 LWB850730:LWB850819 LMF850730:LMF850819 LCJ850730:LCJ850819 KSN850730:KSN850819 KIR850730:KIR850819 JYV850730:JYV850819 JOZ850730:JOZ850819 JFD850730:JFD850819 IVH850730:IVH850819 ILL850730:ILL850819 IBP850730:IBP850819 HRT850730:HRT850819 HHX850730:HHX850819 GYB850730:GYB850819 GOF850730:GOF850819 GEJ850730:GEJ850819 FUN850730:FUN850819 FKR850730:FKR850819 FAV850730:FAV850819 EQZ850730:EQZ850819 EHD850730:EHD850819 DXH850730:DXH850819 DNL850730:DNL850819 DDP850730:DDP850819 CTT850730:CTT850819 CJX850730:CJX850819 CAB850730:CAB850819 BQF850730:BQF850819 BGJ850730:BGJ850819 AWN850730:AWN850819 AMR850730:AMR850819 ACV850730:ACV850819 SZ850730:SZ850819 JD850730:JD850819 H850751:H850840 WVP785194:WVP785283 WLT785194:WLT785283 WBX785194:WBX785283 VSB785194:VSB785283 VIF785194:VIF785283 UYJ785194:UYJ785283 UON785194:UON785283 UER785194:UER785283 TUV785194:TUV785283 TKZ785194:TKZ785283 TBD785194:TBD785283 SRH785194:SRH785283 SHL785194:SHL785283 RXP785194:RXP785283 RNT785194:RNT785283 RDX785194:RDX785283 QUB785194:QUB785283 QKF785194:QKF785283 QAJ785194:QAJ785283 PQN785194:PQN785283 PGR785194:PGR785283 OWV785194:OWV785283 OMZ785194:OMZ785283 ODD785194:ODD785283 NTH785194:NTH785283 NJL785194:NJL785283 MZP785194:MZP785283 MPT785194:MPT785283 MFX785194:MFX785283 LWB785194:LWB785283 LMF785194:LMF785283 LCJ785194:LCJ785283 KSN785194:KSN785283 KIR785194:KIR785283 JYV785194:JYV785283 JOZ785194:JOZ785283 JFD785194:JFD785283 IVH785194:IVH785283 ILL785194:ILL785283 IBP785194:IBP785283 HRT785194:HRT785283 HHX785194:HHX785283 GYB785194:GYB785283 GOF785194:GOF785283 GEJ785194:GEJ785283 FUN785194:FUN785283 FKR785194:FKR785283 FAV785194:FAV785283 EQZ785194:EQZ785283 EHD785194:EHD785283 DXH785194:DXH785283 DNL785194:DNL785283 DDP785194:DDP785283 CTT785194:CTT785283 CJX785194:CJX785283 CAB785194:CAB785283 BQF785194:BQF785283 BGJ785194:BGJ785283 AWN785194:AWN785283 AMR785194:AMR785283 ACV785194:ACV785283 SZ785194:SZ785283 JD785194:JD785283 H785215:H785304 WVP719658:WVP719747 WLT719658:WLT719747 WBX719658:WBX719747 VSB719658:VSB719747 VIF719658:VIF719747 UYJ719658:UYJ719747 UON719658:UON719747 UER719658:UER719747 TUV719658:TUV719747 TKZ719658:TKZ719747 TBD719658:TBD719747 SRH719658:SRH719747 SHL719658:SHL719747 RXP719658:RXP719747 RNT719658:RNT719747 RDX719658:RDX719747 QUB719658:QUB719747 QKF719658:QKF719747 QAJ719658:QAJ719747 PQN719658:PQN719747 PGR719658:PGR719747 OWV719658:OWV719747 OMZ719658:OMZ719747 ODD719658:ODD719747 NTH719658:NTH719747 NJL719658:NJL719747 MZP719658:MZP719747 MPT719658:MPT719747 MFX719658:MFX719747 LWB719658:LWB719747 LMF719658:LMF719747 LCJ719658:LCJ719747 KSN719658:KSN719747 KIR719658:KIR719747 JYV719658:JYV719747 JOZ719658:JOZ719747 JFD719658:JFD719747 IVH719658:IVH719747 ILL719658:ILL719747 IBP719658:IBP719747 HRT719658:HRT719747 HHX719658:HHX719747 GYB719658:GYB719747 GOF719658:GOF719747 GEJ719658:GEJ719747 FUN719658:FUN719747 FKR719658:FKR719747 FAV719658:FAV719747 EQZ719658:EQZ719747 EHD719658:EHD719747 DXH719658:DXH719747 DNL719658:DNL719747 DDP719658:DDP719747 CTT719658:CTT719747 CJX719658:CJX719747 CAB719658:CAB719747 BQF719658:BQF719747 BGJ719658:BGJ719747 AWN719658:AWN719747 AMR719658:AMR719747 ACV719658:ACV719747 SZ719658:SZ719747 JD719658:JD719747 H719679:H719768 WVP654122:WVP654211 WLT654122:WLT654211 WBX654122:WBX654211 VSB654122:VSB654211 VIF654122:VIF654211 UYJ654122:UYJ654211 UON654122:UON654211 UER654122:UER654211 TUV654122:TUV654211 TKZ654122:TKZ654211 TBD654122:TBD654211 SRH654122:SRH654211 SHL654122:SHL654211 RXP654122:RXP654211 RNT654122:RNT654211 RDX654122:RDX654211 QUB654122:QUB654211 QKF654122:QKF654211 QAJ654122:QAJ654211 PQN654122:PQN654211 PGR654122:PGR654211 OWV654122:OWV654211 OMZ654122:OMZ654211 ODD654122:ODD654211 NTH654122:NTH654211 NJL654122:NJL654211 MZP654122:MZP654211 MPT654122:MPT654211 MFX654122:MFX654211 LWB654122:LWB654211 LMF654122:LMF654211 LCJ654122:LCJ654211 KSN654122:KSN654211 KIR654122:KIR654211 JYV654122:JYV654211 JOZ654122:JOZ654211 JFD654122:JFD654211 IVH654122:IVH654211 ILL654122:ILL654211 IBP654122:IBP654211 HRT654122:HRT654211 HHX654122:HHX654211 GYB654122:GYB654211 GOF654122:GOF654211 GEJ654122:GEJ654211 FUN654122:FUN654211 FKR654122:FKR654211 FAV654122:FAV654211 EQZ654122:EQZ654211 EHD654122:EHD654211 DXH654122:DXH654211 DNL654122:DNL654211 DDP654122:DDP654211 CTT654122:CTT654211 CJX654122:CJX654211 CAB654122:CAB654211 BQF654122:BQF654211 BGJ654122:BGJ654211 AWN654122:AWN654211 AMR654122:AMR654211 ACV654122:ACV654211 SZ654122:SZ654211 JD654122:JD654211 H654143:H654232 WVP588586:WVP588675 WLT588586:WLT588675 WBX588586:WBX588675 VSB588586:VSB588675 VIF588586:VIF588675 UYJ588586:UYJ588675 UON588586:UON588675 UER588586:UER588675 TUV588586:TUV588675 TKZ588586:TKZ588675 TBD588586:TBD588675 SRH588586:SRH588675 SHL588586:SHL588675 RXP588586:RXP588675 RNT588586:RNT588675 RDX588586:RDX588675 QUB588586:QUB588675 QKF588586:QKF588675 QAJ588586:QAJ588675 PQN588586:PQN588675 PGR588586:PGR588675 OWV588586:OWV588675 OMZ588586:OMZ588675 ODD588586:ODD588675 NTH588586:NTH588675 NJL588586:NJL588675 MZP588586:MZP588675 MPT588586:MPT588675 MFX588586:MFX588675 LWB588586:LWB588675 LMF588586:LMF588675 LCJ588586:LCJ588675 KSN588586:KSN588675 KIR588586:KIR588675 JYV588586:JYV588675 JOZ588586:JOZ588675 JFD588586:JFD588675 IVH588586:IVH588675 ILL588586:ILL588675 IBP588586:IBP588675 HRT588586:HRT588675 HHX588586:HHX588675 GYB588586:GYB588675 GOF588586:GOF588675 GEJ588586:GEJ588675 FUN588586:FUN588675 FKR588586:FKR588675 FAV588586:FAV588675 EQZ588586:EQZ588675 EHD588586:EHD588675 DXH588586:DXH588675 DNL588586:DNL588675 DDP588586:DDP588675 CTT588586:CTT588675 CJX588586:CJX588675 CAB588586:CAB588675 BQF588586:BQF588675 BGJ588586:BGJ588675 AWN588586:AWN588675 AMR588586:AMR588675 ACV588586:ACV588675 SZ588586:SZ588675 JD588586:JD588675 H588607:H588696 WVP523050:WVP523139 WLT523050:WLT523139 WBX523050:WBX523139 VSB523050:VSB523139 VIF523050:VIF523139 UYJ523050:UYJ523139 UON523050:UON523139 UER523050:UER523139 TUV523050:TUV523139 TKZ523050:TKZ523139 TBD523050:TBD523139 SRH523050:SRH523139 SHL523050:SHL523139 RXP523050:RXP523139 RNT523050:RNT523139 RDX523050:RDX523139 QUB523050:QUB523139 QKF523050:QKF523139 QAJ523050:QAJ523139 PQN523050:PQN523139 PGR523050:PGR523139 OWV523050:OWV523139 OMZ523050:OMZ523139 ODD523050:ODD523139 NTH523050:NTH523139 NJL523050:NJL523139 MZP523050:MZP523139 MPT523050:MPT523139 MFX523050:MFX523139 LWB523050:LWB523139 LMF523050:LMF523139 LCJ523050:LCJ523139 KSN523050:KSN523139 KIR523050:KIR523139 JYV523050:JYV523139 JOZ523050:JOZ523139 JFD523050:JFD523139 IVH523050:IVH523139 ILL523050:ILL523139 IBP523050:IBP523139 HRT523050:HRT523139 HHX523050:HHX523139 GYB523050:GYB523139 GOF523050:GOF523139 GEJ523050:GEJ523139 FUN523050:FUN523139 FKR523050:FKR523139 FAV523050:FAV523139 EQZ523050:EQZ523139 EHD523050:EHD523139 DXH523050:DXH523139 DNL523050:DNL523139 DDP523050:DDP523139 CTT523050:CTT523139 CJX523050:CJX523139 CAB523050:CAB523139 BQF523050:BQF523139 BGJ523050:BGJ523139 AWN523050:AWN523139 AMR523050:AMR523139 ACV523050:ACV523139 SZ523050:SZ523139 JD523050:JD523139 H523071:H523160 WVP457514:WVP457603 WLT457514:WLT457603 WBX457514:WBX457603 VSB457514:VSB457603 VIF457514:VIF457603 UYJ457514:UYJ457603 UON457514:UON457603 UER457514:UER457603 TUV457514:TUV457603 TKZ457514:TKZ457603 TBD457514:TBD457603 SRH457514:SRH457603 SHL457514:SHL457603 RXP457514:RXP457603 RNT457514:RNT457603 RDX457514:RDX457603 QUB457514:QUB457603 QKF457514:QKF457603 QAJ457514:QAJ457603 PQN457514:PQN457603 PGR457514:PGR457603 OWV457514:OWV457603 OMZ457514:OMZ457603 ODD457514:ODD457603 NTH457514:NTH457603 NJL457514:NJL457603 MZP457514:MZP457603 MPT457514:MPT457603 MFX457514:MFX457603 LWB457514:LWB457603 LMF457514:LMF457603 LCJ457514:LCJ457603 KSN457514:KSN457603 KIR457514:KIR457603 JYV457514:JYV457603 JOZ457514:JOZ457603 JFD457514:JFD457603 IVH457514:IVH457603 ILL457514:ILL457603 IBP457514:IBP457603 HRT457514:HRT457603 HHX457514:HHX457603 GYB457514:GYB457603 GOF457514:GOF457603 GEJ457514:GEJ457603 FUN457514:FUN457603 FKR457514:FKR457603 FAV457514:FAV457603 EQZ457514:EQZ457603 EHD457514:EHD457603 DXH457514:DXH457603 DNL457514:DNL457603 DDP457514:DDP457603 CTT457514:CTT457603 CJX457514:CJX457603 CAB457514:CAB457603 BQF457514:BQF457603 BGJ457514:BGJ457603 AWN457514:AWN457603 AMR457514:AMR457603 ACV457514:ACV457603 SZ457514:SZ457603 JD457514:JD457603 H457535:H457624 WVP391978:WVP392067 WLT391978:WLT392067 WBX391978:WBX392067 VSB391978:VSB392067 VIF391978:VIF392067 UYJ391978:UYJ392067 UON391978:UON392067 UER391978:UER392067 TUV391978:TUV392067 TKZ391978:TKZ392067 TBD391978:TBD392067 SRH391978:SRH392067 SHL391978:SHL392067 RXP391978:RXP392067 RNT391978:RNT392067 RDX391978:RDX392067 QUB391978:QUB392067 QKF391978:QKF392067 QAJ391978:QAJ392067 PQN391978:PQN392067 PGR391978:PGR392067 OWV391978:OWV392067 OMZ391978:OMZ392067 ODD391978:ODD392067 NTH391978:NTH392067 NJL391978:NJL392067 MZP391978:MZP392067 MPT391978:MPT392067 MFX391978:MFX392067 LWB391978:LWB392067 LMF391978:LMF392067 LCJ391978:LCJ392067 KSN391978:KSN392067 KIR391978:KIR392067 JYV391978:JYV392067 JOZ391978:JOZ392067 JFD391978:JFD392067 IVH391978:IVH392067 ILL391978:ILL392067 IBP391978:IBP392067 HRT391978:HRT392067 HHX391978:HHX392067 GYB391978:GYB392067 GOF391978:GOF392067 GEJ391978:GEJ392067 FUN391978:FUN392067 FKR391978:FKR392067 FAV391978:FAV392067 EQZ391978:EQZ392067 EHD391978:EHD392067 DXH391978:DXH392067 DNL391978:DNL392067 DDP391978:DDP392067 CTT391978:CTT392067 CJX391978:CJX392067 CAB391978:CAB392067 BQF391978:BQF392067 BGJ391978:BGJ392067 AWN391978:AWN392067 AMR391978:AMR392067 ACV391978:ACV392067 SZ391978:SZ392067 JD391978:JD392067 H391999:H392088 WVP326442:WVP326531 WLT326442:WLT326531 WBX326442:WBX326531 VSB326442:VSB326531 VIF326442:VIF326531 UYJ326442:UYJ326531 UON326442:UON326531 UER326442:UER326531 TUV326442:TUV326531 TKZ326442:TKZ326531 TBD326442:TBD326531 SRH326442:SRH326531 SHL326442:SHL326531 RXP326442:RXP326531 RNT326442:RNT326531 RDX326442:RDX326531 QUB326442:QUB326531 QKF326442:QKF326531 QAJ326442:QAJ326531 PQN326442:PQN326531 PGR326442:PGR326531 OWV326442:OWV326531 OMZ326442:OMZ326531 ODD326442:ODD326531 NTH326442:NTH326531 NJL326442:NJL326531 MZP326442:MZP326531 MPT326442:MPT326531 MFX326442:MFX326531 LWB326442:LWB326531 LMF326442:LMF326531 LCJ326442:LCJ326531 KSN326442:KSN326531 KIR326442:KIR326531 JYV326442:JYV326531 JOZ326442:JOZ326531 JFD326442:JFD326531 IVH326442:IVH326531 ILL326442:ILL326531 IBP326442:IBP326531 HRT326442:HRT326531 HHX326442:HHX326531 GYB326442:GYB326531 GOF326442:GOF326531 GEJ326442:GEJ326531 FUN326442:FUN326531 FKR326442:FKR326531 FAV326442:FAV326531 EQZ326442:EQZ326531 EHD326442:EHD326531 DXH326442:DXH326531 DNL326442:DNL326531 DDP326442:DDP326531 CTT326442:CTT326531 CJX326442:CJX326531 CAB326442:CAB326531 BQF326442:BQF326531 BGJ326442:BGJ326531 AWN326442:AWN326531 AMR326442:AMR326531 ACV326442:ACV326531 SZ326442:SZ326531 JD326442:JD326531 H326463:H326552 WVP260906:WVP260995 WLT260906:WLT260995 WBX260906:WBX260995 VSB260906:VSB260995 VIF260906:VIF260995 UYJ260906:UYJ260995 UON260906:UON260995 UER260906:UER260995 TUV260906:TUV260995 TKZ260906:TKZ260995 TBD260906:TBD260995 SRH260906:SRH260995 SHL260906:SHL260995 RXP260906:RXP260995 RNT260906:RNT260995 RDX260906:RDX260995 QUB260906:QUB260995 QKF260906:QKF260995 QAJ260906:QAJ260995 PQN260906:PQN260995 PGR260906:PGR260995 OWV260906:OWV260995 OMZ260906:OMZ260995 ODD260906:ODD260995 NTH260906:NTH260995 NJL260906:NJL260995 MZP260906:MZP260995 MPT260906:MPT260995 MFX260906:MFX260995 LWB260906:LWB260995 LMF260906:LMF260995 LCJ260906:LCJ260995 KSN260906:KSN260995 KIR260906:KIR260995 JYV260906:JYV260995 JOZ260906:JOZ260995 JFD260906:JFD260995 IVH260906:IVH260995 ILL260906:ILL260995 IBP260906:IBP260995 HRT260906:HRT260995 HHX260906:HHX260995 GYB260906:GYB260995 GOF260906:GOF260995 GEJ260906:GEJ260995 FUN260906:FUN260995 FKR260906:FKR260995 FAV260906:FAV260995 EQZ260906:EQZ260995 EHD260906:EHD260995 DXH260906:DXH260995 DNL260906:DNL260995 DDP260906:DDP260995 CTT260906:CTT260995 CJX260906:CJX260995 CAB260906:CAB260995 BQF260906:BQF260995 BGJ260906:BGJ260995 AWN260906:AWN260995 AMR260906:AMR260995 ACV260906:ACV260995 SZ260906:SZ260995 JD260906:JD260995 H260927:H261016 WVP195370:WVP195459 WLT195370:WLT195459 WBX195370:WBX195459 VSB195370:VSB195459 VIF195370:VIF195459 UYJ195370:UYJ195459 UON195370:UON195459 UER195370:UER195459 TUV195370:TUV195459 TKZ195370:TKZ195459 TBD195370:TBD195459 SRH195370:SRH195459 SHL195370:SHL195459 RXP195370:RXP195459 RNT195370:RNT195459 RDX195370:RDX195459 QUB195370:QUB195459 QKF195370:QKF195459 QAJ195370:QAJ195459 PQN195370:PQN195459 PGR195370:PGR195459 OWV195370:OWV195459 OMZ195370:OMZ195459 ODD195370:ODD195459 NTH195370:NTH195459 NJL195370:NJL195459 MZP195370:MZP195459 MPT195370:MPT195459 MFX195370:MFX195459 LWB195370:LWB195459 LMF195370:LMF195459 LCJ195370:LCJ195459 KSN195370:KSN195459 KIR195370:KIR195459 JYV195370:JYV195459 JOZ195370:JOZ195459 JFD195370:JFD195459 IVH195370:IVH195459 ILL195370:ILL195459 IBP195370:IBP195459 HRT195370:HRT195459 HHX195370:HHX195459 GYB195370:GYB195459 GOF195370:GOF195459 GEJ195370:GEJ195459 FUN195370:FUN195459 FKR195370:FKR195459 FAV195370:FAV195459 EQZ195370:EQZ195459 EHD195370:EHD195459 DXH195370:DXH195459 DNL195370:DNL195459 DDP195370:DDP195459 CTT195370:CTT195459 CJX195370:CJX195459 CAB195370:CAB195459 BQF195370:BQF195459 BGJ195370:BGJ195459 AWN195370:AWN195459 AMR195370:AMR195459 ACV195370:ACV195459 SZ195370:SZ195459 JD195370:JD195459 H195391:H195480 WVP129834:WVP129923 WLT129834:WLT129923 WBX129834:WBX129923 VSB129834:VSB129923 VIF129834:VIF129923 UYJ129834:UYJ129923 UON129834:UON129923 UER129834:UER129923 TUV129834:TUV129923 TKZ129834:TKZ129923 TBD129834:TBD129923 SRH129834:SRH129923 SHL129834:SHL129923 RXP129834:RXP129923 RNT129834:RNT129923 RDX129834:RDX129923 QUB129834:QUB129923 QKF129834:QKF129923 QAJ129834:QAJ129923 PQN129834:PQN129923 PGR129834:PGR129923 OWV129834:OWV129923 OMZ129834:OMZ129923 ODD129834:ODD129923 NTH129834:NTH129923 NJL129834:NJL129923 MZP129834:MZP129923 MPT129834:MPT129923 MFX129834:MFX129923 LWB129834:LWB129923 LMF129834:LMF129923 LCJ129834:LCJ129923 KSN129834:KSN129923 KIR129834:KIR129923 JYV129834:JYV129923 JOZ129834:JOZ129923 JFD129834:JFD129923 IVH129834:IVH129923 ILL129834:ILL129923 IBP129834:IBP129923 HRT129834:HRT129923 HHX129834:HHX129923 GYB129834:GYB129923 GOF129834:GOF129923 GEJ129834:GEJ129923 FUN129834:FUN129923 FKR129834:FKR129923 FAV129834:FAV129923 EQZ129834:EQZ129923 EHD129834:EHD129923 DXH129834:DXH129923 DNL129834:DNL129923 DDP129834:DDP129923 CTT129834:CTT129923 CJX129834:CJX129923 CAB129834:CAB129923 BQF129834:BQF129923 BGJ129834:BGJ129923 AWN129834:AWN129923 AMR129834:AMR129923 ACV129834:ACV129923 SZ129834:SZ129923 JD129834:JD129923 H129855:H129944 WVP64298:WVP64387 WLT64298:WLT64387 WBX64298:WBX64387 VSB64298:VSB64387 VIF64298:VIF64387 UYJ64298:UYJ64387 UON64298:UON64387 UER64298:UER64387 TUV64298:TUV64387 TKZ64298:TKZ64387 TBD64298:TBD64387 SRH64298:SRH64387 SHL64298:SHL64387 RXP64298:RXP64387 RNT64298:RNT64387 RDX64298:RDX64387 QUB64298:QUB64387 QKF64298:QKF64387 QAJ64298:QAJ64387 PQN64298:PQN64387 PGR64298:PGR64387 OWV64298:OWV64387 OMZ64298:OMZ64387 ODD64298:ODD64387 NTH64298:NTH64387 NJL64298:NJL64387 MZP64298:MZP64387 MPT64298:MPT64387 MFX64298:MFX64387 LWB64298:LWB64387 LMF64298:LMF64387 LCJ64298:LCJ64387 KSN64298:KSN64387 KIR64298:KIR64387 JYV64298:JYV64387 JOZ64298:JOZ64387 JFD64298:JFD64387 IVH64298:IVH64387 ILL64298:ILL64387 IBP64298:IBP64387 HRT64298:HRT64387 HHX64298:HHX64387 GYB64298:GYB64387 GOF64298:GOF64387 GEJ64298:GEJ64387 FUN64298:FUN64387 FKR64298:FKR64387 FAV64298:FAV64387 EQZ64298:EQZ64387 EHD64298:EHD64387 DXH64298:DXH64387 DNL64298:DNL64387 DDP64298:DDP64387 CTT64298:CTT64387 CJX64298:CJX64387 CAB64298:CAB64387 BQF64298:BQF64387 BGJ64298:BGJ64387 AWN64298:AWN64387 AMR64298:AMR64387 ACV64298:ACV64387 SZ64298:SZ64387 JD64298:JD64387 H64319:H64408 JD2:JD70 SZ2:SZ70 ACV2:ACV70 AMR2:AMR70 AWN2:AWN70 BGJ2:BGJ70 BQF2:BQF70 CAB2:CAB70 CJX2:CJX70 CTT2:CTT70 DDP2:DDP70 DNL2:DNL70 DXH2:DXH70 EHD2:EHD70 EQZ2:EQZ70 FAV2:FAV70 FKR2:FKR70 FUN2:FUN70 GEJ2:GEJ70 GOF2:GOF70 GYB2:GYB70 HHX2:HHX70 HRT2:HRT70 IBP2:IBP70 ILL2:ILL70 IVH2:IVH70 JFD2:JFD70 JOZ2:JOZ70 JYV2:JYV70 KIR2:KIR70 KSN2:KSN70 LCJ2:LCJ70 LMF2:LMF70 LWB2:LWB70 MFX2:MFX70 MPT2:MPT70 MZP2:MZP70 NJL2:NJL70 NTH2:NTH70 ODD2:ODD70 OMZ2:OMZ70 OWV2:OWV70 PGR2:PGR70 PQN2:PQN70 QAJ2:QAJ70 QKF2:QKF70 QUB2:QUB70 RDX2:RDX70 RNT2:RNT70 RXP2:RXP70 SHL2:SHL70 SRH2:SRH70 TBD2:TBD70 TKZ2:TKZ70 TUV2:TUV70 UER2:UER70 UON2:UON70 UYJ2:UYJ70 VIF2:VIF70 VSB2:VSB70 WBX2:WBX70 WLT2:WLT70 WVP2:WVP70">
      <formula1>$AL$8:$AL$13</formula1>
    </dataValidation>
    <dataValidation type="list" allowBlank="1" showInputMessage="1" showErrorMessage="1" sqref="WVQ981802:WVQ981885 WLU981802:WLU981885 WBY981802:WBY981885 VSC981802:VSC981885 VIG981802:VIG981885 UYK981802:UYK981885 UOO981802:UOO981885 UES981802:UES981885 TUW981802:TUW981885 TLA981802:TLA981885 TBE981802:TBE981885 SRI981802:SRI981885 SHM981802:SHM981885 RXQ981802:RXQ981885 RNU981802:RNU981885 RDY981802:RDY981885 QUC981802:QUC981885 QKG981802:QKG981885 QAK981802:QAK981885 PQO981802:PQO981885 PGS981802:PGS981885 OWW981802:OWW981885 ONA981802:ONA981885 ODE981802:ODE981885 NTI981802:NTI981885 NJM981802:NJM981885 MZQ981802:MZQ981885 MPU981802:MPU981885 MFY981802:MFY981885 LWC981802:LWC981885 LMG981802:LMG981885 LCK981802:LCK981885 KSO981802:KSO981885 KIS981802:KIS981885 JYW981802:JYW981885 JPA981802:JPA981885 JFE981802:JFE981885 IVI981802:IVI981885 ILM981802:ILM981885 IBQ981802:IBQ981885 HRU981802:HRU981885 HHY981802:HHY981885 GYC981802:GYC981885 GOG981802:GOG981885 GEK981802:GEK981885 FUO981802:FUO981885 FKS981802:FKS981885 FAW981802:FAW981885 ERA981802:ERA981885 EHE981802:EHE981885 DXI981802:DXI981885 DNM981802:DNM981885 DDQ981802:DDQ981885 CTU981802:CTU981885 CJY981802:CJY981885 CAC981802:CAC981885 BQG981802:BQG981885 BGK981802:BGK981885 AWO981802:AWO981885 AMS981802:AMS981885 ACW981802:ACW981885 TA981802:TA981885 JE981802:JE981885 I981823:I981906 WVQ916266:WVQ916349 WLU916266:WLU916349 WBY916266:WBY916349 VSC916266:VSC916349 VIG916266:VIG916349 UYK916266:UYK916349 UOO916266:UOO916349 UES916266:UES916349 TUW916266:TUW916349 TLA916266:TLA916349 TBE916266:TBE916349 SRI916266:SRI916349 SHM916266:SHM916349 RXQ916266:RXQ916349 RNU916266:RNU916349 RDY916266:RDY916349 QUC916266:QUC916349 QKG916266:QKG916349 QAK916266:QAK916349 PQO916266:PQO916349 PGS916266:PGS916349 OWW916266:OWW916349 ONA916266:ONA916349 ODE916266:ODE916349 NTI916266:NTI916349 NJM916266:NJM916349 MZQ916266:MZQ916349 MPU916266:MPU916349 MFY916266:MFY916349 LWC916266:LWC916349 LMG916266:LMG916349 LCK916266:LCK916349 KSO916266:KSO916349 KIS916266:KIS916349 JYW916266:JYW916349 JPA916266:JPA916349 JFE916266:JFE916349 IVI916266:IVI916349 ILM916266:ILM916349 IBQ916266:IBQ916349 HRU916266:HRU916349 HHY916266:HHY916349 GYC916266:GYC916349 GOG916266:GOG916349 GEK916266:GEK916349 FUO916266:FUO916349 FKS916266:FKS916349 FAW916266:FAW916349 ERA916266:ERA916349 EHE916266:EHE916349 DXI916266:DXI916349 DNM916266:DNM916349 DDQ916266:DDQ916349 CTU916266:CTU916349 CJY916266:CJY916349 CAC916266:CAC916349 BQG916266:BQG916349 BGK916266:BGK916349 AWO916266:AWO916349 AMS916266:AMS916349 ACW916266:ACW916349 TA916266:TA916349 JE916266:JE916349 I916287:I916370 WVQ850730:WVQ850813 WLU850730:WLU850813 WBY850730:WBY850813 VSC850730:VSC850813 VIG850730:VIG850813 UYK850730:UYK850813 UOO850730:UOO850813 UES850730:UES850813 TUW850730:TUW850813 TLA850730:TLA850813 TBE850730:TBE850813 SRI850730:SRI850813 SHM850730:SHM850813 RXQ850730:RXQ850813 RNU850730:RNU850813 RDY850730:RDY850813 QUC850730:QUC850813 QKG850730:QKG850813 QAK850730:QAK850813 PQO850730:PQO850813 PGS850730:PGS850813 OWW850730:OWW850813 ONA850730:ONA850813 ODE850730:ODE850813 NTI850730:NTI850813 NJM850730:NJM850813 MZQ850730:MZQ850813 MPU850730:MPU850813 MFY850730:MFY850813 LWC850730:LWC850813 LMG850730:LMG850813 LCK850730:LCK850813 KSO850730:KSO850813 KIS850730:KIS850813 JYW850730:JYW850813 JPA850730:JPA850813 JFE850730:JFE850813 IVI850730:IVI850813 ILM850730:ILM850813 IBQ850730:IBQ850813 HRU850730:HRU850813 HHY850730:HHY850813 GYC850730:GYC850813 GOG850730:GOG850813 GEK850730:GEK850813 FUO850730:FUO850813 FKS850730:FKS850813 FAW850730:FAW850813 ERA850730:ERA850813 EHE850730:EHE850813 DXI850730:DXI850813 DNM850730:DNM850813 DDQ850730:DDQ850813 CTU850730:CTU850813 CJY850730:CJY850813 CAC850730:CAC850813 BQG850730:BQG850813 BGK850730:BGK850813 AWO850730:AWO850813 AMS850730:AMS850813 ACW850730:ACW850813 TA850730:TA850813 JE850730:JE850813 I850751:I850834 WVQ785194:WVQ785277 WLU785194:WLU785277 WBY785194:WBY785277 VSC785194:VSC785277 VIG785194:VIG785277 UYK785194:UYK785277 UOO785194:UOO785277 UES785194:UES785277 TUW785194:TUW785277 TLA785194:TLA785277 TBE785194:TBE785277 SRI785194:SRI785277 SHM785194:SHM785277 RXQ785194:RXQ785277 RNU785194:RNU785277 RDY785194:RDY785277 QUC785194:QUC785277 QKG785194:QKG785277 QAK785194:QAK785277 PQO785194:PQO785277 PGS785194:PGS785277 OWW785194:OWW785277 ONA785194:ONA785277 ODE785194:ODE785277 NTI785194:NTI785277 NJM785194:NJM785277 MZQ785194:MZQ785277 MPU785194:MPU785277 MFY785194:MFY785277 LWC785194:LWC785277 LMG785194:LMG785277 LCK785194:LCK785277 KSO785194:KSO785277 KIS785194:KIS785277 JYW785194:JYW785277 JPA785194:JPA785277 JFE785194:JFE785277 IVI785194:IVI785277 ILM785194:ILM785277 IBQ785194:IBQ785277 HRU785194:HRU785277 HHY785194:HHY785277 GYC785194:GYC785277 GOG785194:GOG785277 GEK785194:GEK785277 FUO785194:FUO785277 FKS785194:FKS785277 FAW785194:FAW785277 ERA785194:ERA785277 EHE785194:EHE785277 DXI785194:DXI785277 DNM785194:DNM785277 DDQ785194:DDQ785277 CTU785194:CTU785277 CJY785194:CJY785277 CAC785194:CAC785277 BQG785194:BQG785277 BGK785194:BGK785277 AWO785194:AWO785277 AMS785194:AMS785277 ACW785194:ACW785277 TA785194:TA785277 JE785194:JE785277 I785215:I785298 WVQ719658:WVQ719741 WLU719658:WLU719741 WBY719658:WBY719741 VSC719658:VSC719741 VIG719658:VIG719741 UYK719658:UYK719741 UOO719658:UOO719741 UES719658:UES719741 TUW719658:TUW719741 TLA719658:TLA719741 TBE719658:TBE719741 SRI719658:SRI719741 SHM719658:SHM719741 RXQ719658:RXQ719741 RNU719658:RNU719741 RDY719658:RDY719741 QUC719658:QUC719741 QKG719658:QKG719741 QAK719658:QAK719741 PQO719658:PQO719741 PGS719658:PGS719741 OWW719658:OWW719741 ONA719658:ONA719741 ODE719658:ODE719741 NTI719658:NTI719741 NJM719658:NJM719741 MZQ719658:MZQ719741 MPU719658:MPU719741 MFY719658:MFY719741 LWC719658:LWC719741 LMG719658:LMG719741 LCK719658:LCK719741 KSO719658:KSO719741 KIS719658:KIS719741 JYW719658:JYW719741 JPA719658:JPA719741 JFE719658:JFE719741 IVI719658:IVI719741 ILM719658:ILM719741 IBQ719658:IBQ719741 HRU719658:HRU719741 HHY719658:HHY719741 GYC719658:GYC719741 GOG719658:GOG719741 GEK719658:GEK719741 FUO719658:FUO719741 FKS719658:FKS719741 FAW719658:FAW719741 ERA719658:ERA719741 EHE719658:EHE719741 DXI719658:DXI719741 DNM719658:DNM719741 DDQ719658:DDQ719741 CTU719658:CTU719741 CJY719658:CJY719741 CAC719658:CAC719741 BQG719658:BQG719741 BGK719658:BGK719741 AWO719658:AWO719741 AMS719658:AMS719741 ACW719658:ACW719741 TA719658:TA719741 JE719658:JE719741 I719679:I719762 WVQ654122:WVQ654205 WLU654122:WLU654205 WBY654122:WBY654205 VSC654122:VSC654205 VIG654122:VIG654205 UYK654122:UYK654205 UOO654122:UOO654205 UES654122:UES654205 TUW654122:TUW654205 TLA654122:TLA654205 TBE654122:TBE654205 SRI654122:SRI654205 SHM654122:SHM654205 RXQ654122:RXQ654205 RNU654122:RNU654205 RDY654122:RDY654205 QUC654122:QUC654205 QKG654122:QKG654205 QAK654122:QAK654205 PQO654122:PQO654205 PGS654122:PGS654205 OWW654122:OWW654205 ONA654122:ONA654205 ODE654122:ODE654205 NTI654122:NTI654205 NJM654122:NJM654205 MZQ654122:MZQ654205 MPU654122:MPU654205 MFY654122:MFY654205 LWC654122:LWC654205 LMG654122:LMG654205 LCK654122:LCK654205 KSO654122:KSO654205 KIS654122:KIS654205 JYW654122:JYW654205 JPA654122:JPA654205 JFE654122:JFE654205 IVI654122:IVI654205 ILM654122:ILM654205 IBQ654122:IBQ654205 HRU654122:HRU654205 HHY654122:HHY654205 GYC654122:GYC654205 GOG654122:GOG654205 GEK654122:GEK654205 FUO654122:FUO654205 FKS654122:FKS654205 FAW654122:FAW654205 ERA654122:ERA654205 EHE654122:EHE654205 DXI654122:DXI654205 DNM654122:DNM654205 DDQ654122:DDQ654205 CTU654122:CTU654205 CJY654122:CJY654205 CAC654122:CAC654205 BQG654122:BQG654205 BGK654122:BGK654205 AWO654122:AWO654205 AMS654122:AMS654205 ACW654122:ACW654205 TA654122:TA654205 JE654122:JE654205 I654143:I654226 WVQ588586:WVQ588669 WLU588586:WLU588669 WBY588586:WBY588669 VSC588586:VSC588669 VIG588586:VIG588669 UYK588586:UYK588669 UOO588586:UOO588669 UES588586:UES588669 TUW588586:TUW588669 TLA588586:TLA588669 TBE588586:TBE588669 SRI588586:SRI588669 SHM588586:SHM588669 RXQ588586:RXQ588669 RNU588586:RNU588669 RDY588586:RDY588669 QUC588586:QUC588669 QKG588586:QKG588669 QAK588586:QAK588669 PQO588586:PQO588669 PGS588586:PGS588669 OWW588586:OWW588669 ONA588586:ONA588669 ODE588586:ODE588669 NTI588586:NTI588669 NJM588586:NJM588669 MZQ588586:MZQ588669 MPU588586:MPU588669 MFY588586:MFY588669 LWC588586:LWC588669 LMG588586:LMG588669 LCK588586:LCK588669 KSO588586:KSO588669 KIS588586:KIS588669 JYW588586:JYW588669 JPA588586:JPA588669 JFE588586:JFE588669 IVI588586:IVI588669 ILM588586:ILM588669 IBQ588586:IBQ588669 HRU588586:HRU588669 HHY588586:HHY588669 GYC588586:GYC588669 GOG588586:GOG588669 GEK588586:GEK588669 FUO588586:FUO588669 FKS588586:FKS588669 FAW588586:FAW588669 ERA588586:ERA588669 EHE588586:EHE588669 DXI588586:DXI588669 DNM588586:DNM588669 DDQ588586:DDQ588669 CTU588586:CTU588669 CJY588586:CJY588669 CAC588586:CAC588669 BQG588586:BQG588669 BGK588586:BGK588669 AWO588586:AWO588669 AMS588586:AMS588669 ACW588586:ACW588669 TA588586:TA588669 JE588586:JE588669 I588607:I588690 WVQ523050:WVQ523133 WLU523050:WLU523133 WBY523050:WBY523133 VSC523050:VSC523133 VIG523050:VIG523133 UYK523050:UYK523133 UOO523050:UOO523133 UES523050:UES523133 TUW523050:TUW523133 TLA523050:TLA523133 TBE523050:TBE523133 SRI523050:SRI523133 SHM523050:SHM523133 RXQ523050:RXQ523133 RNU523050:RNU523133 RDY523050:RDY523133 QUC523050:QUC523133 QKG523050:QKG523133 QAK523050:QAK523133 PQO523050:PQO523133 PGS523050:PGS523133 OWW523050:OWW523133 ONA523050:ONA523133 ODE523050:ODE523133 NTI523050:NTI523133 NJM523050:NJM523133 MZQ523050:MZQ523133 MPU523050:MPU523133 MFY523050:MFY523133 LWC523050:LWC523133 LMG523050:LMG523133 LCK523050:LCK523133 KSO523050:KSO523133 KIS523050:KIS523133 JYW523050:JYW523133 JPA523050:JPA523133 JFE523050:JFE523133 IVI523050:IVI523133 ILM523050:ILM523133 IBQ523050:IBQ523133 HRU523050:HRU523133 HHY523050:HHY523133 GYC523050:GYC523133 GOG523050:GOG523133 GEK523050:GEK523133 FUO523050:FUO523133 FKS523050:FKS523133 FAW523050:FAW523133 ERA523050:ERA523133 EHE523050:EHE523133 DXI523050:DXI523133 DNM523050:DNM523133 DDQ523050:DDQ523133 CTU523050:CTU523133 CJY523050:CJY523133 CAC523050:CAC523133 BQG523050:BQG523133 BGK523050:BGK523133 AWO523050:AWO523133 AMS523050:AMS523133 ACW523050:ACW523133 TA523050:TA523133 JE523050:JE523133 I523071:I523154 WVQ457514:WVQ457597 WLU457514:WLU457597 WBY457514:WBY457597 VSC457514:VSC457597 VIG457514:VIG457597 UYK457514:UYK457597 UOO457514:UOO457597 UES457514:UES457597 TUW457514:TUW457597 TLA457514:TLA457597 TBE457514:TBE457597 SRI457514:SRI457597 SHM457514:SHM457597 RXQ457514:RXQ457597 RNU457514:RNU457597 RDY457514:RDY457597 QUC457514:QUC457597 QKG457514:QKG457597 QAK457514:QAK457597 PQO457514:PQO457597 PGS457514:PGS457597 OWW457514:OWW457597 ONA457514:ONA457597 ODE457514:ODE457597 NTI457514:NTI457597 NJM457514:NJM457597 MZQ457514:MZQ457597 MPU457514:MPU457597 MFY457514:MFY457597 LWC457514:LWC457597 LMG457514:LMG457597 LCK457514:LCK457597 KSO457514:KSO457597 KIS457514:KIS457597 JYW457514:JYW457597 JPA457514:JPA457597 JFE457514:JFE457597 IVI457514:IVI457597 ILM457514:ILM457597 IBQ457514:IBQ457597 HRU457514:HRU457597 HHY457514:HHY457597 GYC457514:GYC457597 GOG457514:GOG457597 GEK457514:GEK457597 FUO457514:FUO457597 FKS457514:FKS457597 FAW457514:FAW457597 ERA457514:ERA457597 EHE457514:EHE457597 DXI457514:DXI457597 DNM457514:DNM457597 DDQ457514:DDQ457597 CTU457514:CTU457597 CJY457514:CJY457597 CAC457514:CAC457597 BQG457514:BQG457597 BGK457514:BGK457597 AWO457514:AWO457597 AMS457514:AMS457597 ACW457514:ACW457597 TA457514:TA457597 JE457514:JE457597 I457535:I457618 WVQ391978:WVQ392061 WLU391978:WLU392061 WBY391978:WBY392061 VSC391978:VSC392061 VIG391978:VIG392061 UYK391978:UYK392061 UOO391978:UOO392061 UES391978:UES392061 TUW391978:TUW392061 TLA391978:TLA392061 TBE391978:TBE392061 SRI391978:SRI392061 SHM391978:SHM392061 RXQ391978:RXQ392061 RNU391978:RNU392061 RDY391978:RDY392061 QUC391978:QUC392061 QKG391978:QKG392061 QAK391978:QAK392061 PQO391978:PQO392061 PGS391978:PGS392061 OWW391978:OWW392061 ONA391978:ONA392061 ODE391978:ODE392061 NTI391978:NTI392061 NJM391978:NJM392061 MZQ391978:MZQ392061 MPU391978:MPU392061 MFY391978:MFY392061 LWC391978:LWC392061 LMG391978:LMG392061 LCK391978:LCK392061 KSO391978:KSO392061 KIS391978:KIS392061 JYW391978:JYW392061 JPA391978:JPA392061 JFE391978:JFE392061 IVI391978:IVI392061 ILM391978:ILM392061 IBQ391978:IBQ392061 HRU391978:HRU392061 HHY391978:HHY392061 GYC391978:GYC392061 GOG391978:GOG392061 GEK391978:GEK392061 FUO391978:FUO392061 FKS391978:FKS392061 FAW391978:FAW392061 ERA391978:ERA392061 EHE391978:EHE392061 DXI391978:DXI392061 DNM391978:DNM392061 DDQ391978:DDQ392061 CTU391978:CTU392061 CJY391978:CJY392061 CAC391978:CAC392061 BQG391978:BQG392061 BGK391978:BGK392061 AWO391978:AWO392061 AMS391978:AMS392061 ACW391978:ACW392061 TA391978:TA392061 JE391978:JE392061 I391999:I392082 WVQ326442:WVQ326525 WLU326442:WLU326525 WBY326442:WBY326525 VSC326442:VSC326525 VIG326442:VIG326525 UYK326442:UYK326525 UOO326442:UOO326525 UES326442:UES326525 TUW326442:TUW326525 TLA326442:TLA326525 TBE326442:TBE326525 SRI326442:SRI326525 SHM326442:SHM326525 RXQ326442:RXQ326525 RNU326442:RNU326525 RDY326442:RDY326525 QUC326442:QUC326525 QKG326442:QKG326525 QAK326442:QAK326525 PQO326442:PQO326525 PGS326442:PGS326525 OWW326442:OWW326525 ONA326442:ONA326525 ODE326442:ODE326525 NTI326442:NTI326525 NJM326442:NJM326525 MZQ326442:MZQ326525 MPU326442:MPU326525 MFY326442:MFY326525 LWC326442:LWC326525 LMG326442:LMG326525 LCK326442:LCK326525 KSO326442:KSO326525 KIS326442:KIS326525 JYW326442:JYW326525 JPA326442:JPA326525 JFE326442:JFE326525 IVI326442:IVI326525 ILM326442:ILM326525 IBQ326442:IBQ326525 HRU326442:HRU326525 HHY326442:HHY326525 GYC326442:GYC326525 GOG326442:GOG326525 GEK326442:GEK326525 FUO326442:FUO326525 FKS326442:FKS326525 FAW326442:FAW326525 ERA326442:ERA326525 EHE326442:EHE326525 DXI326442:DXI326525 DNM326442:DNM326525 DDQ326442:DDQ326525 CTU326442:CTU326525 CJY326442:CJY326525 CAC326442:CAC326525 BQG326442:BQG326525 BGK326442:BGK326525 AWO326442:AWO326525 AMS326442:AMS326525 ACW326442:ACW326525 TA326442:TA326525 JE326442:JE326525 I326463:I326546 WVQ260906:WVQ260989 WLU260906:WLU260989 WBY260906:WBY260989 VSC260906:VSC260989 VIG260906:VIG260989 UYK260906:UYK260989 UOO260906:UOO260989 UES260906:UES260989 TUW260906:TUW260989 TLA260906:TLA260989 TBE260906:TBE260989 SRI260906:SRI260989 SHM260906:SHM260989 RXQ260906:RXQ260989 RNU260906:RNU260989 RDY260906:RDY260989 QUC260906:QUC260989 QKG260906:QKG260989 QAK260906:QAK260989 PQO260906:PQO260989 PGS260906:PGS260989 OWW260906:OWW260989 ONA260906:ONA260989 ODE260906:ODE260989 NTI260906:NTI260989 NJM260906:NJM260989 MZQ260906:MZQ260989 MPU260906:MPU260989 MFY260906:MFY260989 LWC260906:LWC260989 LMG260906:LMG260989 LCK260906:LCK260989 KSO260906:KSO260989 KIS260906:KIS260989 JYW260906:JYW260989 JPA260906:JPA260989 JFE260906:JFE260989 IVI260906:IVI260989 ILM260906:ILM260989 IBQ260906:IBQ260989 HRU260906:HRU260989 HHY260906:HHY260989 GYC260906:GYC260989 GOG260906:GOG260989 GEK260906:GEK260989 FUO260906:FUO260989 FKS260906:FKS260989 FAW260906:FAW260989 ERA260906:ERA260989 EHE260906:EHE260989 DXI260906:DXI260989 DNM260906:DNM260989 DDQ260906:DDQ260989 CTU260906:CTU260989 CJY260906:CJY260989 CAC260906:CAC260989 BQG260906:BQG260989 BGK260906:BGK260989 AWO260906:AWO260989 AMS260906:AMS260989 ACW260906:ACW260989 TA260906:TA260989 JE260906:JE260989 I260927:I261010 WVQ195370:WVQ195453 WLU195370:WLU195453 WBY195370:WBY195453 VSC195370:VSC195453 VIG195370:VIG195453 UYK195370:UYK195453 UOO195370:UOO195453 UES195370:UES195453 TUW195370:TUW195453 TLA195370:TLA195453 TBE195370:TBE195453 SRI195370:SRI195453 SHM195370:SHM195453 RXQ195370:RXQ195453 RNU195370:RNU195453 RDY195370:RDY195453 QUC195370:QUC195453 QKG195370:QKG195453 QAK195370:QAK195453 PQO195370:PQO195453 PGS195370:PGS195453 OWW195370:OWW195453 ONA195370:ONA195453 ODE195370:ODE195453 NTI195370:NTI195453 NJM195370:NJM195453 MZQ195370:MZQ195453 MPU195370:MPU195453 MFY195370:MFY195453 LWC195370:LWC195453 LMG195370:LMG195453 LCK195370:LCK195453 KSO195370:KSO195453 KIS195370:KIS195453 JYW195370:JYW195453 JPA195370:JPA195453 JFE195370:JFE195453 IVI195370:IVI195453 ILM195370:ILM195453 IBQ195370:IBQ195453 HRU195370:HRU195453 HHY195370:HHY195453 GYC195370:GYC195453 GOG195370:GOG195453 GEK195370:GEK195453 FUO195370:FUO195453 FKS195370:FKS195453 FAW195370:FAW195453 ERA195370:ERA195453 EHE195370:EHE195453 DXI195370:DXI195453 DNM195370:DNM195453 DDQ195370:DDQ195453 CTU195370:CTU195453 CJY195370:CJY195453 CAC195370:CAC195453 BQG195370:BQG195453 BGK195370:BGK195453 AWO195370:AWO195453 AMS195370:AMS195453 ACW195370:ACW195453 TA195370:TA195453 JE195370:JE195453 I195391:I195474 WVQ129834:WVQ129917 WLU129834:WLU129917 WBY129834:WBY129917 VSC129834:VSC129917 VIG129834:VIG129917 UYK129834:UYK129917 UOO129834:UOO129917 UES129834:UES129917 TUW129834:TUW129917 TLA129834:TLA129917 TBE129834:TBE129917 SRI129834:SRI129917 SHM129834:SHM129917 RXQ129834:RXQ129917 RNU129834:RNU129917 RDY129834:RDY129917 QUC129834:QUC129917 QKG129834:QKG129917 QAK129834:QAK129917 PQO129834:PQO129917 PGS129834:PGS129917 OWW129834:OWW129917 ONA129834:ONA129917 ODE129834:ODE129917 NTI129834:NTI129917 NJM129834:NJM129917 MZQ129834:MZQ129917 MPU129834:MPU129917 MFY129834:MFY129917 LWC129834:LWC129917 LMG129834:LMG129917 LCK129834:LCK129917 KSO129834:KSO129917 KIS129834:KIS129917 JYW129834:JYW129917 JPA129834:JPA129917 JFE129834:JFE129917 IVI129834:IVI129917 ILM129834:ILM129917 IBQ129834:IBQ129917 HRU129834:HRU129917 HHY129834:HHY129917 GYC129834:GYC129917 GOG129834:GOG129917 GEK129834:GEK129917 FUO129834:FUO129917 FKS129834:FKS129917 FAW129834:FAW129917 ERA129834:ERA129917 EHE129834:EHE129917 DXI129834:DXI129917 DNM129834:DNM129917 DDQ129834:DDQ129917 CTU129834:CTU129917 CJY129834:CJY129917 CAC129834:CAC129917 BQG129834:BQG129917 BGK129834:BGK129917 AWO129834:AWO129917 AMS129834:AMS129917 ACW129834:ACW129917 TA129834:TA129917 JE129834:JE129917 I129855:I129938 WVQ64298:WVQ64381 WLU64298:WLU64381 WBY64298:WBY64381 VSC64298:VSC64381 VIG64298:VIG64381 UYK64298:UYK64381 UOO64298:UOO64381 UES64298:UES64381 TUW64298:TUW64381 TLA64298:TLA64381 TBE64298:TBE64381 SRI64298:SRI64381 SHM64298:SHM64381 RXQ64298:RXQ64381 RNU64298:RNU64381 RDY64298:RDY64381 QUC64298:QUC64381 QKG64298:QKG64381 QAK64298:QAK64381 PQO64298:PQO64381 PGS64298:PGS64381 OWW64298:OWW64381 ONA64298:ONA64381 ODE64298:ODE64381 NTI64298:NTI64381 NJM64298:NJM64381 MZQ64298:MZQ64381 MPU64298:MPU64381 MFY64298:MFY64381 LWC64298:LWC64381 LMG64298:LMG64381 LCK64298:LCK64381 KSO64298:KSO64381 KIS64298:KIS64381 JYW64298:JYW64381 JPA64298:JPA64381 JFE64298:JFE64381 IVI64298:IVI64381 ILM64298:ILM64381 IBQ64298:IBQ64381 HRU64298:HRU64381 HHY64298:HHY64381 GYC64298:GYC64381 GOG64298:GOG64381 GEK64298:GEK64381 FUO64298:FUO64381 FKS64298:FKS64381 FAW64298:FAW64381 ERA64298:ERA64381 EHE64298:EHE64381 DXI64298:DXI64381 DNM64298:DNM64381 DDQ64298:DDQ64381 CTU64298:CTU64381 CJY64298:CJY64381 CAC64298:CAC64381 BQG64298:BQG64381 BGK64298:BGK64381 AWO64298:AWO64381 AMS64298:AMS64381 ACW64298:ACW64381 TA64298:TA64381 JE64298:JE64381 I64319:I64402 I93:I497 JE2:JE70 TA2:TA70 ACW2:ACW70 AMS2:AMS70 AWO2:AWO70 BGK2:BGK70 BQG2:BQG70 CAC2:CAC70 CJY2:CJY70 CTU2:CTU70 DDQ2:DDQ70 DNM2:DNM70 DXI2:DXI70 EHE2:EHE70 ERA2:ERA70 FAW2:FAW70 FKS2:FKS70 FUO2:FUO70 GEK2:GEK70 GOG2:GOG70 GYC2:GYC70 HHY2:HHY70 HRU2:HRU70 IBQ2:IBQ70 ILM2:ILM70 IVI2:IVI70 JFE2:JFE70 JPA2:JPA70 JYW2:JYW70 KIS2:KIS70 KSO2:KSO70 LCK2:LCK70 LMG2:LMG70 LWC2:LWC70 MFY2:MFY70 MPU2:MPU70 MZQ2:MZQ70 NJM2:NJM70 NTI2:NTI70 ODE2:ODE70 ONA2:ONA70 OWW2:OWW70 PGS2:PGS70 PQO2:PQO70 QAK2:QAK70 QKG2:QKG70 QUC2:QUC70 RDY2:RDY70 RNU2:RNU70 RXQ2:RXQ70 SHM2:SHM70 SRI2:SRI70 TBE2:TBE70 TLA2:TLA70 TUW2:TUW70 UES2:UES70 UOO2:UOO70 UYK2:UYK70 VIG2:VIG70 VSC2:VSC70 WBY2:WBY70 WLU2:WLU70 WVQ2:WVQ70 I2:I91">
      <formula1>$AN$5:$AN$6</formula1>
    </dataValidation>
    <dataValidation type="list" allowBlank="1" showInputMessage="1" showErrorMessage="1" sqref="WWG981802:WWI981885 WMK981802:WMM981885 Y64298:AA64381 JU64298:JW64381 TQ64298:TS64381 ADM64298:ADO64381 ANI64298:ANK64381 AXE64298:AXG64381 BHA64298:BHC64381 BQW64298:BQY64381 CAS64298:CAU64381 CKO64298:CKQ64381 CUK64298:CUM64381 DEG64298:DEI64381 DOC64298:DOE64381 DXY64298:DYA64381 EHU64298:EHW64381 ERQ64298:ERS64381 FBM64298:FBO64381 FLI64298:FLK64381 FVE64298:FVG64381 GFA64298:GFC64381 GOW64298:GOY64381 GYS64298:GYU64381 HIO64298:HIQ64381 HSK64298:HSM64381 ICG64298:ICI64381 IMC64298:IME64381 IVY64298:IWA64381 JFU64298:JFW64381 JPQ64298:JPS64381 JZM64298:JZO64381 KJI64298:KJK64381 KTE64298:KTG64381 LDA64298:LDC64381 LMW64298:LMY64381 LWS64298:LWU64381 MGO64298:MGQ64381 MQK64298:MQM64381 NAG64298:NAI64381 NKC64298:NKE64381 NTY64298:NUA64381 ODU64298:ODW64381 ONQ64298:ONS64381 OXM64298:OXO64381 PHI64298:PHK64381 PRE64298:PRG64381 QBA64298:QBC64381 QKW64298:QKY64381 QUS64298:QUU64381 REO64298:REQ64381 ROK64298:ROM64381 RYG64298:RYI64381 SIC64298:SIE64381 SRY64298:SSA64381 TBU64298:TBW64381 TLQ64298:TLS64381 TVM64298:TVO64381 UFI64298:UFK64381 UPE64298:UPG64381 UZA64298:UZC64381 VIW64298:VIY64381 VSS64298:VSU64381 WCO64298:WCQ64381 WMK64298:WMM64381 WWG64298:WWI64381 Y129834:AA129917 JU129834:JW129917 TQ129834:TS129917 ADM129834:ADO129917 ANI129834:ANK129917 AXE129834:AXG129917 BHA129834:BHC129917 BQW129834:BQY129917 CAS129834:CAU129917 CKO129834:CKQ129917 CUK129834:CUM129917 DEG129834:DEI129917 DOC129834:DOE129917 DXY129834:DYA129917 EHU129834:EHW129917 ERQ129834:ERS129917 FBM129834:FBO129917 FLI129834:FLK129917 FVE129834:FVG129917 GFA129834:GFC129917 GOW129834:GOY129917 GYS129834:GYU129917 HIO129834:HIQ129917 HSK129834:HSM129917 ICG129834:ICI129917 IMC129834:IME129917 IVY129834:IWA129917 JFU129834:JFW129917 JPQ129834:JPS129917 JZM129834:JZO129917 KJI129834:KJK129917 KTE129834:KTG129917 LDA129834:LDC129917 LMW129834:LMY129917 LWS129834:LWU129917 MGO129834:MGQ129917 MQK129834:MQM129917 NAG129834:NAI129917 NKC129834:NKE129917 NTY129834:NUA129917 ODU129834:ODW129917 ONQ129834:ONS129917 OXM129834:OXO129917 PHI129834:PHK129917 PRE129834:PRG129917 QBA129834:QBC129917 QKW129834:QKY129917 QUS129834:QUU129917 REO129834:REQ129917 ROK129834:ROM129917 RYG129834:RYI129917 SIC129834:SIE129917 SRY129834:SSA129917 TBU129834:TBW129917 TLQ129834:TLS129917 TVM129834:TVO129917 UFI129834:UFK129917 UPE129834:UPG129917 UZA129834:UZC129917 VIW129834:VIY129917 VSS129834:VSU129917 WCO129834:WCQ129917 WMK129834:WMM129917 WWG129834:WWI129917 Y195370:AA195453 JU195370:JW195453 TQ195370:TS195453 ADM195370:ADO195453 ANI195370:ANK195453 AXE195370:AXG195453 BHA195370:BHC195453 BQW195370:BQY195453 CAS195370:CAU195453 CKO195370:CKQ195453 CUK195370:CUM195453 DEG195370:DEI195453 DOC195370:DOE195453 DXY195370:DYA195453 EHU195370:EHW195453 ERQ195370:ERS195453 FBM195370:FBO195453 FLI195370:FLK195453 FVE195370:FVG195453 GFA195370:GFC195453 GOW195370:GOY195453 GYS195370:GYU195453 HIO195370:HIQ195453 HSK195370:HSM195453 ICG195370:ICI195453 IMC195370:IME195453 IVY195370:IWA195453 JFU195370:JFW195453 JPQ195370:JPS195453 JZM195370:JZO195453 KJI195370:KJK195453 KTE195370:KTG195453 LDA195370:LDC195453 LMW195370:LMY195453 LWS195370:LWU195453 MGO195370:MGQ195453 MQK195370:MQM195453 NAG195370:NAI195453 NKC195370:NKE195453 NTY195370:NUA195453 ODU195370:ODW195453 ONQ195370:ONS195453 OXM195370:OXO195453 PHI195370:PHK195453 PRE195370:PRG195453 QBA195370:QBC195453 QKW195370:QKY195453 QUS195370:QUU195453 REO195370:REQ195453 ROK195370:ROM195453 RYG195370:RYI195453 SIC195370:SIE195453 SRY195370:SSA195453 TBU195370:TBW195453 TLQ195370:TLS195453 TVM195370:TVO195453 UFI195370:UFK195453 UPE195370:UPG195453 UZA195370:UZC195453 VIW195370:VIY195453 VSS195370:VSU195453 WCO195370:WCQ195453 WMK195370:WMM195453 WWG195370:WWI195453 Y260906:AA260989 JU260906:JW260989 TQ260906:TS260989 ADM260906:ADO260989 ANI260906:ANK260989 AXE260906:AXG260989 BHA260906:BHC260989 BQW260906:BQY260989 CAS260906:CAU260989 CKO260906:CKQ260989 CUK260906:CUM260989 DEG260906:DEI260989 DOC260906:DOE260989 DXY260906:DYA260989 EHU260906:EHW260989 ERQ260906:ERS260989 FBM260906:FBO260989 FLI260906:FLK260989 FVE260906:FVG260989 GFA260906:GFC260989 GOW260906:GOY260989 GYS260906:GYU260989 HIO260906:HIQ260989 HSK260906:HSM260989 ICG260906:ICI260989 IMC260906:IME260989 IVY260906:IWA260989 JFU260906:JFW260989 JPQ260906:JPS260989 JZM260906:JZO260989 KJI260906:KJK260989 KTE260906:KTG260989 LDA260906:LDC260989 LMW260906:LMY260989 LWS260906:LWU260989 MGO260906:MGQ260989 MQK260906:MQM260989 NAG260906:NAI260989 NKC260906:NKE260989 NTY260906:NUA260989 ODU260906:ODW260989 ONQ260906:ONS260989 OXM260906:OXO260989 PHI260906:PHK260989 PRE260906:PRG260989 QBA260906:QBC260989 QKW260906:QKY260989 QUS260906:QUU260989 REO260906:REQ260989 ROK260906:ROM260989 RYG260906:RYI260989 SIC260906:SIE260989 SRY260906:SSA260989 TBU260906:TBW260989 TLQ260906:TLS260989 TVM260906:TVO260989 UFI260906:UFK260989 UPE260906:UPG260989 UZA260906:UZC260989 VIW260906:VIY260989 VSS260906:VSU260989 WCO260906:WCQ260989 WMK260906:WMM260989 WWG260906:WWI260989 Y326442:AA326525 JU326442:JW326525 TQ326442:TS326525 ADM326442:ADO326525 ANI326442:ANK326525 AXE326442:AXG326525 BHA326442:BHC326525 BQW326442:BQY326525 CAS326442:CAU326525 CKO326442:CKQ326525 CUK326442:CUM326525 DEG326442:DEI326525 DOC326442:DOE326525 DXY326442:DYA326525 EHU326442:EHW326525 ERQ326442:ERS326525 FBM326442:FBO326525 FLI326442:FLK326525 FVE326442:FVG326525 GFA326442:GFC326525 GOW326442:GOY326525 GYS326442:GYU326525 HIO326442:HIQ326525 HSK326442:HSM326525 ICG326442:ICI326525 IMC326442:IME326525 IVY326442:IWA326525 JFU326442:JFW326525 JPQ326442:JPS326525 JZM326442:JZO326525 KJI326442:KJK326525 KTE326442:KTG326525 LDA326442:LDC326525 LMW326442:LMY326525 LWS326442:LWU326525 MGO326442:MGQ326525 MQK326442:MQM326525 NAG326442:NAI326525 NKC326442:NKE326525 NTY326442:NUA326525 ODU326442:ODW326525 ONQ326442:ONS326525 OXM326442:OXO326525 PHI326442:PHK326525 PRE326442:PRG326525 QBA326442:QBC326525 QKW326442:QKY326525 QUS326442:QUU326525 REO326442:REQ326525 ROK326442:ROM326525 RYG326442:RYI326525 SIC326442:SIE326525 SRY326442:SSA326525 TBU326442:TBW326525 TLQ326442:TLS326525 TVM326442:TVO326525 UFI326442:UFK326525 UPE326442:UPG326525 UZA326442:UZC326525 VIW326442:VIY326525 VSS326442:VSU326525 WCO326442:WCQ326525 WMK326442:WMM326525 WWG326442:WWI326525 Y391978:AA392061 JU391978:JW392061 TQ391978:TS392061 ADM391978:ADO392061 ANI391978:ANK392061 AXE391978:AXG392061 BHA391978:BHC392061 BQW391978:BQY392061 CAS391978:CAU392061 CKO391978:CKQ392061 CUK391978:CUM392061 DEG391978:DEI392061 DOC391978:DOE392061 DXY391978:DYA392061 EHU391978:EHW392061 ERQ391978:ERS392061 FBM391978:FBO392061 FLI391978:FLK392061 FVE391978:FVG392061 GFA391978:GFC392061 GOW391978:GOY392061 GYS391978:GYU392061 HIO391978:HIQ392061 HSK391978:HSM392061 ICG391978:ICI392061 IMC391978:IME392061 IVY391978:IWA392061 JFU391978:JFW392061 JPQ391978:JPS392061 JZM391978:JZO392061 KJI391978:KJK392061 KTE391978:KTG392061 LDA391978:LDC392061 LMW391978:LMY392061 LWS391978:LWU392061 MGO391978:MGQ392061 MQK391978:MQM392061 NAG391978:NAI392061 NKC391978:NKE392061 NTY391978:NUA392061 ODU391978:ODW392061 ONQ391978:ONS392061 OXM391978:OXO392061 PHI391978:PHK392061 PRE391978:PRG392061 QBA391978:QBC392061 QKW391978:QKY392061 QUS391978:QUU392061 REO391978:REQ392061 ROK391978:ROM392061 RYG391978:RYI392061 SIC391978:SIE392061 SRY391978:SSA392061 TBU391978:TBW392061 TLQ391978:TLS392061 TVM391978:TVO392061 UFI391978:UFK392061 UPE391978:UPG392061 UZA391978:UZC392061 VIW391978:VIY392061 VSS391978:VSU392061 WCO391978:WCQ392061 WMK391978:WMM392061 WWG391978:WWI392061 Y457514:AA457597 JU457514:JW457597 TQ457514:TS457597 ADM457514:ADO457597 ANI457514:ANK457597 AXE457514:AXG457597 BHA457514:BHC457597 BQW457514:BQY457597 CAS457514:CAU457597 CKO457514:CKQ457597 CUK457514:CUM457597 DEG457514:DEI457597 DOC457514:DOE457597 DXY457514:DYA457597 EHU457514:EHW457597 ERQ457514:ERS457597 FBM457514:FBO457597 FLI457514:FLK457597 FVE457514:FVG457597 GFA457514:GFC457597 GOW457514:GOY457597 GYS457514:GYU457597 HIO457514:HIQ457597 HSK457514:HSM457597 ICG457514:ICI457597 IMC457514:IME457597 IVY457514:IWA457597 JFU457514:JFW457597 JPQ457514:JPS457597 JZM457514:JZO457597 KJI457514:KJK457597 KTE457514:KTG457597 LDA457514:LDC457597 LMW457514:LMY457597 LWS457514:LWU457597 MGO457514:MGQ457597 MQK457514:MQM457597 NAG457514:NAI457597 NKC457514:NKE457597 NTY457514:NUA457597 ODU457514:ODW457597 ONQ457514:ONS457597 OXM457514:OXO457597 PHI457514:PHK457597 PRE457514:PRG457597 QBA457514:QBC457597 QKW457514:QKY457597 QUS457514:QUU457597 REO457514:REQ457597 ROK457514:ROM457597 RYG457514:RYI457597 SIC457514:SIE457597 SRY457514:SSA457597 TBU457514:TBW457597 TLQ457514:TLS457597 TVM457514:TVO457597 UFI457514:UFK457597 UPE457514:UPG457597 UZA457514:UZC457597 VIW457514:VIY457597 VSS457514:VSU457597 WCO457514:WCQ457597 WMK457514:WMM457597 WWG457514:WWI457597 Y523050:AA523133 JU523050:JW523133 TQ523050:TS523133 ADM523050:ADO523133 ANI523050:ANK523133 AXE523050:AXG523133 BHA523050:BHC523133 BQW523050:BQY523133 CAS523050:CAU523133 CKO523050:CKQ523133 CUK523050:CUM523133 DEG523050:DEI523133 DOC523050:DOE523133 DXY523050:DYA523133 EHU523050:EHW523133 ERQ523050:ERS523133 FBM523050:FBO523133 FLI523050:FLK523133 FVE523050:FVG523133 GFA523050:GFC523133 GOW523050:GOY523133 GYS523050:GYU523133 HIO523050:HIQ523133 HSK523050:HSM523133 ICG523050:ICI523133 IMC523050:IME523133 IVY523050:IWA523133 JFU523050:JFW523133 JPQ523050:JPS523133 JZM523050:JZO523133 KJI523050:KJK523133 KTE523050:KTG523133 LDA523050:LDC523133 LMW523050:LMY523133 LWS523050:LWU523133 MGO523050:MGQ523133 MQK523050:MQM523133 NAG523050:NAI523133 NKC523050:NKE523133 NTY523050:NUA523133 ODU523050:ODW523133 ONQ523050:ONS523133 OXM523050:OXO523133 PHI523050:PHK523133 PRE523050:PRG523133 QBA523050:QBC523133 QKW523050:QKY523133 QUS523050:QUU523133 REO523050:REQ523133 ROK523050:ROM523133 RYG523050:RYI523133 SIC523050:SIE523133 SRY523050:SSA523133 TBU523050:TBW523133 TLQ523050:TLS523133 TVM523050:TVO523133 UFI523050:UFK523133 UPE523050:UPG523133 UZA523050:UZC523133 VIW523050:VIY523133 VSS523050:VSU523133 WCO523050:WCQ523133 WMK523050:WMM523133 WWG523050:WWI523133 Y588586:AA588669 JU588586:JW588669 TQ588586:TS588669 ADM588586:ADO588669 ANI588586:ANK588669 AXE588586:AXG588669 BHA588586:BHC588669 BQW588586:BQY588669 CAS588586:CAU588669 CKO588586:CKQ588669 CUK588586:CUM588669 DEG588586:DEI588669 DOC588586:DOE588669 DXY588586:DYA588669 EHU588586:EHW588669 ERQ588586:ERS588669 FBM588586:FBO588669 FLI588586:FLK588669 FVE588586:FVG588669 GFA588586:GFC588669 GOW588586:GOY588669 GYS588586:GYU588669 HIO588586:HIQ588669 HSK588586:HSM588669 ICG588586:ICI588669 IMC588586:IME588669 IVY588586:IWA588669 JFU588586:JFW588669 JPQ588586:JPS588669 JZM588586:JZO588669 KJI588586:KJK588669 KTE588586:KTG588669 LDA588586:LDC588669 LMW588586:LMY588669 LWS588586:LWU588669 MGO588586:MGQ588669 MQK588586:MQM588669 NAG588586:NAI588669 NKC588586:NKE588669 NTY588586:NUA588669 ODU588586:ODW588669 ONQ588586:ONS588669 OXM588586:OXO588669 PHI588586:PHK588669 PRE588586:PRG588669 QBA588586:QBC588669 QKW588586:QKY588669 QUS588586:QUU588669 REO588586:REQ588669 ROK588586:ROM588669 RYG588586:RYI588669 SIC588586:SIE588669 SRY588586:SSA588669 TBU588586:TBW588669 TLQ588586:TLS588669 TVM588586:TVO588669 UFI588586:UFK588669 UPE588586:UPG588669 UZA588586:UZC588669 VIW588586:VIY588669 VSS588586:VSU588669 WCO588586:WCQ588669 WMK588586:WMM588669 WWG588586:WWI588669 Y654122:AA654205 JU654122:JW654205 TQ654122:TS654205 ADM654122:ADO654205 ANI654122:ANK654205 AXE654122:AXG654205 BHA654122:BHC654205 BQW654122:BQY654205 CAS654122:CAU654205 CKO654122:CKQ654205 CUK654122:CUM654205 DEG654122:DEI654205 DOC654122:DOE654205 DXY654122:DYA654205 EHU654122:EHW654205 ERQ654122:ERS654205 FBM654122:FBO654205 FLI654122:FLK654205 FVE654122:FVG654205 GFA654122:GFC654205 GOW654122:GOY654205 GYS654122:GYU654205 HIO654122:HIQ654205 HSK654122:HSM654205 ICG654122:ICI654205 IMC654122:IME654205 IVY654122:IWA654205 JFU654122:JFW654205 JPQ654122:JPS654205 JZM654122:JZO654205 KJI654122:KJK654205 KTE654122:KTG654205 LDA654122:LDC654205 LMW654122:LMY654205 LWS654122:LWU654205 MGO654122:MGQ654205 MQK654122:MQM654205 NAG654122:NAI654205 NKC654122:NKE654205 NTY654122:NUA654205 ODU654122:ODW654205 ONQ654122:ONS654205 OXM654122:OXO654205 PHI654122:PHK654205 PRE654122:PRG654205 QBA654122:QBC654205 QKW654122:QKY654205 QUS654122:QUU654205 REO654122:REQ654205 ROK654122:ROM654205 RYG654122:RYI654205 SIC654122:SIE654205 SRY654122:SSA654205 TBU654122:TBW654205 TLQ654122:TLS654205 TVM654122:TVO654205 UFI654122:UFK654205 UPE654122:UPG654205 UZA654122:UZC654205 VIW654122:VIY654205 VSS654122:VSU654205 WCO654122:WCQ654205 WMK654122:WMM654205 WWG654122:WWI654205 Y719658:AA719741 JU719658:JW719741 TQ719658:TS719741 ADM719658:ADO719741 ANI719658:ANK719741 AXE719658:AXG719741 BHA719658:BHC719741 BQW719658:BQY719741 CAS719658:CAU719741 CKO719658:CKQ719741 CUK719658:CUM719741 DEG719658:DEI719741 DOC719658:DOE719741 DXY719658:DYA719741 EHU719658:EHW719741 ERQ719658:ERS719741 FBM719658:FBO719741 FLI719658:FLK719741 FVE719658:FVG719741 GFA719658:GFC719741 GOW719658:GOY719741 GYS719658:GYU719741 HIO719658:HIQ719741 HSK719658:HSM719741 ICG719658:ICI719741 IMC719658:IME719741 IVY719658:IWA719741 JFU719658:JFW719741 JPQ719658:JPS719741 JZM719658:JZO719741 KJI719658:KJK719741 KTE719658:KTG719741 LDA719658:LDC719741 LMW719658:LMY719741 LWS719658:LWU719741 MGO719658:MGQ719741 MQK719658:MQM719741 NAG719658:NAI719741 NKC719658:NKE719741 NTY719658:NUA719741 ODU719658:ODW719741 ONQ719658:ONS719741 OXM719658:OXO719741 PHI719658:PHK719741 PRE719658:PRG719741 QBA719658:QBC719741 QKW719658:QKY719741 QUS719658:QUU719741 REO719658:REQ719741 ROK719658:ROM719741 RYG719658:RYI719741 SIC719658:SIE719741 SRY719658:SSA719741 TBU719658:TBW719741 TLQ719658:TLS719741 TVM719658:TVO719741 UFI719658:UFK719741 UPE719658:UPG719741 UZA719658:UZC719741 VIW719658:VIY719741 VSS719658:VSU719741 WCO719658:WCQ719741 WMK719658:WMM719741 WWG719658:WWI719741 Y785194:AA785277 JU785194:JW785277 TQ785194:TS785277 ADM785194:ADO785277 ANI785194:ANK785277 AXE785194:AXG785277 BHA785194:BHC785277 BQW785194:BQY785277 CAS785194:CAU785277 CKO785194:CKQ785277 CUK785194:CUM785277 DEG785194:DEI785277 DOC785194:DOE785277 DXY785194:DYA785277 EHU785194:EHW785277 ERQ785194:ERS785277 FBM785194:FBO785277 FLI785194:FLK785277 FVE785194:FVG785277 GFA785194:GFC785277 GOW785194:GOY785277 GYS785194:GYU785277 HIO785194:HIQ785277 HSK785194:HSM785277 ICG785194:ICI785277 IMC785194:IME785277 IVY785194:IWA785277 JFU785194:JFW785277 JPQ785194:JPS785277 JZM785194:JZO785277 KJI785194:KJK785277 KTE785194:KTG785277 LDA785194:LDC785277 LMW785194:LMY785277 LWS785194:LWU785277 MGO785194:MGQ785277 MQK785194:MQM785277 NAG785194:NAI785277 NKC785194:NKE785277 NTY785194:NUA785277 ODU785194:ODW785277 ONQ785194:ONS785277 OXM785194:OXO785277 PHI785194:PHK785277 PRE785194:PRG785277 QBA785194:QBC785277 QKW785194:QKY785277 QUS785194:QUU785277 REO785194:REQ785277 ROK785194:ROM785277 RYG785194:RYI785277 SIC785194:SIE785277 SRY785194:SSA785277 TBU785194:TBW785277 TLQ785194:TLS785277 TVM785194:TVO785277 UFI785194:UFK785277 UPE785194:UPG785277 UZA785194:UZC785277 VIW785194:VIY785277 VSS785194:VSU785277 WCO785194:WCQ785277 WMK785194:WMM785277 WWG785194:WWI785277 Y850730:AA850813 JU850730:JW850813 TQ850730:TS850813 ADM850730:ADO850813 ANI850730:ANK850813 AXE850730:AXG850813 BHA850730:BHC850813 BQW850730:BQY850813 CAS850730:CAU850813 CKO850730:CKQ850813 CUK850730:CUM850813 DEG850730:DEI850813 DOC850730:DOE850813 DXY850730:DYA850813 EHU850730:EHW850813 ERQ850730:ERS850813 FBM850730:FBO850813 FLI850730:FLK850813 FVE850730:FVG850813 GFA850730:GFC850813 GOW850730:GOY850813 GYS850730:GYU850813 HIO850730:HIQ850813 HSK850730:HSM850813 ICG850730:ICI850813 IMC850730:IME850813 IVY850730:IWA850813 JFU850730:JFW850813 JPQ850730:JPS850813 JZM850730:JZO850813 KJI850730:KJK850813 KTE850730:KTG850813 LDA850730:LDC850813 LMW850730:LMY850813 LWS850730:LWU850813 MGO850730:MGQ850813 MQK850730:MQM850813 NAG850730:NAI850813 NKC850730:NKE850813 NTY850730:NUA850813 ODU850730:ODW850813 ONQ850730:ONS850813 OXM850730:OXO850813 PHI850730:PHK850813 PRE850730:PRG850813 QBA850730:QBC850813 QKW850730:QKY850813 QUS850730:QUU850813 REO850730:REQ850813 ROK850730:ROM850813 RYG850730:RYI850813 SIC850730:SIE850813 SRY850730:SSA850813 TBU850730:TBW850813 TLQ850730:TLS850813 TVM850730:TVO850813 UFI850730:UFK850813 UPE850730:UPG850813 UZA850730:UZC850813 VIW850730:VIY850813 VSS850730:VSU850813 WCO850730:WCQ850813 WMK850730:WMM850813 WWG850730:WWI850813 Y916266:AA916349 JU916266:JW916349 TQ916266:TS916349 ADM916266:ADO916349 ANI916266:ANK916349 AXE916266:AXG916349 BHA916266:BHC916349 BQW916266:BQY916349 CAS916266:CAU916349 CKO916266:CKQ916349 CUK916266:CUM916349 DEG916266:DEI916349 DOC916266:DOE916349 DXY916266:DYA916349 EHU916266:EHW916349 ERQ916266:ERS916349 FBM916266:FBO916349 FLI916266:FLK916349 FVE916266:FVG916349 GFA916266:GFC916349 GOW916266:GOY916349 GYS916266:GYU916349 HIO916266:HIQ916349 HSK916266:HSM916349 ICG916266:ICI916349 IMC916266:IME916349 IVY916266:IWA916349 JFU916266:JFW916349 JPQ916266:JPS916349 JZM916266:JZO916349 KJI916266:KJK916349 KTE916266:KTG916349 LDA916266:LDC916349 LMW916266:LMY916349 LWS916266:LWU916349 MGO916266:MGQ916349 MQK916266:MQM916349 NAG916266:NAI916349 NKC916266:NKE916349 NTY916266:NUA916349 ODU916266:ODW916349 ONQ916266:ONS916349 OXM916266:OXO916349 PHI916266:PHK916349 PRE916266:PRG916349 QBA916266:QBC916349 QKW916266:QKY916349 QUS916266:QUU916349 REO916266:REQ916349 ROK916266:ROM916349 RYG916266:RYI916349 SIC916266:SIE916349 SRY916266:SSA916349 TBU916266:TBW916349 TLQ916266:TLS916349 TVM916266:TVO916349 UFI916266:UFK916349 UPE916266:UPG916349 UZA916266:UZC916349 VIW916266:VIY916349 VSS916266:VSU916349 WCO916266:WCQ916349 WMK916266:WMM916349 WWG916266:WWI916349 Y981802:AA981885 JU981802:JW981885 TQ981802:TS981885 ADM981802:ADO981885 ANI981802:ANK981885 AXE981802:AXG981885 BHA981802:BHC981885 BQW981802:BQY981885 CAS981802:CAU981885 CKO981802:CKQ981885 CUK981802:CUM981885 DEG981802:DEI981885 DOC981802:DOE981885 DXY981802:DYA981885 EHU981802:EHW981885 ERQ981802:ERS981885 FBM981802:FBO981885 FLI981802:FLK981885 FVE981802:FVG981885 GFA981802:GFC981885 GOW981802:GOY981885 GYS981802:GYU981885 HIO981802:HIQ981885 HSK981802:HSM981885 ICG981802:ICI981885 IMC981802:IME981885 IVY981802:IWA981885 JFU981802:JFW981885 JPQ981802:JPS981885 JZM981802:JZO981885 KJI981802:KJK981885 KTE981802:KTG981885 LDA981802:LDC981885 LMW981802:LMY981885 LWS981802:LWU981885 MGO981802:MGQ981885 MQK981802:MQM981885 NAG981802:NAI981885 NKC981802:NKE981885 NTY981802:NUA981885 ODU981802:ODW981885 ONQ981802:ONS981885 OXM981802:OXO981885 PHI981802:PHK981885 PRE981802:PRG981885 QBA981802:QBC981885 QKW981802:QKY981885 QUS981802:QUU981885 REO981802:REQ981885 ROK981802:ROM981885 RYG981802:RYI981885 SIC981802:SIE981885 SRY981802:SSA981885 TBU981802:TBW981885 TLQ981802:TLS981885 TVM981802:TVO981885 UFI981802:UFK981885 UPE981802:UPG981885 UZA981802:UZC981885 VIW981802:VIY981885 VSS981802:VSU981885 WCO981802:WCQ981885 WWG2:WWI70 WMK2:WMM70 WCO2:WCQ70 VSS2:VSU70 VIW2:VIY70 UZA2:UZC70 UPE2:UPG70 UFI2:UFK70 TVM2:TVO70 TLQ2:TLS70 TBU2:TBW70 SRY2:SSA70 SIC2:SIE70 RYG2:RYI70 ROK2:ROM70 REO2:REQ70 QUS2:QUU70 QKW2:QKY70 QBA2:QBC70 PRE2:PRG70 PHI2:PHK70 OXM2:OXO70 ONQ2:ONS70 ODU2:ODW70 NTY2:NUA70 NKC2:NKE70 NAG2:NAI70 MQK2:MQM70 MGO2:MGQ70 LWS2:LWU70 LMW2:LMY70 LDA2:LDC70 KTE2:KTG70 KJI2:KJK70 JZM2:JZO70 JPQ2:JPS70 JFU2:JFW70 IVY2:IWA70 IMC2:IME70 ICG2:ICI70 HSK2:HSM70 HIO2:HIQ70 GYS2:GYU70 GOW2:GOY70 GFA2:GFC70 FVE2:FVG70 FLI2:FLK70 FBM2:FBO70 ERQ2:ERS70 EHU2:EHW70 DXY2:DYA70 DOC2:DOE70 DEG2:DEI70 CUK2:CUM70 CKO2:CKQ70 CAS2:CAU70 BQW2:BQY70 BHA2:BHC70 AXE2:AXG70 ANI2:ANK70 ADM2:ADO70 TQ2:TS70 JU2:JW70">
      <formula1>$AV$2:$AV$22</formula1>
    </dataValidation>
    <dataValidation type="list" allowBlank="1" showInputMessage="1" showErrorMessage="1" sqref="K118:K497">
      <formula1>$AR$2:$AR$28</formula1>
    </dataValidation>
    <dataValidation type="list" allowBlank="1" showInputMessage="1" showErrorMessage="1" sqref="J93:J497 J2:J91">
      <formula1>$AP$2:$AP$30</formula1>
    </dataValidation>
    <dataValidation type="list" allowBlank="1" showInputMessage="1" showErrorMessage="1" sqref="F93:F497 F2:F91">
      <formula1>$AH$2:$AH$10</formula1>
    </dataValidation>
    <dataValidation type="list" allowBlank="1" showInputMessage="1" showErrorMessage="1" sqref="E93:E497 E2:E91">
      <formula1>$AG$2:$AG$11</formula1>
    </dataValidation>
    <dataValidation type="list" allowBlank="1" showInputMessage="1" showErrorMessage="1" sqref="A93:A497 A2:A91">
      <formula1>$AE$2:$AE$19</formula1>
    </dataValidation>
    <dataValidation type="list" allowBlank="1" showInputMessage="1" showErrorMessage="1" sqref="H93:H497 H2:H91">
      <formula1>$AL$2:$AL$8</formula1>
    </dataValidation>
    <dataValidation type="list" allowBlank="1" showInputMessage="1" showErrorMessage="1" sqref="Y93:AA497 Y2:AA91">
      <formula1>$AV$2:$AV$21</formula1>
    </dataValidation>
    <dataValidation type="decimal" allowBlank="1" showInputMessage="1" showErrorMessage="1" error="硬度を正しく入力して下さい。" sqref="O93:P497 N41:N69 O41:P91 O14:O25 N71:N75 N11:N13 N17:N25 P8:P40">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A146"/>
  <sheetViews>
    <sheetView zoomScale="70" zoomScaleNormal="70" workbookViewId="0">
      <selection activeCell="AH36" sqref="AH36"/>
    </sheetView>
  </sheetViews>
  <sheetFormatPr defaultColWidth="8.875" defaultRowHeight="13.5" x14ac:dyDescent="0.15"/>
  <cols>
    <col min="1" max="3" width="8.875" style="96"/>
    <col min="4" max="4" width="13.5" style="96" bestFit="1" customWidth="1"/>
    <col min="5" max="5" width="9.625" style="96" bestFit="1" customWidth="1"/>
    <col min="6" max="16" width="8.875" style="96"/>
    <col min="17" max="17" width="8.875" style="105"/>
    <col min="18" max="19" width="8.875" style="96"/>
    <col min="20" max="20" width="8.875" style="105"/>
    <col min="21" max="21" width="8.875" style="96"/>
    <col min="22" max="22" width="8.875" style="105"/>
    <col min="23" max="32" width="8.875" style="96"/>
    <col min="33" max="33" width="19.625" style="96" bestFit="1" customWidth="1"/>
    <col min="34" max="259" width="8.875" style="96"/>
    <col min="260" max="260" width="10.5" style="96" bestFit="1" customWidth="1"/>
    <col min="261" max="261" width="9.625" style="96" bestFit="1" customWidth="1"/>
    <col min="262" max="515" width="8.875" style="96"/>
    <col min="516" max="516" width="10.5" style="96" bestFit="1" customWidth="1"/>
    <col min="517" max="517" width="9.625" style="96" bestFit="1" customWidth="1"/>
    <col min="518" max="771" width="8.875" style="96"/>
    <col min="772" max="772" width="10.5" style="96" bestFit="1" customWidth="1"/>
    <col min="773" max="773" width="9.625" style="96" bestFit="1" customWidth="1"/>
    <col min="774" max="1027" width="8.875" style="96"/>
    <col min="1028" max="1028" width="10.5" style="96" bestFit="1" customWidth="1"/>
    <col min="1029" max="1029" width="9.625" style="96" bestFit="1" customWidth="1"/>
    <col min="1030" max="1283" width="8.875" style="96"/>
    <col min="1284" max="1284" width="10.5" style="96" bestFit="1" customWidth="1"/>
    <col min="1285" max="1285" width="9.625" style="96" bestFit="1" customWidth="1"/>
    <col min="1286" max="1539" width="8.875" style="96"/>
    <col min="1540" max="1540" width="10.5" style="96" bestFit="1" customWidth="1"/>
    <col min="1541" max="1541" width="9.625" style="96" bestFit="1" customWidth="1"/>
    <col min="1542" max="1795" width="8.875" style="96"/>
    <col min="1796" max="1796" width="10.5" style="96" bestFit="1" customWidth="1"/>
    <col min="1797" max="1797" width="9.625" style="96" bestFit="1" customWidth="1"/>
    <col min="1798" max="2051" width="8.875" style="96"/>
    <col min="2052" max="2052" width="10.5" style="96" bestFit="1" customWidth="1"/>
    <col min="2053" max="2053" width="9.625" style="96" bestFit="1" customWidth="1"/>
    <col min="2054" max="2307" width="8.875" style="96"/>
    <col min="2308" max="2308" width="10.5" style="96" bestFit="1" customWidth="1"/>
    <col min="2309" max="2309" width="9.625" style="96" bestFit="1" customWidth="1"/>
    <col min="2310" max="2563" width="8.875" style="96"/>
    <col min="2564" max="2564" width="10.5" style="96" bestFit="1" customWidth="1"/>
    <col min="2565" max="2565" width="9.625" style="96" bestFit="1" customWidth="1"/>
    <col min="2566" max="2819" width="8.875" style="96"/>
    <col min="2820" max="2820" width="10.5" style="96" bestFit="1" customWidth="1"/>
    <col min="2821" max="2821" width="9.625" style="96" bestFit="1" customWidth="1"/>
    <col min="2822" max="3075" width="8.875" style="96"/>
    <col min="3076" max="3076" width="10.5" style="96" bestFit="1" customWidth="1"/>
    <col min="3077" max="3077" width="9.625" style="96" bestFit="1" customWidth="1"/>
    <col min="3078" max="3331" width="8.875" style="96"/>
    <col min="3332" max="3332" width="10.5" style="96" bestFit="1" customWidth="1"/>
    <col min="3333" max="3333" width="9.625" style="96" bestFit="1" customWidth="1"/>
    <col min="3334" max="3587" width="8.875" style="96"/>
    <col min="3588" max="3588" width="10.5" style="96" bestFit="1" customWidth="1"/>
    <col min="3589" max="3589" width="9.625" style="96" bestFit="1" customWidth="1"/>
    <col min="3590" max="3843" width="8.875" style="96"/>
    <col min="3844" max="3844" width="10.5" style="96" bestFit="1" customWidth="1"/>
    <col min="3845" max="3845" width="9.625" style="96" bestFit="1" customWidth="1"/>
    <col min="3846" max="4099" width="8.875" style="96"/>
    <col min="4100" max="4100" width="10.5" style="96" bestFit="1" customWidth="1"/>
    <col min="4101" max="4101" width="9.625" style="96" bestFit="1" customWidth="1"/>
    <col min="4102" max="4355" width="8.875" style="96"/>
    <col min="4356" max="4356" width="10.5" style="96" bestFit="1" customWidth="1"/>
    <col min="4357" max="4357" width="9.625" style="96" bestFit="1" customWidth="1"/>
    <col min="4358" max="4611" width="8.875" style="96"/>
    <col min="4612" max="4612" width="10.5" style="96" bestFit="1" customWidth="1"/>
    <col min="4613" max="4613" width="9.625" style="96" bestFit="1" customWidth="1"/>
    <col min="4614" max="4867" width="8.875" style="96"/>
    <col min="4868" max="4868" width="10.5" style="96" bestFit="1" customWidth="1"/>
    <col min="4869" max="4869" width="9.625" style="96" bestFit="1" customWidth="1"/>
    <col min="4870" max="5123" width="8.875" style="96"/>
    <col min="5124" max="5124" width="10.5" style="96" bestFit="1" customWidth="1"/>
    <col min="5125" max="5125" width="9.625" style="96" bestFit="1" customWidth="1"/>
    <col min="5126" max="5379" width="8.875" style="96"/>
    <col min="5380" max="5380" width="10.5" style="96" bestFit="1" customWidth="1"/>
    <col min="5381" max="5381" width="9.625" style="96" bestFit="1" customWidth="1"/>
    <col min="5382" max="5635" width="8.875" style="96"/>
    <col min="5636" max="5636" width="10.5" style="96" bestFit="1" customWidth="1"/>
    <col min="5637" max="5637" width="9.625" style="96" bestFit="1" customWidth="1"/>
    <col min="5638" max="5891" width="8.875" style="96"/>
    <col min="5892" max="5892" width="10.5" style="96" bestFit="1" customWidth="1"/>
    <col min="5893" max="5893" width="9.625" style="96" bestFit="1" customWidth="1"/>
    <col min="5894" max="6147" width="8.875" style="96"/>
    <col min="6148" max="6148" width="10.5" style="96" bestFit="1" customWidth="1"/>
    <col min="6149" max="6149" width="9.625" style="96" bestFit="1" customWidth="1"/>
    <col min="6150" max="6403" width="8.875" style="96"/>
    <col min="6404" max="6404" width="10.5" style="96" bestFit="1" customWidth="1"/>
    <col min="6405" max="6405" width="9.625" style="96" bestFit="1" customWidth="1"/>
    <col min="6406" max="6659" width="8.875" style="96"/>
    <col min="6660" max="6660" width="10.5" style="96" bestFit="1" customWidth="1"/>
    <col min="6661" max="6661" width="9.625" style="96" bestFit="1" customWidth="1"/>
    <col min="6662" max="6915" width="8.875" style="96"/>
    <col min="6916" max="6916" width="10.5" style="96" bestFit="1" customWidth="1"/>
    <col min="6917" max="6917" width="9.625" style="96" bestFit="1" customWidth="1"/>
    <col min="6918" max="7171" width="8.875" style="96"/>
    <col min="7172" max="7172" width="10.5" style="96" bestFit="1" customWidth="1"/>
    <col min="7173" max="7173" width="9.625" style="96" bestFit="1" customWidth="1"/>
    <col min="7174" max="7427" width="8.875" style="96"/>
    <col min="7428" max="7428" width="10.5" style="96" bestFit="1" customWidth="1"/>
    <col min="7429" max="7429" width="9.625" style="96" bestFit="1" customWidth="1"/>
    <col min="7430" max="7683" width="8.875" style="96"/>
    <col min="7684" max="7684" width="10.5" style="96" bestFit="1" customWidth="1"/>
    <col min="7685" max="7685" width="9.625" style="96" bestFit="1" customWidth="1"/>
    <col min="7686" max="7939" width="8.875" style="96"/>
    <col min="7940" max="7940" width="10.5" style="96" bestFit="1" customWidth="1"/>
    <col min="7941" max="7941" width="9.625" style="96" bestFit="1" customWidth="1"/>
    <col min="7942" max="8195" width="8.875" style="96"/>
    <col min="8196" max="8196" width="10.5" style="96" bestFit="1" customWidth="1"/>
    <col min="8197" max="8197" width="9.625" style="96" bestFit="1" customWidth="1"/>
    <col min="8198" max="8451" width="8.875" style="96"/>
    <col min="8452" max="8452" width="10.5" style="96" bestFit="1" customWidth="1"/>
    <col min="8453" max="8453" width="9.625" style="96" bestFit="1" customWidth="1"/>
    <col min="8454" max="8707" width="8.875" style="96"/>
    <col min="8708" max="8708" width="10.5" style="96" bestFit="1" customWidth="1"/>
    <col min="8709" max="8709" width="9.625" style="96" bestFit="1" customWidth="1"/>
    <col min="8710" max="8963" width="8.875" style="96"/>
    <col min="8964" max="8964" width="10.5" style="96" bestFit="1" customWidth="1"/>
    <col min="8965" max="8965" width="9.625" style="96" bestFit="1" customWidth="1"/>
    <col min="8966" max="9219" width="8.875" style="96"/>
    <col min="9220" max="9220" width="10.5" style="96" bestFit="1" customWidth="1"/>
    <col min="9221" max="9221" width="9.625" style="96" bestFit="1" customWidth="1"/>
    <col min="9222" max="9475" width="8.875" style="96"/>
    <col min="9476" max="9476" width="10.5" style="96" bestFit="1" customWidth="1"/>
    <col min="9477" max="9477" width="9.625" style="96" bestFit="1" customWidth="1"/>
    <col min="9478" max="9731" width="8.875" style="96"/>
    <col min="9732" max="9732" width="10.5" style="96" bestFit="1" customWidth="1"/>
    <col min="9733" max="9733" width="9.625" style="96" bestFit="1" customWidth="1"/>
    <col min="9734" max="9987" width="8.875" style="96"/>
    <col min="9988" max="9988" width="10.5" style="96" bestFit="1" customWidth="1"/>
    <col min="9989" max="9989" width="9.625" style="96" bestFit="1" customWidth="1"/>
    <col min="9990" max="10243" width="8.875" style="96"/>
    <col min="10244" max="10244" width="10.5" style="96" bestFit="1" customWidth="1"/>
    <col min="10245" max="10245" width="9.625" style="96" bestFit="1" customWidth="1"/>
    <col min="10246" max="10499" width="8.875" style="96"/>
    <col min="10500" max="10500" width="10.5" style="96" bestFit="1" customWidth="1"/>
    <col min="10501" max="10501" width="9.625" style="96" bestFit="1" customWidth="1"/>
    <col min="10502" max="10755" width="8.875" style="96"/>
    <col min="10756" max="10756" width="10.5" style="96" bestFit="1" customWidth="1"/>
    <col min="10757" max="10757" width="9.625" style="96" bestFit="1" customWidth="1"/>
    <col min="10758" max="11011" width="8.875" style="96"/>
    <col min="11012" max="11012" width="10.5" style="96" bestFit="1" customWidth="1"/>
    <col min="11013" max="11013" width="9.625" style="96" bestFit="1" customWidth="1"/>
    <col min="11014" max="11267" width="8.875" style="96"/>
    <col min="11268" max="11268" width="10.5" style="96" bestFit="1" customWidth="1"/>
    <col min="11269" max="11269" width="9.625" style="96" bestFit="1" customWidth="1"/>
    <col min="11270" max="11523" width="8.875" style="96"/>
    <col min="11524" max="11524" width="10.5" style="96" bestFit="1" customWidth="1"/>
    <col min="11525" max="11525" width="9.625" style="96" bestFit="1" customWidth="1"/>
    <col min="11526" max="11779" width="8.875" style="96"/>
    <col min="11780" max="11780" width="10.5" style="96" bestFit="1" customWidth="1"/>
    <col min="11781" max="11781" width="9.625" style="96" bestFit="1" customWidth="1"/>
    <col min="11782" max="12035" width="8.875" style="96"/>
    <col min="12036" max="12036" width="10.5" style="96" bestFit="1" customWidth="1"/>
    <col min="12037" max="12037" width="9.625" style="96" bestFit="1" customWidth="1"/>
    <col min="12038" max="12291" width="8.875" style="96"/>
    <col min="12292" max="12292" width="10.5" style="96" bestFit="1" customWidth="1"/>
    <col min="12293" max="12293" width="9.625" style="96" bestFit="1" customWidth="1"/>
    <col min="12294" max="12547" width="8.875" style="96"/>
    <col min="12548" max="12548" width="10.5" style="96" bestFit="1" customWidth="1"/>
    <col min="12549" max="12549" width="9.625" style="96" bestFit="1" customWidth="1"/>
    <col min="12550" max="12803" width="8.875" style="96"/>
    <col min="12804" max="12804" width="10.5" style="96" bestFit="1" customWidth="1"/>
    <col min="12805" max="12805" width="9.625" style="96" bestFit="1" customWidth="1"/>
    <col min="12806" max="13059" width="8.875" style="96"/>
    <col min="13060" max="13060" width="10.5" style="96" bestFit="1" customWidth="1"/>
    <col min="13061" max="13061" width="9.625" style="96" bestFit="1" customWidth="1"/>
    <col min="13062" max="13315" width="8.875" style="96"/>
    <col min="13316" max="13316" width="10.5" style="96" bestFit="1" customWidth="1"/>
    <col min="13317" max="13317" width="9.625" style="96" bestFit="1" customWidth="1"/>
    <col min="13318" max="13571" width="8.875" style="96"/>
    <col min="13572" max="13572" width="10.5" style="96" bestFit="1" customWidth="1"/>
    <col min="13573" max="13573" width="9.625" style="96" bestFit="1" customWidth="1"/>
    <col min="13574" max="13827" width="8.875" style="96"/>
    <col min="13828" max="13828" width="10.5" style="96" bestFit="1" customWidth="1"/>
    <col min="13829" max="13829" width="9.625" style="96" bestFit="1" customWidth="1"/>
    <col min="13830" max="14083" width="8.875" style="96"/>
    <col min="14084" max="14084" width="10.5" style="96" bestFit="1" customWidth="1"/>
    <col min="14085" max="14085" width="9.625" style="96" bestFit="1" customWidth="1"/>
    <col min="14086" max="14339" width="8.875" style="96"/>
    <col min="14340" max="14340" width="10.5" style="96" bestFit="1" customWidth="1"/>
    <col min="14341" max="14341" width="9.625" style="96" bestFit="1" customWidth="1"/>
    <col min="14342" max="14595" width="8.875" style="96"/>
    <col min="14596" max="14596" width="10.5" style="96" bestFit="1" customWidth="1"/>
    <col min="14597" max="14597" width="9.625" style="96" bestFit="1" customWidth="1"/>
    <col min="14598" max="14851" width="8.875" style="96"/>
    <col min="14852" max="14852" width="10.5" style="96" bestFit="1" customWidth="1"/>
    <col min="14853" max="14853" width="9.625" style="96" bestFit="1" customWidth="1"/>
    <col min="14854" max="15107" width="8.875" style="96"/>
    <col min="15108" max="15108" width="10.5" style="96" bestFit="1" customWidth="1"/>
    <col min="15109" max="15109" width="9.625" style="96" bestFit="1" customWidth="1"/>
    <col min="15110" max="15363" width="8.875" style="96"/>
    <col min="15364" max="15364" width="10.5" style="96" bestFit="1" customWidth="1"/>
    <col min="15365" max="15365" width="9.625" style="96" bestFit="1" customWidth="1"/>
    <col min="15366" max="15619" width="8.875" style="96"/>
    <col min="15620" max="15620" width="10.5" style="96" bestFit="1" customWidth="1"/>
    <col min="15621" max="15621" width="9.625" style="96" bestFit="1" customWidth="1"/>
    <col min="15622" max="15875" width="8.875" style="96"/>
    <col min="15876" max="15876" width="10.5" style="96" bestFit="1" customWidth="1"/>
    <col min="15877" max="15877" width="9.625" style="96" bestFit="1" customWidth="1"/>
    <col min="15878" max="16131" width="8.875" style="96"/>
    <col min="16132" max="16132" width="10.5" style="96" bestFit="1" customWidth="1"/>
    <col min="16133" max="16133" width="9.625" style="96" bestFit="1" customWidth="1"/>
    <col min="16134" max="16384" width="8.875" style="96"/>
  </cols>
  <sheetData>
    <row r="1" spans="1:53" ht="45" x14ac:dyDescent="0.15">
      <c r="A1" s="124" t="s">
        <v>0</v>
      </c>
      <c r="B1" s="90" t="s">
        <v>1</v>
      </c>
      <c r="C1" s="90" t="s">
        <v>157</v>
      </c>
      <c r="D1" s="91" t="s">
        <v>3</v>
      </c>
      <c r="E1" s="125" t="s">
        <v>4</v>
      </c>
      <c r="F1" s="125" t="s">
        <v>5</v>
      </c>
      <c r="G1" s="125" t="s">
        <v>6</v>
      </c>
      <c r="H1" s="125" t="s">
        <v>7</v>
      </c>
      <c r="I1" s="125" t="s">
        <v>8</v>
      </c>
      <c r="J1" s="125" t="s">
        <v>9</v>
      </c>
      <c r="K1" s="125" t="s">
        <v>10</v>
      </c>
      <c r="L1" s="91" t="s">
        <v>175</v>
      </c>
      <c r="M1" s="91" t="s">
        <v>12</v>
      </c>
      <c r="N1" s="91" t="s">
        <v>397</v>
      </c>
      <c r="O1" s="91" t="s">
        <v>158</v>
      </c>
      <c r="P1" s="91" t="s">
        <v>215</v>
      </c>
      <c r="Q1" s="92" t="s">
        <v>16</v>
      </c>
      <c r="R1" s="91" t="s">
        <v>216</v>
      </c>
      <c r="S1" s="91" t="s">
        <v>217</v>
      </c>
      <c r="T1" s="92" t="s">
        <v>19</v>
      </c>
      <c r="U1" s="93" t="s">
        <v>398</v>
      </c>
      <c r="V1" s="94" t="s">
        <v>20</v>
      </c>
      <c r="W1" s="91" t="s">
        <v>21</v>
      </c>
      <c r="X1" s="125" t="s">
        <v>22</v>
      </c>
      <c r="Y1" s="125" t="s">
        <v>23</v>
      </c>
      <c r="Z1" s="125" t="s">
        <v>24</v>
      </c>
      <c r="AA1" s="126" t="s">
        <v>25</v>
      </c>
      <c r="AB1" s="95" t="s">
        <v>176</v>
      </c>
      <c r="AE1" s="97" t="s">
        <v>0</v>
      </c>
      <c r="AF1" s="98"/>
      <c r="AG1" s="97" t="s">
        <v>4</v>
      </c>
      <c r="AH1" s="97" t="s">
        <v>5</v>
      </c>
      <c r="AI1" s="98"/>
      <c r="AJ1" s="97" t="s">
        <v>6</v>
      </c>
      <c r="AK1" s="98"/>
      <c r="AL1" s="99" t="s">
        <v>7</v>
      </c>
      <c r="AM1" s="98"/>
      <c r="AN1" s="99" t="s">
        <v>8</v>
      </c>
      <c r="AO1" s="98"/>
      <c r="AP1" s="99" t="s">
        <v>27</v>
      </c>
      <c r="AQ1" s="98"/>
      <c r="AR1" s="99" t="s">
        <v>10</v>
      </c>
      <c r="AS1" s="98"/>
      <c r="AT1" s="100" t="s">
        <v>28</v>
      </c>
      <c r="AU1" s="98"/>
      <c r="AV1" s="99" t="s">
        <v>29</v>
      </c>
      <c r="AX1" s="101" t="s">
        <v>159</v>
      </c>
      <c r="AY1" s="102" t="s">
        <v>31</v>
      </c>
      <c r="AZ1" s="102" t="s">
        <v>32</v>
      </c>
      <c r="BA1" s="103" t="s">
        <v>33</v>
      </c>
    </row>
    <row r="2" spans="1:53" x14ac:dyDescent="0.15">
      <c r="A2" s="96" t="s">
        <v>59</v>
      </c>
      <c r="B2" s="121" t="s">
        <v>194</v>
      </c>
      <c r="C2" s="89">
        <v>2018</v>
      </c>
      <c r="D2" s="196" t="s">
        <v>224</v>
      </c>
      <c r="E2" s="96" t="s">
        <v>399</v>
      </c>
      <c r="F2" s="96" t="s">
        <v>400</v>
      </c>
      <c r="G2" s="96" t="s">
        <v>36</v>
      </c>
      <c r="H2" s="96" t="s">
        <v>155</v>
      </c>
      <c r="I2" s="96" t="s">
        <v>153</v>
      </c>
      <c r="J2" s="96" t="s">
        <v>38</v>
      </c>
      <c r="K2" s="96" t="s">
        <v>154</v>
      </c>
      <c r="L2" s="96">
        <v>1</v>
      </c>
      <c r="N2" s="96">
        <v>5</v>
      </c>
      <c r="O2" s="96">
        <v>0.42</v>
      </c>
      <c r="P2" s="96">
        <v>0.55000000000000004</v>
      </c>
      <c r="Q2" s="129">
        <f>IF(OR(O2="",P2=""),"",AVERAGE(O2,P2))</f>
        <v>0.48499999999999999</v>
      </c>
      <c r="R2" s="96">
        <v>13.1</v>
      </c>
      <c r="S2" s="96">
        <v>90</v>
      </c>
      <c r="T2" s="105">
        <f t="shared" ref="T2:T58" si="0">IF(H2="","",IF(OR(H2="GREEN",H2="GK"),IF(S2&gt;=$AX$2,VLOOKUP(S2,$AX$2:$AY$12,2,1),""),IF(S2&gt;=$AZ$2,VLOOKUP(S2,$AZ$2:$BA$12,2,1),"")))</f>
        <v>36</v>
      </c>
      <c r="U2" s="96">
        <v>298</v>
      </c>
      <c r="V2" s="105">
        <f t="shared" ref="V2:V58" si="1">IF(J2="","",IF(OR(J2="GREEN",J2="GK"),IF(U2&gt;=$AX$2,VLOOKUP(U2,$AX$2:$AY$12,2,1),""),IF(U2&gt;=$AZ$2,VLOOKUP(U2,$AZ$2:$BA$12,2,1),"")))</f>
        <v>16</v>
      </c>
      <c r="W2" s="96">
        <v>1</v>
      </c>
      <c r="X2" s="96" t="s">
        <v>39</v>
      </c>
      <c r="Y2" s="96" t="s">
        <v>90</v>
      </c>
      <c r="Z2" s="96" t="s">
        <v>84</v>
      </c>
      <c r="AA2" s="96" t="s">
        <v>69</v>
      </c>
      <c r="AB2" s="121" t="s">
        <v>401</v>
      </c>
      <c r="AE2" s="106" t="s">
        <v>35</v>
      </c>
      <c r="AG2" s="197" t="s">
        <v>402</v>
      </c>
      <c r="AH2" s="198" t="s">
        <v>403</v>
      </c>
      <c r="AJ2" s="199" t="s">
        <v>36</v>
      </c>
      <c r="AL2" s="107" t="s">
        <v>127</v>
      </c>
      <c r="AN2" s="200" t="s">
        <v>404</v>
      </c>
      <c r="AP2" s="107" t="s">
        <v>38</v>
      </c>
      <c r="AR2" s="107" t="s">
        <v>405</v>
      </c>
      <c r="AT2" s="199" t="s">
        <v>39</v>
      </c>
      <c r="AV2" s="112" t="s">
        <v>55</v>
      </c>
      <c r="AX2" s="201">
        <v>1</v>
      </c>
      <c r="AY2" s="202">
        <v>50</v>
      </c>
      <c r="AZ2" s="202">
        <v>1</v>
      </c>
      <c r="BA2" s="203">
        <v>50</v>
      </c>
    </row>
    <row r="3" spans="1:53" x14ac:dyDescent="0.15">
      <c r="A3" s="96" t="s">
        <v>59</v>
      </c>
      <c r="B3" s="121" t="s">
        <v>406</v>
      </c>
      <c r="C3" s="89">
        <v>2018</v>
      </c>
      <c r="D3" s="196" t="s">
        <v>407</v>
      </c>
      <c r="E3" s="96" t="s">
        <v>408</v>
      </c>
      <c r="F3" s="96" t="s">
        <v>400</v>
      </c>
      <c r="G3" s="96" t="s">
        <v>36</v>
      </c>
      <c r="H3" s="96" t="s">
        <v>155</v>
      </c>
      <c r="I3" s="96" t="s">
        <v>153</v>
      </c>
      <c r="J3" s="96" t="s">
        <v>38</v>
      </c>
      <c r="K3" s="96" t="s">
        <v>154</v>
      </c>
      <c r="L3" s="96">
        <v>2</v>
      </c>
      <c r="N3" s="96">
        <v>5</v>
      </c>
      <c r="O3" s="96">
        <v>0.79</v>
      </c>
      <c r="P3" s="96">
        <v>0.79</v>
      </c>
      <c r="Q3" s="129">
        <f t="shared" ref="Q3:Q58" si="2">IF(OR(O3="",P3=""),"",AVERAGE(O3,P3))</f>
        <v>0.79</v>
      </c>
      <c r="R3" s="96">
        <v>14.2</v>
      </c>
      <c r="S3" s="96">
        <v>86</v>
      </c>
      <c r="T3" s="105">
        <f t="shared" si="0"/>
        <v>36</v>
      </c>
      <c r="U3" s="96">
        <v>298</v>
      </c>
      <c r="V3" s="105">
        <f t="shared" si="1"/>
        <v>16</v>
      </c>
      <c r="W3" s="96">
        <v>1</v>
      </c>
      <c r="X3" s="96" t="s">
        <v>39</v>
      </c>
      <c r="Y3" s="96" t="s">
        <v>90</v>
      </c>
      <c r="Z3" s="96" t="s">
        <v>84</v>
      </c>
      <c r="AA3" s="96" t="s">
        <v>69</v>
      </c>
      <c r="AB3" s="121" t="s">
        <v>409</v>
      </c>
      <c r="AE3" s="111" t="s">
        <v>41</v>
      </c>
      <c r="AG3" s="197" t="s">
        <v>410</v>
      </c>
      <c r="AH3" s="198" t="s">
        <v>400</v>
      </c>
      <c r="AJ3" s="112" t="s">
        <v>42</v>
      </c>
      <c r="AL3" s="112" t="s">
        <v>128</v>
      </c>
      <c r="AN3" s="112" t="s">
        <v>43</v>
      </c>
      <c r="AP3" s="112" t="s">
        <v>44</v>
      </c>
      <c r="AR3" s="122" t="s">
        <v>45</v>
      </c>
      <c r="AT3" s="112" t="s">
        <v>46</v>
      </c>
      <c r="AV3" s="112" t="s">
        <v>411</v>
      </c>
      <c r="AX3" s="113">
        <v>72</v>
      </c>
      <c r="AY3" s="114">
        <v>46</v>
      </c>
      <c r="AZ3" s="114">
        <v>71</v>
      </c>
      <c r="BA3" s="115">
        <v>42</v>
      </c>
    </row>
    <row r="4" spans="1:53" x14ac:dyDescent="0.15">
      <c r="A4" s="96" t="s">
        <v>59</v>
      </c>
      <c r="B4" s="121" t="s">
        <v>406</v>
      </c>
      <c r="C4" s="89">
        <v>2018</v>
      </c>
      <c r="D4" s="196" t="s">
        <v>407</v>
      </c>
      <c r="E4" s="96" t="s">
        <v>408</v>
      </c>
      <c r="F4" s="96" t="s">
        <v>400</v>
      </c>
      <c r="G4" s="96" t="s">
        <v>36</v>
      </c>
      <c r="H4" s="96" t="s">
        <v>412</v>
      </c>
      <c r="I4" s="96" t="s">
        <v>413</v>
      </c>
      <c r="J4" s="96" t="s">
        <v>38</v>
      </c>
      <c r="K4" s="96" t="s">
        <v>154</v>
      </c>
      <c r="L4" s="96">
        <v>3</v>
      </c>
      <c r="N4" s="96">
        <v>5</v>
      </c>
      <c r="O4" s="96">
        <v>0.26</v>
      </c>
      <c r="P4" s="96">
        <v>0.57999999999999996</v>
      </c>
      <c r="Q4" s="129">
        <f t="shared" si="2"/>
        <v>0.42</v>
      </c>
      <c r="R4" s="96">
        <v>14.1</v>
      </c>
      <c r="S4" s="96">
        <v>87</v>
      </c>
      <c r="T4" s="105">
        <f t="shared" si="0"/>
        <v>36</v>
      </c>
      <c r="U4" s="96">
        <v>298</v>
      </c>
      <c r="V4" s="105">
        <f t="shared" si="1"/>
        <v>16</v>
      </c>
      <c r="W4" s="96">
        <v>1</v>
      </c>
      <c r="X4" s="96" t="s">
        <v>39</v>
      </c>
      <c r="Y4" s="96" t="s">
        <v>90</v>
      </c>
      <c r="Z4" s="96" t="s">
        <v>84</v>
      </c>
      <c r="AA4" s="96" t="s">
        <v>69</v>
      </c>
      <c r="AB4" s="121" t="s">
        <v>409</v>
      </c>
      <c r="AE4" s="111" t="s">
        <v>34</v>
      </c>
      <c r="AG4" s="197" t="s">
        <v>414</v>
      </c>
      <c r="AH4" s="198" t="s">
        <v>415</v>
      </c>
      <c r="AJ4" s="116" t="s">
        <v>48</v>
      </c>
      <c r="AL4" s="116" t="s">
        <v>129</v>
      </c>
      <c r="AN4" s="117" t="s">
        <v>49</v>
      </c>
      <c r="AP4" s="112" t="s">
        <v>416</v>
      </c>
      <c r="AR4" s="122" t="s">
        <v>417</v>
      </c>
      <c r="AT4" s="117"/>
      <c r="AV4" s="112" t="s">
        <v>418</v>
      </c>
      <c r="AX4" s="113">
        <v>75</v>
      </c>
      <c r="AY4" s="114">
        <v>42</v>
      </c>
      <c r="AZ4" s="114">
        <v>76</v>
      </c>
      <c r="BA4" s="115">
        <v>39</v>
      </c>
    </row>
    <row r="5" spans="1:53" x14ac:dyDescent="0.15">
      <c r="A5" s="96" t="s">
        <v>59</v>
      </c>
      <c r="B5" s="121" t="s">
        <v>406</v>
      </c>
      <c r="C5" s="89">
        <v>2018</v>
      </c>
      <c r="D5" s="196" t="s">
        <v>407</v>
      </c>
      <c r="E5" s="96" t="s">
        <v>408</v>
      </c>
      <c r="F5" s="96" t="s">
        <v>400</v>
      </c>
      <c r="G5" s="96" t="s">
        <v>36</v>
      </c>
      <c r="H5" s="96" t="s">
        <v>127</v>
      </c>
      <c r="I5" s="96" t="s">
        <v>153</v>
      </c>
      <c r="J5" s="96" t="s">
        <v>330</v>
      </c>
      <c r="K5" s="96" t="s">
        <v>417</v>
      </c>
      <c r="L5" s="96">
        <v>1</v>
      </c>
      <c r="N5" s="96">
        <v>4</v>
      </c>
      <c r="O5" s="96">
        <v>0.8</v>
      </c>
      <c r="P5" s="96">
        <v>0.86</v>
      </c>
      <c r="Q5" s="129">
        <f t="shared" si="2"/>
        <v>0.83000000000000007</v>
      </c>
      <c r="R5" s="96">
        <v>14</v>
      </c>
      <c r="S5" s="96">
        <v>140</v>
      </c>
      <c r="T5" s="105">
        <f t="shared" si="0"/>
        <v>30</v>
      </c>
      <c r="U5" s="96">
        <v>480</v>
      </c>
      <c r="V5" s="105">
        <f t="shared" si="1"/>
        <v>16</v>
      </c>
      <c r="W5" s="96">
        <v>1</v>
      </c>
      <c r="X5" s="96" t="s">
        <v>39</v>
      </c>
      <c r="Y5" s="96" t="s">
        <v>90</v>
      </c>
      <c r="Z5" s="96" t="s">
        <v>84</v>
      </c>
      <c r="AA5" s="96" t="s">
        <v>69</v>
      </c>
      <c r="AB5" s="121" t="s">
        <v>409</v>
      </c>
      <c r="AE5" s="111" t="s">
        <v>51</v>
      </c>
      <c r="AG5" s="197" t="s">
        <v>419</v>
      </c>
      <c r="AH5" s="198" t="s">
        <v>420</v>
      </c>
      <c r="AJ5" s="117"/>
      <c r="AL5" s="118" t="s">
        <v>421</v>
      </c>
      <c r="AN5" s="72" t="s">
        <v>422</v>
      </c>
      <c r="AP5" s="112" t="s">
        <v>423</v>
      </c>
      <c r="AR5" s="122" t="s">
        <v>54</v>
      </c>
      <c r="AV5" s="112" t="s">
        <v>424</v>
      </c>
      <c r="AX5" s="113">
        <v>84</v>
      </c>
      <c r="AY5" s="114">
        <v>39</v>
      </c>
      <c r="AZ5" s="114">
        <v>84</v>
      </c>
      <c r="BA5" s="115">
        <v>36</v>
      </c>
    </row>
    <row r="6" spans="1:53" x14ac:dyDescent="0.15">
      <c r="A6" s="96" t="s">
        <v>59</v>
      </c>
      <c r="B6" s="121" t="s">
        <v>406</v>
      </c>
      <c r="C6" s="89">
        <v>2018</v>
      </c>
      <c r="D6" s="196" t="s">
        <v>407</v>
      </c>
      <c r="E6" s="96" t="s">
        <v>408</v>
      </c>
      <c r="F6" s="96" t="s">
        <v>400</v>
      </c>
      <c r="G6" s="96" t="s">
        <v>36</v>
      </c>
      <c r="H6" s="96" t="s">
        <v>127</v>
      </c>
      <c r="I6" s="96" t="s">
        <v>153</v>
      </c>
      <c r="J6" s="96" t="s">
        <v>330</v>
      </c>
      <c r="K6" s="96" t="s">
        <v>417</v>
      </c>
      <c r="L6" s="96">
        <v>2</v>
      </c>
      <c r="N6" s="96">
        <v>4</v>
      </c>
      <c r="O6" s="96">
        <v>0.92</v>
      </c>
      <c r="P6" s="96">
        <v>0.95</v>
      </c>
      <c r="Q6" s="129">
        <f t="shared" si="2"/>
        <v>0.93500000000000005</v>
      </c>
      <c r="R6" s="96">
        <v>14.6</v>
      </c>
      <c r="S6" s="96">
        <v>148</v>
      </c>
      <c r="T6" s="105">
        <f t="shared" si="0"/>
        <v>30</v>
      </c>
      <c r="U6" s="96">
        <v>480</v>
      </c>
      <c r="V6" s="105">
        <f t="shared" si="1"/>
        <v>16</v>
      </c>
      <c r="W6" s="96">
        <v>1</v>
      </c>
      <c r="X6" s="96" t="s">
        <v>39</v>
      </c>
      <c r="Y6" s="96" t="s">
        <v>90</v>
      </c>
      <c r="Z6" s="96" t="s">
        <v>84</v>
      </c>
      <c r="AA6" s="96" t="s">
        <v>69</v>
      </c>
      <c r="AB6" s="121" t="s">
        <v>409</v>
      </c>
      <c r="AE6" s="111" t="s">
        <v>56</v>
      </c>
      <c r="AG6" s="197" t="s">
        <v>425</v>
      </c>
      <c r="AH6" s="198" t="s">
        <v>426</v>
      </c>
      <c r="AL6" s="118" t="s">
        <v>427</v>
      </c>
      <c r="AN6" s="118" t="s">
        <v>428</v>
      </c>
      <c r="AP6" s="112" t="s">
        <v>53</v>
      </c>
      <c r="AR6" s="122" t="s">
        <v>429</v>
      </c>
      <c r="AV6" s="112" t="s">
        <v>60</v>
      </c>
      <c r="AX6" s="113">
        <v>97</v>
      </c>
      <c r="AY6" s="114">
        <v>36</v>
      </c>
      <c r="AZ6" s="114">
        <v>99</v>
      </c>
      <c r="BA6" s="115">
        <v>33</v>
      </c>
    </row>
    <row r="7" spans="1:53" x14ac:dyDescent="0.15">
      <c r="A7" s="96" t="s">
        <v>59</v>
      </c>
      <c r="B7" s="121" t="s">
        <v>371</v>
      </c>
      <c r="C7" s="89">
        <v>2018</v>
      </c>
      <c r="D7" s="196" t="s">
        <v>372</v>
      </c>
      <c r="E7" s="96" t="s">
        <v>430</v>
      </c>
      <c r="F7" s="96" t="s">
        <v>400</v>
      </c>
      <c r="G7" s="96" t="s">
        <v>36</v>
      </c>
      <c r="H7" s="96" t="s">
        <v>127</v>
      </c>
      <c r="I7" s="96" t="s">
        <v>153</v>
      </c>
      <c r="J7" s="96" t="s">
        <v>330</v>
      </c>
      <c r="K7" s="96" t="s">
        <v>417</v>
      </c>
      <c r="L7" s="96">
        <v>3</v>
      </c>
      <c r="N7" s="96">
        <v>4</v>
      </c>
      <c r="O7" s="96">
        <v>0.87</v>
      </c>
      <c r="P7" s="96">
        <v>0.9</v>
      </c>
      <c r="Q7" s="129">
        <f t="shared" si="2"/>
        <v>0.88500000000000001</v>
      </c>
      <c r="R7" s="96">
        <v>14.3</v>
      </c>
      <c r="S7" s="96">
        <v>144</v>
      </c>
      <c r="T7" s="105">
        <f t="shared" si="0"/>
        <v>30</v>
      </c>
      <c r="U7" s="96">
        <v>480</v>
      </c>
      <c r="V7" s="105">
        <f t="shared" si="1"/>
        <v>16</v>
      </c>
      <c r="W7" s="96">
        <v>1</v>
      </c>
      <c r="X7" s="96" t="s">
        <v>39</v>
      </c>
      <c r="Y7" s="96" t="s">
        <v>90</v>
      </c>
      <c r="Z7" s="96" t="s">
        <v>84</v>
      </c>
      <c r="AA7" s="96" t="s">
        <v>69</v>
      </c>
      <c r="AB7" s="121" t="s">
        <v>431</v>
      </c>
      <c r="AE7" s="111" t="s">
        <v>61</v>
      </c>
      <c r="AG7" s="197" t="s">
        <v>432</v>
      </c>
      <c r="AH7" s="198" t="s">
        <v>433</v>
      </c>
      <c r="AL7" s="34" t="s">
        <v>434</v>
      </c>
      <c r="AP7" s="112" t="s">
        <v>58</v>
      </c>
      <c r="AR7" s="119" t="s">
        <v>435</v>
      </c>
      <c r="AV7" s="112" t="s">
        <v>64</v>
      </c>
      <c r="AX7" s="113">
        <v>109</v>
      </c>
      <c r="AY7" s="114">
        <v>33</v>
      </c>
      <c r="AZ7" s="114">
        <v>113</v>
      </c>
      <c r="BA7" s="115">
        <v>30</v>
      </c>
    </row>
    <row r="8" spans="1:53" x14ac:dyDescent="0.15">
      <c r="A8" s="96" t="s">
        <v>59</v>
      </c>
      <c r="B8" s="121" t="s">
        <v>436</v>
      </c>
      <c r="C8" s="89">
        <v>2018</v>
      </c>
      <c r="D8" s="196" t="s">
        <v>437</v>
      </c>
      <c r="E8" s="96" t="s">
        <v>402</v>
      </c>
      <c r="F8" s="96" t="s">
        <v>403</v>
      </c>
      <c r="G8" s="96" t="s">
        <v>36</v>
      </c>
      <c r="H8" s="96" t="s">
        <v>174</v>
      </c>
      <c r="I8" s="96" t="s">
        <v>153</v>
      </c>
      <c r="J8" s="96" t="s">
        <v>38</v>
      </c>
      <c r="K8" s="96" t="s">
        <v>429</v>
      </c>
      <c r="L8" s="96">
        <v>1</v>
      </c>
      <c r="N8" s="96">
        <v>4</v>
      </c>
      <c r="O8" s="96">
        <v>0.49</v>
      </c>
      <c r="P8" s="96">
        <v>0.5</v>
      </c>
      <c r="Q8" s="129">
        <f t="shared" si="2"/>
        <v>0.495</v>
      </c>
      <c r="R8" s="96">
        <v>15.3</v>
      </c>
      <c r="S8" s="96">
        <v>75</v>
      </c>
      <c r="T8" s="105">
        <f t="shared" si="0"/>
        <v>42</v>
      </c>
      <c r="U8" s="96">
        <v>457</v>
      </c>
      <c r="V8" s="105">
        <f t="shared" si="1"/>
        <v>16</v>
      </c>
      <c r="W8" s="96">
        <v>4</v>
      </c>
      <c r="X8" s="96" t="s">
        <v>39</v>
      </c>
      <c r="Y8" s="96" t="s">
        <v>84</v>
      </c>
      <c r="Z8" s="96" t="s">
        <v>90</v>
      </c>
      <c r="AA8" s="96" t="s">
        <v>69</v>
      </c>
      <c r="AB8" s="121" t="s">
        <v>431</v>
      </c>
      <c r="AE8" s="111" t="s">
        <v>51</v>
      </c>
      <c r="AG8" s="197" t="s">
        <v>419</v>
      </c>
      <c r="AH8" s="198" t="s">
        <v>420</v>
      </c>
      <c r="AJ8" s="117"/>
      <c r="AL8" s="118" t="s">
        <v>438</v>
      </c>
      <c r="AN8" s="72" t="s">
        <v>439</v>
      </c>
      <c r="AP8" s="112" t="s">
        <v>440</v>
      </c>
      <c r="AR8" s="122" t="s">
        <v>54</v>
      </c>
      <c r="AV8" s="112" t="s">
        <v>441</v>
      </c>
      <c r="AX8" s="113">
        <v>84</v>
      </c>
      <c r="AY8" s="114">
        <v>39</v>
      </c>
      <c r="AZ8" s="114">
        <v>84</v>
      </c>
      <c r="BA8" s="115">
        <v>36</v>
      </c>
    </row>
    <row r="9" spans="1:53" x14ac:dyDescent="0.15">
      <c r="A9" s="96" t="s">
        <v>59</v>
      </c>
      <c r="B9" s="121" t="s">
        <v>371</v>
      </c>
      <c r="C9" s="89">
        <v>2018</v>
      </c>
      <c r="D9" s="196" t="s">
        <v>372</v>
      </c>
      <c r="E9" s="96" t="s">
        <v>402</v>
      </c>
      <c r="F9" s="96" t="s">
        <v>403</v>
      </c>
      <c r="G9" s="96" t="s">
        <v>36</v>
      </c>
      <c r="H9" s="96" t="s">
        <v>174</v>
      </c>
      <c r="I9" s="96" t="s">
        <v>153</v>
      </c>
      <c r="J9" s="96" t="s">
        <v>38</v>
      </c>
      <c r="K9" s="96" t="s">
        <v>429</v>
      </c>
      <c r="L9" s="96">
        <v>2</v>
      </c>
      <c r="N9" s="96">
        <v>4</v>
      </c>
      <c r="O9" s="96">
        <v>0.46</v>
      </c>
      <c r="P9" s="96">
        <v>0.49</v>
      </c>
      <c r="Q9" s="129">
        <f t="shared" si="2"/>
        <v>0.47499999999999998</v>
      </c>
      <c r="R9" s="96">
        <v>14.5</v>
      </c>
      <c r="S9" s="96">
        <v>80</v>
      </c>
      <c r="T9" s="105">
        <f t="shared" si="0"/>
        <v>42</v>
      </c>
      <c r="U9" s="96">
        <v>457</v>
      </c>
      <c r="V9" s="105">
        <f t="shared" si="1"/>
        <v>16</v>
      </c>
      <c r="W9" s="96">
        <v>4</v>
      </c>
      <c r="X9" s="96" t="s">
        <v>39</v>
      </c>
      <c r="Y9" s="96" t="s">
        <v>84</v>
      </c>
      <c r="Z9" s="96" t="s">
        <v>90</v>
      </c>
      <c r="AA9" s="96" t="s">
        <v>69</v>
      </c>
      <c r="AB9" s="121" t="s">
        <v>431</v>
      </c>
      <c r="AE9" s="111" t="s">
        <v>56</v>
      </c>
      <c r="AG9" s="197" t="s">
        <v>425</v>
      </c>
      <c r="AH9" s="198" t="s">
        <v>426</v>
      </c>
      <c r="AL9" s="118" t="s">
        <v>442</v>
      </c>
      <c r="AN9" s="118" t="s">
        <v>443</v>
      </c>
      <c r="AP9" s="112" t="s">
        <v>53</v>
      </c>
      <c r="AR9" s="122" t="s">
        <v>429</v>
      </c>
      <c r="AV9" s="112" t="s">
        <v>60</v>
      </c>
      <c r="AX9" s="113">
        <v>97</v>
      </c>
      <c r="AY9" s="114">
        <v>36</v>
      </c>
      <c r="AZ9" s="114">
        <v>99</v>
      </c>
      <c r="BA9" s="115">
        <v>33</v>
      </c>
    </row>
    <row r="10" spans="1:53" x14ac:dyDescent="0.15">
      <c r="A10" s="96" t="s">
        <v>59</v>
      </c>
      <c r="B10" s="121" t="s">
        <v>371</v>
      </c>
      <c r="C10" s="89">
        <v>2018</v>
      </c>
      <c r="D10" s="196" t="s">
        <v>372</v>
      </c>
      <c r="E10" s="96" t="s">
        <v>402</v>
      </c>
      <c r="F10" s="96" t="s">
        <v>403</v>
      </c>
      <c r="G10" s="96" t="s">
        <v>36</v>
      </c>
      <c r="H10" s="96" t="s">
        <v>174</v>
      </c>
      <c r="I10" s="96" t="s">
        <v>153</v>
      </c>
      <c r="J10" s="96" t="s">
        <v>38</v>
      </c>
      <c r="K10" s="96" t="s">
        <v>429</v>
      </c>
      <c r="L10" s="96">
        <v>3</v>
      </c>
      <c r="N10" s="96">
        <v>4</v>
      </c>
      <c r="O10" s="96">
        <v>0.44</v>
      </c>
      <c r="P10" s="96">
        <v>0.52</v>
      </c>
      <c r="Q10" s="129">
        <f t="shared" si="2"/>
        <v>0.48</v>
      </c>
      <c r="R10" s="96">
        <v>15.6</v>
      </c>
      <c r="S10" s="96">
        <v>85</v>
      </c>
      <c r="T10" s="105">
        <f t="shared" si="0"/>
        <v>39</v>
      </c>
      <c r="U10" s="96">
        <v>457</v>
      </c>
      <c r="V10" s="105">
        <f t="shared" si="1"/>
        <v>16</v>
      </c>
      <c r="W10" s="96">
        <v>4</v>
      </c>
      <c r="X10" s="96" t="s">
        <v>39</v>
      </c>
      <c r="Y10" s="96" t="s">
        <v>84</v>
      </c>
      <c r="Z10" s="96" t="s">
        <v>90</v>
      </c>
      <c r="AA10" s="96" t="s">
        <v>69</v>
      </c>
      <c r="AB10" s="121" t="s">
        <v>431</v>
      </c>
      <c r="AE10" s="111" t="s">
        <v>61</v>
      </c>
      <c r="AG10" s="197" t="s">
        <v>432</v>
      </c>
      <c r="AH10" s="198" t="s">
        <v>433</v>
      </c>
      <c r="AL10" s="34" t="s">
        <v>434</v>
      </c>
      <c r="AP10" s="112" t="s">
        <v>58</v>
      </c>
      <c r="AR10" s="119" t="s">
        <v>435</v>
      </c>
      <c r="AV10" s="112" t="s">
        <v>64</v>
      </c>
      <c r="AX10" s="113">
        <v>109</v>
      </c>
      <c r="AY10" s="114">
        <v>33</v>
      </c>
      <c r="AZ10" s="114">
        <v>113</v>
      </c>
      <c r="BA10" s="115">
        <v>30</v>
      </c>
    </row>
    <row r="11" spans="1:53" x14ac:dyDescent="0.15">
      <c r="A11" s="96" t="s">
        <v>59</v>
      </c>
      <c r="B11" s="121" t="s">
        <v>436</v>
      </c>
      <c r="C11" s="89">
        <v>2018</v>
      </c>
      <c r="D11" s="196" t="s">
        <v>437</v>
      </c>
      <c r="E11" s="96" t="s">
        <v>402</v>
      </c>
      <c r="F11" s="96" t="s">
        <v>403</v>
      </c>
      <c r="G11" s="96" t="s">
        <v>36</v>
      </c>
      <c r="H11" s="96" t="s">
        <v>155</v>
      </c>
      <c r="I11" s="96" t="s">
        <v>153</v>
      </c>
      <c r="J11" s="96" t="s">
        <v>38</v>
      </c>
      <c r="K11" s="96" t="s">
        <v>154</v>
      </c>
      <c r="L11" s="96">
        <v>1</v>
      </c>
      <c r="N11" s="96">
        <v>4</v>
      </c>
      <c r="O11" s="96">
        <v>0.48</v>
      </c>
      <c r="P11" s="96">
        <v>0.39</v>
      </c>
      <c r="Q11" s="129">
        <f t="shared" si="2"/>
        <v>0.435</v>
      </c>
      <c r="R11" s="96">
        <v>14.3</v>
      </c>
      <c r="S11" s="96">
        <v>100</v>
      </c>
      <c r="T11" s="105">
        <f t="shared" si="0"/>
        <v>33</v>
      </c>
      <c r="U11" s="96">
        <v>297</v>
      </c>
      <c r="V11" s="105">
        <f t="shared" si="1"/>
        <v>16</v>
      </c>
      <c r="W11" s="96">
        <v>2</v>
      </c>
      <c r="X11" s="96" t="s">
        <v>39</v>
      </c>
      <c r="Y11" s="96" t="s">
        <v>84</v>
      </c>
      <c r="Z11" s="96" t="s">
        <v>90</v>
      </c>
      <c r="AA11" s="96" t="s">
        <v>69</v>
      </c>
      <c r="AB11" s="121" t="s">
        <v>409</v>
      </c>
      <c r="AE11" s="111" t="s">
        <v>65</v>
      </c>
      <c r="AG11" s="204" t="s">
        <v>444</v>
      </c>
      <c r="AH11" s="198" t="s">
        <v>445</v>
      </c>
      <c r="AL11" s="88"/>
      <c r="AP11" s="112" t="s">
        <v>446</v>
      </c>
      <c r="AR11" s="119" t="s">
        <v>447</v>
      </c>
      <c r="AV11" s="112" t="s">
        <v>448</v>
      </c>
      <c r="AX11" s="113">
        <v>151</v>
      </c>
      <c r="AY11" s="114">
        <v>22</v>
      </c>
      <c r="AZ11" s="114">
        <v>152</v>
      </c>
      <c r="BA11" s="115">
        <v>18</v>
      </c>
    </row>
    <row r="12" spans="1:53" x14ac:dyDescent="0.15">
      <c r="A12" s="96" t="s">
        <v>59</v>
      </c>
      <c r="B12" s="121" t="s">
        <v>449</v>
      </c>
      <c r="C12" s="89">
        <v>2018</v>
      </c>
      <c r="D12" s="196" t="s">
        <v>450</v>
      </c>
      <c r="E12" s="96" t="s">
        <v>402</v>
      </c>
      <c r="F12" s="96" t="s">
        <v>403</v>
      </c>
      <c r="G12" s="96" t="s">
        <v>36</v>
      </c>
      <c r="H12" s="96" t="s">
        <v>155</v>
      </c>
      <c r="I12" s="96" t="s">
        <v>153</v>
      </c>
      <c r="J12" s="96" t="s">
        <v>38</v>
      </c>
      <c r="K12" s="96" t="s">
        <v>154</v>
      </c>
      <c r="L12" s="96">
        <v>2</v>
      </c>
      <c r="N12" s="96">
        <v>4</v>
      </c>
      <c r="O12" s="96">
        <v>0.26</v>
      </c>
      <c r="P12" s="96">
        <v>0.25</v>
      </c>
      <c r="Q12" s="129">
        <f t="shared" si="2"/>
        <v>0.255</v>
      </c>
      <c r="R12" s="96">
        <v>14.6</v>
      </c>
      <c r="S12" s="96">
        <v>102</v>
      </c>
      <c r="T12" s="105">
        <f t="shared" si="0"/>
        <v>33</v>
      </c>
      <c r="U12" s="96">
        <v>297</v>
      </c>
      <c r="V12" s="105">
        <f t="shared" si="1"/>
        <v>16</v>
      </c>
      <c r="W12" s="96">
        <v>2</v>
      </c>
      <c r="X12" s="96" t="s">
        <v>39</v>
      </c>
      <c r="Y12" s="96" t="s">
        <v>84</v>
      </c>
      <c r="Z12" s="96" t="s">
        <v>90</v>
      </c>
      <c r="AA12" s="96" t="s">
        <v>69</v>
      </c>
      <c r="AB12" s="121" t="s">
        <v>409</v>
      </c>
      <c r="AE12" s="111" t="s">
        <v>70</v>
      </c>
      <c r="AG12" s="119"/>
      <c r="AH12" s="205"/>
      <c r="AL12" s="88"/>
      <c r="AP12" s="112" t="s">
        <v>67</v>
      </c>
      <c r="AR12" s="119" t="s">
        <v>124</v>
      </c>
      <c r="AV12" s="112" t="s">
        <v>72</v>
      </c>
      <c r="AX12" s="31">
        <v>180</v>
      </c>
      <c r="AY12" s="32">
        <v>18</v>
      </c>
      <c r="AZ12" s="32">
        <v>181</v>
      </c>
      <c r="BA12" s="33">
        <v>16</v>
      </c>
    </row>
    <row r="13" spans="1:53" x14ac:dyDescent="0.15">
      <c r="A13" s="96" t="s">
        <v>59</v>
      </c>
      <c r="B13" s="121" t="s">
        <v>375</v>
      </c>
      <c r="C13" s="89">
        <v>2018</v>
      </c>
      <c r="D13" s="196" t="s">
        <v>376</v>
      </c>
      <c r="E13" s="96" t="s">
        <v>402</v>
      </c>
      <c r="F13" s="96" t="s">
        <v>403</v>
      </c>
      <c r="G13" s="96" t="s">
        <v>36</v>
      </c>
      <c r="H13" s="96" t="s">
        <v>412</v>
      </c>
      <c r="I13" s="96" t="s">
        <v>153</v>
      </c>
      <c r="J13" s="96" t="s">
        <v>38</v>
      </c>
      <c r="K13" s="96" t="s">
        <v>154</v>
      </c>
      <c r="L13" s="96">
        <v>3</v>
      </c>
      <c r="N13" s="96">
        <v>4</v>
      </c>
      <c r="O13" s="96">
        <v>0.37</v>
      </c>
      <c r="P13" s="96">
        <v>0.42</v>
      </c>
      <c r="Q13" s="129">
        <f t="shared" si="2"/>
        <v>0.39500000000000002</v>
      </c>
      <c r="R13" s="96">
        <v>14.2</v>
      </c>
      <c r="S13" s="96">
        <v>100</v>
      </c>
      <c r="T13" s="105">
        <f t="shared" si="0"/>
        <v>33</v>
      </c>
      <c r="U13" s="96">
        <v>297</v>
      </c>
      <c r="V13" s="105">
        <f t="shared" si="1"/>
        <v>16</v>
      </c>
      <c r="W13" s="96">
        <v>2</v>
      </c>
      <c r="X13" s="96" t="s">
        <v>39</v>
      </c>
      <c r="Y13" s="96" t="s">
        <v>84</v>
      </c>
      <c r="Z13" s="96" t="s">
        <v>90</v>
      </c>
      <c r="AA13" s="96" t="s">
        <v>69</v>
      </c>
      <c r="AB13" s="121" t="s">
        <v>409</v>
      </c>
      <c r="AE13" s="111" t="s">
        <v>73</v>
      </c>
      <c r="AG13" s="112"/>
      <c r="AH13" s="112"/>
      <c r="AP13" s="112" t="s">
        <v>71</v>
      </c>
      <c r="AR13" s="119" t="s">
        <v>103</v>
      </c>
      <c r="AV13" s="112" t="s">
        <v>75</v>
      </c>
    </row>
    <row r="14" spans="1:53" x14ac:dyDescent="0.15">
      <c r="A14" s="96" t="s">
        <v>59</v>
      </c>
      <c r="B14" s="121" t="s">
        <v>379</v>
      </c>
      <c r="C14" s="89">
        <v>2018</v>
      </c>
      <c r="D14" s="196" t="s">
        <v>380</v>
      </c>
      <c r="E14" s="96" t="s">
        <v>419</v>
      </c>
      <c r="F14" s="96" t="s">
        <v>420</v>
      </c>
      <c r="G14" s="96" t="s">
        <v>36</v>
      </c>
      <c r="H14" s="96" t="s">
        <v>174</v>
      </c>
      <c r="I14" s="96" t="s">
        <v>153</v>
      </c>
      <c r="J14" s="96" t="s">
        <v>38</v>
      </c>
      <c r="K14" s="96" t="s">
        <v>54</v>
      </c>
      <c r="L14" s="96">
        <v>1</v>
      </c>
      <c r="N14" s="96">
        <v>1</v>
      </c>
      <c r="O14" s="96">
        <v>0.42</v>
      </c>
      <c r="P14" s="96">
        <v>0.51</v>
      </c>
      <c r="Q14" s="129">
        <f t="shared" si="2"/>
        <v>0.46499999999999997</v>
      </c>
      <c r="R14" s="96">
        <v>15</v>
      </c>
      <c r="S14" s="96">
        <v>108</v>
      </c>
      <c r="T14" s="105">
        <f t="shared" si="0"/>
        <v>36</v>
      </c>
      <c r="U14" s="96">
        <v>159</v>
      </c>
      <c r="V14" s="105">
        <f t="shared" si="1"/>
        <v>18</v>
      </c>
      <c r="W14" s="96">
        <v>2</v>
      </c>
      <c r="X14" s="96" t="s">
        <v>39</v>
      </c>
      <c r="Y14" s="96" t="s">
        <v>84</v>
      </c>
      <c r="Z14" s="96" t="s">
        <v>90</v>
      </c>
      <c r="AA14" s="96" t="s">
        <v>69</v>
      </c>
      <c r="AB14" s="121" t="s">
        <v>451</v>
      </c>
      <c r="AE14" s="111" t="s">
        <v>76</v>
      </c>
      <c r="AG14" s="112"/>
      <c r="AH14" s="112"/>
      <c r="AP14" s="112" t="s">
        <v>452</v>
      </c>
      <c r="AR14" s="119" t="s">
        <v>125</v>
      </c>
      <c r="AV14" s="112" t="s">
        <v>78</v>
      </c>
    </row>
    <row r="15" spans="1:53" x14ac:dyDescent="0.15">
      <c r="A15" s="96" t="s">
        <v>59</v>
      </c>
      <c r="B15" s="121" t="s">
        <v>379</v>
      </c>
      <c r="C15" s="89">
        <v>2018</v>
      </c>
      <c r="D15" s="196" t="s">
        <v>380</v>
      </c>
      <c r="E15" s="96" t="s">
        <v>419</v>
      </c>
      <c r="F15" s="96" t="s">
        <v>420</v>
      </c>
      <c r="G15" s="96" t="s">
        <v>36</v>
      </c>
      <c r="H15" s="96" t="s">
        <v>174</v>
      </c>
      <c r="I15" s="96" t="s">
        <v>153</v>
      </c>
      <c r="J15" s="96" t="s">
        <v>38</v>
      </c>
      <c r="K15" s="96" t="s">
        <v>54</v>
      </c>
      <c r="L15" s="96">
        <v>2</v>
      </c>
      <c r="N15" s="96">
        <v>1</v>
      </c>
      <c r="O15" s="96">
        <v>0.42</v>
      </c>
      <c r="P15" s="96">
        <v>0.5</v>
      </c>
      <c r="Q15" s="129">
        <f t="shared" si="2"/>
        <v>0.45999999999999996</v>
      </c>
      <c r="R15" s="96">
        <v>16</v>
      </c>
      <c r="S15" s="96">
        <v>106</v>
      </c>
      <c r="T15" s="105">
        <f t="shared" si="0"/>
        <v>36</v>
      </c>
      <c r="U15" s="96">
        <v>159</v>
      </c>
      <c r="V15" s="105">
        <f t="shared" si="1"/>
        <v>18</v>
      </c>
      <c r="W15" s="96">
        <v>2</v>
      </c>
      <c r="X15" s="96" t="s">
        <v>39</v>
      </c>
      <c r="Y15" s="96" t="s">
        <v>84</v>
      </c>
      <c r="Z15" s="96" t="s">
        <v>90</v>
      </c>
      <c r="AA15" s="96" t="s">
        <v>69</v>
      </c>
      <c r="AB15" s="121" t="s">
        <v>451</v>
      </c>
      <c r="AE15" s="111" t="s">
        <v>79</v>
      </c>
      <c r="AG15" s="112"/>
      <c r="AH15" s="112"/>
      <c r="AP15" s="112" t="s">
        <v>453</v>
      </c>
      <c r="AR15" s="119" t="s">
        <v>94</v>
      </c>
      <c r="AV15" s="112" t="s">
        <v>107</v>
      </c>
    </row>
    <row r="16" spans="1:53" x14ac:dyDescent="0.15">
      <c r="A16" s="96" t="s">
        <v>59</v>
      </c>
      <c r="B16" s="121" t="s">
        <v>384</v>
      </c>
      <c r="C16" s="89">
        <v>2018</v>
      </c>
      <c r="D16" s="196" t="s">
        <v>385</v>
      </c>
      <c r="E16" s="96" t="s">
        <v>419</v>
      </c>
      <c r="F16" s="96" t="s">
        <v>420</v>
      </c>
      <c r="G16" s="96" t="s">
        <v>36</v>
      </c>
      <c r="H16" s="96" t="s">
        <v>174</v>
      </c>
      <c r="I16" s="96" t="s">
        <v>153</v>
      </c>
      <c r="J16" s="96" t="s">
        <v>38</v>
      </c>
      <c r="K16" s="96" t="s">
        <v>54</v>
      </c>
      <c r="L16" s="96">
        <v>3</v>
      </c>
      <c r="N16" s="96">
        <v>1</v>
      </c>
      <c r="O16" s="96">
        <v>0.43</v>
      </c>
      <c r="P16" s="96">
        <v>0.48</v>
      </c>
      <c r="Q16" s="129">
        <f t="shared" si="2"/>
        <v>0.45499999999999996</v>
      </c>
      <c r="R16" s="96">
        <v>16.3</v>
      </c>
      <c r="S16" s="96">
        <v>105</v>
      </c>
      <c r="T16" s="105">
        <f t="shared" si="0"/>
        <v>36</v>
      </c>
      <c r="U16" s="96">
        <v>159</v>
      </c>
      <c r="V16" s="105">
        <f t="shared" si="1"/>
        <v>18</v>
      </c>
      <c r="W16" s="96">
        <v>2</v>
      </c>
      <c r="X16" s="96" t="s">
        <v>39</v>
      </c>
      <c r="Y16" s="96" t="s">
        <v>84</v>
      </c>
      <c r="Z16" s="96" t="s">
        <v>90</v>
      </c>
      <c r="AA16" s="96" t="s">
        <v>69</v>
      </c>
      <c r="AB16" s="121" t="s">
        <v>454</v>
      </c>
      <c r="AE16" s="111" t="s">
        <v>82</v>
      </c>
      <c r="AG16" s="117"/>
      <c r="AH16" s="117"/>
      <c r="AP16" s="112" t="s">
        <v>80</v>
      </c>
      <c r="AR16" s="122" t="s">
        <v>63</v>
      </c>
      <c r="AV16" s="112" t="s">
        <v>84</v>
      </c>
    </row>
    <row r="17" spans="1:48" x14ac:dyDescent="0.15">
      <c r="A17" s="96" t="s">
        <v>59</v>
      </c>
      <c r="B17" s="121" t="s">
        <v>384</v>
      </c>
      <c r="C17" s="89">
        <v>2018</v>
      </c>
      <c r="D17" s="196" t="s">
        <v>385</v>
      </c>
      <c r="E17" s="96" t="s">
        <v>419</v>
      </c>
      <c r="F17" s="96" t="s">
        <v>420</v>
      </c>
      <c r="G17" s="96" t="s">
        <v>36</v>
      </c>
      <c r="H17" s="96" t="s">
        <v>155</v>
      </c>
      <c r="I17" s="96" t="s">
        <v>153</v>
      </c>
      <c r="J17" s="96" t="s">
        <v>38</v>
      </c>
      <c r="K17" s="96" t="s">
        <v>154</v>
      </c>
      <c r="L17" s="96">
        <v>1</v>
      </c>
      <c r="N17" s="96">
        <v>4</v>
      </c>
      <c r="O17" s="96">
        <v>0.6</v>
      </c>
      <c r="P17" s="96">
        <v>0.51</v>
      </c>
      <c r="Q17" s="129">
        <f t="shared" si="2"/>
        <v>0.55499999999999994</v>
      </c>
      <c r="R17" s="96">
        <v>14.5</v>
      </c>
      <c r="S17" s="96">
        <v>95</v>
      </c>
      <c r="T17" s="105">
        <f t="shared" si="0"/>
        <v>36</v>
      </c>
      <c r="U17" s="96">
        <v>399</v>
      </c>
      <c r="V17" s="105">
        <f t="shared" si="1"/>
        <v>16</v>
      </c>
      <c r="W17" s="96">
        <v>1</v>
      </c>
      <c r="X17" s="96" t="s">
        <v>39</v>
      </c>
      <c r="Y17" s="96" t="s">
        <v>84</v>
      </c>
      <c r="Z17" s="96" t="s">
        <v>90</v>
      </c>
      <c r="AA17" s="96" t="s">
        <v>69</v>
      </c>
      <c r="AB17" s="121" t="s">
        <v>454</v>
      </c>
      <c r="AE17" s="111" t="s">
        <v>85</v>
      </c>
      <c r="AP17" s="123" t="s">
        <v>110</v>
      </c>
      <c r="AR17" s="122" t="s">
        <v>96</v>
      </c>
      <c r="AV17" s="112" t="s">
        <v>86</v>
      </c>
    </row>
    <row r="18" spans="1:48" x14ac:dyDescent="0.15">
      <c r="A18" s="96" t="s">
        <v>59</v>
      </c>
      <c r="B18" s="121" t="s">
        <v>384</v>
      </c>
      <c r="C18" s="89">
        <v>2018</v>
      </c>
      <c r="D18" s="196" t="s">
        <v>385</v>
      </c>
      <c r="E18" s="96" t="s">
        <v>419</v>
      </c>
      <c r="F18" s="96" t="s">
        <v>420</v>
      </c>
      <c r="G18" s="96" t="s">
        <v>36</v>
      </c>
      <c r="H18" s="96" t="s">
        <v>155</v>
      </c>
      <c r="I18" s="96" t="s">
        <v>153</v>
      </c>
      <c r="J18" s="96" t="s">
        <v>38</v>
      </c>
      <c r="K18" s="96" t="s">
        <v>154</v>
      </c>
      <c r="L18" s="96">
        <v>2</v>
      </c>
      <c r="N18" s="96">
        <v>4</v>
      </c>
      <c r="O18" s="96">
        <v>0.33</v>
      </c>
      <c r="P18" s="96">
        <v>0.28000000000000003</v>
      </c>
      <c r="Q18" s="129">
        <f t="shared" si="2"/>
        <v>0.30500000000000005</v>
      </c>
      <c r="R18" s="96">
        <v>14.7</v>
      </c>
      <c r="S18" s="96">
        <v>100</v>
      </c>
      <c r="T18" s="105">
        <f t="shared" si="0"/>
        <v>33</v>
      </c>
      <c r="U18" s="96">
        <v>399</v>
      </c>
      <c r="V18" s="105">
        <f t="shared" si="1"/>
        <v>16</v>
      </c>
      <c r="W18" s="96">
        <v>1</v>
      </c>
      <c r="X18" s="96" t="s">
        <v>39</v>
      </c>
      <c r="Y18" s="96" t="s">
        <v>84</v>
      </c>
      <c r="Z18" s="96" t="s">
        <v>90</v>
      </c>
      <c r="AA18" s="96" t="s">
        <v>69</v>
      </c>
      <c r="AB18" s="121" t="s">
        <v>454</v>
      </c>
      <c r="AE18" s="111" t="s">
        <v>87</v>
      </c>
      <c r="AP18" s="123" t="s">
        <v>455</v>
      </c>
      <c r="AR18" s="122" t="s">
        <v>101</v>
      </c>
      <c r="AV18" s="112" t="s">
        <v>88</v>
      </c>
    </row>
    <row r="19" spans="1:48" x14ac:dyDescent="0.15">
      <c r="A19" s="96" t="s">
        <v>59</v>
      </c>
      <c r="B19" s="121" t="s">
        <v>371</v>
      </c>
      <c r="C19" s="89">
        <v>2018</v>
      </c>
      <c r="D19" s="196" t="s">
        <v>372</v>
      </c>
      <c r="E19" s="96" t="s">
        <v>419</v>
      </c>
      <c r="F19" s="96" t="s">
        <v>420</v>
      </c>
      <c r="G19" s="96" t="s">
        <v>36</v>
      </c>
      <c r="H19" s="96" t="s">
        <v>456</v>
      </c>
      <c r="I19" s="96" t="s">
        <v>153</v>
      </c>
      <c r="J19" s="96" t="s">
        <v>38</v>
      </c>
      <c r="K19" s="96" t="s">
        <v>154</v>
      </c>
      <c r="L19" s="96">
        <v>3</v>
      </c>
      <c r="N19" s="96">
        <v>4</v>
      </c>
      <c r="O19" s="96">
        <v>0.4</v>
      </c>
      <c r="P19" s="96">
        <v>0.6</v>
      </c>
      <c r="Q19" s="129">
        <f t="shared" si="2"/>
        <v>0.5</v>
      </c>
      <c r="R19" s="96">
        <v>13.9</v>
      </c>
      <c r="S19" s="96">
        <v>100</v>
      </c>
      <c r="T19" s="105">
        <f t="shared" si="0"/>
        <v>33</v>
      </c>
      <c r="U19" s="96">
        <v>399</v>
      </c>
      <c r="V19" s="105">
        <f t="shared" si="1"/>
        <v>16</v>
      </c>
      <c r="W19" s="96">
        <v>1</v>
      </c>
      <c r="X19" s="96" t="s">
        <v>39</v>
      </c>
      <c r="Y19" s="96" t="s">
        <v>84</v>
      </c>
      <c r="Z19" s="96" t="s">
        <v>90</v>
      </c>
      <c r="AA19" s="96" t="s">
        <v>69</v>
      </c>
      <c r="AB19" s="121" t="s">
        <v>431</v>
      </c>
      <c r="AD19" s="121"/>
      <c r="AE19" s="120" t="s">
        <v>89</v>
      </c>
      <c r="AP19" s="123" t="s">
        <v>112</v>
      </c>
      <c r="AR19" s="119" t="s">
        <v>126</v>
      </c>
      <c r="AV19" s="112" t="s">
        <v>457</v>
      </c>
    </row>
    <row r="20" spans="1:48" x14ac:dyDescent="0.15">
      <c r="A20" s="96" t="s">
        <v>59</v>
      </c>
      <c r="B20" s="121" t="s">
        <v>458</v>
      </c>
      <c r="C20" s="89">
        <v>2018</v>
      </c>
      <c r="D20" s="196" t="s">
        <v>459</v>
      </c>
      <c r="E20" s="96" t="s">
        <v>419</v>
      </c>
      <c r="F20" s="96" t="s">
        <v>420</v>
      </c>
      <c r="G20" s="96" t="s">
        <v>36</v>
      </c>
      <c r="H20" s="96" t="s">
        <v>127</v>
      </c>
      <c r="I20" s="96" t="s">
        <v>153</v>
      </c>
      <c r="J20" s="96" t="s">
        <v>80</v>
      </c>
      <c r="K20" s="96" t="s">
        <v>63</v>
      </c>
      <c r="L20" s="96">
        <v>1</v>
      </c>
      <c r="N20" s="96">
        <v>5</v>
      </c>
      <c r="O20" s="96">
        <v>0.45</v>
      </c>
      <c r="P20" s="96">
        <v>0.5</v>
      </c>
      <c r="Q20" s="129">
        <f t="shared" si="2"/>
        <v>0.47499999999999998</v>
      </c>
      <c r="R20" s="96">
        <v>15.5</v>
      </c>
      <c r="S20" s="96">
        <v>75</v>
      </c>
      <c r="T20" s="105">
        <f t="shared" si="0"/>
        <v>42</v>
      </c>
      <c r="U20" s="96">
        <v>399</v>
      </c>
      <c r="V20" s="105">
        <f t="shared" si="1"/>
        <v>16</v>
      </c>
      <c r="W20" s="96">
        <v>1</v>
      </c>
      <c r="X20" s="96" t="s">
        <v>39</v>
      </c>
      <c r="Y20" s="96" t="s">
        <v>84</v>
      </c>
      <c r="Z20" s="96" t="s">
        <v>90</v>
      </c>
      <c r="AA20" s="96" t="s">
        <v>69</v>
      </c>
      <c r="AB20" s="121" t="s">
        <v>460</v>
      </c>
      <c r="AD20" s="121"/>
      <c r="AE20" s="120"/>
      <c r="AP20" s="123" t="s">
        <v>113</v>
      </c>
      <c r="AR20" s="122" t="s">
        <v>105</v>
      </c>
      <c r="AV20" s="116" t="s">
        <v>461</v>
      </c>
    </row>
    <row r="21" spans="1:48" x14ac:dyDescent="0.15">
      <c r="A21" s="96" t="s">
        <v>59</v>
      </c>
      <c r="B21" s="121" t="s">
        <v>458</v>
      </c>
      <c r="C21" s="89">
        <v>2018</v>
      </c>
      <c r="D21" s="196" t="s">
        <v>459</v>
      </c>
      <c r="E21" s="96" t="s">
        <v>419</v>
      </c>
      <c r="F21" s="96" t="s">
        <v>420</v>
      </c>
      <c r="G21" s="96" t="s">
        <v>36</v>
      </c>
      <c r="H21" s="96" t="s">
        <v>127</v>
      </c>
      <c r="I21" s="96" t="s">
        <v>153</v>
      </c>
      <c r="J21" s="96" t="s">
        <v>80</v>
      </c>
      <c r="K21" s="96" t="s">
        <v>63</v>
      </c>
      <c r="L21" s="96">
        <v>2</v>
      </c>
      <c r="N21" s="96">
        <v>5</v>
      </c>
      <c r="O21" s="96">
        <v>0.6</v>
      </c>
      <c r="P21" s="96">
        <v>0.72</v>
      </c>
      <c r="Q21" s="129">
        <f t="shared" si="2"/>
        <v>0.65999999999999992</v>
      </c>
      <c r="R21" s="96">
        <v>15.1</v>
      </c>
      <c r="S21" s="96">
        <v>76</v>
      </c>
      <c r="T21" s="105">
        <f t="shared" si="0"/>
        <v>39</v>
      </c>
      <c r="U21" s="96">
        <v>399</v>
      </c>
      <c r="V21" s="105">
        <f t="shared" si="1"/>
        <v>16</v>
      </c>
      <c r="W21" s="96">
        <v>1</v>
      </c>
      <c r="X21" s="96" t="s">
        <v>39</v>
      </c>
      <c r="Y21" s="96" t="s">
        <v>84</v>
      </c>
      <c r="Z21" s="96" t="s">
        <v>90</v>
      </c>
      <c r="AA21" s="96" t="s">
        <v>69</v>
      </c>
      <c r="AB21" s="121" t="s">
        <v>460</v>
      </c>
      <c r="AD21" s="121"/>
      <c r="AE21" s="117"/>
      <c r="AP21" s="123" t="s">
        <v>462</v>
      </c>
      <c r="AR21" s="122" t="s">
        <v>68</v>
      </c>
      <c r="AV21" s="116" t="s">
        <v>463</v>
      </c>
    </row>
    <row r="22" spans="1:48" x14ac:dyDescent="0.15">
      <c r="A22" s="96" t="s">
        <v>59</v>
      </c>
      <c r="B22" s="121" t="s">
        <v>458</v>
      </c>
      <c r="C22" s="89">
        <v>2018</v>
      </c>
      <c r="D22" s="196" t="s">
        <v>459</v>
      </c>
      <c r="E22" s="96" t="s">
        <v>419</v>
      </c>
      <c r="F22" s="96" t="s">
        <v>420</v>
      </c>
      <c r="G22" s="96" t="s">
        <v>36</v>
      </c>
      <c r="H22" s="96" t="s">
        <v>127</v>
      </c>
      <c r="I22" s="96" t="s">
        <v>153</v>
      </c>
      <c r="J22" s="96" t="s">
        <v>80</v>
      </c>
      <c r="K22" s="96" t="s">
        <v>63</v>
      </c>
      <c r="L22" s="96">
        <v>3</v>
      </c>
      <c r="N22" s="96">
        <v>5</v>
      </c>
      <c r="O22" s="96">
        <v>0.53</v>
      </c>
      <c r="P22" s="96">
        <v>0.5</v>
      </c>
      <c r="Q22" s="129">
        <f t="shared" si="2"/>
        <v>0.51500000000000001</v>
      </c>
      <c r="R22" s="96">
        <v>15.9</v>
      </c>
      <c r="S22" s="96">
        <v>75</v>
      </c>
      <c r="T22" s="105">
        <f t="shared" si="0"/>
        <v>42</v>
      </c>
      <c r="U22" s="96">
        <v>399</v>
      </c>
      <c r="V22" s="105">
        <f t="shared" si="1"/>
        <v>16</v>
      </c>
      <c r="W22" s="96">
        <v>1</v>
      </c>
      <c r="X22" s="96" t="s">
        <v>39</v>
      </c>
      <c r="Y22" s="96" t="s">
        <v>84</v>
      </c>
      <c r="Z22" s="96" t="s">
        <v>90</v>
      </c>
      <c r="AA22" s="96" t="s">
        <v>69</v>
      </c>
      <c r="AB22" s="121" t="s">
        <v>460</v>
      </c>
      <c r="AD22" s="121"/>
      <c r="AP22" s="123" t="s">
        <v>464</v>
      </c>
      <c r="AR22" s="122" t="s">
        <v>83</v>
      </c>
      <c r="AV22" s="116" t="s">
        <v>465</v>
      </c>
    </row>
    <row r="23" spans="1:48" x14ac:dyDescent="0.15">
      <c r="A23" s="96" t="s">
        <v>59</v>
      </c>
      <c r="B23" s="121" t="s">
        <v>458</v>
      </c>
      <c r="C23" s="89">
        <v>2018</v>
      </c>
      <c r="D23" s="196" t="s">
        <v>459</v>
      </c>
      <c r="E23" s="96" t="s">
        <v>466</v>
      </c>
      <c r="F23" s="96" t="s">
        <v>420</v>
      </c>
      <c r="G23" s="96" t="s">
        <v>36</v>
      </c>
      <c r="H23" s="96" t="s">
        <v>155</v>
      </c>
      <c r="I23" s="96" t="s">
        <v>153</v>
      </c>
      <c r="J23" s="96" t="s">
        <v>38</v>
      </c>
      <c r="K23" s="96" t="s">
        <v>154</v>
      </c>
      <c r="L23" s="96">
        <v>1</v>
      </c>
      <c r="N23" s="96">
        <v>1</v>
      </c>
      <c r="O23" s="96">
        <v>0.88</v>
      </c>
      <c r="P23" s="96">
        <v>0.9</v>
      </c>
      <c r="Q23" s="129">
        <f t="shared" si="2"/>
        <v>0.89</v>
      </c>
      <c r="R23" s="96">
        <v>13.6</v>
      </c>
      <c r="S23" s="96">
        <v>131</v>
      </c>
      <c r="T23" s="105">
        <f t="shared" si="0"/>
        <v>30</v>
      </c>
      <c r="U23" s="96">
        <v>129</v>
      </c>
      <c r="V23" s="105">
        <f t="shared" si="1"/>
        <v>30</v>
      </c>
      <c r="W23" s="96">
        <v>2</v>
      </c>
      <c r="X23" s="96" t="s">
        <v>46</v>
      </c>
      <c r="Y23" s="96" t="s">
        <v>84</v>
      </c>
      <c r="Z23" s="96" t="s">
        <v>90</v>
      </c>
      <c r="AA23" s="96" t="s">
        <v>40</v>
      </c>
      <c r="AB23" s="121" t="s">
        <v>460</v>
      </c>
      <c r="AP23" s="123" t="s">
        <v>467</v>
      </c>
      <c r="AR23" s="122" t="s">
        <v>61</v>
      </c>
      <c r="AV23" s="116" t="s">
        <v>468</v>
      </c>
    </row>
    <row r="24" spans="1:48" x14ac:dyDescent="0.15">
      <c r="A24" s="96" t="s">
        <v>59</v>
      </c>
      <c r="B24" s="121" t="s">
        <v>458</v>
      </c>
      <c r="C24" s="89">
        <v>2018</v>
      </c>
      <c r="D24" s="196" t="s">
        <v>459</v>
      </c>
      <c r="E24" s="96" t="s">
        <v>466</v>
      </c>
      <c r="F24" s="96" t="s">
        <v>420</v>
      </c>
      <c r="G24" s="96" t="s">
        <v>36</v>
      </c>
      <c r="H24" s="96" t="s">
        <v>155</v>
      </c>
      <c r="I24" s="96" t="s">
        <v>153</v>
      </c>
      <c r="J24" s="96" t="s">
        <v>38</v>
      </c>
      <c r="K24" s="96" t="s">
        <v>154</v>
      </c>
      <c r="L24" s="96">
        <v>2</v>
      </c>
      <c r="N24" s="96">
        <v>1</v>
      </c>
      <c r="O24" s="96">
        <v>0.77</v>
      </c>
      <c r="P24" s="96">
        <v>0.82</v>
      </c>
      <c r="Q24" s="129">
        <f t="shared" si="2"/>
        <v>0.79499999999999993</v>
      </c>
      <c r="R24" s="96">
        <v>13.1</v>
      </c>
      <c r="S24" s="96">
        <v>128</v>
      </c>
      <c r="T24" s="105">
        <f t="shared" si="0"/>
        <v>30</v>
      </c>
      <c r="U24" s="96">
        <v>129</v>
      </c>
      <c r="V24" s="105">
        <f t="shared" si="1"/>
        <v>30</v>
      </c>
      <c r="W24" s="96">
        <v>2</v>
      </c>
      <c r="X24" s="96" t="s">
        <v>46</v>
      </c>
      <c r="Y24" s="96" t="s">
        <v>84</v>
      </c>
      <c r="Z24" s="96" t="s">
        <v>90</v>
      </c>
      <c r="AA24" s="96" t="s">
        <v>40</v>
      </c>
      <c r="AB24" s="121" t="s">
        <v>460</v>
      </c>
      <c r="AP24" s="123" t="s">
        <v>469</v>
      </c>
      <c r="AR24" s="122" t="s">
        <v>91</v>
      </c>
      <c r="AV24" s="116" t="s">
        <v>470</v>
      </c>
    </row>
    <row r="25" spans="1:48" x14ac:dyDescent="0.15">
      <c r="A25" s="96" t="s">
        <v>59</v>
      </c>
      <c r="B25" s="121" t="s">
        <v>458</v>
      </c>
      <c r="C25" s="89">
        <v>2018</v>
      </c>
      <c r="D25" s="196" t="s">
        <v>459</v>
      </c>
      <c r="E25" s="96" t="s">
        <v>466</v>
      </c>
      <c r="F25" s="96" t="s">
        <v>420</v>
      </c>
      <c r="G25" s="96" t="s">
        <v>36</v>
      </c>
      <c r="H25" s="96" t="s">
        <v>155</v>
      </c>
      <c r="I25" s="96" t="s">
        <v>153</v>
      </c>
      <c r="J25" s="96" t="s">
        <v>38</v>
      </c>
      <c r="K25" s="96" t="s">
        <v>154</v>
      </c>
      <c r="L25" s="96">
        <v>3</v>
      </c>
      <c r="N25" s="96">
        <v>1</v>
      </c>
      <c r="O25" s="96">
        <v>0.75</v>
      </c>
      <c r="P25" s="96">
        <v>0.77</v>
      </c>
      <c r="Q25" s="129">
        <f t="shared" si="2"/>
        <v>0.76</v>
      </c>
      <c r="R25" s="96">
        <v>13.5</v>
      </c>
      <c r="S25" s="96">
        <v>127</v>
      </c>
      <c r="T25" s="105">
        <f t="shared" si="0"/>
        <v>30</v>
      </c>
      <c r="U25" s="96">
        <v>129</v>
      </c>
      <c r="V25" s="105">
        <f t="shared" si="1"/>
        <v>30</v>
      </c>
      <c r="W25" s="96">
        <v>2</v>
      </c>
      <c r="X25" s="96" t="s">
        <v>46</v>
      </c>
      <c r="Y25" s="96" t="s">
        <v>84</v>
      </c>
      <c r="Z25" s="96" t="s">
        <v>90</v>
      </c>
      <c r="AA25" s="96" t="s">
        <v>40</v>
      </c>
      <c r="AB25" s="121" t="s">
        <v>460</v>
      </c>
      <c r="AP25" s="123" t="s">
        <v>467</v>
      </c>
      <c r="AR25" s="122" t="s">
        <v>61</v>
      </c>
      <c r="AV25" s="116" t="s">
        <v>468</v>
      </c>
    </row>
    <row r="26" spans="1:48" x14ac:dyDescent="0.15">
      <c r="A26" s="96" t="s">
        <v>59</v>
      </c>
      <c r="B26" s="121" t="s">
        <v>458</v>
      </c>
      <c r="C26" s="89">
        <v>2018</v>
      </c>
      <c r="D26" s="196" t="s">
        <v>459</v>
      </c>
      <c r="E26" s="96" t="s">
        <v>466</v>
      </c>
      <c r="F26" s="96" t="s">
        <v>420</v>
      </c>
      <c r="G26" s="96" t="s">
        <v>36</v>
      </c>
      <c r="H26" s="96" t="s">
        <v>128</v>
      </c>
      <c r="I26" s="96" t="s">
        <v>153</v>
      </c>
      <c r="J26" s="96" t="s">
        <v>80</v>
      </c>
      <c r="K26" s="96" t="s">
        <v>435</v>
      </c>
      <c r="L26" s="96">
        <v>1</v>
      </c>
      <c r="N26" s="96">
        <v>4</v>
      </c>
      <c r="O26" s="96">
        <v>0.36</v>
      </c>
      <c r="P26" s="96">
        <v>0.47</v>
      </c>
      <c r="Q26" s="129">
        <f t="shared" si="2"/>
        <v>0.41499999999999998</v>
      </c>
      <c r="R26" s="96">
        <v>14</v>
      </c>
      <c r="S26" s="96">
        <v>96</v>
      </c>
      <c r="T26" s="105">
        <f t="shared" si="0"/>
        <v>36</v>
      </c>
      <c r="U26" s="96">
        <v>429</v>
      </c>
      <c r="V26" s="105">
        <f t="shared" si="1"/>
        <v>16</v>
      </c>
      <c r="W26" s="96">
        <v>1</v>
      </c>
      <c r="X26" s="96" t="s">
        <v>46</v>
      </c>
      <c r="Y26" s="96" t="s">
        <v>84</v>
      </c>
      <c r="Z26" s="96" t="s">
        <v>90</v>
      </c>
      <c r="AA26" s="96" t="s">
        <v>40</v>
      </c>
      <c r="AB26" s="121" t="s">
        <v>460</v>
      </c>
      <c r="AP26" s="123" t="s">
        <v>469</v>
      </c>
      <c r="AR26" s="122" t="s">
        <v>91</v>
      </c>
      <c r="AV26" s="116" t="s">
        <v>470</v>
      </c>
    </row>
    <row r="27" spans="1:48" x14ac:dyDescent="0.15">
      <c r="A27" s="96" t="s">
        <v>59</v>
      </c>
      <c r="B27" s="121" t="s">
        <v>458</v>
      </c>
      <c r="C27" s="89">
        <v>2018</v>
      </c>
      <c r="D27" s="196" t="s">
        <v>459</v>
      </c>
      <c r="E27" s="96" t="s">
        <v>466</v>
      </c>
      <c r="F27" s="96" t="s">
        <v>420</v>
      </c>
      <c r="G27" s="96" t="s">
        <v>36</v>
      </c>
      <c r="H27" s="96" t="s">
        <v>128</v>
      </c>
      <c r="I27" s="96" t="s">
        <v>153</v>
      </c>
      <c r="J27" s="96" t="s">
        <v>80</v>
      </c>
      <c r="K27" s="96" t="s">
        <v>435</v>
      </c>
      <c r="L27" s="96">
        <v>2</v>
      </c>
      <c r="N27" s="96">
        <v>4</v>
      </c>
      <c r="O27" s="96">
        <v>0.87</v>
      </c>
      <c r="P27" s="96">
        <v>0.9</v>
      </c>
      <c r="Q27" s="129">
        <f t="shared" si="2"/>
        <v>0.88500000000000001</v>
      </c>
      <c r="R27" s="96">
        <v>13.4</v>
      </c>
      <c r="S27" s="96">
        <v>101</v>
      </c>
      <c r="T27" s="105">
        <f t="shared" si="0"/>
        <v>33</v>
      </c>
      <c r="U27" s="96">
        <v>429</v>
      </c>
      <c r="V27" s="105">
        <f t="shared" si="1"/>
        <v>16</v>
      </c>
      <c r="W27" s="96">
        <v>1</v>
      </c>
      <c r="X27" s="96" t="s">
        <v>46</v>
      </c>
      <c r="Y27" s="96" t="s">
        <v>84</v>
      </c>
      <c r="Z27" s="96" t="s">
        <v>90</v>
      </c>
      <c r="AA27" s="96" t="s">
        <v>40</v>
      </c>
      <c r="AB27" s="121" t="s">
        <v>460</v>
      </c>
      <c r="AD27" s="121"/>
      <c r="AP27" s="123" t="s">
        <v>116</v>
      </c>
      <c r="AR27" s="42" t="s">
        <v>92</v>
      </c>
      <c r="AV27" s="116" t="s">
        <v>471</v>
      </c>
    </row>
    <row r="28" spans="1:48" x14ac:dyDescent="0.15">
      <c r="A28" s="96" t="s">
        <v>59</v>
      </c>
      <c r="B28" s="121" t="s">
        <v>458</v>
      </c>
      <c r="C28" s="89">
        <v>2018</v>
      </c>
      <c r="D28" s="196" t="s">
        <v>459</v>
      </c>
      <c r="E28" s="96" t="s">
        <v>466</v>
      </c>
      <c r="F28" s="96" t="s">
        <v>420</v>
      </c>
      <c r="G28" s="96" t="s">
        <v>36</v>
      </c>
      <c r="H28" s="96" t="s">
        <v>128</v>
      </c>
      <c r="I28" s="96" t="s">
        <v>153</v>
      </c>
      <c r="J28" s="96" t="s">
        <v>80</v>
      </c>
      <c r="K28" s="96" t="s">
        <v>435</v>
      </c>
      <c r="L28" s="96">
        <v>3</v>
      </c>
      <c r="N28" s="96">
        <v>4</v>
      </c>
      <c r="O28" s="96">
        <v>0.75</v>
      </c>
      <c r="P28" s="96">
        <v>0.88</v>
      </c>
      <c r="Q28" s="129">
        <f t="shared" si="2"/>
        <v>0.81499999999999995</v>
      </c>
      <c r="R28" s="96">
        <v>13.2</v>
      </c>
      <c r="S28" s="96">
        <v>95</v>
      </c>
      <c r="T28" s="105">
        <f t="shared" si="0"/>
        <v>36</v>
      </c>
      <c r="U28" s="96">
        <v>429</v>
      </c>
      <c r="V28" s="105">
        <f t="shared" si="1"/>
        <v>16</v>
      </c>
      <c r="W28" s="96">
        <v>1</v>
      </c>
      <c r="X28" s="96" t="s">
        <v>46</v>
      </c>
      <c r="Y28" s="96" t="s">
        <v>84</v>
      </c>
      <c r="Z28" s="96" t="s">
        <v>90</v>
      </c>
      <c r="AA28" s="96" t="s">
        <v>40</v>
      </c>
      <c r="AB28" s="121" t="s">
        <v>460</v>
      </c>
      <c r="AD28" s="121"/>
      <c r="AV28" s="116"/>
    </row>
    <row r="29" spans="1:48" x14ac:dyDescent="0.15">
      <c r="A29" s="96" t="s">
        <v>59</v>
      </c>
      <c r="B29" s="121" t="s">
        <v>458</v>
      </c>
      <c r="C29" s="89">
        <v>2018</v>
      </c>
      <c r="D29" s="196" t="s">
        <v>459</v>
      </c>
      <c r="E29" s="96" t="s">
        <v>472</v>
      </c>
      <c r="F29" s="96" t="s">
        <v>473</v>
      </c>
      <c r="G29" s="96" t="s">
        <v>36</v>
      </c>
      <c r="H29" s="96" t="s">
        <v>155</v>
      </c>
      <c r="I29" s="96" t="s">
        <v>153</v>
      </c>
      <c r="J29" s="96" t="s">
        <v>38</v>
      </c>
      <c r="K29" s="96" t="s">
        <v>154</v>
      </c>
      <c r="L29" s="96">
        <v>1</v>
      </c>
      <c r="N29" s="96">
        <v>1</v>
      </c>
      <c r="O29" s="96">
        <v>0.51</v>
      </c>
      <c r="P29" s="96">
        <v>0.64</v>
      </c>
      <c r="Q29" s="129">
        <f t="shared" si="2"/>
        <v>0.57499999999999996</v>
      </c>
      <c r="R29" s="96">
        <v>14.7</v>
      </c>
      <c r="S29" s="96">
        <v>138</v>
      </c>
      <c r="T29" s="105">
        <f t="shared" si="0"/>
        <v>30</v>
      </c>
      <c r="U29" s="96">
        <v>138</v>
      </c>
      <c r="V29" s="105">
        <f t="shared" si="1"/>
        <v>30</v>
      </c>
      <c r="W29" s="96">
        <v>3</v>
      </c>
      <c r="X29" s="96" t="s">
        <v>39</v>
      </c>
      <c r="Y29" s="96" t="s">
        <v>84</v>
      </c>
      <c r="Z29" s="96" t="s">
        <v>90</v>
      </c>
      <c r="AA29" s="96" t="s">
        <v>40</v>
      </c>
      <c r="AB29" s="121" t="s">
        <v>460</v>
      </c>
      <c r="AV29" s="116"/>
    </row>
    <row r="30" spans="1:48" x14ac:dyDescent="0.15">
      <c r="A30" s="96" t="s">
        <v>59</v>
      </c>
      <c r="B30" s="121" t="s">
        <v>458</v>
      </c>
      <c r="C30" s="89">
        <v>2018</v>
      </c>
      <c r="D30" s="196" t="s">
        <v>459</v>
      </c>
      <c r="E30" s="96" t="s">
        <v>472</v>
      </c>
      <c r="F30" s="96" t="s">
        <v>473</v>
      </c>
      <c r="G30" s="96" t="s">
        <v>36</v>
      </c>
      <c r="H30" s="96" t="s">
        <v>155</v>
      </c>
      <c r="I30" s="96" t="s">
        <v>153</v>
      </c>
      <c r="J30" s="96" t="s">
        <v>38</v>
      </c>
      <c r="K30" s="96" t="s">
        <v>154</v>
      </c>
      <c r="L30" s="96">
        <v>2</v>
      </c>
      <c r="N30" s="96">
        <v>1</v>
      </c>
      <c r="O30" s="96">
        <v>0.8</v>
      </c>
      <c r="P30" s="96">
        <v>0.73</v>
      </c>
      <c r="Q30" s="129">
        <f t="shared" si="2"/>
        <v>0.76500000000000001</v>
      </c>
      <c r="R30" s="96">
        <v>14.2</v>
      </c>
      <c r="S30" s="96">
        <v>146</v>
      </c>
      <c r="T30" s="105">
        <f t="shared" si="0"/>
        <v>30</v>
      </c>
      <c r="U30" s="96">
        <v>138</v>
      </c>
      <c r="V30" s="105">
        <f t="shared" si="1"/>
        <v>30</v>
      </c>
      <c r="W30" s="96">
        <v>3</v>
      </c>
      <c r="X30" s="96" t="s">
        <v>39</v>
      </c>
      <c r="Y30" s="96" t="s">
        <v>84</v>
      </c>
      <c r="Z30" s="96" t="s">
        <v>90</v>
      </c>
      <c r="AA30" s="96" t="s">
        <v>40</v>
      </c>
      <c r="AB30" s="121" t="s">
        <v>460</v>
      </c>
      <c r="AV30" s="116"/>
    </row>
    <row r="31" spans="1:48" x14ac:dyDescent="0.15">
      <c r="A31" s="96" t="s">
        <v>59</v>
      </c>
      <c r="B31" s="121" t="s">
        <v>458</v>
      </c>
      <c r="C31" s="89">
        <v>2018</v>
      </c>
      <c r="D31" s="196" t="s">
        <v>459</v>
      </c>
      <c r="E31" s="96" t="s">
        <v>472</v>
      </c>
      <c r="F31" s="96" t="s">
        <v>473</v>
      </c>
      <c r="G31" s="96" t="s">
        <v>36</v>
      </c>
      <c r="H31" s="96" t="s">
        <v>155</v>
      </c>
      <c r="I31" s="96" t="s">
        <v>153</v>
      </c>
      <c r="J31" s="96" t="s">
        <v>38</v>
      </c>
      <c r="K31" s="96" t="s">
        <v>154</v>
      </c>
      <c r="L31" s="96">
        <v>3</v>
      </c>
      <c r="N31" s="96">
        <v>1</v>
      </c>
      <c r="O31" s="96">
        <v>0.63</v>
      </c>
      <c r="P31" s="96">
        <v>0.6</v>
      </c>
      <c r="Q31" s="129">
        <f t="shared" si="2"/>
        <v>0.61499999999999999</v>
      </c>
      <c r="R31" s="96">
        <v>14.4</v>
      </c>
      <c r="S31" s="96">
        <v>135</v>
      </c>
      <c r="T31" s="105">
        <f t="shared" si="0"/>
        <v>30</v>
      </c>
      <c r="U31" s="96">
        <v>138</v>
      </c>
      <c r="V31" s="105">
        <f t="shared" si="1"/>
        <v>30</v>
      </c>
      <c r="W31" s="96">
        <v>3</v>
      </c>
      <c r="X31" s="96" t="s">
        <v>39</v>
      </c>
      <c r="Y31" s="96" t="s">
        <v>84</v>
      </c>
      <c r="Z31" s="96" t="s">
        <v>90</v>
      </c>
      <c r="AA31" s="96" t="s">
        <v>40</v>
      </c>
      <c r="AB31" s="121" t="s">
        <v>460</v>
      </c>
      <c r="AV31" s="116"/>
    </row>
    <row r="32" spans="1:48" x14ac:dyDescent="0.15">
      <c r="A32" s="96" t="s">
        <v>59</v>
      </c>
      <c r="B32" s="121" t="s">
        <v>458</v>
      </c>
      <c r="C32" s="89">
        <v>2018</v>
      </c>
      <c r="D32" s="196" t="s">
        <v>459</v>
      </c>
      <c r="E32" s="96" t="s">
        <v>191</v>
      </c>
      <c r="F32" s="96" t="s">
        <v>473</v>
      </c>
      <c r="G32" s="96" t="s">
        <v>36</v>
      </c>
      <c r="H32" s="96" t="s">
        <v>155</v>
      </c>
      <c r="I32" s="96" t="s">
        <v>153</v>
      </c>
      <c r="J32" s="96" t="s">
        <v>38</v>
      </c>
      <c r="K32" s="96" t="s">
        <v>154</v>
      </c>
      <c r="L32" s="96">
        <v>1</v>
      </c>
      <c r="N32" s="96">
        <v>5</v>
      </c>
      <c r="O32" s="96">
        <v>0.27</v>
      </c>
      <c r="P32" s="96">
        <v>0.25</v>
      </c>
      <c r="Q32" s="129">
        <f t="shared" si="2"/>
        <v>0.26</v>
      </c>
      <c r="R32" s="96">
        <v>14.1</v>
      </c>
      <c r="S32" s="96">
        <v>90</v>
      </c>
      <c r="T32" s="105">
        <f t="shared" si="0"/>
        <v>36</v>
      </c>
      <c r="U32" s="96">
        <v>429</v>
      </c>
      <c r="V32" s="105">
        <f t="shared" si="1"/>
        <v>16</v>
      </c>
      <c r="W32" s="96">
        <v>1</v>
      </c>
      <c r="X32" s="96" t="s">
        <v>39</v>
      </c>
      <c r="Y32" s="96" t="s">
        <v>90</v>
      </c>
      <c r="Z32" s="96" t="s">
        <v>84</v>
      </c>
      <c r="AA32" s="96" t="s">
        <v>69</v>
      </c>
      <c r="AB32" s="121" t="s">
        <v>460</v>
      </c>
      <c r="AV32" s="116"/>
    </row>
    <row r="33" spans="1:48" x14ac:dyDescent="0.15">
      <c r="A33" s="96" t="s">
        <v>59</v>
      </c>
      <c r="B33" s="121" t="s">
        <v>458</v>
      </c>
      <c r="C33" s="89">
        <v>2018</v>
      </c>
      <c r="D33" s="196" t="s">
        <v>459</v>
      </c>
      <c r="E33" s="96" t="s">
        <v>191</v>
      </c>
      <c r="F33" s="96" t="s">
        <v>473</v>
      </c>
      <c r="G33" s="96" t="s">
        <v>36</v>
      </c>
      <c r="H33" s="96" t="s">
        <v>155</v>
      </c>
      <c r="I33" s="96" t="s">
        <v>153</v>
      </c>
      <c r="J33" s="96" t="s">
        <v>38</v>
      </c>
      <c r="K33" s="96" t="s">
        <v>154</v>
      </c>
      <c r="L33" s="96">
        <v>2</v>
      </c>
      <c r="N33" s="96">
        <v>5</v>
      </c>
      <c r="O33" s="96">
        <v>0.46</v>
      </c>
      <c r="P33" s="96">
        <v>0.41</v>
      </c>
      <c r="Q33" s="129">
        <f t="shared" si="2"/>
        <v>0.435</v>
      </c>
      <c r="R33" s="96">
        <v>14.5</v>
      </c>
      <c r="S33" s="96">
        <v>84</v>
      </c>
      <c r="T33" s="105">
        <f t="shared" si="0"/>
        <v>36</v>
      </c>
      <c r="U33" s="96">
        <v>429</v>
      </c>
      <c r="V33" s="105">
        <f t="shared" si="1"/>
        <v>16</v>
      </c>
      <c r="W33" s="96">
        <v>1</v>
      </c>
      <c r="X33" s="96" t="s">
        <v>39</v>
      </c>
      <c r="Y33" s="96" t="s">
        <v>90</v>
      </c>
      <c r="Z33" s="96" t="s">
        <v>84</v>
      </c>
      <c r="AA33" s="96" t="s">
        <v>69</v>
      </c>
      <c r="AB33" s="121" t="s">
        <v>460</v>
      </c>
      <c r="AV33" s="116"/>
    </row>
    <row r="34" spans="1:48" x14ac:dyDescent="0.15">
      <c r="A34" s="96" t="s">
        <v>59</v>
      </c>
      <c r="B34" s="121" t="s">
        <v>458</v>
      </c>
      <c r="C34" s="89">
        <v>2018</v>
      </c>
      <c r="D34" s="196" t="s">
        <v>459</v>
      </c>
      <c r="E34" s="96" t="s">
        <v>191</v>
      </c>
      <c r="F34" s="96" t="s">
        <v>473</v>
      </c>
      <c r="G34" s="96" t="s">
        <v>36</v>
      </c>
      <c r="H34" s="96" t="s">
        <v>155</v>
      </c>
      <c r="I34" s="96" t="s">
        <v>153</v>
      </c>
      <c r="J34" s="96" t="s">
        <v>38</v>
      </c>
      <c r="K34" s="96" t="s">
        <v>154</v>
      </c>
      <c r="L34" s="96">
        <v>3</v>
      </c>
      <c r="N34" s="96">
        <v>5</v>
      </c>
      <c r="O34" s="96">
        <v>0.61</v>
      </c>
      <c r="P34" s="96">
        <v>0.65</v>
      </c>
      <c r="Q34" s="129">
        <f t="shared" si="2"/>
        <v>0.63</v>
      </c>
      <c r="R34" s="96">
        <v>12.6</v>
      </c>
      <c r="S34" s="96">
        <v>91</v>
      </c>
      <c r="T34" s="105">
        <f t="shared" si="0"/>
        <v>36</v>
      </c>
      <c r="U34" s="96">
        <v>429</v>
      </c>
      <c r="V34" s="105">
        <f t="shared" si="1"/>
        <v>16</v>
      </c>
      <c r="W34" s="96">
        <v>1</v>
      </c>
      <c r="X34" s="96" t="s">
        <v>39</v>
      </c>
      <c r="Y34" s="96" t="s">
        <v>90</v>
      </c>
      <c r="Z34" s="96" t="s">
        <v>84</v>
      </c>
      <c r="AA34" s="96" t="s">
        <v>69</v>
      </c>
      <c r="AB34" s="121" t="s">
        <v>460</v>
      </c>
      <c r="AV34" s="116"/>
    </row>
    <row r="35" spans="1:48" x14ac:dyDescent="0.15">
      <c r="A35" s="96" t="s">
        <v>59</v>
      </c>
      <c r="B35" s="121" t="s">
        <v>458</v>
      </c>
      <c r="C35" s="89">
        <v>2018</v>
      </c>
      <c r="D35" s="196" t="s">
        <v>459</v>
      </c>
      <c r="E35" s="96" t="s">
        <v>432</v>
      </c>
      <c r="F35" s="96" t="s">
        <v>433</v>
      </c>
      <c r="G35" s="96" t="s">
        <v>36</v>
      </c>
      <c r="H35" s="96" t="s">
        <v>174</v>
      </c>
      <c r="I35" s="96" t="s">
        <v>153</v>
      </c>
      <c r="J35" s="96" t="s">
        <v>38</v>
      </c>
      <c r="K35" s="96" t="s">
        <v>429</v>
      </c>
      <c r="L35" s="96">
        <v>1</v>
      </c>
      <c r="N35" s="96">
        <v>4</v>
      </c>
      <c r="O35" s="96">
        <v>0.49</v>
      </c>
      <c r="P35" s="96">
        <v>0.48</v>
      </c>
      <c r="Q35" s="129">
        <f t="shared" si="2"/>
        <v>0.48499999999999999</v>
      </c>
      <c r="R35" s="96">
        <v>18.899999999999999</v>
      </c>
      <c r="S35" s="96">
        <v>90</v>
      </c>
      <c r="T35" s="105">
        <f t="shared" si="0"/>
        <v>39</v>
      </c>
      <c r="U35" s="96">
        <v>399</v>
      </c>
      <c r="V35" s="105">
        <f t="shared" si="1"/>
        <v>16</v>
      </c>
      <c r="W35" s="96">
        <v>1</v>
      </c>
      <c r="X35" s="96" t="s">
        <v>39</v>
      </c>
      <c r="Y35" s="96" t="s">
        <v>90</v>
      </c>
      <c r="Z35" s="96" t="s">
        <v>84</v>
      </c>
      <c r="AA35" s="96" t="s">
        <v>69</v>
      </c>
      <c r="AB35" s="121" t="s">
        <v>431</v>
      </c>
      <c r="AV35" s="116"/>
    </row>
    <row r="36" spans="1:48" x14ac:dyDescent="0.15">
      <c r="A36" s="96" t="s">
        <v>59</v>
      </c>
      <c r="B36" s="121" t="s">
        <v>371</v>
      </c>
      <c r="C36" s="89">
        <v>2018</v>
      </c>
      <c r="D36" s="196" t="s">
        <v>372</v>
      </c>
      <c r="E36" s="96" t="s">
        <v>432</v>
      </c>
      <c r="F36" s="96" t="s">
        <v>433</v>
      </c>
      <c r="G36" s="96" t="s">
        <v>36</v>
      </c>
      <c r="H36" s="96" t="s">
        <v>174</v>
      </c>
      <c r="I36" s="96" t="s">
        <v>153</v>
      </c>
      <c r="J36" s="96" t="s">
        <v>38</v>
      </c>
      <c r="K36" s="96" t="s">
        <v>429</v>
      </c>
      <c r="L36" s="96">
        <v>2</v>
      </c>
      <c r="N36" s="96">
        <v>4</v>
      </c>
      <c r="O36" s="96">
        <v>0.37</v>
      </c>
      <c r="P36" s="96">
        <v>0.35</v>
      </c>
      <c r="Q36" s="129">
        <f t="shared" si="2"/>
        <v>0.36</v>
      </c>
      <c r="R36" s="96">
        <v>18.899999999999999</v>
      </c>
      <c r="S36" s="96">
        <v>77</v>
      </c>
      <c r="T36" s="105">
        <f t="shared" si="0"/>
        <v>42</v>
      </c>
      <c r="U36" s="96">
        <v>399</v>
      </c>
      <c r="V36" s="105">
        <f t="shared" si="1"/>
        <v>16</v>
      </c>
      <c r="W36" s="96">
        <v>1</v>
      </c>
      <c r="X36" s="96" t="s">
        <v>39</v>
      </c>
      <c r="Y36" s="96" t="s">
        <v>90</v>
      </c>
      <c r="Z36" s="96" t="s">
        <v>84</v>
      </c>
      <c r="AA36" s="96" t="s">
        <v>69</v>
      </c>
      <c r="AB36" s="121" t="s">
        <v>431</v>
      </c>
      <c r="AV36" s="116"/>
    </row>
    <row r="37" spans="1:48" x14ac:dyDescent="0.15">
      <c r="A37" s="96" t="s">
        <v>59</v>
      </c>
      <c r="B37" s="121" t="s">
        <v>371</v>
      </c>
      <c r="C37" s="89">
        <v>2018</v>
      </c>
      <c r="D37" s="196" t="s">
        <v>372</v>
      </c>
      <c r="E37" s="96" t="s">
        <v>432</v>
      </c>
      <c r="F37" s="96" t="s">
        <v>433</v>
      </c>
      <c r="G37" s="96" t="s">
        <v>36</v>
      </c>
      <c r="H37" s="96" t="s">
        <v>174</v>
      </c>
      <c r="I37" s="96" t="s">
        <v>153</v>
      </c>
      <c r="J37" s="96" t="s">
        <v>38</v>
      </c>
      <c r="K37" s="96" t="s">
        <v>429</v>
      </c>
      <c r="L37" s="96">
        <v>3</v>
      </c>
      <c r="N37" s="96">
        <v>4</v>
      </c>
      <c r="O37" s="96">
        <v>0.39</v>
      </c>
      <c r="P37" s="96">
        <v>0.43</v>
      </c>
      <c r="Q37" s="129">
        <f t="shared" si="2"/>
        <v>0.41000000000000003</v>
      </c>
      <c r="R37" s="96">
        <v>18</v>
      </c>
      <c r="S37" s="96">
        <v>77</v>
      </c>
      <c r="T37" s="105">
        <f t="shared" si="0"/>
        <v>42</v>
      </c>
      <c r="U37" s="96">
        <v>399</v>
      </c>
      <c r="V37" s="105">
        <f t="shared" si="1"/>
        <v>16</v>
      </c>
      <c r="W37" s="96">
        <v>1</v>
      </c>
      <c r="X37" s="96" t="s">
        <v>39</v>
      </c>
      <c r="Y37" s="96" t="s">
        <v>90</v>
      </c>
      <c r="Z37" s="96" t="s">
        <v>84</v>
      </c>
      <c r="AA37" s="96" t="s">
        <v>69</v>
      </c>
      <c r="AB37" s="121" t="s">
        <v>431</v>
      </c>
      <c r="AV37" s="116"/>
    </row>
    <row r="38" spans="1:48" x14ac:dyDescent="0.15">
      <c r="A38" s="96" t="s">
        <v>59</v>
      </c>
      <c r="B38" s="121" t="s">
        <v>371</v>
      </c>
      <c r="C38" s="89">
        <v>2018</v>
      </c>
      <c r="D38" s="196" t="s">
        <v>372</v>
      </c>
      <c r="E38" s="96" t="s">
        <v>432</v>
      </c>
      <c r="F38" s="96" t="s">
        <v>433</v>
      </c>
      <c r="G38" s="96" t="s">
        <v>36</v>
      </c>
      <c r="H38" s="96" t="s">
        <v>155</v>
      </c>
      <c r="I38" s="96" t="s">
        <v>153</v>
      </c>
      <c r="J38" s="96" t="s">
        <v>38</v>
      </c>
      <c r="K38" s="96" t="s">
        <v>154</v>
      </c>
      <c r="L38" s="96">
        <v>1</v>
      </c>
      <c r="N38" s="96">
        <v>3</v>
      </c>
      <c r="O38" s="96">
        <v>0.53</v>
      </c>
      <c r="P38" s="96">
        <v>0.52</v>
      </c>
      <c r="Q38" s="129">
        <f t="shared" si="2"/>
        <v>0.52500000000000002</v>
      </c>
      <c r="R38" s="96">
        <v>13.7</v>
      </c>
      <c r="S38" s="96">
        <v>130</v>
      </c>
      <c r="T38" s="105">
        <f t="shared" si="0"/>
        <v>30</v>
      </c>
      <c r="U38" s="96">
        <v>350</v>
      </c>
      <c r="V38" s="105">
        <f t="shared" si="1"/>
        <v>16</v>
      </c>
      <c r="W38" s="96">
        <v>4</v>
      </c>
      <c r="X38" s="96" t="s">
        <v>39</v>
      </c>
      <c r="Y38" s="96" t="s">
        <v>90</v>
      </c>
      <c r="Z38" s="96" t="s">
        <v>84</v>
      </c>
      <c r="AA38" s="96" t="s">
        <v>69</v>
      </c>
      <c r="AB38" s="121" t="s">
        <v>474</v>
      </c>
      <c r="AV38" s="116"/>
    </row>
    <row r="39" spans="1:48" x14ac:dyDescent="0.15">
      <c r="A39" s="96" t="s">
        <v>59</v>
      </c>
      <c r="B39" s="121" t="s">
        <v>436</v>
      </c>
      <c r="C39" s="89">
        <v>2018</v>
      </c>
      <c r="D39" s="196" t="s">
        <v>437</v>
      </c>
      <c r="E39" s="96" t="s">
        <v>432</v>
      </c>
      <c r="F39" s="96" t="s">
        <v>433</v>
      </c>
      <c r="G39" s="96" t="s">
        <v>36</v>
      </c>
      <c r="H39" s="96" t="s">
        <v>155</v>
      </c>
      <c r="I39" s="96" t="s">
        <v>153</v>
      </c>
      <c r="J39" s="96" t="s">
        <v>38</v>
      </c>
      <c r="K39" s="96" t="s">
        <v>154</v>
      </c>
      <c r="L39" s="96">
        <v>2</v>
      </c>
      <c r="N39" s="96">
        <v>3</v>
      </c>
      <c r="O39" s="96">
        <v>0.25</v>
      </c>
      <c r="P39" s="96">
        <v>0.27</v>
      </c>
      <c r="Q39" s="129">
        <f t="shared" si="2"/>
        <v>0.26</v>
      </c>
      <c r="R39" s="96">
        <v>16.8</v>
      </c>
      <c r="S39" s="96">
        <v>135</v>
      </c>
      <c r="T39" s="105">
        <f t="shared" si="0"/>
        <v>30</v>
      </c>
      <c r="U39" s="96">
        <v>350</v>
      </c>
      <c r="V39" s="105">
        <f t="shared" si="1"/>
        <v>16</v>
      </c>
      <c r="W39" s="96">
        <v>4</v>
      </c>
      <c r="X39" s="96" t="s">
        <v>39</v>
      </c>
      <c r="Y39" s="96" t="s">
        <v>90</v>
      </c>
      <c r="Z39" s="96" t="s">
        <v>84</v>
      </c>
      <c r="AA39" s="96" t="s">
        <v>69</v>
      </c>
      <c r="AB39" s="121" t="s">
        <v>474</v>
      </c>
      <c r="AV39" s="116"/>
    </row>
    <row r="40" spans="1:48" x14ac:dyDescent="0.15">
      <c r="A40" s="96" t="s">
        <v>59</v>
      </c>
      <c r="B40" s="121" t="s">
        <v>436</v>
      </c>
      <c r="C40" s="89">
        <v>2018</v>
      </c>
      <c r="D40" s="196" t="s">
        <v>437</v>
      </c>
      <c r="E40" s="96" t="s">
        <v>432</v>
      </c>
      <c r="F40" s="96" t="s">
        <v>433</v>
      </c>
      <c r="G40" s="96" t="s">
        <v>36</v>
      </c>
      <c r="H40" s="96" t="s">
        <v>155</v>
      </c>
      <c r="I40" s="96" t="s">
        <v>153</v>
      </c>
      <c r="J40" s="96" t="s">
        <v>38</v>
      </c>
      <c r="K40" s="96" t="s">
        <v>154</v>
      </c>
      <c r="L40" s="96">
        <v>3</v>
      </c>
      <c r="N40" s="96">
        <v>3</v>
      </c>
      <c r="O40" s="96">
        <v>0.5</v>
      </c>
      <c r="P40" s="96">
        <v>0.51</v>
      </c>
      <c r="Q40" s="129">
        <f t="shared" si="2"/>
        <v>0.505</v>
      </c>
      <c r="R40" s="96">
        <v>14.9</v>
      </c>
      <c r="S40" s="96">
        <v>135</v>
      </c>
      <c r="T40" s="105">
        <f t="shared" si="0"/>
        <v>30</v>
      </c>
      <c r="U40" s="96">
        <v>350</v>
      </c>
      <c r="V40" s="105">
        <f t="shared" si="1"/>
        <v>16</v>
      </c>
      <c r="W40" s="96">
        <v>4</v>
      </c>
      <c r="X40" s="96" t="s">
        <v>39</v>
      </c>
      <c r="Y40" s="96" t="s">
        <v>90</v>
      </c>
      <c r="Z40" s="96" t="s">
        <v>84</v>
      </c>
      <c r="AA40" s="96" t="s">
        <v>69</v>
      </c>
      <c r="AB40" s="121" t="s">
        <v>474</v>
      </c>
    </row>
    <row r="41" spans="1:48" x14ac:dyDescent="0.15">
      <c r="A41" s="96" t="s">
        <v>59</v>
      </c>
      <c r="B41" s="121" t="s">
        <v>436</v>
      </c>
      <c r="C41" s="89">
        <v>2018</v>
      </c>
      <c r="D41" s="196" t="s">
        <v>437</v>
      </c>
      <c r="E41" s="96" t="s">
        <v>414</v>
      </c>
      <c r="F41" s="96" t="s">
        <v>415</v>
      </c>
      <c r="G41" s="96" t="s">
        <v>36</v>
      </c>
      <c r="H41" s="96" t="s">
        <v>155</v>
      </c>
      <c r="I41" s="96" t="s">
        <v>153</v>
      </c>
      <c r="J41" s="96" t="s">
        <v>38</v>
      </c>
      <c r="K41" s="96" t="s">
        <v>154</v>
      </c>
      <c r="L41" s="96">
        <v>1</v>
      </c>
      <c r="N41" s="96">
        <v>5</v>
      </c>
      <c r="O41" s="96">
        <v>0.65</v>
      </c>
      <c r="P41" s="96">
        <v>0.68</v>
      </c>
      <c r="Q41" s="129">
        <f t="shared" si="2"/>
        <v>0.66500000000000004</v>
      </c>
      <c r="R41" s="96">
        <v>13.5</v>
      </c>
      <c r="S41" s="96">
        <v>91</v>
      </c>
      <c r="T41" s="105">
        <f t="shared" si="0"/>
        <v>36</v>
      </c>
      <c r="U41" s="96">
        <v>213</v>
      </c>
      <c r="V41" s="105">
        <f t="shared" si="1"/>
        <v>16</v>
      </c>
      <c r="W41" s="96">
        <v>1</v>
      </c>
      <c r="X41" s="96" t="s">
        <v>39</v>
      </c>
      <c r="Y41" s="96" t="s">
        <v>90</v>
      </c>
      <c r="Z41" s="96" t="s">
        <v>84</v>
      </c>
      <c r="AA41" s="96" t="s">
        <v>457</v>
      </c>
      <c r="AB41" s="121" t="s">
        <v>460</v>
      </c>
    </row>
    <row r="42" spans="1:48" x14ac:dyDescent="0.15">
      <c r="A42" s="96" t="s">
        <v>59</v>
      </c>
      <c r="B42" s="121" t="s">
        <v>458</v>
      </c>
      <c r="C42" s="89">
        <v>2018</v>
      </c>
      <c r="D42" s="196" t="s">
        <v>459</v>
      </c>
      <c r="E42" s="96" t="s">
        <v>414</v>
      </c>
      <c r="F42" s="96" t="s">
        <v>415</v>
      </c>
      <c r="G42" s="96" t="s">
        <v>36</v>
      </c>
      <c r="H42" s="96" t="s">
        <v>155</v>
      </c>
      <c r="I42" s="96" t="s">
        <v>153</v>
      </c>
      <c r="J42" s="96" t="s">
        <v>38</v>
      </c>
      <c r="K42" s="96" t="s">
        <v>154</v>
      </c>
      <c r="L42" s="96">
        <v>2</v>
      </c>
      <c r="N42" s="96">
        <v>5</v>
      </c>
      <c r="O42" s="96">
        <v>0.53</v>
      </c>
      <c r="P42" s="96">
        <v>0.56999999999999995</v>
      </c>
      <c r="Q42" s="129">
        <f t="shared" si="2"/>
        <v>0.55000000000000004</v>
      </c>
      <c r="R42" s="96">
        <v>14.2</v>
      </c>
      <c r="S42" s="96">
        <v>83</v>
      </c>
      <c r="T42" s="105">
        <f t="shared" si="0"/>
        <v>39</v>
      </c>
      <c r="U42" s="96">
        <v>213</v>
      </c>
      <c r="V42" s="105">
        <f t="shared" si="1"/>
        <v>16</v>
      </c>
      <c r="W42" s="96">
        <v>1</v>
      </c>
      <c r="X42" s="96" t="s">
        <v>39</v>
      </c>
      <c r="Y42" s="96" t="s">
        <v>90</v>
      </c>
      <c r="Z42" s="96" t="s">
        <v>84</v>
      </c>
      <c r="AA42" s="96" t="s">
        <v>457</v>
      </c>
      <c r="AB42" s="121" t="s">
        <v>460</v>
      </c>
    </row>
    <row r="43" spans="1:48" x14ac:dyDescent="0.15">
      <c r="A43" s="96" t="s">
        <v>59</v>
      </c>
      <c r="B43" s="121" t="s">
        <v>458</v>
      </c>
      <c r="C43" s="89">
        <v>2018</v>
      </c>
      <c r="D43" s="196" t="s">
        <v>459</v>
      </c>
      <c r="E43" s="96" t="s">
        <v>414</v>
      </c>
      <c r="F43" s="96" t="s">
        <v>415</v>
      </c>
      <c r="G43" s="96" t="s">
        <v>36</v>
      </c>
      <c r="H43" s="96" t="s">
        <v>155</v>
      </c>
      <c r="I43" s="96" t="s">
        <v>153</v>
      </c>
      <c r="J43" s="96" t="s">
        <v>38</v>
      </c>
      <c r="K43" s="96" t="s">
        <v>154</v>
      </c>
      <c r="L43" s="96">
        <v>3</v>
      </c>
      <c r="N43" s="96">
        <v>5</v>
      </c>
      <c r="O43" s="96">
        <v>0.52</v>
      </c>
      <c r="P43" s="96">
        <v>0.59</v>
      </c>
      <c r="Q43" s="129">
        <f t="shared" si="2"/>
        <v>0.55499999999999994</v>
      </c>
      <c r="R43" s="96">
        <v>13.8</v>
      </c>
      <c r="S43" s="96">
        <v>89</v>
      </c>
      <c r="T43" s="105">
        <f t="shared" si="0"/>
        <v>36</v>
      </c>
      <c r="U43" s="96">
        <v>213</v>
      </c>
      <c r="V43" s="105">
        <f t="shared" si="1"/>
        <v>16</v>
      </c>
      <c r="W43" s="96">
        <v>1</v>
      </c>
      <c r="X43" s="96" t="s">
        <v>39</v>
      </c>
      <c r="Y43" s="96" t="s">
        <v>90</v>
      </c>
      <c r="Z43" s="96" t="s">
        <v>84</v>
      </c>
      <c r="AA43" s="96" t="s">
        <v>457</v>
      </c>
      <c r="AB43" s="121" t="s">
        <v>460</v>
      </c>
    </row>
    <row r="44" spans="1:48" x14ac:dyDescent="0.15">
      <c r="A44" s="96" t="s">
        <v>59</v>
      </c>
      <c r="B44" s="121" t="s">
        <v>458</v>
      </c>
      <c r="C44" s="89">
        <v>2018</v>
      </c>
      <c r="D44" s="196" t="s">
        <v>459</v>
      </c>
      <c r="E44" s="96" t="s">
        <v>444</v>
      </c>
      <c r="F44" s="96" t="s">
        <v>445</v>
      </c>
      <c r="G44" s="96" t="s">
        <v>36</v>
      </c>
      <c r="H44" s="96" t="s">
        <v>174</v>
      </c>
      <c r="I44" s="96" t="s">
        <v>153</v>
      </c>
      <c r="J44" s="96" t="s">
        <v>38</v>
      </c>
      <c r="K44" s="96" t="s">
        <v>429</v>
      </c>
      <c r="L44" s="96">
        <v>1</v>
      </c>
      <c r="N44" s="96">
        <v>4</v>
      </c>
      <c r="O44" s="96">
        <v>0.38</v>
      </c>
      <c r="P44" s="96">
        <v>0.35</v>
      </c>
      <c r="Q44" s="129">
        <f t="shared" si="2"/>
        <v>0.36499999999999999</v>
      </c>
      <c r="R44" s="96">
        <v>17.600000000000001</v>
      </c>
      <c r="S44" s="96">
        <v>89</v>
      </c>
      <c r="T44" s="105">
        <f t="shared" si="0"/>
        <v>39</v>
      </c>
      <c r="U44" s="96">
        <v>458</v>
      </c>
      <c r="V44" s="105">
        <f t="shared" si="1"/>
        <v>16</v>
      </c>
      <c r="W44" s="96">
        <v>1</v>
      </c>
      <c r="X44" s="96" t="s">
        <v>39</v>
      </c>
      <c r="Y44" s="96" t="s">
        <v>84</v>
      </c>
      <c r="Z44" s="96" t="s">
        <v>90</v>
      </c>
      <c r="AA44" s="96" t="s">
        <v>40</v>
      </c>
      <c r="AB44" s="121" t="s">
        <v>431</v>
      </c>
    </row>
    <row r="45" spans="1:48" x14ac:dyDescent="0.15">
      <c r="A45" s="96" t="s">
        <v>59</v>
      </c>
      <c r="B45" s="121" t="s">
        <v>371</v>
      </c>
      <c r="C45" s="89">
        <v>2018</v>
      </c>
      <c r="D45" s="196" t="s">
        <v>372</v>
      </c>
      <c r="E45" s="96" t="s">
        <v>444</v>
      </c>
      <c r="F45" s="96" t="s">
        <v>445</v>
      </c>
      <c r="G45" s="96" t="s">
        <v>36</v>
      </c>
      <c r="H45" s="96" t="s">
        <v>174</v>
      </c>
      <c r="I45" s="96" t="s">
        <v>153</v>
      </c>
      <c r="J45" s="96" t="s">
        <v>38</v>
      </c>
      <c r="K45" s="96" t="s">
        <v>429</v>
      </c>
      <c r="L45" s="96">
        <v>2</v>
      </c>
      <c r="N45" s="96">
        <v>4</v>
      </c>
      <c r="O45" s="96">
        <v>0.46</v>
      </c>
      <c r="P45" s="96">
        <v>0.5</v>
      </c>
      <c r="Q45" s="129">
        <f t="shared" si="2"/>
        <v>0.48</v>
      </c>
      <c r="R45" s="96">
        <v>17.100000000000001</v>
      </c>
      <c r="S45" s="96">
        <v>90</v>
      </c>
      <c r="T45" s="105">
        <f t="shared" si="0"/>
        <v>39</v>
      </c>
      <c r="U45" s="96">
        <v>458</v>
      </c>
      <c r="V45" s="105">
        <f t="shared" si="1"/>
        <v>16</v>
      </c>
      <c r="W45" s="96">
        <v>1</v>
      </c>
      <c r="X45" s="96" t="s">
        <v>39</v>
      </c>
      <c r="Y45" s="96" t="s">
        <v>84</v>
      </c>
      <c r="Z45" s="96" t="s">
        <v>90</v>
      </c>
      <c r="AA45" s="96" t="s">
        <v>40</v>
      </c>
      <c r="AB45" s="121" t="s">
        <v>431</v>
      </c>
    </row>
    <row r="46" spans="1:48" x14ac:dyDescent="0.15">
      <c r="A46" s="96" t="s">
        <v>59</v>
      </c>
      <c r="B46" s="121" t="s">
        <v>371</v>
      </c>
      <c r="C46" s="89">
        <v>2018</v>
      </c>
      <c r="D46" s="196" t="s">
        <v>372</v>
      </c>
      <c r="E46" s="96" t="s">
        <v>444</v>
      </c>
      <c r="F46" s="96" t="s">
        <v>445</v>
      </c>
      <c r="G46" s="96" t="s">
        <v>36</v>
      </c>
      <c r="H46" s="96" t="s">
        <v>174</v>
      </c>
      <c r="I46" s="96" t="s">
        <v>153</v>
      </c>
      <c r="J46" s="96" t="s">
        <v>38</v>
      </c>
      <c r="K46" s="96" t="s">
        <v>429</v>
      </c>
      <c r="L46" s="96">
        <v>3</v>
      </c>
      <c r="N46" s="96">
        <v>4</v>
      </c>
      <c r="O46" s="96">
        <v>0.39</v>
      </c>
      <c r="P46" s="96">
        <v>0.47</v>
      </c>
      <c r="Q46" s="129">
        <f t="shared" si="2"/>
        <v>0.43</v>
      </c>
      <c r="R46" s="96">
        <v>17.100000000000001</v>
      </c>
      <c r="S46" s="96">
        <v>94</v>
      </c>
      <c r="T46" s="105">
        <f t="shared" si="0"/>
        <v>39</v>
      </c>
      <c r="U46" s="96">
        <v>458</v>
      </c>
      <c r="V46" s="105">
        <f t="shared" si="1"/>
        <v>16</v>
      </c>
      <c r="W46" s="96">
        <v>1</v>
      </c>
      <c r="X46" s="96" t="s">
        <v>39</v>
      </c>
      <c r="Y46" s="96" t="s">
        <v>84</v>
      </c>
      <c r="Z46" s="96" t="s">
        <v>90</v>
      </c>
      <c r="AA46" s="96" t="s">
        <v>40</v>
      </c>
      <c r="AB46" s="121" t="s">
        <v>431</v>
      </c>
    </row>
    <row r="47" spans="1:48" x14ac:dyDescent="0.15">
      <c r="A47" s="96" t="s">
        <v>59</v>
      </c>
      <c r="B47" s="121" t="s">
        <v>371</v>
      </c>
      <c r="C47" s="89">
        <v>2018</v>
      </c>
      <c r="D47" s="196" t="s">
        <v>372</v>
      </c>
      <c r="E47" s="96" t="s">
        <v>444</v>
      </c>
      <c r="F47" s="96" t="s">
        <v>445</v>
      </c>
      <c r="G47" s="96" t="s">
        <v>36</v>
      </c>
      <c r="H47" s="96" t="s">
        <v>155</v>
      </c>
      <c r="I47" s="96" t="s">
        <v>153</v>
      </c>
      <c r="J47" s="96" t="s">
        <v>38</v>
      </c>
      <c r="K47" s="96" t="s">
        <v>154</v>
      </c>
      <c r="L47" s="96">
        <v>1</v>
      </c>
      <c r="N47" s="96">
        <v>4</v>
      </c>
      <c r="O47" s="96">
        <v>0.72</v>
      </c>
      <c r="P47" s="96">
        <v>0.6</v>
      </c>
      <c r="Q47" s="129">
        <f t="shared" si="2"/>
        <v>0.65999999999999992</v>
      </c>
      <c r="R47" s="96">
        <v>14.2</v>
      </c>
      <c r="S47" s="96">
        <v>95</v>
      </c>
      <c r="T47" s="105">
        <f t="shared" si="0"/>
        <v>36</v>
      </c>
      <c r="U47" s="96">
        <v>348</v>
      </c>
      <c r="V47" s="105">
        <f t="shared" si="1"/>
        <v>16</v>
      </c>
      <c r="W47" s="96">
        <v>3</v>
      </c>
      <c r="X47" s="96" t="s">
        <v>39</v>
      </c>
      <c r="Y47" s="96" t="s">
        <v>84</v>
      </c>
      <c r="Z47" s="96" t="s">
        <v>90</v>
      </c>
      <c r="AA47" s="96" t="s">
        <v>40</v>
      </c>
      <c r="AB47" s="121" t="s">
        <v>431</v>
      </c>
    </row>
    <row r="48" spans="1:48" x14ac:dyDescent="0.15">
      <c r="A48" s="96" t="s">
        <v>59</v>
      </c>
      <c r="B48" s="121" t="s">
        <v>371</v>
      </c>
      <c r="C48" s="89">
        <v>2018</v>
      </c>
      <c r="D48" s="196" t="s">
        <v>372</v>
      </c>
      <c r="E48" s="96" t="s">
        <v>444</v>
      </c>
      <c r="F48" s="96" t="s">
        <v>445</v>
      </c>
      <c r="G48" s="96" t="s">
        <v>36</v>
      </c>
      <c r="H48" s="96" t="s">
        <v>155</v>
      </c>
      <c r="I48" s="96" t="s">
        <v>153</v>
      </c>
      <c r="J48" s="96" t="s">
        <v>38</v>
      </c>
      <c r="K48" s="96" t="s">
        <v>154</v>
      </c>
      <c r="L48" s="96">
        <v>2</v>
      </c>
      <c r="N48" s="96">
        <v>4</v>
      </c>
      <c r="O48" s="96">
        <v>0.54</v>
      </c>
      <c r="P48" s="96">
        <v>0.45</v>
      </c>
      <c r="Q48" s="129">
        <f t="shared" si="2"/>
        <v>0.495</v>
      </c>
      <c r="R48" s="96">
        <v>13.7</v>
      </c>
      <c r="S48" s="96">
        <v>94</v>
      </c>
      <c r="T48" s="105">
        <f t="shared" si="0"/>
        <v>36</v>
      </c>
      <c r="U48" s="96">
        <v>348</v>
      </c>
      <c r="V48" s="105">
        <f t="shared" si="1"/>
        <v>16</v>
      </c>
      <c r="W48" s="96">
        <v>3</v>
      </c>
      <c r="X48" s="96" t="s">
        <v>39</v>
      </c>
      <c r="Y48" s="96" t="s">
        <v>84</v>
      </c>
      <c r="Z48" s="96" t="s">
        <v>90</v>
      </c>
      <c r="AA48" s="96" t="s">
        <v>40</v>
      </c>
      <c r="AB48" s="121" t="s">
        <v>431</v>
      </c>
    </row>
    <row r="49" spans="1:28" x14ac:dyDescent="0.15">
      <c r="A49" s="96" t="s">
        <v>59</v>
      </c>
      <c r="B49" s="121" t="s">
        <v>371</v>
      </c>
      <c r="C49" s="89">
        <v>2018</v>
      </c>
      <c r="D49" s="196" t="s">
        <v>372</v>
      </c>
      <c r="E49" s="96" t="s">
        <v>444</v>
      </c>
      <c r="F49" s="96" t="s">
        <v>445</v>
      </c>
      <c r="G49" s="96" t="s">
        <v>36</v>
      </c>
      <c r="H49" s="96" t="s">
        <v>155</v>
      </c>
      <c r="I49" s="96" t="s">
        <v>153</v>
      </c>
      <c r="J49" s="96" t="s">
        <v>38</v>
      </c>
      <c r="K49" s="96" t="s">
        <v>154</v>
      </c>
      <c r="L49" s="96">
        <v>3</v>
      </c>
      <c r="N49" s="96">
        <v>4</v>
      </c>
      <c r="O49" s="96">
        <v>0.66</v>
      </c>
      <c r="P49" s="96">
        <v>0.62</v>
      </c>
      <c r="Q49" s="129">
        <f t="shared" si="2"/>
        <v>0.64</v>
      </c>
      <c r="R49" s="96">
        <v>14.5</v>
      </c>
      <c r="S49" s="96">
        <v>105</v>
      </c>
      <c r="T49" s="105">
        <f t="shared" si="0"/>
        <v>33</v>
      </c>
      <c r="U49" s="96">
        <v>348</v>
      </c>
      <c r="V49" s="105">
        <f t="shared" si="1"/>
        <v>16</v>
      </c>
      <c r="W49" s="96">
        <v>3</v>
      </c>
      <c r="X49" s="96" t="s">
        <v>39</v>
      </c>
      <c r="Y49" s="96" t="s">
        <v>84</v>
      </c>
      <c r="Z49" s="96" t="s">
        <v>90</v>
      </c>
      <c r="AA49" s="96" t="s">
        <v>40</v>
      </c>
      <c r="AB49" s="121" t="s">
        <v>431</v>
      </c>
    </row>
    <row r="50" spans="1:28" x14ac:dyDescent="0.15">
      <c r="A50" s="96" t="s">
        <v>59</v>
      </c>
      <c r="B50" s="121" t="s">
        <v>371</v>
      </c>
      <c r="C50" s="89">
        <v>2018</v>
      </c>
      <c r="D50" s="196" t="s">
        <v>372</v>
      </c>
      <c r="E50" s="96" t="s">
        <v>425</v>
      </c>
      <c r="F50" s="96" t="s">
        <v>426</v>
      </c>
      <c r="G50" s="96" t="s">
        <v>36</v>
      </c>
      <c r="H50" s="96" t="s">
        <v>155</v>
      </c>
      <c r="I50" s="96" t="s">
        <v>153</v>
      </c>
      <c r="J50" s="96" t="s">
        <v>38</v>
      </c>
      <c r="K50" s="96" t="s">
        <v>154</v>
      </c>
      <c r="L50" s="96">
        <v>1</v>
      </c>
      <c r="N50" s="96">
        <v>4</v>
      </c>
      <c r="O50" s="96">
        <v>0.26</v>
      </c>
      <c r="P50" s="96">
        <v>0.3</v>
      </c>
      <c r="Q50" s="129">
        <f t="shared" si="2"/>
        <v>0.28000000000000003</v>
      </c>
      <c r="R50" s="96">
        <v>13.9</v>
      </c>
      <c r="S50" s="96">
        <v>86</v>
      </c>
      <c r="T50" s="105">
        <f t="shared" si="0"/>
        <v>36</v>
      </c>
      <c r="U50" s="96">
        <v>386</v>
      </c>
      <c r="V50" s="105">
        <f t="shared" si="1"/>
        <v>16</v>
      </c>
      <c r="W50" s="96">
        <v>2</v>
      </c>
      <c r="X50" s="96" t="s">
        <v>46</v>
      </c>
      <c r="Y50" s="96" t="s">
        <v>90</v>
      </c>
      <c r="Z50" s="96" t="s">
        <v>84</v>
      </c>
      <c r="AA50" s="96" t="s">
        <v>69</v>
      </c>
      <c r="AB50" s="121" t="s">
        <v>431</v>
      </c>
    </row>
    <row r="51" spans="1:28" x14ac:dyDescent="0.15">
      <c r="A51" s="96" t="s">
        <v>59</v>
      </c>
      <c r="B51" s="121" t="s">
        <v>371</v>
      </c>
      <c r="C51" s="89">
        <v>2018</v>
      </c>
      <c r="D51" s="196" t="s">
        <v>372</v>
      </c>
      <c r="E51" s="96" t="s">
        <v>425</v>
      </c>
      <c r="F51" s="96" t="s">
        <v>426</v>
      </c>
      <c r="G51" s="96" t="s">
        <v>36</v>
      </c>
      <c r="H51" s="96" t="s">
        <v>155</v>
      </c>
      <c r="I51" s="96" t="s">
        <v>153</v>
      </c>
      <c r="J51" s="96" t="s">
        <v>38</v>
      </c>
      <c r="K51" s="96" t="s">
        <v>154</v>
      </c>
      <c r="L51" s="96">
        <v>2</v>
      </c>
      <c r="N51" s="96">
        <v>4</v>
      </c>
      <c r="O51" s="96">
        <v>0.38</v>
      </c>
      <c r="P51" s="96">
        <v>0.42</v>
      </c>
      <c r="Q51" s="129">
        <f t="shared" si="2"/>
        <v>0.4</v>
      </c>
      <c r="R51" s="96">
        <v>13.3</v>
      </c>
      <c r="S51" s="96">
        <v>94</v>
      </c>
      <c r="T51" s="105">
        <f t="shared" si="0"/>
        <v>36</v>
      </c>
      <c r="U51" s="96">
        <v>386</v>
      </c>
      <c r="V51" s="105">
        <f t="shared" si="1"/>
        <v>16</v>
      </c>
      <c r="W51" s="96">
        <v>2</v>
      </c>
      <c r="X51" s="96" t="s">
        <v>46</v>
      </c>
      <c r="Y51" s="96" t="s">
        <v>90</v>
      </c>
      <c r="Z51" s="96" t="s">
        <v>84</v>
      </c>
      <c r="AA51" s="96" t="s">
        <v>69</v>
      </c>
      <c r="AB51" s="121" t="s">
        <v>431</v>
      </c>
    </row>
    <row r="52" spans="1:28" x14ac:dyDescent="0.15">
      <c r="A52" s="96" t="s">
        <v>59</v>
      </c>
      <c r="B52" s="121" t="s">
        <v>371</v>
      </c>
      <c r="C52" s="89">
        <v>2018</v>
      </c>
      <c r="D52" s="196" t="s">
        <v>372</v>
      </c>
      <c r="E52" s="96" t="s">
        <v>425</v>
      </c>
      <c r="F52" s="96" t="s">
        <v>426</v>
      </c>
      <c r="G52" s="96" t="s">
        <v>36</v>
      </c>
      <c r="H52" s="96" t="s">
        <v>155</v>
      </c>
      <c r="I52" s="96" t="s">
        <v>153</v>
      </c>
      <c r="J52" s="96" t="s">
        <v>38</v>
      </c>
      <c r="K52" s="96" t="s">
        <v>154</v>
      </c>
      <c r="L52" s="96">
        <v>3</v>
      </c>
      <c r="N52" s="96">
        <v>4</v>
      </c>
      <c r="O52" s="96">
        <v>0.3</v>
      </c>
      <c r="P52" s="96">
        <v>0.28999999999999998</v>
      </c>
      <c r="Q52" s="129">
        <f t="shared" si="2"/>
        <v>0.29499999999999998</v>
      </c>
      <c r="R52" s="96">
        <v>13.7</v>
      </c>
      <c r="S52" s="96">
        <v>104</v>
      </c>
      <c r="T52" s="105">
        <f t="shared" si="0"/>
        <v>33</v>
      </c>
      <c r="U52" s="96">
        <v>386</v>
      </c>
      <c r="V52" s="105">
        <f t="shared" si="1"/>
        <v>16</v>
      </c>
      <c r="W52" s="96">
        <v>2</v>
      </c>
      <c r="X52" s="96" t="s">
        <v>46</v>
      </c>
      <c r="Y52" s="96" t="s">
        <v>90</v>
      </c>
      <c r="Z52" s="96" t="s">
        <v>84</v>
      </c>
      <c r="AA52" s="96" t="s">
        <v>69</v>
      </c>
      <c r="AB52" s="121" t="s">
        <v>431</v>
      </c>
    </row>
    <row r="53" spans="1:28" x14ac:dyDescent="0.15">
      <c r="B53" s="121"/>
      <c r="C53" s="89"/>
      <c r="D53" s="196"/>
      <c r="Q53" s="129" t="str">
        <f t="shared" si="2"/>
        <v/>
      </c>
      <c r="T53" s="105" t="str">
        <f t="shared" si="0"/>
        <v/>
      </c>
      <c r="V53" s="105" t="str">
        <f t="shared" si="1"/>
        <v/>
      </c>
      <c r="AB53" s="121"/>
    </row>
    <row r="54" spans="1:28" x14ac:dyDescent="0.15">
      <c r="B54" s="121"/>
      <c r="C54" s="89"/>
      <c r="D54" s="196"/>
      <c r="Q54" s="129" t="str">
        <f t="shared" si="2"/>
        <v/>
      </c>
      <c r="T54" s="105" t="str">
        <f t="shared" si="0"/>
        <v/>
      </c>
      <c r="V54" s="105" t="str">
        <f t="shared" si="1"/>
        <v/>
      </c>
      <c r="AB54" s="121"/>
    </row>
    <row r="55" spans="1:28" x14ac:dyDescent="0.15">
      <c r="B55" s="121"/>
      <c r="C55" s="89"/>
      <c r="D55" s="196"/>
      <c r="Q55" s="129" t="str">
        <f t="shared" si="2"/>
        <v/>
      </c>
      <c r="T55" s="105" t="str">
        <f t="shared" si="0"/>
        <v/>
      </c>
      <c r="V55" s="105" t="str">
        <f t="shared" si="1"/>
        <v/>
      </c>
      <c r="AB55" s="121"/>
    </row>
    <row r="56" spans="1:28" x14ac:dyDescent="0.15">
      <c r="B56" s="121"/>
      <c r="C56" s="89"/>
      <c r="D56" s="196"/>
      <c r="Q56" s="129" t="str">
        <f t="shared" si="2"/>
        <v/>
      </c>
      <c r="T56" s="105" t="str">
        <f t="shared" si="0"/>
        <v/>
      </c>
      <c r="V56" s="105" t="str">
        <f t="shared" si="1"/>
        <v/>
      </c>
      <c r="AB56" s="121"/>
    </row>
    <row r="57" spans="1:28" x14ac:dyDescent="0.15">
      <c r="B57" s="121"/>
      <c r="C57" s="89"/>
      <c r="D57" s="196"/>
      <c r="Q57" s="129" t="str">
        <f t="shared" si="2"/>
        <v/>
      </c>
      <c r="T57" s="105" t="str">
        <f t="shared" si="0"/>
        <v/>
      </c>
      <c r="V57" s="105" t="str">
        <f t="shared" si="1"/>
        <v/>
      </c>
      <c r="AB57" s="121"/>
    </row>
    <row r="58" spans="1:28" x14ac:dyDescent="0.15">
      <c r="B58" s="121"/>
      <c r="C58" s="89"/>
      <c r="D58" s="196"/>
      <c r="Q58" s="129" t="str">
        <f t="shared" si="2"/>
        <v/>
      </c>
      <c r="T58" s="105" t="str">
        <f t="shared" si="0"/>
        <v/>
      </c>
      <c r="V58" s="105" t="str">
        <f t="shared" si="1"/>
        <v/>
      </c>
      <c r="AB58" s="121"/>
    </row>
    <row r="59" spans="1:28" x14ac:dyDescent="0.15">
      <c r="B59" s="121"/>
      <c r="C59" s="89"/>
      <c r="D59" s="196"/>
      <c r="Q59" s="129"/>
      <c r="AB59" s="121"/>
    </row>
    <row r="60" spans="1:28" x14ac:dyDescent="0.15">
      <c r="B60" s="121"/>
      <c r="C60" s="89"/>
      <c r="D60" s="196"/>
      <c r="Q60" s="129"/>
      <c r="AB60" s="121"/>
    </row>
    <row r="61" spans="1:28" x14ac:dyDescent="0.15">
      <c r="B61" s="121"/>
      <c r="C61" s="89"/>
      <c r="D61" s="196"/>
      <c r="Q61" s="129"/>
      <c r="AB61" s="121"/>
    </row>
    <row r="62" spans="1:28" x14ac:dyDescent="0.15">
      <c r="B62" s="121"/>
      <c r="C62" s="89"/>
      <c r="D62" s="196"/>
      <c r="Q62" s="129"/>
      <c r="AB62" s="121"/>
    </row>
    <row r="63" spans="1:28" x14ac:dyDescent="0.15">
      <c r="B63" s="121"/>
      <c r="C63" s="89"/>
      <c r="D63" s="196"/>
      <c r="Q63" s="129"/>
      <c r="AB63" s="121"/>
    </row>
    <row r="64" spans="1:28" x14ac:dyDescent="0.15">
      <c r="B64" s="121"/>
      <c r="C64" s="89"/>
      <c r="D64" s="196"/>
      <c r="Q64" s="129"/>
      <c r="AB64" s="121"/>
    </row>
    <row r="65" spans="2:28" x14ac:dyDescent="0.15">
      <c r="B65" s="121"/>
      <c r="C65" s="89"/>
      <c r="D65" s="196"/>
      <c r="Q65" s="129"/>
      <c r="AB65" s="121"/>
    </row>
    <row r="66" spans="2:28" x14ac:dyDescent="0.15">
      <c r="B66" s="121"/>
      <c r="C66" s="89"/>
      <c r="D66" s="196"/>
      <c r="Q66" s="129"/>
      <c r="AB66" s="121"/>
    </row>
    <row r="67" spans="2:28" x14ac:dyDescent="0.15">
      <c r="B67" s="121"/>
      <c r="C67" s="89"/>
      <c r="D67" s="196"/>
      <c r="Q67" s="129"/>
      <c r="AB67" s="121"/>
    </row>
    <row r="68" spans="2:28" x14ac:dyDescent="0.15">
      <c r="B68" s="121"/>
      <c r="C68" s="89"/>
      <c r="D68" s="196"/>
      <c r="Q68" s="129"/>
      <c r="AB68" s="121"/>
    </row>
    <row r="69" spans="2:28" x14ac:dyDescent="0.15">
      <c r="B69" s="121"/>
      <c r="C69" s="89"/>
      <c r="D69" s="196"/>
      <c r="Q69" s="129"/>
      <c r="AB69" s="121"/>
    </row>
    <row r="70" spans="2:28" x14ac:dyDescent="0.15">
      <c r="B70" s="121"/>
      <c r="C70" s="89"/>
      <c r="D70" s="196"/>
      <c r="Q70" s="129"/>
      <c r="AB70" s="121"/>
    </row>
    <row r="71" spans="2:28" x14ac:dyDescent="0.15">
      <c r="B71" s="121"/>
      <c r="C71" s="89"/>
      <c r="D71" s="196"/>
      <c r="Q71" s="129"/>
      <c r="AB71" s="121"/>
    </row>
    <row r="72" spans="2:28" x14ac:dyDescent="0.15">
      <c r="B72" s="121"/>
      <c r="C72" s="89"/>
      <c r="D72" s="196"/>
      <c r="Q72" s="129"/>
      <c r="AB72" s="121"/>
    </row>
    <row r="73" spans="2:28" x14ac:dyDescent="0.15">
      <c r="B73" s="121"/>
      <c r="C73" s="89"/>
      <c r="D73" s="196"/>
      <c r="Q73" s="129"/>
      <c r="AB73" s="121"/>
    </row>
    <row r="74" spans="2:28" x14ac:dyDescent="0.15">
      <c r="B74" s="121"/>
      <c r="C74" s="89"/>
      <c r="D74" s="196"/>
      <c r="Q74" s="129"/>
      <c r="AB74" s="121"/>
    </row>
    <row r="75" spans="2:28" x14ac:dyDescent="0.15">
      <c r="B75" s="121"/>
      <c r="C75" s="89"/>
      <c r="D75" s="196"/>
      <c r="Q75" s="129"/>
      <c r="AB75" s="121"/>
    </row>
    <row r="76" spans="2:28" x14ac:dyDescent="0.15">
      <c r="B76" s="121"/>
      <c r="C76" s="89"/>
      <c r="D76" s="196"/>
      <c r="Q76" s="129"/>
      <c r="AB76" s="121"/>
    </row>
    <row r="77" spans="2:28" x14ac:dyDescent="0.15">
      <c r="B77" s="121"/>
      <c r="C77" s="89"/>
      <c r="Q77" s="129"/>
      <c r="AB77" s="121"/>
    </row>
    <row r="78" spans="2:28" x14ac:dyDescent="0.15">
      <c r="B78" s="121"/>
      <c r="C78" s="89"/>
      <c r="Q78" s="129"/>
      <c r="AB78" s="121"/>
    </row>
    <row r="79" spans="2:28" x14ac:dyDescent="0.15">
      <c r="B79" s="121"/>
      <c r="C79" s="89"/>
      <c r="Q79" s="129"/>
      <c r="AB79" s="121"/>
    </row>
    <row r="80" spans="2:28" x14ac:dyDescent="0.15">
      <c r="B80" s="121"/>
      <c r="C80" s="89"/>
      <c r="Q80" s="129"/>
      <c r="AB80" s="121"/>
    </row>
    <row r="81" spans="2:28" x14ac:dyDescent="0.15">
      <c r="B81" s="121"/>
      <c r="C81" s="89"/>
      <c r="Q81" s="129"/>
      <c r="AB81" s="121"/>
    </row>
    <row r="82" spans="2:28" x14ac:dyDescent="0.15">
      <c r="B82" s="121"/>
      <c r="C82" s="89"/>
      <c r="Q82" s="129"/>
      <c r="AB82" s="121"/>
    </row>
    <row r="83" spans="2:28" x14ac:dyDescent="0.15">
      <c r="B83" s="121"/>
      <c r="C83" s="89"/>
      <c r="Q83" s="129"/>
      <c r="AB83" s="121"/>
    </row>
    <row r="84" spans="2:28" x14ac:dyDescent="0.15">
      <c r="B84" s="121"/>
      <c r="C84" s="89"/>
      <c r="Q84" s="129"/>
      <c r="AB84" s="121"/>
    </row>
    <row r="85" spans="2:28" x14ac:dyDescent="0.15">
      <c r="B85" s="121"/>
      <c r="C85" s="89"/>
      <c r="Q85" s="129"/>
      <c r="AB85" s="121"/>
    </row>
    <row r="86" spans="2:28" x14ac:dyDescent="0.15">
      <c r="B86" s="121"/>
      <c r="C86" s="89"/>
      <c r="Q86" s="129"/>
      <c r="AB86" s="121"/>
    </row>
    <row r="87" spans="2:28" x14ac:dyDescent="0.15">
      <c r="B87" s="121"/>
      <c r="C87" s="89"/>
      <c r="Q87" s="129"/>
      <c r="AB87" s="121"/>
    </row>
    <row r="88" spans="2:28" x14ac:dyDescent="0.15">
      <c r="B88" s="121"/>
      <c r="C88" s="89"/>
      <c r="Q88" s="129"/>
      <c r="AB88" s="121"/>
    </row>
    <row r="89" spans="2:28" x14ac:dyDescent="0.15">
      <c r="B89" s="121"/>
      <c r="C89" s="89"/>
      <c r="Q89" s="129"/>
      <c r="AB89" s="121"/>
    </row>
    <row r="90" spans="2:28" x14ac:dyDescent="0.15">
      <c r="B90" s="121"/>
      <c r="C90" s="89"/>
      <c r="Q90" s="129"/>
      <c r="AB90" s="121"/>
    </row>
    <row r="91" spans="2:28" x14ac:dyDescent="0.15">
      <c r="B91" s="121"/>
      <c r="C91" s="89"/>
      <c r="Q91" s="129"/>
      <c r="AB91" s="121"/>
    </row>
    <row r="92" spans="2:28" x14ac:dyDescent="0.15">
      <c r="B92" s="121"/>
      <c r="C92" s="89"/>
      <c r="Q92" s="129"/>
      <c r="AB92" s="121"/>
    </row>
    <row r="93" spans="2:28" x14ac:dyDescent="0.15">
      <c r="B93" s="121"/>
      <c r="C93" s="89"/>
      <c r="AB93" s="121"/>
    </row>
    <row r="94" spans="2:28" x14ac:dyDescent="0.15">
      <c r="B94" s="121"/>
      <c r="C94" s="89"/>
      <c r="AB94" s="121"/>
    </row>
    <row r="95" spans="2:28" x14ac:dyDescent="0.15">
      <c r="Q95" s="105" t="str">
        <f t="shared" ref="Q95:Q146" si="3">IF(OR(O95="",P95=""),"",AVERAGE(O95,P95))</f>
        <v/>
      </c>
      <c r="T95" s="105" t="str">
        <f t="shared" ref="T95:T146" si="4">IF(H95="","",IF(OR(H95="GREEN",H95="GK"),IF(S95&gt;=$AX$2,VLOOKUP(S95,$AX$2:$AY$12,2,1),""),IF(S95&gt;=$AZ$2,VLOOKUP(S95,$AZ$2:$BA$12,2,1),"")))</f>
        <v/>
      </c>
      <c r="V95" s="105" t="str">
        <f t="shared" ref="V95:V146" si="5">IF(J95="","",IF(OR(J95="GREEN",J95="GK"),IF(U95&gt;=$AX$2,VLOOKUP(U95,$AX$2:$AY$12,2,1),""),IF(U95&gt;=$AZ$2,VLOOKUP(U95,$AZ$2:$BA$12,2,1),"")))</f>
        <v/>
      </c>
      <c r="AB95" s="121"/>
    </row>
    <row r="96" spans="2:28" x14ac:dyDescent="0.15">
      <c r="Q96" s="105" t="str">
        <f t="shared" si="3"/>
        <v/>
      </c>
      <c r="T96" s="105" t="str">
        <f t="shared" si="4"/>
        <v/>
      </c>
      <c r="V96" s="105" t="str">
        <f t="shared" si="5"/>
        <v/>
      </c>
    </row>
    <row r="97" spans="17:22" x14ac:dyDescent="0.15">
      <c r="Q97" s="105" t="str">
        <f t="shared" si="3"/>
        <v/>
      </c>
      <c r="T97" s="105" t="str">
        <f t="shared" si="4"/>
        <v/>
      </c>
      <c r="V97" s="105" t="str">
        <f t="shared" si="5"/>
        <v/>
      </c>
    </row>
    <row r="98" spans="17:22" x14ac:dyDescent="0.15">
      <c r="Q98" s="105" t="str">
        <f t="shared" si="3"/>
        <v/>
      </c>
      <c r="T98" s="105" t="str">
        <f t="shared" si="4"/>
        <v/>
      </c>
      <c r="V98" s="105" t="str">
        <f t="shared" si="5"/>
        <v/>
      </c>
    </row>
    <row r="99" spans="17:22" x14ac:dyDescent="0.15">
      <c r="Q99" s="105" t="str">
        <f t="shared" si="3"/>
        <v/>
      </c>
      <c r="T99" s="105" t="str">
        <f t="shared" si="4"/>
        <v/>
      </c>
      <c r="V99" s="105" t="str">
        <f t="shared" si="5"/>
        <v/>
      </c>
    </row>
    <row r="100" spans="17:22" x14ac:dyDescent="0.15">
      <c r="Q100" s="105" t="str">
        <f t="shared" si="3"/>
        <v/>
      </c>
      <c r="T100" s="105" t="str">
        <f t="shared" si="4"/>
        <v/>
      </c>
      <c r="V100" s="105" t="str">
        <f t="shared" si="5"/>
        <v/>
      </c>
    </row>
    <row r="101" spans="17:22" x14ac:dyDescent="0.15">
      <c r="Q101" s="105" t="str">
        <f t="shared" si="3"/>
        <v/>
      </c>
      <c r="T101" s="105" t="str">
        <f t="shared" si="4"/>
        <v/>
      </c>
      <c r="V101" s="105" t="str">
        <f t="shared" si="5"/>
        <v/>
      </c>
    </row>
    <row r="102" spans="17:22" x14ac:dyDescent="0.15">
      <c r="Q102" s="105" t="str">
        <f t="shared" si="3"/>
        <v/>
      </c>
      <c r="T102" s="105" t="str">
        <f t="shared" si="4"/>
        <v/>
      </c>
      <c r="V102" s="105" t="str">
        <f t="shared" si="5"/>
        <v/>
      </c>
    </row>
    <row r="103" spans="17:22" x14ac:dyDescent="0.15">
      <c r="Q103" s="105" t="str">
        <f t="shared" si="3"/>
        <v/>
      </c>
      <c r="T103" s="105" t="str">
        <f t="shared" si="4"/>
        <v/>
      </c>
      <c r="V103" s="105" t="str">
        <f t="shared" si="5"/>
        <v/>
      </c>
    </row>
    <row r="104" spans="17:22" x14ac:dyDescent="0.15">
      <c r="Q104" s="105" t="str">
        <f t="shared" si="3"/>
        <v/>
      </c>
      <c r="T104" s="105" t="str">
        <f t="shared" si="4"/>
        <v/>
      </c>
      <c r="V104" s="105" t="str">
        <f t="shared" si="5"/>
        <v/>
      </c>
    </row>
    <row r="105" spans="17:22" x14ac:dyDescent="0.15">
      <c r="Q105" s="105" t="str">
        <f t="shared" si="3"/>
        <v/>
      </c>
      <c r="T105" s="105" t="str">
        <f t="shared" si="4"/>
        <v/>
      </c>
      <c r="V105" s="105" t="str">
        <f t="shared" si="5"/>
        <v/>
      </c>
    </row>
    <row r="106" spans="17:22" x14ac:dyDescent="0.15">
      <c r="Q106" s="105" t="str">
        <f t="shared" si="3"/>
        <v/>
      </c>
      <c r="T106" s="105" t="str">
        <f t="shared" si="4"/>
        <v/>
      </c>
      <c r="V106" s="105" t="str">
        <f t="shared" si="5"/>
        <v/>
      </c>
    </row>
    <row r="107" spans="17:22" x14ac:dyDescent="0.15">
      <c r="Q107" s="105" t="str">
        <f t="shared" si="3"/>
        <v/>
      </c>
      <c r="T107" s="105" t="str">
        <f t="shared" si="4"/>
        <v/>
      </c>
      <c r="V107" s="105" t="str">
        <f t="shared" si="5"/>
        <v/>
      </c>
    </row>
    <row r="108" spans="17:22" x14ac:dyDescent="0.15">
      <c r="Q108" s="105" t="str">
        <f t="shared" si="3"/>
        <v/>
      </c>
      <c r="T108" s="105" t="str">
        <f t="shared" si="4"/>
        <v/>
      </c>
      <c r="V108" s="105" t="str">
        <f t="shared" si="5"/>
        <v/>
      </c>
    </row>
    <row r="109" spans="17:22" x14ac:dyDescent="0.15">
      <c r="Q109" s="105" t="str">
        <f t="shared" si="3"/>
        <v/>
      </c>
      <c r="T109" s="105" t="str">
        <f t="shared" si="4"/>
        <v/>
      </c>
      <c r="V109" s="105" t="str">
        <f t="shared" si="5"/>
        <v/>
      </c>
    </row>
    <row r="110" spans="17:22" x14ac:dyDescent="0.15">
      <c r="Q110" s="105" t="str">
        <f t="shared" si="3"/>
        <v/>
      </c>
      <c r="T110" s="105" t="str">
        <f t="shared" si="4"/>
        <v/>
      </c>
      <c r="V110" s="105" t="str">
        <f t="shared" si="5"/>
        <v/>
      </c>
    </row>
    <row r="111" spans="17:22" x14ac:dyDescent="0.15">
      <c r="Q111" s="105" t="str">
        <f t="shared" si="3"/>
        <v/>
      </c>
      <c r="T111" s="105" t="str">
        <f t="shared" si="4"/>
        <v/>
      </c>
      <c r="V111" s="105" t="str">
        <f t="shared" si="5"/>
        <v/>
      </c>
    </row>
    <row r="112" spans="17:22" x14ac:dyDescent="0.15">
      <c r="Q112" s="105" t="str">
        <f t="shared" si="3"/>
        <v/>
      </c>
      <c r="T112" s="105" t="str">
        <f t="shared" si="4"/>
        <v/>
      </c>
      <c r="V112" s="105" t="str">
        <f t="shared" si="5"/>
        <v/>
      </c>
    </row>
    <row r="113" spans="17:22" x14ac:dyDescent="0.15">
      <c r="Q113" s="105" t="str">
        <f t="shared" si="3"/>
        <v/>
      </c>
      <c r="T113" s="105" t="str">
        <f t="shared" si="4"/>
        <v/>
      </c>
      <c r="V113" s="105" t="str">
        <f t="shared" si="5"/>
        <v/>
      </c>
    </row>
    <row r="114" spans="17:22" x14ac:dyDescent="0.15">
      <c r="Q114" s="105" t="str">
        <f t="shared" si="3"/>
        <v/>
      </c>
      <c r="T114" s="105" t="str">
        <f t="shared" si="4"/>
        <v/>
      </c>
      <c r="V114" s="105" t="str">
        <f t="shared" si="5"/>
        <v/>
      </c>
    </row>
    <row r="115" spans="17:22" x14ac:dyDescent="0.15">
      <c r="Q115" s="105" t="str">
        <f t="shared" si="3"/>
        <v/>
      </c>
      <c r="T115" s="105" t="str">
        <f t="shared" si="4"/>
        <v/>
      </c>
      <c r="V115" s="105" t="str">
        <f t="shared" si="5"/>
        <v/>
      </c>
    </row>
    <row r="116" spans="17:22" x14ac:dyDescent="0.15">
      <c r="Q116" s="105" t="str">
        <f t="shared" si="3"/>
        <v/>
      </c>
      <c r="T116" s="105" t="str">
        <f t="shared" si="4"/>
        <v/>
      </c>
      <c r="V116" s="105" t="str">
        <f t="shared" si="5"/>
        <v/>
      </c>
    </row>
    <row r="117" spans="17:22" x14ac:dyDescent="0.15">
      <c r="Q117" s="105" t="str">
        <f t="shared" si="3"/>
        <v/>
      </c>
      <c r="T117" s="105" t="str">
        <f t="shared" si="4"/>
        <v/>
      </c>
      <c r="V117" s="105" t="str">
        <f t="shared" si="5"/>
        <v/>
      </c>
    </row>
    <row r="118" spans="17:22" x14ac:dyDescent="0.15">
      <c r="Q118" s="105" t="str">
        <f t="shared" si="3"/>
        <v/>
      </c>
      <c r="T118" s="105" t="str">
        <f t="shared" si="4"/>
        <v/>
      </c>
      <c r="V118" s="105" t="str">
        <f t="shared" si="5"/>
        <v/>
      </c>
    </row>
    <row r="119" spans="17:22" x14ac:dyDescent="0.15">
      <c r="Q119" s="105" t="str">
        <f t="shared" si="3"/>
        <v/>
      </c>
      <c r="T119" s="105" t="str">
        <f t="shared" si="4"/>
        <v/>
      </c>
      <c r="V119" s="105" t="str">
        <f t="shared" si="5"/>
        <v/>
      </c>
    </row>
    <row r="120" spans="17:22" x14ac:dyDescent="0.15">
      <c r="Q120" s="105" t="str">
        <f t="shared" si="3"/>
        <v/>
      </c>
      <c r="T120" s="105" t="str">
        <f t="shared" si="4"/>
        <v/>
      </c>
      <c r="V120" s="105" t="str">
        <f t="shared" si="5"/>
        <v/>
      </c>
    </row>
    <row r="121" spans="17:22" x14ac:dyDescent="0.15">
      <c r="Q121" s="105" t="str">
        <f t="shared" si="3"/>
        <v/>
      </c>
      <c r="T121" s="105" t="str">
        <f t="shared" si="4"/>
        <v/>
      </c>
      <c r="V121" s="105" t="str">
        <f t="shared" si="5"/>
        <v/>
      </c>
    </row>
    <row r="122" spans="17:22" x14ac:dyDescent="0.15">
      <c r="Q122" s="105" t="str">
        <f t="shared" si="3"/>
        <v/>
      </c>
      <c r="T122" s="105" t="str">
        <f t="shared" si="4"/>
        <v/>
      </c>
      <c r="V122" s="105" t="str">
        <f t="shared" si="5"/>
        <v/>
      </c>
    </row>
    <row r="123" spans="17:22" x14ac:dyDescent="0.15">
      <c r="Q123" s="105" t="str">
        <f t="shared" si="3"/>
        <v/>
      </c>
      <c r="T123" s="105" t="str">
        <f t="shared" si="4"/>
        <v/>
      </c>
      <c r="V123" s="105" t="str">
        <f t="shared" si="5"/>
        <v/>
      </c>
    </row>
    <row r="124" spans="17:22" x14ac:dyDescent="0.15">
      <c r="Q124" s="105" t="str">
        <f t="shared" si="3"/>
        <v/>
      </c>
      <c r="T124" s="105" t="str">
        <f t="shared" si="4"/>
        <v/>
      </c>
      <c r="V124" s="105" t="str">
        <f t="shared" si="5"/>
        <v/>
      </c>
    </row>
    <row r="125" spans="17:22" x14ac:dyDescent="0.15">
      <c r="Q125" s="105" t="str">
        <f t="shared" si="3"/>
        <v/>
      </c>
      <c r="T125" s="105" t="str">
        <f t="shared" si="4"/>
        <v/>
      </c>
      <c r="V125" s="105" t="str">
        <f t="shared" si="5"/>
        <v/>
      </c>
    </row>
    <row r="126" spans="17:22" x14ac:dyDescent="0.15">
      <c r="Q126" s="105" t="str">
        <f t="shared" si="3"/>
        <v/>
      </c>
      <c r="T126" s="105" t="str">
        <f t="shared" si="4"/>
        <v/>
      </c>
      <c r="V126" s="105" t="str">
        <f t="shared" si="5"/>
        <v/>
      </c>
    </row>
    <row r="127" spans="17:22" x14ac:dyDescent="0.15">
      <c r="Q127" s="105" t="str">
        <f t="shared" si="3"/>
        <v/>
      </c>
      <c r="T127" s="105" t="str">
        <f t="shared" si="4"/>
        <v/>
      </c>
      <c r="V127" s="105" t="str">
        <f t="shared" si="5"/>
        <v/>
      </c>
    </row>
    <row r="128" spans="17:22" x14ac:dyDescent="0.15">
      <c r="Q128" s="105" t="str">
        <f t="shared" si="3"/>
        <v/>
      </c>
      <c r="T128" s="105" t="str">
        <f t="shared" si="4"/>
        <v/>
      </c>
      <c r="V128" s="105" t="str">
        <f t="shared" si="5"/>
        <v/>
      </c>
    </row>
    <row r="129" spans="17:22" x14ac:dyDescent="0.15">
      <c r="Q129" s="105" t="str">
        <f t="shared" si="3"/>
        <v/>
      </c>
      <c r="T129" s="105" t="str">
        <f t="shared" si="4"/>
        <v/>
      </c>
      <c r="V129" s="105" t="str">
        <f t="shared" si="5"/>
        <v/>
      </c>
    </row>
    <row r="130" spans="17:22" x14ac:dyDescent="0.15">
      <c r="Q130" s="105" t="str">
        <f t="shared" si="3"/>
        <v/>
      </c>
      <c r="T130" s="105" t="str">
        <f t="shared" si="4"/>
        <v/>
      </c>
      <c r="V130" s="105" t="str">
        <f t="shared" si="5"/>
        <v/>
      </c>
    </row>
    <row r="131" spans="17:22" x14ac:dyDescent="0.15">
      <c r="Q131" s="105" t="str">
        <f t="shared" si="3"/>
        <v/>
      </c>
      <c r="T131" s="105" t="str">
        <f t="shared" si="4"/>
        <v/>
      </c>
      <c r="V131" s="105" t="str">
        <f t="shared" si="5"/>
        <v/>
      </c>
    </row>
    <row r="132" spans="17:22" x14ac:dyDescent="0.15">
      <c r="Q132" s="105" t="str">
        <f t="shared" si="3"/>
        <v/>
      </c>
      <c r="T132" s="105" t="str">
        <f t="shared" si="4"/>
        <v/>
      </c>
      <c r="V132" s="105" t="str">
        <f t="shared" si="5"/>
        <v/>
      </c>
    </row>
    <row r="133" spans="17:22" x14ac:dyDescent="0.15">
      <c r="Q133" s="105" t="str">
        <f t="shared" si="3"/>
        <v/>
      </c>
      <c r="T133" s="105" t="str">
        <f t="shared" si="4"/>
        <v/>
      </c>
      <c r="V133" s="105" t="str">
        <f t="shared" si="5"/>
        <v/>
      </c>
    </row>
    <row r="134" spans="17:22" x14ac:dyDescent="0.15">
      <c r="Q134" s="105" t="str">
        <f t="shared" si="3"/>
        <v/>
      </c>
      <c r="T134" s="105" t="str">
        <f t="shared" si="4"/>
        <v/>
      </c>
      <c r="V134" s="105" t="str">
        <f t="shared" si="5"/>
        <v/>
      </c>
    </row>
    <row r="135" spans="17:22" x14ac:dyDescent="0.15">
      <c r="Q135" s="105" t="str">
        <f t="shared" si="3"/>
        <v/>
      </c>
      <c r="T135" s="105" t="str">
        <f t="shared" si="4"/>
        <v/>
      </c>
      <c r="V135" s="105" t="str">
        <f t="shared" si="5"/>
        <v/>
      </c>
    </row>
    <row r="136" spans="17:22" x14ac:dyDescent="0.15">
      <c r="Q136" s="105" t="str">
        <f t="shared" si="3"/>
        <v/>
      </c>
      <c r="T136" s="105" t="str">
        <f t="shared" si="4"/>
        <v/>
      </c>
      <c r="V136" s="105" t="str">
        <f t="shared" si="5"/>
        <v/>
      </c>
    </row>
    <row r="137" spans="17:22" x14ac:dyDescent="0.15">
      <c r="Q137" s="105" t="str">
        <f t="shared" si="3"/>
        <v/>
      </c>
      <c r="T137" s="105" t="str">
        <f t="shared" si="4"/>
        <v/>
      </c>
      <c r="V137" s="105" t="str">
        <f t="shared" si="5"/>
        <v/>
      </c>
    </row>
    <row r="138" spans="17:22" x14ac:dyDescent="0.15">
      <c r="Q138" s="105" t="str">
        <f t="shared" si="3"/>
        <v/>
      </c>
      <c r="T138" s="105" t="str">
        <f t="shared" si="4"/>
        <v/>
      </c>
      <c r="V138" s="105" t="str">
        <f t="shared" si="5"/>
        <v/>
      </c>
    </row>
    <row r="139" spans="17:22" x14ac:dyDescent="0.15">
      <c r="Q139" s="105" t="str">
        <f t="shared" si="3"/>
        <v/>
      </c>
      <c r="T139" s="105" t="str">
        <f t="shared" si="4"/>
        <v/>
      </c>
      <c r="V139" s="105" t="str">
        <f t="shared" si="5"/>
        <v/>
      </c>
    </row>
    <row r="140" spans="17:22" x14ac:dyDescent="0.15">
      <c r="Q140" s="105" t="str">
        <f t="shared" si="3"/>
        <v/>
      </c>
      <c r="T140" s="105" t="str">
        <f t="shared" si="4"/>
        <v/>
      </c>
      <c r="V140" s="105" t="str">
        <f t="shared" si="5"/>
        <v/>
      </c>
    </row>
    <row r="141" spans="17:22" x14ac:dyDescent="0.15">
      <c r="Q141" s="105" t="str">
        <f t="shared" si="3"/>
        <v/>
      </c>
      <c r="T141" s="105" t="str">
        <f t="shared" si="4"/>
        <v/>
      </c>
      <c r="V141" s="105" t="str">
        <f t="shared" si="5"/>
        <v/>
      </c>
    </row>
    <row r="142" spans="17:22" x14ac:dyDescent="0.15">
      <c r="Q142" s="105" t="str">
        <f t="shared" si="3"/>
        <v/>
      </c>
      <c r="T142" s="105" t="str">
        <f t="shared" si="4"/>
        <v/>
      </c>
      <c r="V142" s="105" t="str">
        <f t="shared" si="5"/>
        <v/>
      </c>
    </row>
    <row r="143" spans="17:22" x14ac:dyDescent="0.15">
      <c r="Q143" s="105" t="str">
        <f t="shared" si="3"/>
        <v/>
      </c>
      <c r="T143" s="105" t="str">
        <f t="shared" si="4"/>
        <v/>
      </c>
      <c r="V143" s="105" t="str">
        <f t="shared" si="5"/>
        <v/>
      </c>
    </row>
    <row r="144" spans="17:22" x14ac:dyDescent="0.15">
      <c r="Q144" s="105" t="str">
        <f t="shared" si="3"/>
        <v/>
      </c>
      <c r="T144" s="105" t="str">
        <f t="shared" si="4"/>
        <v/>
      </c>
      <c r="V144" s="105" t="str">
        <f t="shared" si="5"/>
        <v/>
      </c>
    </row>
    <row r="145" spans="17:22" x14ac:dyDescent="0.15">
      <c r="Q145" s="105" t="str">
        <f t="shared" si="3"/>
        <v/>
      </c>
      <c r="T145" s="105" t="str">
        <f t="shared" si="4"/>
        <v/>
      </c>
      <c r="V145" s="105" t="str">
        <f t="shared" si="5"/>
        <v/>
      </c>
    </row>
    <row r="146" spans="17:22" x14ac:dyDescent="0.15">
      <c r="Q146" s="105" t="str">
        <f t="shared" si="3"/>
        <v/>
      </c>
      <c r="T146" s="105" t="str">
        <f t="shared" si="4"/>
        <v/>
      </c>
      <c r="V146" s="105" t="str">
        <f t="shared" si="5"/>
        <v/>
      </c>
    </row>
  </sheetData>
  <autoFilter ref="A1:BA146"/>
  <phoneticPr fontId="3"/>
  <dataValidations count="19">
    <dataValidation type="list" allowBlank="1" showInputMessage="1" showErrorMessage="1" sqref="K2:K428">
      <formula1>$AR$2:$AR$27</formula1>
    </dataValidation>
    <dataValidation type="list" allowBlank="1" showInputMessage="1" showErrorMessage="1" sqref="E2:E486">
      <formula1>$AG$2:$AG$11</formula1>
    </dataValidation>
    <dataValidation type="list" allowBlank="1" showInputMessage="1" showErrorMessage="1" sqref="H2:H486">
      <formula1>$AL$2:$AL$8</formula1>
    </dataValidation>
    <dataValidation type="decimal" allowBlank="1" showInputMessage="1" showErrorMessage="1" error="硬度を正しく入力して下さい。" sqref="O2:P486">
      <formula1>0</formula1>
      <formula2>7</formula2>
    </dataValidation>
    <dataValidation type="list" allowBlank="1" showInputMessage="1" showErrorMessage="1" sqref="F2:F1440">
      <formula1>$AH$2:$AH$11</formula1>
    </dataValidation>
    <dataValidation type="list" allowBlank="1" showInputMessage="1" showErrorMessage="1" sqref="Y2:AA577">
      <formula1>$AV$2:$AV$38</formula1>
    </dataValidation>
    <dataValidation type="list" allowBlank="1" showInputMessage="1" showErrorMessage="1" sqref="J2:J52">
      <formula1>$AP$2:$AP$38</formula1>
    </dataValidation>
    <dataValidation type="list" allowBlank="1" showInputMessage="1" showErrorMessage="1" sqref="WVS983028:WVS983093 K429:K486 JG65524:JG65589 TC65524:TC65589 ACY65524:ACY65589 AMU65524:AMU65589 AWQ65524:AWQ65589 BGM65524:BGM65589 BQI65524:BQI65589 CAE65524:CAE65589 CKA65524:CKA65589 CTW65524:CTW65589 DDS65524:DDS65589 DNO65524:DNO65589 DXK65524:DXK65589 EHG65524:EHG65589 ERC65524:ERC65589 FAY65524:FAY65589 FKU65524:FKU65589 FUQ65524:FUQ65589 GEM65524:GEM65589 GOI65524:GOI65589 GYE65524:GYE65589 HIA65524:HIA65589 HRW65524:HRW65589 IBS65524:IBS65589 ILO65524:ILO65589 IVK65524:IVK65589 JFG65524:JFG65589 JPC65524:JPC65589 JYY65524:JYY65589 KIU65524:KIU65589 KSQ65524:KSQ65589 LCM65524:LCM65589 LMI65524:LMI65589 LWE65524:LWE65589 MGA65524:MGA65589 MPW65524:MPW65589 MZS65524:MZS65589 NJO65524:NJO65589 NTK65524:NTK65589 ODG65524:ODG65589 ONC65524:ONC65589 OWY65524:OWY65589 PGU65524:PGU65589 PQQ65524:PQQ65589 QAM65524:QAM65589 QKI65524:QKI65589 QUE65524:QUE65589 REA65524:REA65589 RNW65524:RNW65589 RXS65524:RXS65589 SHO65524:SHO65589 SRK65524:SRK65589 TBG65524:TBG65589 TLC65524:TLC65589 TUY65524:TUY65589 UEU65524:UEU65589 UOQ65524:UOQ65589 UYM65524:UYM65589 VII65524:VII65589 VSE65524:VSE65589 WCA65524:WCA65589 WLW65524:WLW65589 WVS65524:WVS65589 K131060:K131125 JG131060:JG131125 TC131060:TC131125 ACY131060:ACY131125 AMU131060:AMU131125 AWQ131060:AWQ131125 BGM131060:BGM131125 BQI131060:BQI131125 CAE131060:CAE131125 CKA131060:CKA131125 CTW131060:CTW131125 DDS131060:DDS131125 DNO131060:DNO131125 DXK131060:DXK131125 EHG131060:EHG131125 ERC131060:ERC131125 FAY131060:FAY131125 FKU131060:FKU131125 FUQ131060:FUQ131125 GEM131060:GEM131125 GOI131060:GOI131125 GYE131060:GYE131125 HIA131060:HIA131125 HRW131060:HRW131125 IBS131060:IBS131125 ILO131060:ILO131125 IVK131060:IVK131125 JFG131060:JFG131125 JPC131060:JPC131125 JYY131060:JYY131125 KIU131060:KIU131125 KSQ131060:KSQ131125 LCM131060:LCM131125 LMI131060:LMI131125 LWE131060:LWE131125 MGA131060:MGA131125 MPW131060:MPW131125 MZS131060:MZS131125 NJO131060:NJO131125 NTK131060:NTK131125 ODG131060:ODG131125 ONC131060:ONC131125 OWY131060:OWY131125 PGU131060:PGU131125 PQQ131060:PQQ131125 QAM131060:QAM131125 QKI131060:QKI131125 QUE131060:QUE131125 REA131060:REA131125 RNW131060:RNW131125 RXS131060:RXS131125 SHO131060:SHO131125 SRK131060:SRK131125 TBG131060:TBG131125 TLC131060:TLC131125 TUY131060:TUY131125 UEU131060:UEU131125 UOQ131060:UOQ131125 UYM131060:UYM131125 VII131060:VII131125 VSE131060:VSE131125 WCA131060:WCA131125 WLW131060:WLW131125 WVS131060:WVS131125 K196596:K196661 JG196596:JG196661 TC196596:TC196661 ACY196596:ACY196661 AMU196596:AMU196661 AWQ196596:AWQ196661 BGM196596:BGM196661 BQI196596:BQI196661 CAE196596:CAE196661 CKA196596:CKA196661 CTW196596:CTW196661 DDS196596:DDS196661 DNO196596:DNO196661 DXK196596:DXK196661 EHG196596:EHG196661 ERC196596:ERC196661 FAY196596:FAY196661 FKU196596:FKU196661 FUQ196596:FUQ196661 GEM196596:GEM196661 GOI196596:GOI196661 GYE196596:GYE196661 HIA196596:HIA196661 HRW196596:HRW196661 IBS196596:IBS196661 ILO196596:ILO196661 IVK196596:IVK196661 JFG196596:JFG196661 JPC196596:JPC196661 JYY196596:JYY196661 KIU196596:KIU196661 KSQ196596:KSQ196661 LCM196596:LCM196661 LMI196596:LMI196661 LWE196596:LWE196661 MGA196596:MGA196661 MPW196596:MPW196661 MZS196596:MZS196661 NJO196596:NJO196661 NTK196596:NTK196661 ODG196596:ODG196661 ONC196596:ONC196661 OWY196596:OWY196661 PGU196596:PGU196661 PQQ196596:PQQ196661 QAM196596:QAM196661 QKI196596:QKI196661 QUE196596:QUE196661 REA196596:REA196661 RNW196596:RNW196661 RXS196596:RXS196661 SHO196596:SHO196661 SRK196596:SRK196661 TBG196596:TBG196661 TLC196596:TLC196661 TUY196596:TUY196661 UEU196596:UEU196661 UOQ196596:UOQ196661 UYM196596:UYM196661 VII196596:VII196661 VSE196596:VSE196661 WCA196596:WCA196661 WLW196596:WLW196661 WVS196596:WVS196661 K262132:K262197 JG262132:JG262197 TC262132:TC262197 ACY262132:ACY262197 AMU262132:AMU262197 AWQ262132:AWQ262197 BGM262132:BGM262197 BQI262132:BQI262197 CAE262132:CAE262197 CKA262132:CKA262197 CTW262132:CTW262197 DDS262132:DDS262197 DNO262132:DNO262197 DXK262132:DXK262197 EHG262132:EHG262197 ERC262132:ERC262197 FAY262132:FAY262197 FKU262132:FKU262197 FUQ262132:FUQ262197 GEM262132:GEM262197 GOI262132:GOI262197 GYE262132:GYE262197 HIA262132:HIA262197 HRW262132:HRW262197 IBS262132:IBS262197 ILO262132:ILO262197 IVK262132:IVK262197 JFG262132:JFG262197 JPC262132:JPC262197 JYY262132:JYY262197 KIU262132:KIU262197 KSQ262132:KSQ262197 LCM262132:LCM262197 LMI262132:LMI262197 LWE262132:LWE262197 MGA262132:MGA262197 MPW262132:MPW262197 MZS262132:MZS262197 NJO262132:NJO262197 NTK262132:NTK262197 ODG262132:ODG262197 ONC262132:ONC262197 OWY262132:OWY262197 PGU262132:PGU262197 PQQ262132:PQQ262197 QAM262132:QAM262197 QKI262132:QKI262197 QUE262132:QUE262197 REA262132:REA262197 RNW262132:RNW262197 RXS262132:RXS262197 SHO262132:SHO262197 SRK262132:SRK262197 TBG262132:TBG262197 TLC262132:TLC262197 TUY262132:TUY262197 UEU262132:UEU262197 UOQ262132:UOQ262197 UYM262132:UYM262197 VII262132:VII262197 VSE262132:VSE262197 WCA262132:WCA262197 WLW262132:WLW262197 WVS262132:WVS262197 K327668:K327733 JG327668:JG327733 TC327668:TC327733 ACY327668:ACY327733 AMU327668:AMU327733 AWQ327668:AWQ327733 BGM327668:BGM327733 BQI327668:BQI327733 CAE327668:CAE327733 CKA327668:CKA327733 CTW327668:CTW327733 DDS327668:DDS327733 DNO327668:DNO327733 DXK327668:DXK327733 EHG327668:EHG327733 ERC327668:ERC327733 FAY327668:FAY327733 FKU327668:FKU327733 FUQ327668:FUQ327733 GEM327668:GEM327733 GOI327668:GOI327733 GYE327668:GYE327733 HIA327668:HIA327733 HRW327668:HRW327733 IBS327668:IBS327733 ILO327668:ILO327733 IVK327668:IVK327733 JFG327668:JFG327733 JPC327668:JPC327733 JYY327668:JYY327733 KIU327668:KIU327733 KSQ327668:KSQ327733 LCM327668:LCM327733 LMI327668:LMI327733 LWE327668:LWE327733 MGA327668:MGA327733 MPW327668:MPW327733 MZS327668:MZS327733 NJO327668:NJO327733 NTK327668:NTK327733 ODG327668:ODG327733 ONC327668:ONC327733 OWY327668:OWY327733 PGU327668:PGU327733 PQQ327668:PQQ327733 QAM327668:QAM327733 QKI327668:QKI327733 QUE327668:QUE327733 REA327668:REA327733 RNW327668:RNW327733 RXS327668:RXS327733 SHO327668:SHO327733 SRK327668:SRK327733 TBG327668:TBG327733 TLC327668:TLC327733 TUY327668:TUY327733 UEU327668:UEU327733 UOQ327668:UOQ327733 UYM327668:UYM327733 VII327668:VII327733 VSE327668:VSE327733 WCA327668:WCA327733 WLW327668:WLW327733 WVS327668:WVS327733 K393204:K393269 JG393204:JG393269 TC393204:TC393269 ACY393204:ACY393269 AMU393204:AMU393269 AWQ393204:AWQ393269 BGM393204:BGM393269 BQI393204:BQI393269 CAE393204:CAE393269 CKA393204:CKA393269 CTW393204:CTW393269 DDS393204:DDS393269 DNO393204:DNO393269 DXK393204:DXK393269 EHG393204:EHG393269 ERC393204:ERC393269 FAY393204:FAY393269 FKU393204:FKU393269 FUQ393204:FUQ393269 GEM393204:GEM393269 GOI393204:GOI393269 GYE393204:GYE393269 HIA393204:HIA393269 HRW393204:HRW393269 IBS393204:IBS393269 ILO393204:ILO393269 IVK393204:IVK393269 JFG393204:JFG393269 JPC393204:JPC393269 JYY393204:JYY393269 KIU393204:KIU393269 KSQ393204:KSQ393269 LCM393204:LCM393269 LMI393204:LMI393269 LWE393204:LWE393269 MGA393204:MGA393269 MPW393204:MPW393269 MZS393204:MZS393269 NJO393204:NJO393269 NTK393204:NTK393269 ODG393204:ODG393269 ONC393204:ONC393269 OWY393204:OWY393269 PGU393204:PGU393269 PQQ393204:PQQ393269 QAM393204:QAM393269 QKI393204:QKI393269 QUE393204:QUE393269 REA393204:REA393269 RNW393204:RNW393269 RXS393204:RXS393269 SHO393204:SHO393269 SRK393204:SRK393269 TBG393204:TBG393269 TLC393204:TLC393269 TUY393204:TUY393269 UEU393204:UEU393269 UOQ393204:UOQ393269 UYM393204:UYM393269 VII393204:VII393269 VSE393204:VSE393269 WCA393204:WCA393269 WLW393204:WLW393269 WVS393204:WVS393269 K458740:K458805 JG458740:JG458805 TC458740:TC458805 ACY458740:ACY458805 AMU458740:AMU458805 AWQ458740:AWQ458805 BGM458740:BGM458805 BQI458740:BQI458805 CAE458740:CAE458805 CKA458740:CKA458805 CTW458740:CTW458805 DDS458740:DDS458805 DNO458740:DNO458805 DXK458740:DXK458805 EHG458740:EHG458805 ERC458740:ERC458805 FAY458740:FAY458805 FKU458740:FKU458805 FUQ458740:FUQ458805 GEM458740:GEM458805 GOI458740:GOI458805 GYE458740:GYE458805 HIA458740:HIA458805 HRW458740:HRW458805 IBS458740:IBS458805 ILO458740:ILO458805 IVK458740:IVK458805 JFG458740:JFG458805 JPC458740:JPC458805 JYY458740:JYY458805 KIU458740:KIU458805 KSQ458740:KSQ458805 LCM458740:LCM458805 LMI458740:LMI458805 LWE458740:LWE458805 MGA458740:MGA458805 MPW458740:MPW458805 MZS458740:MZS458805 NJO458740:NJO458805 NTK458740:NTK458805 ODG458740:ODG458805 ONC458740:ONC458805 OWY458740:OWY458805 PGU458740:PGU458805 PQQ458740:PQQ458805 QAM458740:QAM458805 QKI458740:QKI458805 QUE458740:QUE458805 REA458740:REA458805 RNW458740:RNW458805 RXS458740:RXS458805 SHO458740:SHO458805 SRK458740:SRK458805 TBG458740:TBG458805 TLC458740:TLC458805 TUY458740:TUY458805 UEU458740:UEU458805 UOQ458740:UOQ458805 UYM458740:UYM458805 VII458740:VII458805 VSE458740:VSE458805 WCA458740:WCA458805 WLW458740:WLW458805 WVS458740:WVS458805 K524276:K524341 JG524276:JG524341 TC524276:TC524341 ACY524276:ACY524341 AMU524276:AMU524341 AWQ524276:AWQ524341 BGM524276:BGM524341 BQI524276:BQI524341 CAE524276:CAE524341 CKA524276:CKA524341 CTW524276:CTW524341 DDS524276:DDS524341 DNO524276:DNO524341 DXK524276:DXK524341 EHG524276:EHG524341 ERC524276:ERC524341 FAY524276:FAY524341 FKU524276:FKU524341 FUQ524276:FUQ524341 GEM524276:GEM524341 GOI524276:GOI524341 GYE524276:GYE524341 HIA524276:HIA524341 HRW524276:HRW524341 IBS524276:IBS524341 ILO524276:ILO524341 IVK524276:IVK524341 JFG524276:JFG524341 JPC524276:JPC524341 JYY524276:JYY524341 KIU524276:KIU524341 KSQ524276:KSQ524341 LCM524276:LCM524341 LMI524276:LMI524341 LWE524276:LWE524341 MGA524276:MGA524341 MPW524276:MPW524341 MZS524276:MZS524341 NJO524276:NJO524341 NTK524276:NTK524341 ODG524276:ODG524341 ONC524276:ONC524341 OWY524276:OWY524341 PGU524276:PGU524341 PQQ524276:PQQ524341 QAM524276:QAM524341 QKI524276:QKI524341 QUE524276:QUE524341 REA524276:REA524341 RNW524276:RNW524341 RXS524276:RXS524341 SHO524276:SHO524341 SRK524276:SRK524341 TBG524276:TBG524341 TLC524276:TLC524341 TUY524276:TUY524341 UEU524276:UEU524341 UOQ524276:UOQ524341 UYM524276:UYM524341 VII524276:VII524341 VSE524276:VSE524341 WCA524276:WCA524341 WLW524276:WLW524341 WVS524276:WVS524341 K589812:K589877 JG589812:JG589877 TC589812:TC589877 ACY589812:ACY589877 AMU589812:AMU589877 AWQ589812:AWQ589877 BGM589812:BGM589877 BQI589812:BQI589877 CAE589812:CAE589877 CKA589812:CKA589877 CTW589812:CTW589877 DDS589812:DDS589877 DNO589812:DNO589877 DXK589812:DXK589877 EHG589812:EHG589877 ERC589812:ERC589877 FAY589812:FAY589877 FKU589812:FKU589877 FUQ589812:FUQ589877 GEM589812:GEM589877 GOI589812:GOI589877 GYE589812:GYE589877 HIA589812:HIA589877 HRW589812:HRW589877 IBS589812:IBS589877 ILO589812:ILO589877 IVK589812:IVK589877 JFG589812:JFG589877 JPC589812:JPC589877 JYY589812:JYY589877 KIU589812:KIU589877 KSQ589812:KSQ589877 LCM589812:LCM589877 LMI589812:LMI589877 LWE589812:LWE589877 MGA589812:MGA589877 MPW589812:MPW589877 MZS589812:MZS589877 NJO589812:NJO589877 NTK589812:NTK589877 ODG589812:ODG589877 ONC589812:ONC589877 OWY589812:OWY589877 PGU589812:PGU589877 PQQ589812:PQQ589877 QAM589812:QAM589877 QKI589812:QKI589877 QUE589812:QUE589877 REA589812:REA589877 RNW589812:RNW589877 RXS589812:RXS589877 SHO589812:SHO589877 SRK589812:SRK589877 TBG589812:TBG589877 TLC589812:TLC589877 TUY589812:TUY589877 UEU589812:UEU589877 UOQ589812:UOQ589877 UYM589812:UYM589877 VII589812:VII589877 VSE589812:VSE589877 WCA589812:WCA589877 WLW589812:WLW589877 WVS589812:WVS589877 K655348:K655413 JG655348:JG655413 TC655348:TC655413 ACY655348:ACY655413 AMU655348:AMU655413 AWQ655348:AWQ655413 BGM655348:BGM655413 BQI655348:BQI655413 CAE655348:CAE655413 CKA655348:CKA655413 CTW655348:CTW655413 DDS655348:DDS655413 DNO655348:DNO655413 DXK655348:DXK655413 EHG655348:EHG655413 ERC655348:ERC655413 FAY655348:FAY655413 FKU655348:FKU655413 FUQ655348:FUQ655413 GEM655348:GEM655413 GOI655348:GOI655413 GYE655348:GYE655413 HIA655348:HIA655413 HRW655348:HRW655413 IBS655348:IBS655413 ILO655348:ILO655413 IVK655348:IVK655413 JFG655348:JFG655413 JPC655348:JPC655413 JYY655348:JYY655413 KIU655348:KIU655413 KSQ655348:KSQ655413 LCM655348:LCM655413 LMI655348:LMI655413 LWE655348:LWE655413 MGA655348:MGA655413 MPW655348:MPW655413 MZS655348:MZS655413 NJO655348:NJO655413 NTK655348:NTK655413 ODG655348:ODG655413 ONC655348:ONC655413 OWY655348:OWY655413 PGU655348:PGU655413 PQQ655348:PQQ655413 QAM655348:QAM655413 QKI655348:QKI655413 QUE655348:QUE655413 REA655348:REA655413 RNW655348:RNW655413 RXS655348:RXS655413 SHO655348:SHO655413 SRK655348:SRK655413 TBG655348:TBG655413 TLC655348:TLC655413 TUY655348:TUY655413 UEU655348:UEU655413 UOQ655348:UOQ655413 UYM655348:UYM655413 VII655348:VII655413 VSE655348:VSE655413 WCA655348:WCA655413 WLW655348:WLW655413 WVS655348:WVS655413 K720884:K720949 JG720884:JG720949 TC720884:TC720949 ACY720884:ACY720949 AMU720884:AMU720949 AWQ720884:AWQ720949 BGM720884:BGM720949 BQI720884:BQI720949 CAE720884:CAE720949 CKA720884:CKA720949 CTW720884:CTW720949 DDS720884:DDS720949 DNO720884:DNO720949 DXK720884:DXK720949 EHG720884:EHG720949 ERC720884:ERC720949 FAY720884:FAY720949 FKU720884:FKU720949 FUQ720884:FUQ720949 GEM720884:GEM720949 GOI720884:GOI720949 GYE720884:GYE720949 HIA720884:HIA720949 HRW720884:HRW720949 IBS720884:IBS720949 ILO720884:ILO720949 IVK720884:IVK720949 JFG720884:JFG720949 JPC720884:JPC720949 JYY720884:JYY720949 KIU720884:KIU720949 KSQ720884:KSQ720949 LCM720884:LCM720949 LMI720884:LMI720949 LWE720884:LWE720949 MGA720884:MGA720949 MPW720884:MPW720949 MZS720884:MZS720949 NJO720884:NJO720949 NTK720884:NTK720949 ODG720884:ODG720949 ONC720884:ONC720949 OWY720884:OWY720949 PGU720884:PGU720949 PQQ720884:PQQ720949 QAM720884:QAM720949 QKI720884:QKI720949 QUE720884:QUE720949 REA720884:REA720949 RNW720884:RNW720949 RXS720884:RXS720949 SHO720884:SHO720949 SRK720884:SRK720949 TBG720884:TBG720949 TLC720884:TLC720949 TUY720884:TUY720949 UEU720884:UEU720949 UOQ720884:UOQ720949 UYM720884:UYM720949 VII720884:VII720949 VSE720884:VSE720949 WCA720884:WCA720949 WLW720884:WLW720949 WVS720884:WVS720949 K786420:K786485 JG786420:JG786485 TC786420:TC786485 ACY786420:ACY786485 AMU786420:AMU786485 AWQ786420:AWQ786485 BGM786420:BGM786485 BQI786420:BQI786485 CAE786420:CAE786485 CKA786420:CKA786485 CTW786420:CTW786485 DDS786420:DDS786485 DNO786420:DNO786485 DXK786420:DXK786485 EHG786420:EHG786485 ERC786420:ERC786485 FAY786420:FAY786485 FKU786420:FKU786485 FUQ786420:FUQ786485 GEM786420:GEM786485 GOI786420:GOI786485 GYE786420:GYE786485 HIA786420:HIA786485 HRW786420:HRW786485 IBS786420:IBS786485 ILO786420:ILO786485 IVK786420:IVK786485 JFG786420:JFG786485 JPC786420:JPC786485 JYY786420:JYY786485 KIU786420:KIU786485 KSQ786420:KSQ786485 LCM786420:LCM786485 LMI786420:LMI786485 LWE786420:LWE786485 MGA786420:MGA786485 MPW786420:MPW786485 MZS786420:MZS786485 NJO786420:NJO786485 NTK786420:NTK786485 ODG786420:ODG786485 ONC786420:ONC786485 OWY786420:OWY786485 PGU786420:PGU786485 PQQ786420:PQQ786485 QAM786420:QAM786485 QKI786420:QKI786485 QUE786420:QUE786485 REA786420:REA786485 RNW786420:RNW786485 RXS786420:RXS786485 SHO786420:SHO786485 SRK786420:SRK786485 TBG786420:TBG786485 TLC786420:TLC786485 TUY786420:TUY786485 UEU786420:UEU786485 UOQ786420:UOQ786485 UYM786420:UYM786485 VII786420:VII786485 VSE786420:VSE786485 WCA786420:WCA786485 WLW786420:WLW786485 WVS786420:WVS786485 K851956:K852021 JG851956:JG852021 TC851956:TC852021 ACY851956:ACY852021 AMU851956:AMU852021 AWQ851956:AWQ852021 BGM851956:BGM852021 BQI851956:BQI852021 CAE851956:CAE852021 CKA851956:CKA852021 CTW851956:CTW852021 DDS851956:DDS852021 DNO851956:DNO852021 DXK851956:DXK852021 EHG851956:EHG852021 ERC851956:ERC852021 FAY851956:FAY852021 FKU851956:FKU852021 FUQ851956:FUQ852021 GEM851956:GEM852021 GOI851956:GOI852021 GYE851956:GYE852021 HIA851956:HIA852021 HRW851956:HRW852021 IBS851956:IBS852021 ILO851956:ILO852021 IVK851956:IVK852021 JFG851956:JFG852021 JPC851956:JPC852021 JYY851956:JYY852021 KIU851956:KIU852021 KSQ851956:KSQ852021 LCM851956:LCM852021 LMI851956:LMI852021 LWE851956:LWE852021 MGA851956:MGA852021 MPW851956:MPW852021 MZS851956:MZS852021 NJO851956:NJO852021 NTK851956:NTK852021 ODG851956:ODG852021 ONC851956:ONC852021 OWY851956:OWY852021 PGU851956:PGU852021 PQQ851956:PQQ852021 QAM851956:QAM852021 QKI851956:QKI852021 QUE851956:QUE852021 REA851956:REA852021 RNW851956:RNW852021 RXS851956:RXS852021 SHO851956:SHO852021 SRK851956:SRK852021 TBG851956:TBG852021 TLC851956:TLC852021 TUY851956:TUY852021 UEU851956:UEU852021 UOQ851956:UOQ852021 UYM851956:UYM852021 VII851956:VII852021 VSE851956:VSE852021 WCA851956:WCA852021 WLW851956:WLW852021 WVS851956:WVS852021 K917492:K917557 JG917492:JG917557 TC917492:TC917557 ACY917492:ACY917557 AMU917492:AMU917557 AWQ917492:AWQ917557 BGM917492:BGM917557 BQI917492:BQI917557 CAE917492:CAE917557 CKA917492:CKA917557 CTW917492:CTW917557 DDS917492:DDS917557 DNO917492:DNO917557 DXK917492:DXK917557 EHG917492:EHG917557 ERC917492:ERC917557 FAY917492:FAY917557 FKU917492:FKU917557 FUQ917492:FUQ917557 GEM917492:GEM917557 GOI917492:GOI917557 GYE917492:GYE917557 HIA917492:HIA917557 HRW917492:HRW917557 IBS917492:IBS917557 ILO917492:ILO917557 IVK917492:IVK917557 JFG917492:JFG917557 JPC917492:JPC917557 JYY917492:JYY917557 KIU917492:KIU917557 KSQ917492:KSQ917557 LCM917492:LCM917557 LMI917492:LMI917557 LWE917492:LWE917557 MGA917492:MGA917557 MPW917492:MPW917557 MZS917492:MZS917557 NJO917492:NJO917557 NTK917492:NTK917557 ODG917492:ODG917557 ONC917492:ONC917557 OWY917492:OWY917557 PGU917492:PGU917557 PQQ917492:PQQ917557 QAM917492:QAM917557 QKI917492:QKI917557 QUE917492:QUE917557 REA917492:REA917557 RNW917492:RNW917557 RXS917492:RXS917557 SHO917492:SHO917557 SRK917492:SRK917557 TBG917492:TBG917557 TLC917492:TLC917557 TUY917492:TUY917557 UEU917492:UEU917557 UOQ917492:UOQ917557 UYM917492:UYM917557 VII917492:VII917557 VSE917492:VSE917557 WCA917492:WCA917557 WLW917492:WLW917557 WVS917492:WVS917557 K983028:K983093 JG983028:JG983093 TC983028:TC983093 ACY983028:ACY983093 AMU983028:AMU983093 AWQ983028:AWQ983093 BGM983028:BGM983093 BQI983028:BQI983093 CAE983028:CAE983093 CKA983028:CKA983093 CTW983028:CTW983093 DDS983028:DDS983093 DNO983028:DNO983093 DXK983028:DXK983093 EHG983028:EHG983093 ERC983028:ERC983093 FAY983028:FAY983093 FKU983028:FKU983093 FUQ983028:FUQ983093 GEM983028:GEM983093 GOI983028:GOI983093 GYE983028:GYE983093 HIA983028:HIA983093 HRW983028:HRW983093 IBS983028:IBS983093 ILO983028:ILO983093 IVK983028:IVK983093 JFG983028:JFG983093 JPC983028:JPC983093 JYY983028:JYY983093 KIU983028:KIU983093 KSQ983028:KSQ983093 LCM983028:LCM983093 LMI983028:LMI983093 LWE983028:LWE983093 MGA983028:MGA983093 MPW983028:MPW983093 MZS983028:MZS983093 NJO983028:NJO983093 NTK983028:NTK983093 ODG983028:ODG983093 ONC983028:ONC983093 OWY983028:OWY983093 PGU983028:PGU983093 PQQ983028:PQQ983093 QAM983028:QAM983093 QKI983028:QKI983093 QUE983028:QUE983093 REA983028:REA983093 RNW983028:RNW983093 RXS983028:RXS983093 SHO983028:SHO983093 SRK983028:SRK983093 TBG983028:TBG983093 TLC983028:TLC983093 TUY983028:TUY983093 UEU983028:UEU983093 UOQ983028:UOQ983093 UYM983028:UYM983093 VII983028:VII983093 VSE983028:VSE983093 WCA983028:WCA983093 WLW983028:WLW983093 K65524:K65589 TC2:TC70 AMU2:AMU70 AWQ2:AWQ70 BGM2:BGM70 BQI2:BQI70 CAE2:CAE70 CKA2:CKA70 CTW2:CTW70 DDS2:DDS70 DNO2:DNO70 DXK2:DXK70 EHG2:EHG70 ERC2:ERC70 FAY2:FAY70 FKU2:FKU70 FUQ2:FUQ70 GEM2:GEM70 GOI2:GOI70 GYE2:GYE70 HIA2:HIA70 HRW2:HRW70 IBS2:IBS70 ILO2:ILO70 IVK2:IVK70 JFG2:JFG70 JPC2:JPC70 JYY2:JYY70 KIU2:KIU70 KSQ2:KSQ70 LCM2:LCM70 LMI2:LMI70 LWE2:LWE70 MGA2:MGA70 MPW2:MPW70 MZS2:MZS70 NJO2:NJO70 NTK2:NTK70 ODG2:ODG70 ONC2:ONC70 OWY2:OWY70 PGU2:PGU70 PQQ2:PQQ70 QAM2:QAM70 QKI2:QKI70 QUE2:QUE70 REA2:REA70 RNW2:RNW70 RXS2:RXS70 SHO2:SHO70 SRK2:SRK70 TBG2:TBG70 TLC2:TLC70 TUY2:TUY70 UEU2:UEU70 UOQ2:UOQ70 UYM2:UYM70 VII2:VII70 VSE2:VSE70 WCA2:WCA70 WLW2:WLW70 WVS2:WVS70 JG2:JG70 ACY2:ACY70">
      <formula1>$AR$2:$AR$25</formula1>
    </dataValidation>
    <dataValidation type="list" allowBlank="1" showInputMessage="1" showErrorMessage="1" sqref="WVR983028:WVR983093 J65524:J65589 JF65524:JF65589 TB65524:TB65589 ACX65524:ACX65589 AMT65524:AMT65589 AWP65524:AWP65589 BGL65524:BGL65589 BQH65524:BQH65589 CAD65524:CAD65589 CJZ65524:CJZ65589 CTV65524:CTV65589 DDR65524:DDR65589 DNN65524:DNN65589 DXJ65524:DXJ65589 EHF65524:EHF65589 ERB65524:ERB65589 FAX65524:FAX65589 FKT65524:FKT65589 FUP65524:FUP65589 GEL65524:GEL65589 GOH65524:GOH65589 GYD65524:GYD65589 HHZ65524:HHZ65589 HRV65524:HRV65589 IBR65524:IBR65589 ILN65524:ILN65589 IVJ65524:IVJ65589 JFF65524:JFF65589 JPB65524:JPB65589 JYX65524:JYX65589 KIT65524:KIT65589 KSP65524:KSP65589 LCL65524:LCL65589 LMH65524:LMH65589 LWD65524:LWD65589 MFZ65524:MFZ65589 MPV65524:MPV65589 MZR65524:MZR65589 NJN65524:NJN65589 NTJ65524:NTJ65589 ODF65524:ODF65589 ONB65524:ONB65589 OWX65524:OWX65589 PGT65524:PGT65589 PQP65524:PQP65589 QAL65524:QAL65589 QKH65524:QKH65589 QUD65524:QUD65589 RDZ65524:RDZ65589 RNV65524:RNV65589 RXR65524:RXR65589 SHN65524:SHN65589 SRJ65524:SRJ65589 TBF65524:TBF65589 TLB65524:TLB65589 TUX65524:TUX65589 UET65524:UET65589 UOP65524:UOP65589 UYL65524:UYL65589 VIH65524:VIH65589 VSD65524:VSD65589 WBZ65524:WBZ65589 WLV65524:WLV65589 WVR65524:WVR65589 J131060:J131125 JF131060:JF131125 TB131060:TB131125 ACX131060:ACX131125 AMT131060:AMT131125 AWP131060:AWP131125 BGL131060:BGL131125 BQH131060:BQH131125 CAD131060:CAD131125 CJZ131060:CJZ131125 CTV131060:CTV131125 DDR131060:DDR131125 DNN131060:DNN131125 DXJ131060:DXJ131125 EHF131060:EHF131125 ERB131060:ERB131125 FAX131060:FAX131125 FKT131060:FKT131125 FUP131060:FUP131125 GEL131060:GEL131125 GOH131060:GOH131125 GYD131060:GYD131125 HHZ131060:HHZ131125 HRV131060:HRV131125 IBR131060:IBR131125 ILN131060:ILN131125 IVJ131060:IVJ131125 JFF131060:JFF131125 JPB131060:JPB131125 JYX131060:JYX131125 KIT131060:KIT131125 KSP131060:KSP131125 LCL131060:LCL131125 LMH131060:LMH131125 LWD131060:LWD131125 MFZ131060:MFZ131125 MPV131060:MPV131125 MZR131060:MZR131125 NJN131060:NJN131125 NTJ131060:NTJ131125 ODF131060:ODF131125 ONB131060:ONB131125 OWX131060:OWX131125 PGT131060:PGT131125 PQP131060:PQP131125 QAL131060:QAL131125 QKH131060:QKH131125 QUD131060:QUD131125 RDZ131060:RDZ131125 RNV131060:RNV131125 RXR131060:RXR131125 SHN131060:SHN131125 SRJ131060:SRJ131125 TBF131060:TBF131125 TLB131060:TLB131125 TUX131060:TUX131125 UET131060:UET131125 UOP131060:UOP131125 UYL131060:UYL131125 VIH131060:VIH131125 VSD131060:VSD131125 WBZ131060:WBZ131125 WLV131060:WLV131125 WVR131060:WVR131125 J196596:J196661 JF196596:JF196661 TB196596:TB196661 ACX196596:ACX196661 AMT196596:AMT196661 AWP196596:AWP196661 BGL196596:BGL196661 BQH196596:BQH196661 CAD196596:CAD196661 CJZ196596:CJZ196661 CTV196596:CTV196661 DDR196596:DDR196661 DNN196596:DNN196661 DXJ196596:DXJ196661 EHF196596:EHF196661 ERB196596:ERB196661 FAX196596:FAX196661 FKT196596:FKT196661 FUP196596:FUP196661 GEL196596:GEL196661 GOH196596:GOH196661 GYD196596:GYD196661 HHZ196596:HHZ196661 HRV196596:HRV196661 IBR196596:IBR196661 ILN196596:ILN196661 IVJ196596:IVJ196661 JFF196596:JFF196661 JPB196596:JPB196661 JYX196596:JYX196661 KIT196596:KIT196661 KSP196596:KSP196661 LCL196596:LCL196661 LMH196596:LMH196661 LWD196596:LWD196661 MFZ196596:MFZ196661 MPV196596:MPV196661 MZR196596:MZR196661 NJN196596:NJN196661 NTJ196596:NTJ196661 ODF196596:ODF196661 ONB196596:ONB196661 OWX196596:OWX196661 PGT196596:PGT196661 PQP196596:PQP196661 QAL196596:QAL196661 QKH196596:QKH196661 QUD196596:QUD196661 RDZ196596:RDZ196661 RNV196596:RNV196661 RXR196596:RXR196661 SHN196596:SHN196661 SRJ196596:SRJ196661 TBF196596:TBF196661 TLB196596:TLB196661 TUX196596:TUX196661 UET196596:UET196661 UOP196596:UOP196661 UYL196596:UYL196661 VIH196596:VIH196661 VSD196596:VSD196661 WBZ196596:WBZ196661 WLV196596:WLV196661 WVR196596:WVR196661 J262132:J262197 JF262132:JF262197 TB262132:TB262197 ACX262132:ACX262197 AMT262132:AMT262197 AWP262132:AWP262197 BGL262132:BGL262197 BQH262132:BQH262197 CAD262132:CAD262197 CJZ262132:CJZ262197 CTV262132:CTV262197 DDR262132:DDR262197 DNN262132:DNN262197 DXJ262132:DXJ262197 EHF262132:EHF262197 ERB262132:ERB262197 FAX262132:FAX262197 FKT262132:FKT262197 FUP262132:FUP262197 GEL262132:GEL262197 GOH262132:GOH262197 GYD262132:GYD262197 HHZ262132:HHZ262197 HRV262132:HRV262197 IBR262132:IBR262197 ILN262132:ILN262197 IVJ262132:IVJ262197 JFF262132:JFF262197 JPB262132:JPB262197 JYX262132:JYX262197 KIT262132:KIT262197 KSP262132:KSP262197 LCL262132:LCL262197 LMH262132:LMH262197 LWD262132:LWD262197 MFZ262132:MFZ262197 MPV262132:MPV262197 MZR262132:MZR262197 NJN262132:NJN262197 NTJ262132:NTJ262197 ODF262132:ODF262197 ONB262132:ONB262197 OWX262132:OWX262197 PGT262132:PGT262197 PQP262132:PQP262197 QAL262132:QAL262197 QKH262132:QKH262197 QUD262132:QUD262197 RDZ262132:RDZ262197 RNV262132:RNV262197 RXR262132:RXR262197 SHN262132:SHN262197 SRJ262132:SRJ262197 TBF262132:TBF262197 TLB262132:TLB262197 TUX262132:TUX262197 UET262132:UET262197 UOP262132:UOP262197 UYL262132:UYL262197 VIH262132:VIH262197 VSD262132:VSD262197 WBZ262132:WBZ262197 WLV262132:WLV262197 WVR262132:WVR262197 J327668:J327733 JF327668:JF327733 TB327668:TB327733 ACX327668:ACX327733 AMT327668:AMT327733 AWP327668:AWP327733 BGL327668:BGL327733 BQH327668:BQH327733 CAD327668:CAD327733 CJZ327668:CJZ327733 CTV327668:CTV327733 DDR327668:DDR327733 DNN327668:DNN327733 DXJ327668:DXJ327733 EHF327668:EHF327733 ERB327668:ERB327733 FAX327668:FAX327733 FKT327668:FKT327733 FUP327668:FUP327733 GEL327668:GEL327733 GOH327668:GOH327733 GYD327668:GYD327733 HHZ327668:HHZ327733 HRV327668:HRV327733 IBR327668:IBR327733 ILN327668:ILN327733 IVJ327668:IVJ327733 JFF327668:JFF327733 JPB327668:JPB327733 JYX327668:JYX327733 KIT327668:KIT327733 KSP327668:KSP327733 LCL327668:LCL327733 LMH327668:LMH327733 LWD327668:LWD327733 MFZ327668:MFZ327733 MPV327668:MPV327733 MZR327668:MZR327733 NJN327668:NJN327733 NTJ327668:NTJ327733 ODF327668:ODF327733 ONB327668:ONB327733 OWX327668:OWX327733 PGT327668:PGT327733 PQP327668:PQP327733 QAL327668:QAL327733 QKH327668:QKH327733 QUD327668:QUD327733 RDZ327668:RDZ327733 RNV327668:RNV327733 RXR327668:RXR327733 SHN327668:SHN327733 SRJ327668:SRJ327733 TBF327668:TBF327733 TLB327668:TLB327733 TUX327668:TUX327733 UET327668:UET327733 UOP327668:UOP327733 UYL327668:UYL327733 VIH327668:VIH327733 VSD327668:VSD327733 WBZ327668:WBZ327733 WLV327668:WLV327733 WVR327668:WVR327733 J393204:J393269 JF393204:JF393269 TB393204:TB393269 ACX393204:ACX393269 AMT393204:AMT393269 AWP393204:AWP393269 BGL393204:BGL393269 BQH393204:BQH393269 CAD393204:CAD393269 CJZ393204:CJZ393269 CTV393204:CTV393269 DDR393204:DDR393269 DNN393204:DNN393269 DXJ393204:DXJ393269 EHF393204:EHF393269 ERB393204:ERB393269 FAX393204:FAX393269 FKT393204:FKT393269 FUP393204:FUP393269 GEL393204:GEL393269 GOH393204:GOH393269 GYD393204:GYD393269 HHZ393204:HHZ393269 HRV393204:HRV393269 IBR393204:IBR393269 ILN393204:ILN393269 IVJ393204:IVJ393269 JFF393204:JFF393269 JPB393204:JPB393269 JYX393204:JYX393269 KIT393204:KIT393269 KSP393204:KSP393269 LCL393204:LCL393269 LMH393204:LMH393269 LWD393204:LWD393269 MFZ393204:MFZ393269 MPV393204:MPV393269 MZR393204:MZR393269 NJN393204:NJN393269 NTJ393204:NTJ393269 ODF393204:ODF393269 ONB393204:ONB393269 OWX393204:OWX393269 PGT393204:PGT393269 PQP393204:PQP393269 QAL393204:QAL393269 QKH393204:QKH393269 QUD393204:QUD393269 RDZ393204:RDZ393269 RNV393204:RNV393269 RXR393204:RXR393269 SHN393204:SHN393269 SRJ393204:SRJ393269 TBF393204:TBF393269 TLB393204:TLB393269 TUX393204:TUX393269 UET393204:UET393269 UOP393204:UOP393269 UYL393204:UYL393269 VIH393204:VIH393269 VSD393204:VSD393269 WBZ393204:WBZ393269 WLV393204:WLV393269 WVR393204:WVR393269 J458740:J458805 JF458740:JF458805 TB458740:TB458805 ACX458740:ACX458805 AMT458740:AMT458805 AWP458740:AWP458805 BGL458740:BGL458805 BQH458740:BQH458805 CAD458740:CAD458805 CJZ458740:CJZ458805 CTV458740:CTV458805 DDR458740:DDR458805 DNN458740:DNN458805 DXJ458740:DXJ458805 EHF458740:EHF458805 ERB458740:ERB458805 FAX458740:FAX458805 FKT458740:FKT458805 FUP458740:FUP458805 GEL458740:GEL458805 GOH458740:GOH458805 GYD458740:GYD458805 HHZ458740:HHZ458805 HRV458740:HRV458805 IBR458740:IBR458805 ILN458740:ILN458805 IVJ458740:IVJ458805 JFF458740:JFF458805 JPB458740:JPB458805 JYX458740:JYX458805 KIT458740:KIT458805 KSP458740:KSP458805 LCL458740:LCL458805 LMH458740:LMH458805 LWD458740:LWD458805 MFZ458740:MFZ458805 MPV458740:MPV458805 MZR458740:MZR458805 NJN458740:NJN458805 NTJ458740:NTJ458805 ODF458740:ODF458805 ONB458740:ONB458805 OWX458740:OWX458805 PGT458740:PGT458805 PQP458740:PQP458805 QAL458740:QAL458805 QKH458740:QKH458805 QUD458740:QUD458805 RDZ458740:RDZ458805 RNV458740:RNV458805 RXR458740:RXR458805 SHN458740:SHN458805 SRJ458740:SRJ458805 TBF458740:TBF458805 TLB458740:TLB458805 TUX458740:TUX458805 UET458740:UET458805 UOP458740:UOP458805 UYL458740:UYL458805 VIH458740:VIH458805 VSD458740:VSD458805 WBZ458740:WBZ458805 WLV458740:WLV458805 WVR458740:WVR458805 J524276:J524341 JF524276:JF524341 TB524276:TB524341 ACX524276:ACX524341 AMT524276:AMT524341 AWP524276:AWP524341 BGL524276:BGL524341 BQH524276:BQH524341 CAD524276:CAD524341 CJZ524276:CJZ524341 CTV524276:CTV524341 DDR524276:DDR524341 DNN524276:DNN524341 DXJ524276:DXJ524341 EHF524276:EHF524341 ERB524276:ERB524341 FAX524276:FAX524341 FKT524276:FKT524341 FUP524276:FUP524341 GEL524276:GEL524341 GOH524276:GOH524341 GYD524276:GYD524341 HHZ524276:HHZ524341 HRV524276:HRV524341 IBR524276:IBR524341 ILN524276:ILN524341 IVJ524276:IVJ524341 JFF524276:JFF524341 JPB524276:JPB524341 JYX524276:JYX524341 KIT524276:KIT524341 KSP524276:KSP524341 LCL524276:LCL524341 LMH524276:LMH524341 LWD524276:LWD524341 MFZ524276:MFZ524341 MPV524276:MPV524341 MZR524276:MZR524341 NJN524276:NJN524341 NTJ524276:NTJ524341 ODF524276:ODF524341 ONB524276:ONB524341 OWX524276:OWX524341 PGT524276:PGT524341 PQP524276:PQP524341 QAL524276:QAL524341 QKH524276:QKH524341 QUD524276:QUD524341 RDZ524276:RDZ524341 RNV524276:RNV524341 RXR524276:RXR524341 SHN524276:SHN524341 SRJ524276:SRJ524341 TBF524276:TBF524341 TLB524276:TLB524341 TUX524276:TUX524341 UET524276:UET524341 UOP524276:UOP524341 UYL524276:UYL524341 VIH524276:VIH524341 VSD524276:VSD524341 WBZ524276:WBZ524341 WLV524276:WLV524341 WVR524276:WVR524341 J589812:J589877 JF589812:JF589877 TB589812:TB589877 ACX589812:ACX589877 AMT589812:AMT589877 AWP589812:AWP589877 BGL589812:BGL589877 BQH589812:BQH589877 CAD589812:CAD589877 CJZ589812:CJZ589877 CTV589812:CTV589877 DDR589812:DDR589877 DNN589812:DNN589877 DXJ589812:DXJ589877 EHF589812:EHF589877 ERB589812:ERB589877 FAX589812:FAX589877 FKT589812:FKT589877 FUP589812:FUP589877 GEL589812:GEL589877 GOH589812:GOH589877 GYD589812:GYD589877 HHZ589812:HHZ589877 HRV589812:HRV589877 IBR589812:IBR589877 ILN589812:ILN589877 IVJ589812:IVJ589877 JFF589812:JFF589877 JPB589812:JPB589877 JYX589812:JYX589877 KIT589812:KIT589877 KSP589812:KSP589877 LCL589812:LCL589877 LMH589812:LMH589877 LWD589812:LWD589877 MFZ589812:MFZ589877 MPV589812:MPV589877 MZR589812:MZR589877 NJN589812:NJN589877 NTJ589812:NTJ589877 ODF589812:ODF589877 ONB589812:ONB589877 OWX589812:OWX589877 PGT589812:PGT589877 PQP589812:PQP589877 QAL589812:QAL589877 QKH589812:QKH589877 QUD589812:QUD589877 RDZ589812:RDZ589877 RNV589812:RNV589877 RXR589812:RXR589877 SHN589812:SHN589877 SRJ589812:SRJ589877 TBF589812:TBF589877 TLB589812:TLB589877 TUX589812:TUX589877 UET589812:UET589877 UOP589812:UOP589877 UYL589812:UYL589877 VIH589812:VIH589877 VSD589812:VSD589877 WBZ589812:WBZ589877 WLV589812:WLV589877 WVR589812:WVR589877 J655348:J655413 JF655348:JF655413 TB655348:TB655413 ACX655348:ACX655413 AMT655348:AMT655413 AWP655348:AWP655413 BGL655348:BGL655413 BQH655348:BQH655413 CAD655348:CAD655413 CJZ655348:CJZ655413 CTV655348:CTV655413 DDR655348:DDR655413 DNN655348:DNN655413 DXJ655348:DXJ655413 EHF655348:EHF655413 ERB655348:ERB655413 FAX655348:FAX655413 FKT655348:FKT655413 FUP655348:FUP655413 GEL655348:GEL655413 GOH655348:GOH655413 GYD655348:GYD655413 HHZ655348:HHZ655413 HRV655348:HRV655413 IBR655348:IBR655413 ILN655348:ILN655413 IVJ655348:IVJ655413 JFF655348:JFF655413 JPB655348:JPB655413 JYX655348:JYX655413 KIT655348:KIT655413 KSP655348:KSP655413 LCL655348:LCL655413 LMH655348:LMH655413 LWD655348:LWD655413 MFZ655348:MFZ655413 MPV655348:MPV655413 MZR655348:MZR655413 NJN655348:NJN655413 NTJ655348:NTJ655413 ODF655348:ODF655413 ONB655348:ONB655413 OWX655348:OWX655413 PGT655348:PGT655413 PQP655348:PQP655413 QAL655348:QAL655413 QKH655348:QKH655413 QUD655348:QUD655413 RDZ655348:RDZ655413 RNV655348:RNV655413 RXR655348:RXR655413 SHN655348:SHN655413 SRJ655348:SRJ655413 TBF655348:TBF655413 TLB655348:TLB655413 TUX655348:TUX655413 UET655348:UET655413 UOP655348:UOP655413 UYL655348:UYL655413 VIH655348:VIH655413 VSD655348:VSD655413 WBZ655348:WBZ655413 WLV655348:WLV655413 WVR655348:WVR655413 J720884:J720949 JF720884:JF720949 TB720884:TB720949 ACX720884:ACX720949 AMT720884:AMT720949 AWP720884:AWP720949 BGL720884:BGL720949 BQH720884:BQH720949 CAD720884:CAD720949 CJZ720884:CJZ720949 CTV720884:CTV720949 DDR720884:DDR720949 DNN720884:DNN720949 DXJ720884:DXJ720949 EHF720884:EHF720949 ERB720884:ERB720949 FAX720884:FAX720949 FKT720884:FKT720949 FUP720884:FUP720949 GEL720884:GEL720949 GOH720884:GOH720949 GYD720884:GYD720949 HHZ720884:HHZ720949 HRV720884:HRV720949 IBR720884:IBR720949 ILN720884:ILN720949 IVJ720884:IVJ720949 JFF720884:JFF720949 JPB720884:JPB720949 JYX720884:JYX720949 KIT720884:KIT720949 KSP720884:KSP720949 LCL720884:LCL720949 LMH720884:LMH720949 LWD720884:LWD720949 MFZ720884:MFZ720949 MPV720884:MPV720949 MZR720884:MZR720949 NJN720884:NJN720949 NTJ720884:NTJ720949 ODF720884:ODF720949 ONB720884:ONB720949 OWX720884:OWX720949 PGT720884:PGT720949 PQP720884:PQP720949 QAL720884:QAL720949 QKH720884:QKH720949 QUD720884:QUD720949 RDZ720884:RDZ720949 RNV720884:RNV720949 RXR720884:RXR720949 SHN720884:SHN720949 SRJ720884:SRJ720949 TBF720884:TBF720949 TLB720884:TLB720949 TUX720884:TUX720949 UET720884:UET720949 UOP720884:UOP720949 UYL720884:UYL720949 VIH720884:VIH720949 VSD720884:VSD720949 WBZ720884:WBZ720949 WLV720884:WLV720949 WVR720884:WVR720949 J786420:J786485 JF786420:JF786485 TB786420:TB786485 ACX786420:ACX786485 AMT786420:AMT786485 AWP786420:AWP786485 BGL786420:BGL786485 BQH786420:BQH786485 CAD786420:CAD786485 CJZ786420:CJZ786485 CTV786420:CTV786485 DDR786420:DDR786485 DNN786420:DNN786485 DXJ786420:DXJ786485 EHF786420:EHF786485 ERB786420:ERB786485 FAX786420:FAX786485 FKT786420:FKT786485 FUP786420:FUP786485 GEL786420:GEL786485 GOH786420:GOH786485 GYD786420:GYD786485 HHZ786420:HHZ786485 HRV786420:HRV786485 IBR786420:IBR786485 ILN786420:ILN786485 IVJ786420:IVJ786485 JFF786420:JFF786485 JPB786420:JPB786485 JYX786420:JYX786485 KIT786420:KIT786485 KSP786420:KSP786485 LCL786420:LCL786485 LMH786420:LMH786485 LWD786420:LWD786485 MFZ786420:MFZ786485 MPV786420:MPV786485 MZR786420:MZR786485 NJN786420:NJN786485 NTJ786420:NTJ786485 ODF786420:ODF786485 ONB786420:ONB786485 OWX786420:OWX786485 PGT786420:PGT786485 PQP786420:PQP786485 QAL786420:QAL786485 QKH786420:QKH786485 QUD786420:QUD786485 RDZ786420:RDZ786485 RNV786420:RNV786485 RXR786420:RXR786485 SHN786420:SHN786485 SRJ786420:SRJ786485 TBF786420:TBF786485 TLB786420:TLB786485 TUX786420:TUX786485 UET786420:UET786485 UOP786420:UOP786485 UYL786420:UYL786485 VIH786420:VIH786485 VSD786420:VSD786485 WBZ786420:WBZ786485 WLV786420:WLV786485 WVR786420:WVR786485 J851956:J852021 JF851956:JF852021 TB851956:TB852021 ACX851956:ACX852021 AMT851956:AMT852021 AWP851956:AWP852021 BGL851956:BGL852021 BQH851956:BQH852021 CAD851956:CAD852021 CJZ851956:CJZ852021 CTV851956:CTV852021 DDR851956:DDR852021 DNN851956:DNN852021 DXJ851956:DXJ852021 EHF851956:EHF852021 ERB851956:ERB852021 FAX851956:FAX852021 FKT851956:FKT852021 FUP851956:FUP852021 GEL851956:GEL852021 GOH851956:GOH852021 GYD851956:GYD852021 HHZ851956:HHZ852021 HRV851956:HRV852021 IBR851956:IBR852021 ILN851956:ILN852021 IVJ851956:IVJ852021 JFF851956:JFF852021 JPB851956:JPB852021 JYX851956:JYX852021 KIT851956:KIT852021 KSP851956:KSP852021 LCL851956:LCL852021 LMH851956:LMH852021 LWD851956:LWD852021 MFZ851956:MFZ852021 MPV851956:MPV852021 MZR851956:MZR852021 NJN851956:NJN852021 NTJ851956:NTJ852021 ODF851956:ODF852021 ONB851956:ONB852021 OWX851956:OWX852021 PGT851956:PGT852021 PQP851956:PQP852021 QAL851956:QAL852021 QKH851956:QKH852021 QUD851956:QUD852021 RDZ851956:RDZ852021 RNV851956:RNV852021 RXR851956:RXR852021 SHN851956:SHN852021 SRJ851956:SRJ852021 TBF851956:TBF852021 TLB851956:TLB852021 TUX851956:TUX852021 UET851956:UET852021 UOP851956:UOP852021 UYL851956:UYL852021 VIH851956:VIH852021 VSD851956:VSD852021 WBZ851956:WBZ852021 WLV851956:WLV852021 WVR851956:WVR852021 J917492:J917557 JF917492:JF917557 TB917492:TB917557 ACX917492:ACX917557 AMT917492:AMT917557 AWP917492:AWP917557 BGL917492:BGL917557 BQH917492:BQH917557 CAD917492:CAD917557 CJZ917492:CJZ917557 CTV917492:CTV917557 DDR917492:DDR917557 DNN917492:DNN917557 DXJ917492:DXJ917557 EHF917492:EHF917557 ERB917492:ERB917557 FAX917492:FAX917557 FKT917492:FKT917557 FUP917492:FUP917557 GEL917492:GEL917557 GOH917492:GOH917557 GYD917492:GYD917557 HHZ917492:HHZ917557 HRV917492:HRV917557 IBR917492:IBR917557 ILN917492:ILN917557 IVJ917492:IVJ917557 JFF917492:JFF917557 JPB917492:JPB917557 JYX917492:JYX917557 KIT917492:KIT917557 KSP917492:KSP917557 LCL917492:LCL917557 LMH917492:LMH917557 LWD917492:LWD917557 MFZ917492:MFZ917557 MPV917492:MPV917557 MZR917492:MZR917557 NJN917492:NJN917557 NTJ917492:NTJ917557 ODF917492:ODF917557 ONB917492:ONB917557 OWX917492:OWX917557 PGT917492:PGT917557 PQP917492:PQP917557 QAL917492:QAL917557 QKH917492:QKH917557 QUD917492:QUD917557 RDZ917492:RDZ917557 RNV917492:RNV917557 RXR917492:RXR917557 SHN917492:SHN917557 SRJ917492:SRJ917557 TBF917492:TBF917557 TLB917492:TLB917557 TUX917492:TUX917557 UET917492:UET917557 UOP917492:UOP917557 UYL917492:UYL917557 VIH917492:VIH917557 VSD917492:VSD917557 WBZ917492:WBZ917557 WLV917492:WLV917557 WVR917492:WVR917557 J983028:J983093 JF983028:JF983093 TB983028:TB983093 ACX983028:ACX983093 AMT983028:AMT983093 AWP983028:AWP983093 BGL983028:BGL983093 BQH983028:BQH983093 CAD983028:CAD983093 CJZ983028:CJZ983093 CTV983028:CTV983093 DDR983028:DDR983093 DNN983028:DNN983093 DXJ983028:DXJ983093 EHF983028:EHF983093 ERB983028:ERB983093 FAX983028:FAX983093 FKT983028:FKT983093 FUP983028:FUP983093 GEL983028:GEL983093 GOH983028:GOH983093 GYD983028:GYD983093 HHZ983028:HHZ983093 HRV983028:HRV983093 IBR983028:IBR983093 ILN983028:ILN983093 IVJ983028:IVJ983093 JFF983028:JFF983093 JPB983028:JPB983093 JYX983028:JYX983093 KIT983028:KIT983093 KSP983028:KSP983093 LCL983028:LCL983093 LMH983028:LMH983093 LWD983028:LWD983093 MFZ983028:MFZ983093 MPV983028:MPV983093 MZR983028:MZR983093 NJN983028:NJN983093 NTJ983028:NTJ983093 ODF983028:ODF983093 ONB983028:ONB983093 OWX983028:OWX983093 PGT983028:PGT983093 PQP983028:PQP983093 QAL983028:QAL983093 QKH983028:QKH983093 QUD983028:QUD983093 RDZ983028:RDZ983093 RNV983028:RNV983093 RXR983028:RXR983093 SHN983028:SHN983093 SRJ983028:SRJ983093 TBF983028:TBF983093 TLB983028:TLB983093 TUX983028:TUX983093 UET983028:UET983093 UOP983028:UOP983093 UYL983028:UYL983093 VIH983028:VIH983093 VSD983028:VSD983093 WBZ983028:WBZ983093 WLV983028:WLV983093 J53:J486 BGL2:BGL70 BQH2:BQH70 CAD2:CAD70 CJZ2:CJZ70 CTV2:CTV70 DDR2:DDR70 DNN2:DNN70 DXJ2:DXJ70 EHF2:EHF70 ERB2:ERB70 FAX2:FAX70 FKT2:FKT70 FUP2:FUP70 GEL2:GEL70 GOH2:GOH70 GYD2:GYD70 HHZ2:HHZ70 HRV2:HRV70 IBR2:IBR70 ILN2:ILN70 IVJ2:IVJ70 JFF2:JFF70 JPB2:JPB70 JYX2:JYX70 KIT2:KIT70 KSP2:KSP70 LCL2:LCL70 LMH2:LMH70 LWD2:LWD70 MFZ2:MFZ70 MPV2:MPV70 MZR2:MZR70 NJN2:NJN70 NTJ2:NTJ70 ODF2:ODF70 ONB2:ONB70 OWX2:OWX70 PGT2:PGT70 PQP2:PQP70 QAL2:QAL70 QKH2:QKH70 QUD2:QUD70 RDZ2:RDZ70 RNV2:RNV70 RXR2:RXR70 SHN2:SHN70 SRJ2:SRJ70 TBF2:TBF70 TLB2:TLB70 TUX2:TUX70 UET2:UET70 UOP2:UOP70 UYL2:UYL70 VIH2:VIH70 VSD2:VSD70 WBZ2:WBZ70 WLV2:WLV70 WVR2:WVR70 JF2:JF70 ACX2:ACX70 AMT2:AMT70 TB2:TB70 AWP2:AWP70">
      <formula1>$AP$2:$AP$27</formula1>
    </dataValidation>
    <dataValidation type="list" allowBlank="1" showInputMessage="1" showErrorMessage="1" sqref="WVP983028:WVP983093 H65524:H65589 JD65524:JD65589 SZ65524:SZ65589 ACV65524:ACV65589 AMR65524:AMR65589 AWN65524:AWN65589 BGJ65524:BGJ65589 BQF65524:BQF65589 CAB65524:CAB65589 CJX65524:CJX65589 CTT65524:CTT65589 DDP65524:DDP65589 DNL65524:DNL65589 DXH65524:DXH65589 EHD65524:EHD65589 EQZ65524:EQZ65589 FAV65524:FAV65589 FKR65524:FKR65589 FUN65524:FUN65589 GEJ65524:GEJ65589 GOF65524:GOF65589 GYB65524:GYB65589 HHX65524:HHX65589 HRT65524:HRT65589 IBP65524:IBP65589 ILL65524:ILL65589 IVH65524:IVH65589 JFD65524:JFD65589 JOZ65524:JOZ65589 JYV65524:JYV65589 KIR65524:KIR65589 KSN65524:KSN65589 LCJ65524:LCJ65589 LMF65524:LMF65589 LWB65524:LWB65589 MFX65524:MFX65589 MPT65524:MPT65589 MZP65524:MZP65589 NJL65524:NJL65589 NTH65524:NTH65589 ODD65524:ODD65589 OMZ65524:OMZ65589 OWV65524:OWV65589 PGR65524:PGR65589 PQN65524:PQN65589 QAJ65524:QAJ65589 QKF65524:QKF65589 QUB65524:QUB65589 RDX65524:RDX65589 RNT65524:RNT65589 RXP65524:RXP65589 SHL65524:SHL65589 SRH65524:SRH65589 TBD65524:TBD65589 TKZ65524:TKZ65589 TUV65524:TUV65589 UER65524:UER65589 UON65524:UON65589 UYJ65524:UYJ65589 VIF65524:VIF65589 VSB65524:VSB65589 WBX65524:WBX65589 WLT65524:WLT65589 WVP65524:WVP65589 H131060:H131125 JD131060:JD131125 SZ131060:SZ131125 ACV131060:ACV131125 AMR131060:AMR131125 AWN131060:AWN131125 BGJ131060:BGJ131125 BQF131060:BQF131125 CAB131060:CAB131125 CJX131060:CJX131125 CTT131060:CTT131125 DDP131060:DDP131125 DNL131060:DNL131125 DXH131060:DXH131125 EHD131060:EHD131125 EQZ131060:EQZ131125 FAV131060:FAV131125 FKR131060:FKR131125 FUN131060:FUN131125 GEJ131060:GEJ131125 GOF131060:GOF131125 GYB131060:GYB131125 HHX131060:HHX131125 HRT131060:HRT131125 IBP131060:IBP131125 ILL131060:ILL131125 IVH131060:IVH131125 JFD131060:JFD131125 JOZ131060:JOZ131125 JYV131060:JYV131125 KIR131060:KIR131125 KSN131060:KSN131125 LCJ131060:LCJ131125 LMF131060:LMF131125 LWB131060:LWB131125 MFX131060:MFX131125 MPT131060:MPT131125 MZP131060:MZP131125 NJL131060:NJL131125 NTH131060:NTH131125 ODD131060:ODD131125 OMZ131060:OMZ131125 OWV131060:OWV131125 PGR131060:PGR131125 PQN131060:PQN131125 QAJ131060:QAJ131125 QKF131060:QKF131125 QUB131060:QUB131125 RDX131060:RDX131125 RNT131060:RNT131125 RXP131060:RXP131125 SHL131060:SHL131125 SRH131060:SRH131125 TBD131060:TBD131125 TKZ131060:TKZ131125 TUV131060:TUV131125 UER131060:UER131125 UON131060:UON131125 UYJ131060:UYJ131125 VIF131060:VIF131125 VSB131060:VSB131125 WBX131060:WBX131125 WLT131060:WLT131125 WVP131060:WVP131125 H196596:H196661 JD196596:JD196661 SZ196596:SZ196661 ACV196596:ACV196661 AMR196596:AMR196661 AWN196596:AWN196661 BGJ196596:BGJ196661 BQF196596:BQF196661 CAB196596:CAB196661 CJX196596:CJX196661 CTT196596:CTT196661 DDP196596:DDP196661 DNL196596:DNL196661 DXH196596:DXH196661 EHD196596:EHD196661 EQZ196596:EQZ196661 FAV196596:FAV196661 FKR196596:FKR196661 FUN196596:FUN196661 GEJ196596:GEJ196661 GOF196596:GOF196661 GYB196596:GYB196661 HHX196596:HHX196661 HRT196596:HRT196661 IBP196596:IBP196661 ILL196596:ILL196661 IVH196596:IVH196661 JFD196596:JFD196661 JOZ196596:JOZ196661 JYV196596:JYV196661 KIR196596:KIR196661 KSN196596:KSN196661 LCJ196596:LCJ196661 LMF196596:LMF196661 LWB196596:LWB196661 MFX196596:MFX196661 MPT196596:MPT196661 MZP196596:MZP196661 NJL196596:NJL196661 NTH196596:NTH196661 ODD196596:ODD196661 OMZ196596:OMZ196661 OWV196596:OWV196661 PGR196596:PGR196661 PQN196596:PQN196661 QAJ196596:QAJ196661 QKF196596:QKF196661 QUB196596:QUB196661 RDX196596:RDX196661 RNT196596:RNT196661 RXP196596:RXP196661 SHL196596:SHL196661 SRH196596:SRH196661 TBD196596:TBD196661 TKZ196596:TKZ196661 TUV196596:TUV196661 UER196596:UER196661 UON196596:UON196661 UYJ196596:UYJ196661 VIF196596:VIF196661 VSB196596:VSB196661 WBX196596:WBX196661 WLT196596:WLT196661 WVP196596:WVP196661 H262132:H262197 JD262132:JD262197 SZ262132:SZ262197 ACV262132:ACV262197 AMR262132:AMR262197 AWN262132:AWN262197 BGJ262132:BGJ262197 BQF262132:BQF262197 CAB262132:CAB262197 CJX262132:CJX262197 CTT262132:CTT262197 DDP262132:DDP262197 DNL262132:DNL262197 DXH262132:DXH262197 EHD262132:EHD262197 EQZ262132:EQZ262197 FAV262132:FAV262197 FKR262132:FKR262197 FUN262132:FUN262197 GEJ262132:GEJ262197 GOF262132:GOF262197 GYB262132:GYB262197 HHX262132:HHX262197 HRT262132:HRT262197 IBP262132:IBP262197 ILL262132:ILL262197 IVH262132:IVH262197 JFD262132:JFD262197 JOZ262132:JOZ262197 JYV262132:JYV262197 KIR262132:KIR262197 KSN262132:KSN262197 LCJ262132:LCJ262197 LMF262132:LMF262197 LWB262132:LWB262197 MFX262132:MFX262197 MPT262132:MPT262197 MZP262132:MZP262197 NJL262132:NJL262197 NTH262132:NTH262197 ODD262132:ODD262197 OMZ262132:OMZ262197 OWV262132:OWV262197 PGR262132:PGR262197 PQN262132:PQN262197 QAJ262132:QAJ262197 QKF262132:QKF262197 QUB262132:QUB262197 RDX262132:RDX262197 RNT262132:RNT262197 RXP262132:RXP262197 SHL262132:SHL262197 SRH262132:SRH262197 TBD262132:TBD262197 TKZ262132:TKZ262197 TUV262132:TUV262197 UER262132:UER262197 UON262132:UON262197 UYJ262132:UYJ262197 VIF262132:VIF262197 VSB262132:VSB262197 WBX262132:WBX262197 WLT262132:WLT262197 WVP262132:WVP262197 H327668:H327733 JD327668:JD327733 SZ327668:SZ327733 ACV327668:ACV327733 AMR327668:AMR327733 AWN327668:AWN327733 BGJ327668:BGJ327733 BQF327668:BQF327733 CAB327668:CAB327733 CJX327668:CJX327733 CTT327668:CTT327733 DDP327668:DDP327733 DNL327668:DNL327733 DXH327668:DXH327733 EHD327668:EHD327733 EQZ327668:EQZ327733 FAV327668:FAV327733 FKR327668:FKR327733 FUN327668:FUN327733 GEJ327668:GEJ327733 GOF327668:GOF327733 GYB327668:GYB327733 HHX327668:HHX327733 HRT327668:HRT327733 IBP327668:IBP327733 ILL327668:ILL327733 IVH327668:IVH327733 JFD327668:JFD327733 JOZ327668:JOZ327733 JYV327668:JYV327733 KIR327668:KIR327733 KSN327668:KSN327733 LCJ327668:LCJ327733 LMF327668:LMF327733 LWB327668:LWB327733 MFX327668:MFX327733 MPT327668:MPT327733 MZP327668:MZP327733 NJL327668:NJL327733 NTH327668:NTH327733 ODD327668:ODD327733 OMZ327668:OMZ327733 OWV327668:OWV327733 PGR327668:PGR327733 PQN327668:PQN327733 QAJ327668:QAJ327733 QKF327668:QKF327733 QUB327668:QUB327733 RDX327668:RDX327733 RNT327668:RNT327733 RXP327668:RXP327733 SHL327668:SHL327733 SRH327668:SRH327733 TBD327668:TBD327733 TKZ327668:TKZ327733 TUV327668:TUV327733 UER327668:UER327733 UON327668:UON327733 UYJ327668:UYJ327733 VIF327668:VIF327733 VSB327668:VSB327733 WBX327668:WBX327733 WLT327668:WLT327733 WVP327668:WVP327733 H393204:H393269 JD393204:JD393269 SZ393204:SZ393269 ACV393204:ACV393269 AMR393204:AMR393269 AWN393204:AWN393269 BGJ393204:BGJ393269 BQF393204:BQF393269 CAB393204:CAB393269 CJX393204:CJX393269 CTT393204:CTT393269 DDP393204:DDP393269 DNL393204:DNL393269 DXH393204:DXH393269 EHD393204:EHD393269 EQZ393204:EQZ393269 FAV393204:FAV393269 FKR393204:FKR393269 FUN393204:FUN393269 GEJ393204:GEJ393269 GOF393204:GOF393269 GYB393204:GYB393269 HHX393204:HHX393269 HRT393204:HRT393269 IBP393204:IBP393269 ILL393204:ILL393269 IVH393204:IVH393269 JFD393204:JFD393269 JOZ393204:JOZ393269 JYV393204:JYV393269 KIR393204:KIR393269 KSN393204:KSN393269 LCJ393204:LCJ393269 LMF393204:LMF393269 LWB393204:LWB393269 MFX393204:MFX393269 MPT393204:MPT393269 MZP393204:MZP393269 NJL393204:NJL393269 NTH393204:NTH393269 ODD393204:ODD393269 OMZ393204:OMZ393269 OWV393204:OWV393269 PGR393204:PGR393269 PQN393204:PQN393269 QAJ393204:QAJ393269 QKF393204:QKF393269 QUB393204:QUB393269 RDX393204:RDX393269 RNT393204:RNT393269 RXP393204:RXP393269 SHL393204:SHL393269 SRH393204:SRH393269 TBD393204:TBD393269 TKZ393204:TKZ393269 TUV393204:TUV393269 UER393204:UER393269 UON393204:UON393269 UYJ393204:UYJ393269 VIF393204:VIF393269 VSB393204:VSB393269 WBX393204:WBX393269 WLT393204:WLT393269 WVP393204:WVP393269 H458740:H458805 JD458740:JD458805 SZ458740:SZ458805 ACV458740:ACV458805 AMR458740:AMR458805 AWN458740:AWN458805 BGJ458740:BGJ458805 BQF458740:BQF458805 CAB458740:CAB458805 CJX458740:CJX458805 CTT458740:CTT458805 DDP458740:DDP458805 DNL458740:DNL458805 DXH458740:DXH458805 EHD458740:EHD458805 EQZ458740:EQZ458805 FAV458740:FAV458805 FKR458740:FKR458805 FUN458740:FUN458805 GEJ458740:GEJ458805 GOF458740:GOF458805 GYB458740:GYB458805 HHX458740:HHX458805 HRT458740:HRT458805 IBP458740:IBP458805 ILL458740:ILL458805 IVH458740:IVH458805 JFD458740:JFD458805 JOZ458740:JOZ458805 JYV458740:JYV458805 KIR458740:KIR458805 KSN458740:KSN458805 LCJ458740:LCJ458805 LMF458740:LMF458805 LWB458740:LWB458805 MFX458740:MFX458805 MPT458740:MPT458805 MZP458740:MZP458805 NJL458740:NJL458805 NTH458740:NTH458805 ODD458740:ODD458805 OMZ458740:OMZ458805 OWV458740:OWV458805 PGR458740:PGR458805 PQN458740:PQN458805 QAJ458740:QAJ458805 QKF458740:QKF458805 QUB458740:QUB458805 RDX458740:RDX458805 RNT458740:RNT458805 RXP458740:RXP458805 SHL458740:SHL458805 SRH458740:SRH458805 TBD458740:TBD458805 TKZ458740:TKZ458805 TUV458740:TUV458805 UER458740:UER458805 UON458740:UON458805 UYJ458740:UYJ458805 VIF458740:VIF458805 VSB458740:VSB458805 WBX458740:WBX458805 WLT458740:WLT458805 WVP458740:WVP458805 H524276:H524341 JD524276:JD524341 SZ524276:SZ524341 ACV524276:ACV524341 AMR524276:AMR524341 AWN524276:AWN524341 BGJ524276:BGJ524341 BQF524276:BQF524341 CAB524276:CAB524341 CJX524276:CJX524341 CTT524276:CTT524341 DDP524276:DDP524341 DNL524276:DNL524341 DXH524276:DXH524341 EHD524276:EHD524341 EQZ524276:EQZ524341 FAV524276:FAV524341 FKR524276:FKR524341 FUN524276:FUN524341 GEJ524276:GEJ524341 GOF524276:GOF524341 GYB524276:GYB524341 HHX524276:HHX524341 HRT524276:HRT524341 IBP524276:IBP524341 ILL524276:ILL524341 IVH524276:IVH524341 JFD524276:JFD524341 JOZ524276:JOZ524341 JYV524276:JYV524341 KIR524276:KIR524341 KSN524276:KSN524341 LCJ524276:LCJ524341 LMF524276:LMF524341 LWB524276:LWB524341 MFX524276:MFX524341 MPT524276:MPT524341 MZP524276:MZP524341 NJL524276:NJL524341 NTH524276:NTH524341 ODD524276:ODD524341 OMZ524276:OMZ524341 OWV524276:OWV524341 PGR524276:PGR524341 PQN524276:PQN524341 QAJ524276:QAJ524341 QKF524276:QKF524341 QUB524276:QUB524341 RDX524276:RDX524341 RNT524276:RNT524341 RXP524276:RXP524341 SHL524276:SHL524341 SRH524276:SRH524341 TBD524276:TBD524341 TKZ524276:TKZ524341 TUV524276:TUV524341 UER524276:UER524341 UON524276:UON524341 UYJ524276:UYJ524341 VIF524276:VIF524341 VSB524276:VSB524341 WBX524276:WBX524341 WLT524276:WLT524341 WVP524276:WVP524341 H589812:H589877 JD589812:JD589877 SZ589812:SZ589877 ACV589812:ACV589877 AMR589812:AMR589877 AWN589812:AWN589877 BGJ589812:BGJ589877 BQF589812:BQF589877 CAB589812:CAB589877 CJX589812:CJX589877 CTT589812:CTT589877 DDP589812:DDP589877 DNL589812:DNL589877 DXH589812:DXH589877 EHD589812:EHD589877 EQZ589812:EQZ589877 FAV589812:FAV589877 FKR589812:FKR589877 FUN589812:FUN589877 GEJ589812:GEJ589877 GOF589812:GOF589877 GYB589812:GYB589877 HHX589812:HHX589877 HRT589812:HRT589877 IBP589812:IBP589877 ILL589812:ILL589877 IVH589812:IVH589877 JFD589812:JFD589877 JOZ589812:JOZ589877 JYV589812:JYV589877 KIR589812:KIR589877 KSN589812:KSN589877 LCJ589812:LCJ589877 LMF589812:LMF589877 LWB589812:LWB589877 MFX589812:MFX589877 MPT589812:MPT589877 MZP589812:MZP589877 NJL589812:NJL589877 NTH589812:NTH589877 ODD589812:ODD589877 OMZ589812:OMZ589877 OWV589812:OWV589877 PGR589812:PGR589877 PQN589812:PQN589877 QAJ589812:QAJ589877 QKF589812:QKF589877 QUB589812:QUB589877 RDX589812:RDX589877 RNT589812:RNT589877 RXP589812:RXP589877 SHL589812:SHL589877 SRH589812:SRH589877 TBD589812:TBD589877 TKZ589812:TKZ589877 TUV589812:TUV589877 UER589812:UER589877 UON589812:UON589877 UYJ589812:UYJ589877 VIF589812:VIF589877 VSB589812:VSB589877 WBX589812:WBX589877 WLT589812:WLT589877 WVP589812:WVP589877 H655348:H655413 JD655348:JD655413 SZ655348:SZ655413 ACV655348:ACV655413 AMR655348:AMR655413 AWN655348:AWN655413 BGJ655348:BGJ655413 BQF655348:BQF655413 CAB655348:CAB655413 CJX655348:CJX655413 CTT655348:CTT655413 DDP655348:DDP655413 DNL655348:DNL655413 DXH655348:DXH655413 EHD655348:EHD655413 EQZ655348:EQZ655413 FAV655348:FAV655413 FKR655348:FKR655413 FUN655348:FUN655413 GEJ655348:GEJ655413 GOF655348:GOF655413 GYB655348:GYB655413 HHX655348:HHX655413 HRT655348:HRT655413 IBP655348:IBP655413 ILL655348:ILL655413 IVH655348:IVH655413 JFD655348:JFD655413 JOZ655348:JOZ655413 JYV655348:JYV655413 KIR655348:KIR655413 KSN655348:KSN655413 LCJ655348:LCJ655413 LMF655348:LMF655413 LWB655348:LWB655413 MFX655348:MFX655413 MPT655348:MPT655413 MZP655348:MZP655413 NJL655348:NJL655413 NTH655348:NTH655413 ODD655348:ODD655413 OMZ655348:OMZ655413 OWV655348:OWV655413 PGR655348:PGR655413 PQN655348:PQN655413 QAJ655348:QAJ655413 QKF655348:QKF655413 QUB655348:QUB655413 RDX655348:RDX655413 RNT655348:RNT655413 RXP655348:RXP655413 SHL655348:SHL655413 SRH655348:SRH655413 TBD655348:TBD655413 TKZ655348:TKZ655413 TUV655348:TUV655413 UER655348:UER655413 UON655348:UON655413 UYJ655348:UYJ655413 VIF655348:VIF655413 VSB655348:VSB655413 WBX655348:WBX655413 WLT655348:WLT655413 WVP655348:WVP655413 H720884:H720949 JD720884:JD720949 SZ720884:SZ720949 ACV720884:ACV720949 AMR720884:AMR720949 AWN720884:AWN720949 BGJ720884:BGJ720949 BQF720884:BQF720949 CAB720884:CAB720949 CJX720884:CJX720949 CTT720884:CTT720949 DDP720884:DDP720949 DNL720884:DNL720949 DXH720884:DXH720949 EHD720884:EHD720949 EQZ720884:EQZ720949 FAV720884:FAV720949 FKR720884:FKR720949 FUN720884:FUN720949 GEJ720884:GEJ720949 GOF720884:GOF720949 GYB720884:GYB720949 HHX720884:HHX720949 HRT720884:HRT720949 IBP720884:IBP720949 ILL720884:ILL720949 IVH720884:IVH720949 JFD720884:JFD720949 JOZ720884:JOZ720949 JYV720884:JYV720949 KIR720884:KIR720949 KSN720884:KSN720949 LCJ720884:LCJ720949 LMF720884:LMF720949 LWB720884:LWB720949 MFX720884:MFX720949 MPT720884:MPT720949 MZP720884:MZP720949 NJL720884:NJL720949 NTH720884:NTH720949 ODD720884:ODD720949 OMZ720884:OMZ720949 OWV720884:OWV720949 PGR720884:PGR720949 PQN720884:PQN720949 QAJ720884:QAJ720949 QKF720884:QKF720949 QUB720884:QUB720949 RDX720884:RDX720949 RNT720884:RNT720949 RXP720884:RXP720949 SHL720884:SHL720949 SRH720884:SRH720949 TBD720884:TBD720949 TKZ720884:TKZ720949 TUV720884:TUV720949 UER720884:UER720949 UON720884:UON720949 UYJ720884:UYJ720949 VIF720884:VIF720949 VSB720884:VSB720949 WBX720884:WBX720949 WLT720884:WLT720949 WVP720884:WVP720949 H786420:H786485 JD786420:JD786485 SZ786420:SZ786485 ACV786420:ACV786485 AMR786420:AMR786485 AWN786420:AWN786485 BGJ786420:BGJ786485 BQF786420:BQF786485 CAB786420:CAB786485 CJX786420:CJX786485 CTT786420:CTT786485 DDP786420:DDP786485 DNL786420:DNL786485 DXH786420:DXH786485 EHD786420:EHD786485 EQZ786420:EQZ786485 FAV786420:FAV786485 FKR786420:FKR786485 FUN786420:FUN786485 GEJ786420:GEJ786485 GOF786420:GOF786485 GYB786420:GYB786485 HHX786420:HHX786485 HRT786420:HRT786485 IBP786420:IBP786485 ILL786420:ILL786485 IVH786420:IVH786485 JFD786420:JFD786485 JOZ786420:JOZ786485 JYV786420:JYV786485 KIR786420:KIR786485 KSN786420:KSN786485 LCJ786420:LCJ786485 LMF786420:LMF786485 LWB786420:LWB786485 MFX786420:MFX786485 MPT786420:MPT786485 MZP786420:MZP786485 NJL786420:NJL786485 NTH786420:NTH786485 ODD786420:ODD786485 OMZ786420:OMZ786485 OWV786420:OWV786485 PGR786420:PGR786485 PQN786420:PQN786485 QAJ786420:QAJ786485 QKF786420:QKF786485 QUB786420:QUB786485 RDX786420:RDX786485 RNT786420:RNT786485 RXP786420:RXP786485 SHL786420:SHL786485 SRH786420:SRH786485 TBD786420:TBD786485 TKZ786420:TKZ786485 TUV786420:TUV786485 UER786420:UER786485 UON786420:UON786485 UYJ786420:UYJ786485 VIF786420:VIF786485 VSB786420:VSB786485 WBX786420:WBX786485 WLT786420:WLT786485 WVP786420:WVP786485 H851956:H852021 JD851956:JD852021 SZ851956:SZ852021 ACV851956:ACV852021 AMR851956:AMR852021 AWN851956:AWN852021 BGJ851956:BGJ852021 BQF851956:BQF852021 CAB851956:CAB852021 CJX851956:CJX852021 CTT851956:CTT852021 DDP851956:DDP852021 DNL851956:DNL852021 DXH851956:DXH852021 EHD851956:EHD852021 EQZ851956:EQZ852021 FAV851956:FAV852021 FKR851956:FKR852021 FUN851956:FUN852021 GEJ851956:GEJ852021 GOF851956:GOF852021 GYB851956:GYB852021 HHX851956:HHX852021 HRT851956:HRT852021 IBP851956:IBP852021 ILL851956:ILL852021 IVH851956:IVH852021 JFD851956:JFD852021 JOZ851956:JOZ852021 JYV851956:JYV852021 KIR851956:KIR852021 KSN851956:KSN852021 LCJ851956:LCJ852021 LMF851956:LMF852021 LWB851956:LWB852021 MFX851956:MFX852021 MPT851956:MPT852021 MZP851956:MZP852021 NJL851956:NJL852021 NTH851956:NTH852021 ODD851956:ODD852021 OMZ851956:OMZ852021 OWV851956:OWV852021 PGR851956:PGR852021 PQN851956:PQN852021 QAJ851956:QAJ852021 QKF851956:QKF852021 QUB851956:QUB852021 RDX851956:RDX852021 RNT851956:RNT852021 RXP851956:RXP852021 SHL851956:SHL852021 SRH851956:SRH852021 TBD851956:TBD852021 TKZ851956:TKZ852021 TUV851956:TUV852021 UER851956:UER852021 UON851956:UON852021 UYJ851956:UYJ852021 VIF851956:VIF852021 VSB851956:VSB852021 WBX851956:WBX852021 WLT851956:WLT852021 WVP851956:WVP852021 H917492:H917557 JD917492:JD917557 SZ917492:SZ917557 ACV917492:ACV917557 AMR917492:AMR917557 AWN917492:AWN917557 BGJ917492:BGJ917557 BQF917492:BQF917557 CAB917492:CAB917557 CJX917492:CJX917557 CTT917492:CTT917557 DDP917492:DDP917557 DNL917492:DNL917557 DXH917492:DXH917557 EHD917492:EHD917557 EQZ917492:EQZ917557 FAV917492:FAV917557 FKR917492:FKR917557 FUN917492:FUN917557 GEJ917492:GEJ917557 GOF917492:GOF917557 GYB917492:GYB917557 HHX917492:HHX917557 HRT917492:HRT917557 IBP917492:IBP917557 ILL917492:ILL917557 IVH917492:IVH917557 JFD917492:JFD917557 JOZ917492:JOZ917557 JYV917492:JYV917557 KIR917492:KIR917557 KSN917492:KSN917557 LCJ917492:LCJ917557 LMF917492:LMF917557 LWB917492:LWB917557 MFX917492:MFX917557 MPT917492:MPT917557 MZP917492:MZP917557 NJL917492:NJL917557 NTH917492:NTH917557 ODD917492:ODD917557 OMZ917492:OMZ917557 OWV917492:OWV917557 PGR917492:PGR917557 PQN917492:PQN917557 QAJ917492:QAJ917557 QKF917492:QKF917557 QUB917492:QUB917557 RDX917492:RDX917557 RNT917492:RNT917557 RXP917492:RXP917557 SHL917492:SHL917557 SRH917492:SRH917557 TBD917492:TBD917557 TKZ917492:TKZ917557 TUV917492:TUV917557 UER917492:UER917557 UON917492:UON917557 UYJ917492:UYJ917557 VIF917492:VIF917557 VSB917492:VSB917557 WBX917492:WBX917557 WLT917492:WLT917557 WVP917492:WVP917557 H983028:H983093 JD983028:JD983093 SZ983028:SZ983093 ACV983028:ACV983093 AMR983028:AMR983093 AWN983028:AWN983093 BGJ983028:BGJ983093 BQF983028:BQF983093 CAB983028:CAB983093 CJX983028:CJX983093 CTT983028:CTT983093 DDP983028:DDP983093 DNL983028:DNL983093 DXH983028:DXH983093 EHD983028:EHD983093 EQZ983028:EQZ983093 FAV983028:FAV983093 FKR983028:FKR983093 FUN983028:FUN983093 GEJ983028:GEJ983093 GOF983028:GOF983093 GYB983028:GYB983093 HHX983028:HHX983093 HRT983028:HRT983093 IBP983028:IBP983093 ILL983028:ILL983093 IVH983028:IVH983093 JFD983028:JFD983093 JOZ983028:JOZ983093 JYV983028:JYV983093 KIR983028:KIR983093 KSN983028:KSN983093 LCJ983028:LCJ983093 LMF983028:LMF983093 LWB983028:LWB983093 MFX983028:MFX983093 MPT983028:MPT983093 MZP983028:MZP983093 NJL983028:NJL983093 NTH983028:NTH983093 ODD983028:ODD983093 OMZ983028:OMZ983093 OWV983028:OWV983093 PGR983028:PGR983093 PQN983028:PQN983093 QAJ983028:QAJ983093 QKF983028:QKF983093 QUB983028:QUB983093 RDX983028:RDX983093 RNT983028:RNT983093 RXP983028:RXP983093 SHL983028:SHL983093 SRH983028:SRH983093 TBD983028:TBD983093 TKZ983028:TKZ983093 TUV983028:TUV983093 UER983028:UER983093 UON983028:UON983093 UYJ983028:UYJ983093 VIF983028:VIF983093 VSB983028:VSB983093 WBX983028:WBX983093 WLT983028:WLT983093 JD2:JD70 ACV2:ACV70 AMR2:AMR70 AWN2:AWN70 BGJ2:BGJ70 BQF2:BQF70 CAB2:CAB70 CJX2:CJX70 CTT2:CTT70 DDP2:DDP70 DNL2:DNL70 DXH2:DXH70 EHD2:EHD70 EQZ2:EQZ70 FAV2:FAV70 FKR2:FKR70 FUN2:FUN70 GEJ2:GEJ70 GOF2:GOF70 GYB2:GYB70 HHX2:HHX70 HRT2:HRT70 IBP2:IBP70 ILL2:ILL70 IVH2:IVH70 JFD2:JFD70 JOZ2:JOZ70 JYV2:JYV70 KIR2:KIR70 KSN2:KSN70 LCJ2:LCJ70 LMF2:LMF70 LWB2:LWB70 MFX2:MFX70 MPT2:MPT70 MZP2:MZP70 NJL2:NJL70 NTH2:NTH70 ODD2:ODD70 OMZ2:OMZ70 OWV2:OWV70 PGR2:PGR70 PQN2:PQN70 QAJ2:QAJ70 QKF2:QKF70 QUB2:QUB70 RDX2:RDX70 RNT2:RNT70 RXP2:RXP70 SHL2:SHL70 SRH2:SRH70 TBD2:TBD70 TKZ2:TKZ70 TUV2:TUV70 UER2:UER70 UON2:UON70 UYJ2:UYJ70 VIF2:VIF70 VSB2:VSB70 WBX2:WBX70 WLT2:WLT70 WVP2:WVP70 SZ2:SZ70">
      <formula1>$AL$4:$AL$12</formula1>
    </dataValidation>
    <dataValidation type="list" allowBlank="1" showInputMessage="1" showErrorMessage="1" sqref="A64349:A64414 IW64349:IW64414 SS64349:SS64414 ACO64349:ACO64414 AMK64349:AMK64414 AWG64349:AWG64414 BGC64349:BGC64414 BPY64349:BPY64414 BZU64349:BZU64414 CJQ64349:CJQ64414 CTM64349:CTM64414 DDI64349:DDI64414 DNE64349:DNE64414 DXA64349:DXA64414 EGW64349:EGW64414 EQS64349:EQS64414 FAO64349:FAO64414 FKK64349:FKK64414 FUG64349:FUG64414 GEC64349:GEC64414 GNY64349:GNY64414 GXU64349:GXU64414 HHQ64349:HHQ64414 HRM64349:HRM64414 IBI64349:IBI64414 ILE64349:ILE64414 IVA64349:IVA64414 JEW64349:JEW64414 JOS64349:JOS64414 JYO64349:JYO64414 KIK64349:KIK64414 KSG64349:KSG64414 LCC64349:LCC64414 LLY64349:LLY64414 LVU64349:LVU64414 MFQ64349:MFQ64414 MPM64349:MPM64414 MZI64349:MZI64414 NJE64349:NJE64414 NTA64349:NTA64414 OCW64349:OCW64414 OMS64349:OMS64414 OWO64349:OWO64414 PGK64349:PGK64414 PQG64349:PQG64414 QAC64349:QAC64414 QJY64349:QJY64414 QTU64349:QTU64414 RDQ64349:RDQ64414 RNM64349:RNM64414 RXI64349:RXI64414 SHE64349:SHE64414 SRA64349:SRA64414 TAW64349:TAW64414 TKS64349:TKS64414 TUO64349:TUO64414 UEK64349:UEK64414 UOG64349:UOG64414 UYC64349:UYC64414 VHY64349:VHY64414 VRU64349:VRU64414 WBQ64349:WBQ64414 WLM64349:WLM64414 WVI64349:WVI64414 A129885:A129950 IW129885:IW129950 SS129885:SS129950 ACO129885:ACO129950 AMK129885:AMK129950 AWG129885:AWG129950 BGC129885:BGC129950 BPY129885:BPY129950 BZU129885:BZU129950 CJQ129885:CJQ129950 CTM129885:CTM129950 DDI129885:DDI129950 DNE129885:DNE129950 DXA129885:DXA129950 EGW129885:EGW129950 EQS129885:EQS129950 FAO129885:FAO129950 FKK129885:FKK129950 FUG129885:FUG129950 GEC129885:GEC129950 GNY129885:GNY129950 GXU129885:GXU129950 HHQ129885:HHQ129950 HRM129885:HRM129950 IBI129885:IBI129950 ILE129885:ILE129950 IVA129885:IVA129950 JEW129885:JEW129950 JOS129885:JOS129950 JYO129885:JYO129950 KIK129885:KIK129950 KSG129885:KSG129950 LCC129885:LCC129950 LLY129885:LLY129950 LVU129885:LVU129950 MFQ129885:MFQ129950 MPM129885:MPM129950 MZI129885:MZI129950 NJE129885:NJE129950 NTA129885:NTA129950 OCW129885:OCW129950 OMS129885:OMS129950 OWO129885:OWO129950 PGK129885:PGK129950 PQG129885:PQG129950 QAC129885:QAC129950 QJY129885:QJY129950 QTU129885:QTU129950 RDQ129885:RDQ129950 RNM129885:RNM129950 RXI129885:RXI129950 SHE129885:SHE129950 SRA129885:SRA129950 TAW129885:TAW129950 TKS129885:TKS129950 TUO129885:TUO129950 UEK129885:UEK129950 UOG129885:UOG129950 UYC129885:UYC129950 VHY129885:VHY129950 VRU129885:VRU129950 WBQ129885:WBQ129950 WLM129885:WLM129950 WVI129885:WVI129950 A195421:A195486 IW195421:IW195486 SS195421:SS195486 ACO195421:ACO195486 AMK195421:AMK195486 AWG195421:AWG195486 BGC195421:BGC195486 BPY195421:BPY195486 BZU195421:BZU195486 CJQ195421:CJQ195486 CTM195421:CTM195486 DDI195421:DDI195486 DNE195421:DNE195486 DXA195421:DXA195486 EGW195421:EGW195486 EQS195421:EQS195486 FAO195421:FAO195486 FKK195421:FKK195486 FUG195421:FUG195486 GEC195421:GEC195486 GNY195421:GNY195486 GXU195421:GXU195486 HHQ195421:HHQ195486 HRM195421:HRM195486 IBI195421:IBI195486 ILE195421:ILE195486 IVA195421:IVA195486 JEW195421:JEW195486 JOS195421:JOS195486 JYO195421:JYO195486 KIK195421:KIK195486 KSG195421:KSG195486 LCC195421:LCC195486 LLY195421:LLY195486 LVU195421:LVU195486 MFQ195421:MFQ195486 MPM195421:MPM195486 MZI195421:MZI195486 NJE195421:NJE195486 NTA195421:NTA195486 OCW195421:OCW195486 OMS195421:OMS195486 OWO195421:OWO195486 PGK195421:PGK195486 PQG195421:PQG195486 QAC195421:QAC195486 QJY195421:QJY195486 QTU195421:QTU195486 RDQ195421:RDQ195486 RNM195421:RNM195486 RXI195421:RXI195486 SHE195421:SHE195486 SRA195421:SRA195486 TAW195421:TAW195486 TKS195421:TKS195486 TUO195421:TUO195486 UEK195421:UEK195486 UOG195421:UOG195486 UYC195421:UYC195486 VHY195421:VHY195486 VRU195421:VRU195486 WBQ195421:WBQ195486 WLM195421:WLM195486 WVI195421:WVI195486 A260957:A261022 IW260957:IW261022 SS260957:SS261022 ACO260957:ACO261022 AMK260957:AMK261022 AWG260957:AWG261022 BGC260957:BGC261022 BPY260957:BPY261022 BZU260957:BZU261022 CJQ260957:CJQ261022 CTM260957:CTM261022 DDI260957:DDI261022 DNE260957:DNE261022 DXA260957:DXA261022 EGW260957:EGW261022 EQS260957:EQS261022 FAO260957:FAO261022 FKK260957:FKK261022 FUG260957:FUG261022 GEC260957:GEC261022 GNY260957:GNY261022 GXU260957:GXU261022 HHQ260957:HHQ261022 HRM260957:HRM261022 IBI260957:IBI261022 ILE260957:ILE261022 IVA260957:IVA261022 JEW260957:JEW261022 JOS260957:JOS261022 JYO260957:JYO261022 KIK260957:KIK261022 KSG260957:KSG261022 LCC260957:LCC261022 LLY260957:LLY261022 LVU260957:LVU261022 MFQ260957:MFQ261022 MPM260957:MPM261022 MZI260957:MZI261022 NJE260957:NJE261022 NTA260957:NTA261022 OCW260957:OCW261022 OMS260957:OMS261022 OWO260957:OWO261022 PGK260957:PGK261022 PQG260957:PQG261022 QAC260957:QAC261022 QJY260957:QJY261022 QTU260957:QTU261022 RDQ260957:RDQ261022 RNM260957:RNM261022 RXI260957:RXI261022 SHE260957:SHE261022 SRA260957:SRA261022 TAW260957:TAW261022 TKS260957:TKS261022 TUO260957:TUO261022 UEK260957:UEK261022 UOG260957:UOG261022 UYC260957:UYC261022 VHY260957:VHY261022 VRU260957:VRU261022 WBQ260957:WBQ261022 WLM260957:WLM261022 WVI260957:WVI261022 A326493:A326558 IW326493:IW326558 SS326493:SS326558 ACO326493:ACO326558 AMK326493:AMK326558 AWG326493:AWG326558 BGC326493:BGC326558 BPY326493:BPY326558 BZU326493:BZU326558 CJQ326493:CJQ326558 CTM326493:CTM326558 DDI326493:DDI326558 DNE326493:DNE326558 DXA326493:DXA326558 EGW326493:EGW326558 EQS326493:EQS326558 FAO326493:FAO326558 FKK326493:FKK326558 FUG326493:FUG326558 GEC326493:GEC326558 GNY326493:GNY326558 GXU326493:GXU326558 HHQ326493:HHQ326558 HRM326493:HRM326558 IBI326493:IBI326558 ILE326493:ILE326558 IVA326493:IVA326558 JEW326493:JEW326558 JOS326493:JOS326558 JYO326493:JYO326558 KIK326493:KIK326558 KSG326493:KSG326558 LCC326493:LCC326558 LLY326493:LLY326558 LVU326493:LVU326558 MFQ326493:MFQ326558 MPM326493:MPM326558 MZI326493:MZI326558 NJE326493:NJE326558 NTA326493:NTA326558 OCW326493:OCW326558 OMS326493:OMS326558 OWO326493:OWO326558 PGK326493:PGK326558 PQG326493:PQG326558 QAC326493:QAC326558 QJY326493:QJY326558 QTU326493:QTU326558 RDQ326493:RDQ326558 RNM326493:RNM326558 RXI326493:RXI326558 SHE326493:SHE326558 SRA326493:SRA326558 TAW326493:TAW326558 TKS326493:TKS326558 TUO326493:TUO326558 UEK326493:UEK326558 UOG326493:UOG326558 UYC326493:UYC326558 VHY326493:VHY326558 VRU326493:VRU326558 WBQ326493:WBQ326558 WLM326493:WLM326558 WVI326493:WVI326558 A392029:A392094 IW392029:IW392094 SS392029:SS392094 ACO392029:ACO392094 AMK392029:AMK392094 AWG392029:AWG392094 BGC392029:BGC392094 BPY392029:BPY392094 BZU392029:BZU392094 CJQ392029:CJQ392094 CTM392029:CTM392094 DDI392029:DDI392094 DNE392029:DNE392094 DXA392029:DXA392094 EGW392029:EGW392094 EQS392029:EQS392094 FAO392029:FAO392094 FKK392029:FKK392094 FUG392029:FUG392094 GEC392029:GEC392094 GNY392029:GNY392094 GXU392029:GXU392094 HHQ392029:HHQ392094 HRM392029:HRM392094 IBI392029:IBI392094 ILE392029:ILE392094 IVA392029:IVA392094 JEW392029:JEW392094 JOS392029:JOS392094 JYO392029:JYO392094 KIK392029:KIK392094 KSG392029:KSG392094 LCC392029:LCC392094 LLY392029:LLY392094 LVU392029:LVU392094 MFQ392029:MFQ392094 MPM392029:MPM392094 MZI392029:MZI392094 NJE392029:NJE392094 NTA392029:NTA392094 OCW392029:OCW392094 OMS392029:OMS392094 OWO392029:OWO392094 PGK392029:PGK392094 PQG392029:PQG392094 QAC392029:QAC392094 QJY392029:QJY392094 QTU392029:QTU392094 RDQ392029:RDQ392094 RNM392029:RNM392094 RXI392029:RXI392094 SHE392029:SHE392094 SRA392029:SRA392094 TAW392029:TAW392094 TKS392029:TKS392094 TUO392029:TUO392094 UEK392029:UEK392094 UOG392029:UOG392094 UYC392029:UYC392094 VHY392029:VHY392094 VRU392029:VRU392094 WBQ392029:WBQ392094 WLM392029:WLM392094 WVI392029:WVI392094 A457565:A457630 IW457565:IW457630 SS457565:SS457630 ACO457565:ACO457630 AMK457565:AMK457630 AWG457565:AWG457630 BGC457565:BGC457630 BPY457565:BPY457630 BZU457565:BZU457630 CJQ457565:CJQ457630 CTM457565:CTM457630 DDI457565:DDI457630 DNE457565:DNE457630 DXA457565:DXA457630 EGW457565:EGW457630 EQS457565:EQS457630 FAO457565:FAO457630 FKK457565:FKK457630 FUG457565:FUG457630 GEC457565:GEC457630 GNY457565:GNY457630 GXU457565:GXU457630 HHQ457565:HHQ457630 HRM457565:HRM457630 IBI457565:IBI457630 ILE457565:ILE457630 IVA457565:IVA457630 JEW457565:JEW457630 JOS457565:JOS457630 JYO457565:JYO457630 KIK457565:KIK457630 KSG457565:KSG457630 LCC457565:LCC457630 LLY457565:LLY457630 LVU457565:LVU457630 MFQ457565:MFQ457630 MPM457565:MPM457630 MZI457565:MZI457630 NJE457565:NJE457630 NTA457565:NTA457630 OCW457565:OCW457630 OMS457565:OMS457630 OWO457565:OWO457630 PGK457565:PGK457630 PQG457565:PQG457630 QAC457565:QAC457630 QJY457565:QJY457630 QTU457565:QTU457630 RDQ457565:RDQ457630 RNM457565:RNM457630 RXI457565:RXI457630 SHE457565:SHE457630 SRA457565:SRA457630 TAW457565:TAW457630 TKS457565:TKS457630 TUO457565:TUO457630 UEK457565:UEK457630 UOG457565:UOG457630 UYC457565:UYC457630 VHY457565:VHY457630 VRU457565:VRU457630 WBQ457565:WBQ457630 WLM457565:WLM457630 WVI457565:WVI457630 A523101:A523166 IW523101:IW523166 SS523101:SS523166 ACO523101:ACO523166 AMK523101:AMK523166 AWG523101:AWG523166 BGC523101:BGC523166 BPY523101:BPY523166 BZU523101:BZU523166 CJQ523101:CJQ523166 CTM523101:CTM523166 DDI523101:DDI523166 DNE523101:DNE523166 DXA523101:DXA523166 EGW523101:EGW523166 EQS523101:EQS523166 FAO523101:FAO523166 FKK523101:FKK523166 FUG523101:FUG523166 GEC523101:GEC523166 GNY523101:GNY523166 GXU523101:GXU523166 HHQ523101:HHQ523166 HRM523101:HRM523166 IBI523101:IBI523166 ILE523101:ILE523166 IVA523101:IVA523166 JEW523101:JEW523166 JOS523101:JOS523166 JYO523101:JYO523166 KIK523101:KIK523166 KSG523101:KSG523166 LCC523101:LCC523166 LLY523101:LLY523166 LVU523101:LVU523166 MFQ523101:MFQ523166 MPM523101:MPM523166 MZI523101:MZI523166 NJE523101:NJE523166 NTA523101:NTA523166 OCW523101:OCW523166 OMS523101:OMS523166 OWO523101:OWO523166 PGK523101:PGK523166 PQG523101:PQG523166 QAC523101:QAC523166 QJY523101:QJY523166 QTU523101:QTU523166 RDQ523101:RDQ523166 RNM523101:RNM523166 RXI523101:RXI523166 SHE523101:SHE523166 SRA523101:SRA523166 TAW523101:TAW523166 TKS523101:TKS523166 TUO523101:TUO523166 UEK523101:UEK523166 UOG523101:UOG523166 UYC523101:UYC523166 VHY523101:VHY523166 VRU523101:VRU523166 WBQ523101:WBQ523166 WLM523101:WLM523166 WVI523101:WVI523166 A588637:A588702 IW588637:IW588702 SS588637:SS588702 ACO588637:ACO588702 AMK588637:AMK588702 AWG588637:AWG588702 BGC588637:BGC588702 BPY588637:BPY588702 BZU588637:BZU588702 CJQ588637:CJQ588702 CTM588637:CTM588702 DDI588637:DDI588702 DNE588637:DNE588702 DXA588637:DXA588702 EGW588637:EGW588702 EQS588637:EQS588702 FAO588637:FAO588702 FKK588637:FKK588702 FUG588637:FUG588702 GEC588637:GEC588702 GNY588637:GNY588702 GXU588637:GXU588702 HHQ588637:HHQ588702 HRM588637:HRM588702 IBI588637:IBI588702 ILE588637:ILE588702 IVA588637:IVA588702 JEW588637:JEW588702 JOS588637:JOS588702 JYO588637:JYO588702 KIK588637:KIK588702 KSG588637:KSG588702 LCC588637:LCC588702 LLY588637:LLY588702 LVU588637:LVU588702 MFQ588637:MFQ588702 MPM588637:MPM588702 MZI588637:MZI588702 NJE588637:NJE588702 NTA588637:NTA588702 OCW588637:OCW588702 OMS588637:OMS588702 OWO588637:OWO588702 PGK588637:PGK588702 PQG588637:PQG588702 QAC588637:QAC588702 QJY588637:QJY588702 QTU588637:QTU588702 RDQ588637:RDQ588702 RNM588637:RNM588702 RXI588637:RXI588702 SHE588637:SHE588702 SRA588637:SRA588702 TAW588637:TAW588702 TKS588637:TKS588702 TUO588637:TUO588702 UEK588637:UEK588702 UOG588637:UOG588702 UYC588637:UYC588702 VHY588637:VHY588702 VRU588637:VRU588702 WBQ588637:WBQ588702 WLM588637:WLM588702 WVI588637:WVI588702 A654173:A654238 IW654173:IW654238 SS654173:SS654238 ACO654173:ACO654238 AMK654173:AMK654238 AWG654173:AWG654238 BGC654173:BGC654238 BPY654173:BPY654238 BZU654173:BZU654238 CJQ654173:CJQ654238 CTM654173:CTM654238 DDI654173:DDI654238 DNE654173:DNE654238 DXA654173:DXA654238 EGW654173:EGW654238 EQS654173:EQS654238 FAO654173:FAO654238 FKK654173:FKK654238 FUG654173:FUG654238 GEC654173:GEC654238 GNY654173:GNY654238 GXU654173:GXU654238 HHQ654173:HHQ654238 HRM654173:HRM654238 IBI654173:IBI654238 ILE654173:ILE654238 IVA654173:IVA654238 JEW654173:JEW654238 JOS654173:JOS654238 JYO654173:JYO654238 KIK654173:KIK654238 KSG654173:KSG654238 LCC654173:LCC654238 LLY654173:LLY654238 LVU654173:LVU654238 MFQ654173:MFQ654238 MPM654173:MPM654238 MZI654173:MZI654238 NJE654173:NJE654238 NTA654173:NTA654238 OCW654173:OCW654238 OMS654173:OMS654238 OWO654173:OWO654238 PGK654173:PGK654238 PQG654173:PQG654238 QAC654173:QAC654238 QJY654173:QJY654238 QTU654173:QTU654238 RDQ654173:RDQ654238 RNM654173:RNM654238 RXI654173:RXI654238 SHE654173:SHE654238 SRA654173:SRA654238 TAW654173:TAW654238 TKS654173:TKS654238 TUO654173:TUO654238 UEK654173:UEK654238 UOG654173:UOG654238 UYC654173:UYC654238 VHY654173:VHY654238 VRU654173:VRU654238 WBQ654173:WBQ654238 WLM654173:WLM654238 WVI654173:WVI654238 A719709:A719774 IW719709:IW719774 SS719709:SS719774 ACO719709:ACO719774 AMK719709:AMK719774 AWG719709:AWG719774 BGC719709:BGC719774 BPY719709:BPY719774 BZU719709:BZU719774 CJQ719709:CJQ719774 CTM719709:CTM719774 DDI719709:DDI719774 DNE719709:DNE719774 DXA719709:DXA719774 EGW719709:EGW719774 EQS719709:EQS719774 FAO719709:FAO719774 FKK719709:FKK719774 FUG719709:FUG719774 GEC719709:GEC719774 GNY719709:GNY719774 GXU719709:GXU719774 HHQ719709:HHQ719774 HRM719709:HRM719774 IBI719709:IBI719774 ILE719709:ILE719774 IVA719709:IVA719774 JEW719709:JEW719774 JOS719709:JOS719774 JYO719709:JYO719774 KIK719709:KIK719774 KSG719709:KSG719774 LCC719709:LCC719774 LLY719709:LLY719774 LVU719709:LVU719774 MFQ719709:MFQ719774 MPM719709:MPM719774 MZI719709:MZI719774 NJE719709:NJE719774 NTA719709:NTA719774 OCW719709:OCW719774 OMS719709:OMS719774 OWO719709:OWO719774 PGK719709:PGK719774 PQG719709:PQG719774 QAC719709:QAC719774 QJY719709:QJY719774 QTU719709:QTU719774 RDQ719709:RDQ719774 RNM719709:RNM719774 RXI719709:RXI719774 SHE719709:SHE719774 SRA719709:SRA719774 TAW719709:TAW719774 TKS719709:TKS719774 TUO719709:TUO719774 UEK719709:UEK719774 UOG719709:UOG719774 UYC719709:UYC719774 VHY719709:VHY719774 VRU719709:VRU719774 WBQ719709:WBQ719774 WLM719709:WLM719774 WVI719709:WVI719774 A785245:A785310 IW785245:IW785310 SS785245:SS785310 ACO785245:ACO785310 AMK785245:AMK785310 AWG785245:AWG785310 BGC785245:BGC785310 BPY785245:BPY785310 BZU785245:BZU785310 CJQ785245:CJQ785310 CTM785245:CTM785310 DDI785245:DDI785310 DNE785245:DNE785310 DXA785245:DXA785310 EGW785245:EGW785310 EQS785245:EQS785310 FAO785245:FAO785310 FKK785245:FKK785310 FUG785245:FUG785310 GEC785245:GEC785310 GNY785245:GNY785310 GXU785245:GXU785310 HHQ785245:HHQ785310 HRM785245:HRM785310 IBI785245:IBI785310 ILE785245:ILE785310 IVA785245:IVA785310 JEW785245:JEW785310 JOS785245:JOS785310 JYO785245:JYO785310 KIK785245:KIK785310 KSG785245:KSG785310 LCC785245:LCC785310 LLY785245:LLY785310 LVU785245:LVU785310 MFQ785245:MFQ785310 MPM785245:MPM785310 MZI785245:MZI785310 NJE785245:NJE785310 NTA785245:NTA785310 OCW785245:OCW785310 OMS785245:OMS785310 OWO785245:OWO785310 PGK785245:PGK785310 PQG785245:PQG785310 QAC785245:QAC785310 QJY785245:QJY785310 QTU785245:QTU785310 RDQ785245:RDQ785310 RNM785245:RNM785310 RXI785245:RXI785310 SHE785245:SHE785310 SRA785245:SRA785310 TAW785245:TAW785310 TKS785245:TKS785310 TUO785245:TUO785310 UEK785245:UEK785310 UOG785245:UOG785310 UYC785245:UYC785310 VHY785245:VHY785310 VRU785245:VRU785310 WBQ785245:WBQ785310 WLM785245:WLM785310 WVI785245:WVI785310 A850781:A850846 IW850781:IW850846 SS850781:SS850846 ACO850781:ACO850846 AMK850781:AMK850846 AWG850781:AWG850846 BGC850781:BGC850846 BPY850781:BPY850846 BZU850781:BZU850846 CJQ850781:CJQ850846 CTM850781:CTM850846 DDI850781:DDI850846 DNE850781:DNE850846 DXA850781:DXA850846 EGW850781:EGW850846 EQS850781:EQS850846 FAO850781:FAO850846 FKK850781:FKK850846 FUG850781:FUG850846 GEC850781:GEC850846 GNY850781:GNY850846 GXU850781:GXU850846 HHQ850781:HHQ850846 HRM850781:HRM850846 IBI850781:IBI850846 ILE850781:ILE850846 IVA850781:IVA850846 JEW850781:JEW850846 JOS850781:JOS850846 JYO850781:JYO850846 KIK850781:KIK850846 KSG850781:KSG850846 LCC850781:LCC850846 LLY850781:LLY850846 LVU850781:LVU850846 MFQ850781:MFQ850846 MPM850781:MPM850846 MZI850781:MZI850846 NJE850781:NJE850846 NTA850781:NTA850846 OCW850781:OCW850846 OMS850781:OMS850846 OWO850781:OWO850846 PGK850781:PGK850846 PQG850781:PQG850846 QAC850781:QAC850846 QJY850781:QJY850846 QTU850781:QTU850846 RDQ850781:RDQ850846 RNM850781:RNM850846 RXI850781:RXI850846 SHE850781:SHE850846 SRA850781:SRA850846 TAW850781:TAW850846 TKS850781:TKS850846 TUO850781:TUO850846 UEK850781:UEK850846 UOG850781:UOG850846 UYC850781:UYC850846 VHY850781:VHY850846 VRU850781:VRU850846 WBQ850781:WBQ850846 WLM850781:WLM850846 WVI850781:WVI850846 A916317:A916382 IW916317:IW916382 SS916317:SS916382 ACO916317:ACO916382 AMK916317:AMK916382 AWG916317:AWG916382 BGC916317:BGC916382 BPY916317:BPY916382 BZU916317:BZU916382 CJQ916317:CJQ916382 CTM916317:CTM916382 DDI916317:DDI916382 DNE916317:DNE916382 DXA916317:DXA916382 EGW916317:EGW916382 EQS916317:EQS916382 FAO916317:FAO916382 FKK916317:FKK916382 FUG916317:FUG916382 GEC916317:GEC916382 GNY916317:GNY916382 GXU916317:GXU916382 HHQ916317:HHQ916382 HRM916317:HRM916382 IBI916317:IBI916382 ILE916317:ILE916382 IVA916317:IVA916382 JEW916317:JEW916382 JOS916317:JOS916382 JYO916317:JYO916382 KIK916317:KIK916382 KSG916317:KSG916382 LCC916317:LCC916382 LLY916317:LLY916382 LVU916317:LVU916382 MFQ916317:MFQ916382 MPM916317:MPM916382 MZI916317:MZI916382 NJE916317:NJE916382 NTA916317:NTA916382 OCW916317:OCW916382 OMS916317:OMS916382 OWO916317:OWO916382 PGK916317:PGK916382 PQG916317:PQG916382 QAC916317:QAC916382 QJY916317:QJY916382 QTU916317:QTU916382 RDQ916317:RDQ916382 RNM916317:RNM916382 RXI916317:RXI916382 SHE916317:SHE916382 SRA916317:SRA916382 TAW916317:TAW916382 TKS916317:TKS916382 TUO916317:TUO916382 UEK916317:UEK916382 UOG916317:UOG916382 UYC916317:UYC916382 VHY916317:VHY916382 VRU916317:VRU916382 WBQ916317:WBQ916382 WLM916317:WLM916382 WVI916317:WVI916382 A981853:A981918 IW981853:IW981918 SS981853:SS981918 ACO981853:ACO981918 AMK981853:AMK981918 AWG981853:AWG981918 BGC981853:BGC981918 BPY981853:BPY981918 BZU981853:BZU981918 CJQ981853:CJQ981918 CTM981853:CTM981918 DDI981853:DDI981918 DNE981853:DNE981918 DXA981853:DXA981918 EGW981853:EGW981918 EQS981853:EQS981918 FAO981853:FAO981918 FKK981853:FKK981918 FUG981853:FUG981918 GEC981853:GEC981918 GNY981853:GNY981918 GXU981853:GXU981918 HHQ981853:HHQ981918 HRM981853:HRM981918 IBI981853:IBI981918 ILE981853:ILE981918 IVA981853:IVA981918 JEW981853:JEW981918 JOS981853:JOS981918 JYO981853:JYO981918 KIK981853:KIK981918 KSG981853:KSG981918 LCC981853:LCC981918 LLY981853:LLY981918 LVU981853:LVU981918 MFQ981853:MFQ981918 MPM981853:MPM981918 MZI981853:MZI981918 NJE981853:NJE981918 NTA981853:NTA981918 OCW981853:OCW981918 OMS981853:OMS981918 OWO981853:OWO981918 PGK981853:PGK981918 PQG981853:PQG981918 QAC981853:QAC981918 QJY981853:QJY981918 QTU981853:QTU981918 RDQ981853:RDQ981918 RNM981853:RNM981918 RXI981853:RXI981918 SHE981853:SHE981918 SRA981853:SRA981918 TAW981853:TAW981918 TKS981853:TKS981918 TUO981853:TUO981918 UEK981853:UEK981918 UOG981853:UOG981918 UYC981853:UYC981918 VHY981853:VHY981918 VRU981853:VRU981918 WBQ981853:WBQ981918 WLM981853:WLM981918 WVI981853:WVI981918 A1047389:A1047454 IW1047389:IW1047454 SS1047389:SS1047454 ACO1047389:ACO1047454 AMK1047389:AMK1047454 AWG1047389:AWG1047454 BGC1047389:BGC1047454 BPY1047389:BPY1047454 BZU1047389:BZU1047454 CJQ1047389:CJQ1047454 CTM1047389:CTM1047454 DDI1047389:DDI1047454 DNE1047389:DNE1047454 DXA1047389:DXA1047454 EGW1047389:EGW1047454 EQS1047389:EQS1047454 FAO1047389:FAO1047454 FKK1047389:FKK1047454 FUG1047389:FUG1047454 GEC1047389:GEC1047454 GNY1047389:GNY1047454 GXU1047389:GXU1047454 HHQ1047389:HHQ1047454 HRM1047389:HRM1047454 IBI1047389:IBI1047454 ILE1047389:ILE1047454 IVA1047389:IVA1047454 JEW1047389:JEW1047454 JOS1047389:JOS1047454 JYO1047389:JYO1047454 KIK1047389:KIK1047454 KSG1047389:KSG1047454 LCC1047389:LCC1047454 LLY1047389:LLY1047454 LVU1047389:LVU1047454 MFQ1047389:MFQ1047454 MPM1047389:MPM1047454 MZI1047389:MZI1047454 NJE1047389:NJE1047454 NTA1047389:NTA1047454 OCW1047389:OCW1047454 OMS1047389:OMS1047454 OWO1047389:OWO1047454 PGK1047389:PGK1047454 PQG1047389:PQG1047454 QAC1047389:QAC1047454 QJY1047389:QJY1047454 QTU1047389:QTU1047454 RDQ1047389:RDQ1047454 RNM1047389:RNM1047454 RXI1047389:RXI1047454 SHE1047389:SHE1047454 SRA1047389:SRA1047454 TAW1047389:TAW1047454 TKS1047389:TKS1047454 TUO1047389:TUO1047454 UEK1047389:UEK1047454 UOG1047389:UOG1047454 UYC1047389:UYC1047454 VHY1047389:VHY1047454 VRU1047389:VRU1047454 WBQ1047389:WBQ1047454 WLM1047389:WLM1047454 WVI1047389:WVI1047454 WVI983028:WVI983099 A65524:A65595 IW65524:IW65595 SS65524:SS65595 ACO65524:ACO65595 AMK65524:AMK65595 AWG65524:AWG65595 BGC65524:BGC65595 BPY65524:BPY65595 BZU65524:BZU65595 CJQ65524:CJQ65595 CTM65524:CTM65595 DDI65524:DDI65595 DNE65524:DNE65595 DXA65524:DXA65595 EGW65524:EGW65595 EQS65524:EQS65595 FAO65524:FAO65595 FKK65524:FKK65595 FUG65524:FUG65595 GEC65524:GEC65595 GNY65524:GNY65595 GXU65524:GXU65595 HHQ65524:HHQ65595 HRM65524:HRM65595 IBI65524:IBI65595 ILE65524:ILE65595 IVA65524:IVA65595 JEW65524:JEW65595 JOS65524:JOS65595 JYO65524:JYO65595 KIK65524:KIK65595 KSG65524:KSG65595 LCC65524:LCC65595 LLY65524:LLY65595 LVU65524:LVU65595 MFQ65524:MFQ65595 MPM65524:MPM65595 MZI65524:MZI65595 NJE65524:NJE65595 NTA65524:NTA65595 OCW65524:OCW65595 OMS65524:OMS65595 OWO65524:OWO65595 PGK65524:PGK65595 PQG65524:PQG65595 QAC65524:QAC65595 QJY65524:QJY65595 QTU65524:QTU65595 RDQ65524:RDQ65595 RNM65524:RNM65595 RXI65524:RXI65595 SHE65524:SHE65595 SRA65524:SRA65595 TAW65524:TAW65595 TKS65524:TKS65595 TUO65524:TUO65595 UEK65524:UEK65595 UOG65524:UOG65595 UYC65524:UYC65595 VHY65524:VHY65595 VRU65524:VRU65595 WBQ65524:WBQ65595 WLM65524:WLM65595 WVI65524:WVI65595 A131060:A131131 IW131060:IW131131 SS131060:SS131131 ACO131060:ACO131131 AMK131060:AMK131131 AWG131060:AWG131131 BGC131060:BGC131131 BPY131060:BPY131131 BZU131060:BZU131131 CJQ131060:CJQ131131 CTM131060:CTM131131 DDI131060:DDI131131 DNE131060:DNE131131 DXA131060:DXA131131 EGW131060:EGW131131 EQS131060:EQS131131 FAO131060:FAO131131 FKK131060:FKK131131 FUG131060:FUG131131 GEC131060:GEC131131 GNY131060:GNY131131 GXU131060:GXU131131 HHQ131060:HHQ131131 HRM131060:HRM131131 IBI131060:IBI131131 ILE131060:ILE131131 IVA131060:IVA131131 JEW131060:JEW131131 JOS131060:JOS131131 JYO131060:JYO131131 KIK131060:KIK131131 KSG131060:KSG131131 LCC131060:LCC131131 LLY131060:LLY131131 LVU131060:LVU131131 MFQ131060:MFQ131131 MPM131060:MPM131131 MZI131060:MZI131131 NJE131060:NJE131131 NTA131060:NTA131131 OCW131060:OCW131131 OMS131060:OMS131131 OWO131060:OWO131131 PGK131060:PGK131131 PQG131060:PQG131131 QAC131060:QAC131131 QJY131060:QJY131131 QTU131060:QTU131131 RDQ131060:RDQ131131 RNM131060:RNM131131 RXI131060:RXI131131 SHE131060:SHE131131 SRA131060:SRA131131 TAW131060:TAW131131 TKS131060:TKS131131 TUO131060:TUO131131 UEK131060:UEK131131 UOG131060:UOG131131 UYC131060:UYC131131 VHY131060:VHY131131 VRU131060:VRU131131 WBQ131060:WBQ131131 WLM131060:WLM131131 WVI131060:WVI131131 A196596:A196667 IW196596:IW196667 SS196596:SS196667 ACO196596:ACO196667 AMK196596:AMK196667 AWG196596:AWG196667 BGC196596:BGC196667 BPY196596:BPY196667 BZU196596:BZU196667 CJQ196596:CJQ196667 CTM196596:CTM196667 DDI196596:DDI196667 DNE196596:DNE196667 DXA196596:DXA196667 EGW196596:EGW196667 EQS196596:EQS196667 FAO196596:FAO196667 FKK196596:FKK196667 FUG196596:FUG196667 GEC196596:GEC196667 GNY196596:GNY196667 GXU196596:GXU196667 HHQ196596:HHQ196667 HRM196596:HRM196667 IBI196596:IBI196667 ILE196596:ILE196667 IVA196596:IVA196667 JEW196596:JEW196667 JOS196596:JOS196667 JYO196596:JYO196667 KIK196596:KIK196667 KSG196596:KSG196667 LCC196596:LCC196667 LLY196596:LLY196667 LVU196596:LVU196667 MFQ196596:MFQ196667 MPM196596:MPM196667 MZI196596:MZI196667 NJE196596:NJE196667 NTA196596:NTA196667 OCW196596:OCW196667 OMS196596:OMS196667 OWO196596:OWO196667 PGK196596:PGK196667 PQG196596:PQG196667 QAC196596:QAC196667 QJY196596:QJY196667 QTU196596:QTU196667 RDQ196596:RDQ196667 RNM196596:RNM196667 RXI196596:RXI196667 SHE196596:SHE196667 SRA196596:SRA196667 TAW196596:TAW196667 TKS196596:TKS196667 TUO196596:TUO196667 UEK196596:UEK196667 UOG196596:UOG196667 UYC196596:UYC196667 VHY196596:VHY196667 VRU196596:VRU196667 WBQ196596:WBQ196667 WLM196596:WLM196667 WVI196596:WVI196667 A262132:A262203 IW262132:IW262203 SS262132:SS262203 ACO262132:ACO262203 AMK262132:AMK262203 AWG262132:AWG262203 BGC262132:BGC262203 BPY262132:BPY262203 BZU262132:BZU262203 CJQ262132:CJQ262203 CTM262132:CTM262203 DDI262132:DDI262203 DNE262132:DNE262203 DXA262132:DXA262203 EGW262132:EGW262203 EQS262132:EQS262203 FAO262132:FAO262203 FKK262132:FKK262203 FUG262132:FUG262203 GEC262132:GEC262203 GNY262132:GNY262203 GXU262132:GXU262203 HHQ262132:HHQ262203 HRM262132:HRM262203 IBI262132:IBI262203 ILE262132:ILE262203 IVA262132:IVA262203 JEW262132:JEW262203 JOS262132:JOS262203 JYO262132:JYO262203 KIK262132:KIK262203 KSG262132:KSG262203 LCC262132:LCC262203 LLY262132:LLY262203 LVU262132:LVU262203 MFQ262132:MFQ262203 MPM262132:MPM262203 MZI262132:MZI262203 NJE262132:NJE262203 NTA262132:NTA262203 OCW262132:OCW262203 OMS262132:OMS262203 OWO262132:OWO262203 PGK262132:PGK262203 PQG262132:PQG262203 QAC262132:QAC262203 QJY262132:QJY262203 QTU262132:QTU262203 RDQ262132:RDQ262203 RNM262132:RNM262203 RXI262132:RXI262203 SHE262132:SHE262203 SRA262132:SRA262203 TAW262132:TAW262203 TKS262132:TKS262203 TUO262132:TUO262203 UEK262132:UEK262203 UOG262132:UOG262203 UYC262132:UYC262203 VHY262132:VHY262203 VRU262132:VRU262203 WBQ262132:WBQ262203 WLM262132:WLM262203 WVI262132:WVI262203 A327668:A327739 IW327668:IW327739 SS327668:SS327739 ACO327668:ACO327739 AMK327668:AMK327739 AWG327668:AWG327739 BGC327668:BGC327739 BPY327668:BPY327739 BZU327668:BZU327739 CJQ327668:CJQ327739 CTM327668:CTM327739 DDI327668:DDI327739 DNE327668:DNE327739 DXA327668:DXA327739 EGW327668:EGW327739 EQS327668:EQS327739 FAO327668:FAO327739 FKK327668:FKK327739 FUG327668:FUG327739 GEC327668:GEC327739 GNY327668:GNY327739 GXU327668:GXU327739 HHQ327668:HHQ327739 HRM327668:HRM327739 IBI327668:IBI327739 ILE327668:ILE327739 IVA327668:IVA327739 JEW327668:JEW327739 JOS327668:JOS327739 JYO327668:JYO327739 KIK327668:KIK327739 KSG327668:KSG327739 LCC327668:LCC327739 LLY327668:LLY327739 LVU327668:LVU327739 MFQ327668:MFQ327739 MPM327668:MPM327739 MZI327668:MZI327739 NJE327668:NJE327739 NTA327668:NTA327739 OCW327668:OCW327739 OMS327668:OMS327739 OWO327668:OWO327739 PGK327668:PGK327739 PQG327668:PQG327739 QAC327668:QAC327739 QJY327668:QJY327739 QTU327668:QTU327739 RDQ327668:RDQ327739 RNM327668:RNM327739 RXI327668:RXI327739 SHE327668:SHE327739 SRA327668:SRA327739 TAW327668:TAW327739 TKS327668:TKS327739 TUO327668:TUO327739 UEK327668:UEK327739 UOG327668:UOG327739 UYC327668:UYC327739 VHY327668:VHY327739 VRU327668:VRU327739 WBQ327668:WBQ327739 WLM327668:WLM327739 WVI327668:WVI327739 A393204:A393275 IW393204:IW393275 SS393204:SS393275 ACO393204:ACO393275 AMK393204:AMK393275 AWG393204:AWG393275 BGC393204:BGC393275 BPY393204:BPY393275 BZU393204:BZU393275 CJQ393204:CJQ393275 CTM393204:CTM393275 DDI393204:DDI393275 DNE393204:DNE393275 DXA393204:DXA393275 EGW393204:EGW393275 EQS393204:EQS393275 FAO393204:FAO393275 FKK393204:FKK393275 FUG393204:FUG393275 GEC393204:GEC393275 GNY393204:GNY393275 GXU393204:GXU393275 HHQ393204:HHQ393275 HRM393204:HRM393275 IBI393204:IBI393275 ILE393204:ILE393275 IVA393204:IVA393275 JEW393204:JEW393275 JOS393204:JOS393275 JYO393204:JYO393275 KIK393204:KIK393275 KSG393204:KSG393275 LCC393204:LCC393275 LLY393204:LLY393275 LVU393204:LVU393275 MFQ393204:MFQ393275 MPM393204:MPM393275 MZI393204:MZI393275 NJE393204:NJE393275 NTA393204:NTA393275 OCW393204:OCW393275 OMS393204:OMS393275 OWO393204:OWO393275 PGK393204:PGK393275 PQG393204:PQG393275 QAC393204:QAC393275 QJY393204:QJY393275 QTU393204:QTU393275 RDQ393204:RDQ393275 RNM393204:RNM393275 RXI393204:RXI393275 SHE393204:SHE393275 SRA393204:SRA393275 TAW393204:TAW393275 TKS393204:TKS393275 TUO393204:TUO393275 UEK393204:UEK393275 UOG393204:UOG393275 UYC393204:UYC393275 VHY393204:VHY393275 VRU393204:VRU393275 WBQ393204:WBQ393275 WLM393204:WLM393275 WVI393204:WVI393275 A458740:A458811 IW458740:IW458811 SS458740:SS458811 ACO458740:ACO458811 AMK458740:AMK458811 AWG458740:AWG458811 BGC458740:BGC458811 BPY458740:BPY458811 BZU458740:BZU458811 CJQ458740:CJQ458811 CTM458740:CTM458811 DDI458740:DDI458811 DNE458740:DNE458811 DXA458740:DXA458811 EGW458740:EGW458811 EQS458740:EQS458811 FAO458740:FAO458811 FKK458740:FKK458811 FUG458740:FUG458811 GEC458740:GEC458811 GNY458740:GNY458811 GXU458740:GXU458811 HHQ458740:HHQ458811 HRM458740:HRM458811 IBI458740:IBI458811 ILE458740:ILE458811 IVA458740:IVA458811 JEW458740:JEW458811 JOS458740:JOS458811 JYO458740:JYO458811 KIK458740:KIK458811 KSG458740:KSG458811 LCC458740:LCC458811 LLY458740:LLY458811 LVU458740:LVU458811 MFQ458740:MFQ458811 MPM458740:MPM458811 MZI458740:MZI458811 NJE458740:NJE458811 NTA458740:NTA458811 OCW458740:OCW458811 OMS458740:OMS458811 OWO458740:OWO458811 PGK458740:PGK458811 PQG458740:PQG458811 QAC458740:QAC458811 QJY458740:QJY458811 QTU458740:QTU458811 RDQ458740:RDQ458811 RNM458740:RNM458811 RXI458740:RXI458811 SHE458740:SHE458811 SRA458740:SRA458811 TAW458740:TAW458811 TKS458740:TKS458811 TUO458740:TUO458811 UEK458740:UEK458811 UOG458740:UOG458811 UYC458740:UYC458811 VHY458740:VHY458811 VRU458740:VRU458811 WBQ458740:WBQ458811 WLM458740:WLM458811 WVI458740:WVI458811 A524276:A524347 IW524276:IW524347 SS524276:SS524347 ACO524276:ACO524347 AMK524276:AMK524347 AWG524276:AWG524347 BGC524276:BGC524347 BPY524276:BPY524347 BZU524276:BZU524347 CJQ524276:CJQ524347 CTM524276:CTM524347 DDI524276:DDI524347 DNE524276:DNE524347 DXA524276:DXA524347 EGW524276:EGW524347 EQS524276:EQS524347 FAO524276:FAO524347 FKK524276:FKK524347 FUG524276:FUG524347 GEC524276:GEC524347 GNY524276:GNY524347 GXU524276:GXU524347 HHQ524276:HHQ524347 HRM524276:HRM524347 IBI524276:IBI524347 ILE524276:ILE524347 IVA524276:IVA524347 JEW524276:JEW524347 JOS524276:JOS524347 JYO524276:JYO524347 KIK524276:KIK524347 KSG524276:KSG524347 LCC524276:LCC524347 LLY524276:LLY524347 LVU524276:LVU524347 MFQ524276:MFQ524347 MPM524276:MPM524347 MZI524276:MZI524347 NJE524276:NJE524347 NTA524276:NTA524347 OCW524276:OCW524347 OMS524276:OMS524347 OWO524276:OWO524347 PGK524276:PGK524347 PQG524276:PQG524347 QAC524276:QAC524347 QJY524276:QJY524347 QTU524276:QTU524347 RDQ524276:RDQ524347 RNM524276:RNM524347 RXI524276:RXI524347 SHE524276:SHE524347 SRA524276:SRA524347 TAW524276:TAW524347 TKS524276:TKS524347 TUO524276:TUO524347 UEK524276:UEK524347 UOG524276:UOG524347 UYC524276:UYC524347 VHY524276:VHY524347 VRU524276:VRU524347 WBQ524276:WBQ524347 WLM524276:WLM524347 WVI524276:WVI524347 A589812:A589883 IW589812:IW589883 SS589812:SS589883 ACO589812:ACO589883 AMK589812:AMK589883 AWG589812:AWG589883 BGC589812:BGC589883 BPY589812:BPY589883 BZU589812:BZU589883 CJQ589812:CJQ589883 CTM589812:CTM589883 DDI589812:DDI589883 DNE589812:DNE589883 DXA589812:DXA589883 EGW589812:EGW589883 EQS589812:EQS589883 FAO589812:FAO589883 FKK589812:FKK589883 FUG589812:FUG589883 GEC589812:GEC589883 GNY589812:GNY589883 GXU589812:GXU589883 HHQ589812:HHQ589883 HRM589812:HRM589883 IBI589812:IBI589883 ILE589812:ILE589883 IVA589812:IVA589883 JEW589812:JEW589883 JOS589812:JOS589883 JYO589812:JYO589883 KIK589812:KIK589883 KSG589812:KSG589883 LCC589812:LCC589883 LLY589812:LLY589883 LVU589812:LVU589883 MFQ589812:MFQ589883 MPM589812:MPM589883 MZI589812:MZI589883 NJE589812:NJE589883 NTA589812:NTA589883 OCW589812:OCW589883 OMS589812:OMS589883 OWO589812:OWO589883 PGK589812:PGK589883 PQG589812:PQG589883 QAC589812:QAC589883 QJY589812:QJY589883 QTU589812:QTU589883 RDQ589812:RDQ589883 RNM589812:RNM589883 RXI589812:RXI589883 SHE589812:SHE589883 SRA589812:SRA589883 TAW589812:TAW589883 TKS589812:TKS589883 TUO589812:TUO589883 UEK589812:UEK589883 UOG589812:UOG589883 UYC589812:UYC589883 VHY589812:VHY589883 VRU589812:VRU589883 WBQ589812:WBQ589883 WLM589812:WLM589883 WVI589812:WVI589883 A655348:A655419 IW655348:IW655419 SS655348:SS655419 ACO655348:ACO655419 AMK655348:AMK655419 AWG655348:AWG655419 BGC655348:BGC655419 BPY655348:BPY655419 BZU655348:BZU655419 CJQ655348:CJQ655419 CTM655348:CTM655419 DDI655348:DDI655419 DNE655348:DNE655419 DXA655348:DXA655419 EGW655348:EGW655419 EQS655348:EQS655419 FAO655348:FAO655419 FKK655348:FKK655419 FUG655348:FUG655419 GEC655348:GEC655419 GNY655348:GNY655419 GXU655348:GXU655419 HHQ655348:HHQ655419 HRM655348:HRM655419 IBI655348:IBI655419 ILE655348:ILE655419 IVA655348:IVA655419 JEW655348:JEW655419 JOS655348:JOS655419 JYO655348:JYO655419 KIK655348:KIK655419 KSG655348:KSG655419 LCC655348:LCC655419 LLY655348:LLY655419 LVU655348:LVU655419 MFQ655348:MFQ655419 MPM655348:MPM655419 MZI655348:MZI655419 NJE655348:NJE655419 NTA655348:NTA655419 OCW655348:OCW655419 OMS655348:OMS655419 OWO655348:OWO655419 PGK655348:PGK655419 PQG655348:PQG655419 QAC655348:QAC655419 QJY655348:QJY655419 QTU655348:QTU655419 RDQ655348:RDQ655419 RNM655348:RNM655419 RXI655348:RXI655419 SHE655348:SHE655419 SRA655348:SRA655419 TAW655348:TAW655419 TKS655348:TKS655419 TUO655348:TUO655419 UEK655348:UEK655419 UOG655348:UOG655419 UYC655348:UYC655419 VHY655348:VHY655419 VRU655348:VRU655419 WBQ655348:WBQ655419 WLM655348:WLM655419 WVI655348:WVI655419 A720884:A720955 IW720884:IW720955 SS720884:SS720955 ACO720884:ACO720955 AMK720884:AMK720955 AWG720884:AWG720955 BGC720884:BGC720955 BPY720884:BPY720955 BZU720884:BZU720955 CJQ720884:CJQ720955 CTM720884:CTM720955 DDI720884:DDI720955 DNE720884:DNE720955 DXA720884:DXA720955 EGW720884:EGW720955 EQS720884:EQS720955 FAO720884:FAO720955 FKK720884:FKK720955 FUG720884:FUG720955 GEC720884:GEC720955 GNY720884:GNY720955 GXU720884:GXU720955 HHQ720884:HHQ720955 HRM720884:HRM720955 IBI720884:IBI720955 ILE720884:ILE720955 IVA720884:IVA720955 JEW720884:JEW720955 JOS720884:JOS720955 JYO720884:JYO720955 KIK720884:KIK720955 KSG720884:KSG720955 LCC720884:LCC720955 LLY720884:LLY720955 LVU720884:LVU720955 MFQ720884:MFQ720955 MPM720884:MPM720955 MZI720884:MZI720955 NJE720884:NJE720955 NTA720884:NTA720955 OCW720884:OCW720955 OMS720884:OMS720955 OWO720884:OWO720955 PGK720884:PGK720955 PQG720884:PQG720955 QAC720884:QAC720955 QJY720884:QJY720955 QTU720884:QTU720955 RDQ720884:RDQ720955 RNM720884:RNM720955 RXI720884:RXI720955 SHE720884:SHE720955 SRA720884:SRA720955 TAW720884:TAW720955 TKS720884:TKS720955 TUO720884:TUO720955 UEK720884:UEK720955 UOG720884:UOG720955 UYC720884:UYC720955 VHY720884:VHY720955 VRU720884:VRU720955 WBQ720884:WBQ720955 WLM720884:WLM720955 WVI720884:WVI720955 A786420:A786491 IW786420:IW786491 SS786420:SS786491 ACO786420:ACO786491 AMK786420:AMK786491 AWG786420:AWG786491 BGC786420:BGC786491 BPY786420:BPY786491 BZU786420:BZU786491 CJQ786420:CJQ786491 CTM786420:CTM786491 DDI786420:DDI786491 DNE786420:DNE786491 DXA786420:DXA786491 EGW786420:EGW786491 EQS786420:EQS786491 FAO786420:FAO786491 FKK786420:FKK786491 FUG786420:FUG786491 GEC786420:GEC786491 GNY786420:GNY786491 GXU786420:GXU786491 HHQ786420:HHQ786491 HRM786420:HRM786491 IBI786420:IBI786491 ILE786420:ILE786491 IVA786420:IVA786491 JEW786420:JEW786491 JOS786420:JOS786491 JYO786420:JYO786491 KIK786420:KIK786491 KSG786420:KSG786491 LCC786420:LCC786491 LLY786420:LLY786491 LVU786420:LVU786491 MFQ786420:MFQ786491 MPM786420:MPM786491 MZI786420:MZI786491 NJE786420:NJE786491 NTA786420:NTA786491 OCW786420:OCW786491 OMS786420:OMS786491 OWO786420:OWO786491 PGK786420:PGK786491 PQG786420:PQG786491 QAC786420:QAC786491 QJY786420:QJY786491 QTU786420:QTU786491 RDQ786420:RDQ786491 RNM786420:RNM786491 RXI786420:RXI786491 SHE786420:SHE786491 SRA786420:SRA786491 TAW786420:TAW786491 TKS786420:TKS786491 TUO786420:TUO786491 UEK786420:UEK786491 UOG786420:UOG786491 UYC786420:UYC786491 VHY786420:VHY786491 VRU786420:VRU786491 WBQ786420:WBQ786491 WLM786420:WLM786491 WVI786420:WVI786491 A851956:A852027 IW851956:IW852027 SS851956:SS852027 ACO851956:ACO852027 AMK851956:AMK852027 AWG851956:AWG852027 BGC851956:BGC852027 BPY851956:BPY852027 BZU851956:BZU852027 CJQ851956:CJQ852027 CTM851956:CTM852027 DDI851956:DDI852027 DNE851956:DNE852027 DXA851956:DXA852027 EGW851956:EGW852027 EQS851956:EQS852027 FAO851956:FAO852027 FKK851956:FKK852027 FUG851956:FUG852027 GEC851956:GEC852027 GNY851956:GNY852027 GXU851956:GXU852027 HHQ851956:HHQ852027 HRM851956:HRM852027 IBI851956:IBI852027 ILE851956:ILE852027 IVA851956:IVA852027 JEW851956:JEW852027 JOS851956:JOS852027 JYO851956:JYO852027 KIK851956:KIK852027 KSG851956:KSG852027 LCC851956:LCC852027 LLY851956:LLY852027 LVU851956:LVU852027 MFQ851956:MFQ852027 MPM851956:MPM852027 MZI851956:MZI852027 NJE851956:NJE852027 NTA851956:NTA852027 OCW851956:OCW852027 OMS851956:OMS852027 OWO851956:OWO852027 PGK851956:PGK852027 PQG851956:PQG852027 QAC851956:QAC852027 QJY851956:QJY852027 QTU851956:QTU852027 RDQ851956:RDQ852027 RNM851956:RNM852027 RXI851956:RXI852027 SHE851956:SHE852027 SRA851956:SRA852027 TAW851956:TAW852027 TKS851956:TKS852027 TUO851956:TUO852027 UEK851956:UEK852027 UOG851956:UOG852027 UYC851956:UYC852027 VHY851956:VHY852027 VRU851956:VRU852027 WBQ851956:WBQ852027 WLM851956:WLM852027 WVI851956:WVI852027 A917492:A917563 IW917492:IW917563 SS917492:SS917563 ACO917492:ACO917563 AMK917492:AMK917563 AWG917492:AWG917563 BGC917492:BGC917563 BPY917492:BPY917563 BZU917492:BZU917563 CJQ917492:CJQ917563 CTM917492:CTM917563 DDI917492:DDI917563 DNE917492:DNE917563 DXA917492:DXA917563 EGW917492:EGW917563 EQS917492:EQS917563 FAO917492:FAO917563 FKK917492:FKK917563 FUG917492:FUG917563 GEC917492:GEC917563 GNY917492:GNY917563 GXU917492:GXU917563 HHQ917492:HHQ917563 HRM917492:HRM917563 IBI917492:IBI917563 ILE917492:ILE917563 IVA917492:IVA917563 JEW917492:JEW917563 JOS917492:JOS917563 JYO917492:JYO917563 KIK917492:KIK917563 KSG917492:KSG917563 LCC917492:LCC917563 LLY917492:LLY917563 LVU917492:LVU917563 MFQ917492:MFQ917563 MPM917492:MPM917563 MZI917492:MZI917563 NJE917492:NJE917563 NTA917492:NTA917563 OCW917492:OCW917563 OMS917492:OMS917563 OWO917492:OWO917563 PGK917492:PGK917563 PQG917492:PQG917563 QAC917492:QAC917563 QJY917492:QJY917563 QTU917492:QTU917563 RDQ917492:RDQ917563 RNM917492:RNM917563 RXI917492:RXI917563 SHE917492:SHE917563 SRA917492:SRA917563 TAW917492:TAW917563 TKS917492:TKS917563 TUO917492:TUO917563 UEK917492:UEK917563 UOG917492:UOG917563 UYC917492:UYC917563 VHY917492:VHY917563 VRU917492:VRU917563 WBQ917492:WBQ917563 WLM917492:WLM917563 WVI917492:WVI917563 A983028:A983099 IW983028:IW983099 SS983028:SS983099 ACO983028:ACO983099 AMK983028:AMK983099 AWG983028:AWG983099 BGC983028:BGC983099 BPY983028:BPY983099 BZU983028:BZU983099 CJQ983028:CJQ983099 CTM983028:CTM983099 DDI983028:DDI983099 DNE983028:DNE983099 DXA983028:DXA983099 EGW983028:EGW983099 EQS983028:EQS983099 FAO983028:FAO983099 FKK983028:FKK983099 FUG983028:FUG983099 GEC983028:GEC983099 GNY983028:GNY983099 GXU983028:GXU983099 HHQ983028:HHQ983099 HRM983028:HRM983099 IBI983028:IBI983099 ILE983028:ILE983099 IVA983028:IVA983099 JEW983028:JEW983099 JOS983028:JOS983099 JYO983028:JYO983099 KIK983028:KIK983099 KSG983028:KSG983099 LCC983028:LCC983099 LLY983028:LLY983099 LVU983028:LVU983099 MFQ983028:MFQ983099 MPM983028:MPM983099 MZI983028:MZI983099 NJE983028:NJE983099 NTA983028:NTA983099 OCW983028:OCW983099 OMS983028:OMS983099 OWO983028:OWO983099 PGK983028:PGK983099 PQG983028:PQG983099 QAC983028:QAC983099 QJY983028:QJY983099 QTU983028:QTU983099 RDQ983028:RDQ983099 RNM983028:RNM983099 RXI983028:RXI983099 SHE983028:SHE983099 SRA983028:SRA983099 TAW983028:TAW983099 TKS983028:TKS983099 TUO983028:TUO983099 UEK983028:UEK983099 UOG983028:UOG983099 UYC983028:UYC983099 VHY983028:VHY983099 VRU983028:VRU983099 WBQ983028:WBQ983099 WLM983028:WLM983099 A2:A486 SS2:SS70 WLM2:WLM70 WBQ2:WBQ70 VRU2:VRU70 VHY2:VHY70 UYC2:UYC70 UOG2:UOG70 UEK2:UEK70 TUO2:TUO70 TKS2:TKS70 TAW2:TAW70 SRA2:SRA70 SHE2:SHE70 RXI2:RXI70 RNM2:RNM70 RDQ2:RDQ70 QTU2:QTU70 QJY2:QJY70 QAC2:QAC70 PQG2:PQG70 PGK2:PGK70 OWO2:OWO70 OMS2:OMS70 OCW2:OCW70 NTA2:NTA70 NJE2:NJE70 MZI2:MZI70 MPM2:MPM70 MFQ2:MFQ70 LVU2:LVU70 LLY2:LLY70 LCC2:LCC70 KSG2:KSG70 KIK2:KIK70 JYO2:JYO70 JOS2:JOS70 JEW2:JEW70 IVA2:IVA70 ILE2:ILE70 IBI2:IBI70 HRM2:HRM70 HHQ2:HHQ70 GXU2:GXU70 GNY2:GNY70 GEC2:GEC70 FUG2:FUG70 FKK2:FKK70 FAO2:FAO70 EQS2:EQS70 EGW2:EGW70 DXA2:DXA70 DNE2:DNE70 DDI2:DDI70 CTM2:CTM70 CJQ2:CJQ70 BZU2:BZU70 BPY2:BPY70 BGC2:BGC70 AWG2:AWG70 AMK2:AMK70 ACO2:ACO70 IW2:IW70 WVI2:WVI70">
      <formula1>$AE$2:$AE$19</formula1>
    </dataValidation>
    <dataValidation type="list" allowBlank="1" showInputMessage="1" showErrorMessage="1" sqref="X64349:X64414 JT64349:JT64414 TP64349:TP64414 ADL64349:ADL64414 ANH64349:ANH64414 AXD64349:AXD64414 BGZ64349:BGZ64414 BQV64349:BQV64414 CAR64349:CAR64414 CKN64349:CKN64414 CUJ64349:CUJ64414 DEF64349:DEF64414 DOB64349:DOB64414 DXX64349:DXX64414 EHT64349:EHT64414 ERP64349:ERP64414 FBL64349:FBL64414 FLH64349:FLH64414 FVD64349:FVD64414 GEZ64349:GEZ64414 GOV64349:GOV64414 GYR64349:GYR64414 HIN64349:HIN64414 HSJ64349:HSJ64414 ICF64349:ICF64414 IMB64349:IMB64414 IVX64349:IVX64414 JFT64349:JFT64414 JPP64349:JPP64414 JZL64349:JZL64414 KJH64349:KJH64414 KTD64349:KTD64414 LCZ64349:LCZ64414 LMV64349:LMV64414 LWR64349:LWR64414 MGN64349:MGN64414 MQJ64349:MQJ64414 NAF64349:NAF64414 NKB64349:NKB64414 NTX64349:NTX64414 ODT64349:ODT64414 ONP64349:ONP64414 OXL64349:OXL64414 PHH64349:PHH64414 PRD64349:PRD64414 QAZ64349:QAZ64414 QKV64349:QKV64414 QUR64349:QUR64414 REN64349:REN64414 ROJ64349:ROJ64414 RYF64349:RYF64414 SIB64349:SIB64414 SRX64349:SRX64414 TBT64349:TBT64414 TLP64349:TLP64414 TVL64349:TVL64414 UFH64349:UFH64414 UPD64349:UPD64414 UYZ64349:UYZ64414 VIV64349:VIV64414 VSR64349:VSR64414 WCN64349:WCN64414 WMJ64349:WMJ64414 WWF64349:WWF64414 X129885:X129950 JT129885:JT129950 TP129885:TP129950 ADL129885:ADL129950 ANH129885:ANH129950 AXD129885:AXD129950 BGZ129885:BGZ129950 BQV129885:BQV129950 CAR129885:CAR129950 CKN129885:CKN129950 CUJ129885:CUJ129950 DEF129885:DEF129950 DOB129885:DOB129950 DXX129885:DXX129950 EHT129885:EHT129950 ERP129885:ERP129950 FBL129885:FBL129950 FLH129885:FLH129950 FVD129885:FVD129950 GEZ129885:GEZ129950 GOV129885:GOV129950 GYR129885:GYR129950 HIN129885:HIN129950 HSJ129885:HSJ129950 ICF129885:ICF129950 IMB129885:IMB129950 IVX129885:IVX129950 JFT129885:JFT129950 JPP129885:JPP129950 JZL129885:JZL129950 KJH129885:KJH129950 KTD129885:KTD129950 LCZ129885:LCZ129950 LMV129885:LMV129950 LWR129885:LWR129950 MGN129885:MGN129950 MQJ129885:MQJ129950 NAF129885:NAF129950 NKB129885:NKB129950 NTX129885:NTX129950 ODT129885:ODT129950 ONP129885:ONP129950 OXL129885:OXL129950 PHH129885:PHH129950 PRD129885:PRD129950 QAZ129885:QAZ129950 QKV129885:QKV129950 QUR129885:QUR129950 REN129885:REN129950 ROJ129885:ROJ129950 RYF129885:RYF129950 SIB129885:SIB129950 SRX129885:SRX129950 TBT129885:TBT129950 TLP129885:TLP129950 TVL129885:TVL129950 UFH129885:UFH129950 UPD129885:UPD129950 UYZ129885:UYZ129950 VIV129885:VIV129950 VSR129885:VSR129950 WCN129885:WCN129950 WMJ129885:WMJ129950 WWF129885:WWF129950 X195421:X195486 JT195421:JT195486 TP195421:TP195486 ADL195421:ADL195486 ANH195421:ANH195486 AXD195421:AXD195486 BGZ195421:BGZ195486 BQV195421:BQV195486 CAR195421:CAR195486 CKN195421:CKN195486 CUJ195421:CUJ195486 DEF195421:DEF195486 DOB195421:DOB195486 DXX195421:DXX195486 EHT195421:EHT195486 ERP195421:ERP195486 FBL195421:FBL195486 FLH195421:FLH195486 FVD195421:FVD195486 GEZ195421:GEZ195486 GOV195421:GOV195486 GYR195421:GYR195486 HIN195421:HIN195486 HSJ195421:HSJ195486 ICF195421:ICF195486 IMB195421:IMB195486 IVX195421:IVX195486 JFT195421:JFT195486 JPP195421:JPP195486 JZL195421:JZL195486 KJH195421:KJH195486 KTD195421:KTD195486 LCZ195421:LCZ195486 LMV195421:LMV195486 LWR195421:LWR195486 MGN195421:MGN195486 MQJ195421:MQJ195486 NAF195421:NAF195486 NKB195421:NKB195486 NTX195421:NTX195486 ODT195421:ODT195486 ONP195421:ONP195486 OXL195421:OXL195486 PHH195421:PHH195486 PRD195421:PRD195486 QAZ195421:QAZ195486 QKV195421:QKV195486 QUR195421:QUR195486 REN195421:REN195486 ROJ195421:ROJ195486 RYF195421:RYF195486 SIB195421:SIB195486 SRX195421:SRX195486 TBT195421:TBT195486 TLP195421:TLP195486 TVL195421:TVL195486 UFH195421:UFH195486 UPD195421:UPD195486 UYZ195421:UYZ195486 VIV195421:VIV195486 VSR195421:VSR195486 WCN195421:WCN195486 WMJ195421:WMJ195486 WWF195421:WWF195486 X260957:X261022 JT260957:JT261022 TP260957:TP261022 ADL260957:ADL261022 ANH260957:ANH261022 AXD260957:AXD261022 BGZ260957:BGZ261022 BQV260957:BQV261022 CAR260957:CAR261022 CKN260957:CKN261022 CUJ260957:CUJ261022 DEF260957:DEF261022 DOB260957:DOB261022 DXX260957:DXX261022 EHT260957:EHT261022 ERP260957:ERP261022 FBL260957:FBL261022 FLH260957:FLH261022 FVD260957:FVD261022 GEZ260957:GEZ261022 GOV260957:GOV261022 GYR260957:GYR261022 HIN260957:HIN261022 HSJ260957:HSJ261022 ICF260957:ICF261022 IMB260957:IMB261022 IVX260957:IVX261022 JFT260957:JFT261022 JPP260957:JPP261022 JZL260957:JZL261022 KJH260957:KJH261022 KTD260957:KTD261022 LCZ260957:LCZ261022 LMV260957:LMV261022 LWR260957:LWR261022 MGN260957:MGN261022 MQJ260957:MQJ261022 NAF260957:NAF261022 NKB260957:NKB261022 NTX260957:NTX261022 ODT260957:ODT261022 ONP260957:ONP261022 OXL260957:OXL261022 PHH260957:PHH261022 PRD260957:PRD261022 QAZ260957:QAZ261022 QKV260957:QKV261022 QUR260957:QUR261022 REN260957:REN261022 ROJ260957:ROJ261022 RYF260957:RYF261022 SIB260957:SIB261022 SRX260957:SRX261022 TBT260957:TBT261022 TLP260957:TLP261022 TVL260957:TVL261022 UFH260957:UFH261022 UPD260957:UPD261022 UYZ260957:UYZ261022 VIV260957:VIV261022 VSR260957:VSR261022 WCN260957:WCN261022 WMJ260957:WMJ261022 WWF260957:WWF261022 X326493:X326558 JT326493:JT326558 TP326493:TP326558 ADL326493:ADL326558 ANH326493:ANH326558 AXD326493:AXD326558 BGZ326493:BGZ326558 BQV326493:BQV326558 CAR326493:CAR326558 CKN326493:CKN326558 CUJ326493:CUJ326558 DEF326493:DEF326558 DOB326493:DOB326558 DXX326493:DXX326558 EHT326493:EHT326558 ERP326493:ERP326558 FBL326493:FBL326558 FLH326493:FLH326558 FVD326493:FVD326558 GEZ326493:GEZ326558 GOV326493:GOV326558 GYR326493:GYR326558 HIN326493:HIN326558 HSJ326493:HSJ326558 ICF326493:ICF326558 IMB326493:IMB326558 IVX326493:IVX326558 JFT326493:JFT326558 JPP326493:JPP326558 JZL326493:JZL326558 KJH326493:KJH326558 KTD326493:KTD326558 LCZ326493:LCZ326558 LMV326493:LMV326558 LWR326493:LWR326558 MGN326493:MGN326558 MQJ326493:MQJ326558 NAF326493:NAF326558 NKB326493:NKB326558 NTX326493:NTX326558 ODT326493:ODT326558 ONP326493:ONP326558 OXL326493:OXL326558 PHH326493:PHH326558 PRD326493:PRD326558 QAZ326493:QAZ326558 QKV326493:QKV326558 QUR326493:QUR326558 REN326493:REN326558 ROJ326493:ROJ326558 RYF326493:RYF326558 SIB326493:SIB326558 SRX326493:SRX326558 TBT326493:TBT326558 TLP326493:TLP326558 TVL326493:TVL326558 UFH326493:UFH326558 UPD326493:UPD326558 UYZ326493:UYZ326558 VIV326493:VIV326558 VSR326493:VSR326558 WCN326493:WCN326558 WMJ326493:WMJ326558 WWF326493:WWF326558 X392029:X392094 JT392029:JT392094 TP392029:TP392094 ADL392029:ADL392094 ANH392029:ANH392094 AXD392029:AXD392094 BGZ392029:BGZ392094 BQV392029:BQV392094 CAR392029:CAR392094 CKN392029:CKN392094 CUJ392029:CUJ392094 DEF392029:DEF392094 DOB392029:DOB392094 DXX392029:DXX392094 EHT392029:EHT392094 ERP392029:ERP392094 FBL392029:FBL392094 FLH392029:FLH392094 FVD392029:FVD392094 GEZ392029:GEZ392094 GOV392029:GOV392094 GYR392029:GYR392094 HIN392029:HIN392094 HSJ392029:HSJ392094 ICF392029:ICF392094 IMB392029:IMB392094 IVX392029:IVX392094 JFT392029:JFT392094 JPP392029:JPP392094 JZL392029:JZL392094 KJH392029:KJH392094 KTD392029:KTD392094 LCZ392029:LCZ392094 LMV392029:LMV392094 LWR392029:LWR392094 MGN392029:MGN392094 MQJ392029:MQJ392094 NAF392029:NAF392094 NKB392029:NKB392094 NTX392029:NTX392094 ODT392029:ODT392094 ONP392029:ONP392094 OXL392029:OXL392094 PHH392029:PHH392094 PRD392029:PRD392094 QAZ392029:QAZ392094 QKV392029:QKV392094 QUR392029:QUR392094 REN392029:REN392094 ROJ392029:ROJ392094 RYF392029:RYF392094 SIB392029:SIB392094 SRX392029:SRX392094 TBT392029:TBT392094 TLP392029:TLP392094 TVL392029:TVL392094 UFH392029:UFH392094 UPD392029:UPD392094 UYZ392029:UYZ392094 VIV392029:VIV392094 VSR392029:VSR392094 WCN392029:WCN392094 WMJ392029:WMJ392094 WWF392029:WWF392094 X457565:X457630 JT457565:JT457630 TP457565:TP457630 ADL457565:ADL457630 ANH457565:ANH457630 AXD457565:AXD457630 BGZ457565:BGZ457630 BQV457565:BQV457630 CAR457565:CAR457630 CKN457565:CKN457630 CUJ457565:CUJ457630 DEF457565:DEF457630 DOB457565:DOB457630 DXX457565:DXX457630 EHT457565:EHT457630 ERP457565:ERP457630 FBL457565:FBL457630 FLH457565:FLH457630 FVD457565:FVD457630 GEZ457565:GEZ457630 GOV457565:GOV457630 GYR457565:GYR457630 HIN457565:HIN457630 HSJ457565:HSJ457630 ICF457565:ICF457630 IMB457565:IMB457630 IVX457565:IVX457630 JFT457565:JFT457630 JPP457565:JPP457630 JZL457565:JZL457630 KJH457565:KJH457630 KTD457565:KTD457630 LCZ457565:LCZ457630 LMV457565:LMV457630 LWR457565:LWR457630 MGN457565:MGN457630 MQJ457565:MQJ457630 NAF457565:NAF457630 NKB457565:NKB457630 NTX457565:NTX457630 ODT457565:ODT457630 ONP457565:ONP457630 OXL457565:OXL457630 PHH457565:PHH457630 PRD457565:PRD457630 QAZ457565:QAZ457630 QKV457565:QKV457630 QUR457565:QUR457630 REN457565:REN457630 ROJ457565:ROJ457630 RYF457565:RYF457630 SIB457565:SIB457630 SRX457565:SRX457630 TBT457565:TBT457630 TLP457565:TLP457630 TVL457565:TVL457630 UFH457565:UFH457630 UPD457565:UPD457630 UYZ457565:UYZ457630 VIV457565:VIV457630 VSR457565:VSR457630 WCN457565:WCN457630 WMJ457565:WMJ457630 WWF457565:WWF457630 X523101:X523166 JT523101:JT523166 TP523101:TP523166 ADL523101:ADL523166 ANH523101:ANH523166 AXD523101:AXD523166 BGZ523101:BGZ523166 BQV523101:BQV523166 CAR523101:CAR523166 CKN523101:CKN523166 CUJ523101:CUJ523166 DEF523101:DEF523166 DOB523101:DOB523166 DXX523101:DXX523166 EHT523101:EHT523166 ERP523101:ERP523166 FBL523101:FBL523166 FLH523101:FLH523166 FVD523101:FVD523166 GEZ523101:GEZ523166 GOV523101:GOV523166 GYR523101:GYR523166 HIN523101:HIN523166 HSJ523101:HSJ523166 ICF523101:ICF523166 IMB523101:IMB523166 IVX523101:IVX523166 JFT523101:JFT523166 JPP523101:JPP523166 JZL523101:JZL523166 KJH523101:KJH523166 KTD523101:KTD523166 LCZ523101:LCZ523166 LMV523101:LMV523166 LWR523101:LWR523166 MGN523101:MGN523166 MQJ523101:MQJ523166 NAF523101:NAF523166 NKB523101:NKB523166 NTX523101:NTX523166 ODT523101:ODT523166 ONP523101:ONP523166 OXL523101:OXL523166 PHH523101:PHH523166 PRD523101:PRD523166 QAZ523101:QAZ523166 QKV523101:QKV523166 QUR523101:QUR523166 REN523101:REN523166 ROJ523101:ROJ523166 RYF523101:RYF523166 SIB523101:SIB523166 SRX523101:SRX523166 TBT523101:TBT523166 TLP523101:TLP523166 TVL523101:TVL523166 UFH523101:UFH523166 UPD523101:UPD523166 UYZ523101:UYZ523166 VIV523101:VIV523166 VSR523101:VSR523166 WCN523101:WCN523166 WMJ523101:WMJ523166 WWF523101:WWF523166 X588637:X588702 JT588637:JT588702 TP588637:TP588702 ADL588637:ADL588702 ANH588637:ANH588702 AXD588637:AXD588702 BGZ588637:BGZ588702 BQV588637:BQV588702 CAR588637:CAR588702 CKN588637:CKN588702 CUJ588637:CUJ588702 DEF588637:DEF588702 DOB588637:DOB588702 DXX588637:DXX588702 EHT588637:EHT588702 ERP588637:ERP588702 FBL588637:FBL588702 FLH588637:FLH588702 FVD588637:FVD588702 GEZ588637:GEZ588702 GOV588637:GOV588702 GYR588637:GYR588702 HIN588637:HIN588702 HSJ588637:HSJ588702 ICF588637:ICF588702 IMB588637:IMB588702 IVX588637:IVX588702 JFT588637:JFT588702 JPP588637:JPP588702 JZL588637:JZL588702 KJH588637:KJH588702 KTD588637:KTD588702 LCZ588637:LCZ588702 LMV588637:LMV588702 LWR588637:LWR588702 MGN588637:MGN588702 MQJ588637:MQJ588702 NAF588637:NAF588702 NKB588637:NKB588702 NTX588637:NTX588702 ODT588637:ODT588702 ONP588637:ONP588702 OXL588637:OXL588702 PHH588637:PHH588702 PRD588637:PRD588702 QAZ588637:QAZ588702 QKV588637:QKV588702 QUR588637:QUR588702 REN588637:REN588702 ROJ588637:ROJ588702 RYF588637:RYF588702 SIB588637:SIB588702 SRX588637:SRX588702 TBT588637:TBT588702 TLP588637:TLP588702 TVL588637:TVL588702 UFH588637:UFH588702 UPD588637:UPD588702 UYZ588637:UYZ588702 VIV588637:VIV588702 VSR588637:VSR588702 WCN588637:WCN588702 WMJ588637:WMJ588702 WWF588637:WWF588702 X654173:X654238 JT654173:JT654238 TP654173:TP654238 ADL654173:ADL654238 ANH654173:ANH654238 AXD654173:AXD654238 BGZ654173:BGZ654238 BQV654173:BQV654238 CAR654173:CAR654238 CKN654173:CKN654238 CUJ654173:CUJ654238 DEF654173:DEF654238 DOB654173:DOB654238 DXX654173:DXX654238 EHT654173:EHT654238 ERP654173:ERP654238 FBL654173:FBL654238 FLH654173:FLH654238 FVD654173:FVD654238 GEZ654173:GEZ654238 GOV654173:GOV654238 GYR654173:GYR654238 HIN654173:HIN654238 HSJ654173:HSJ654238 ICF654173:ICF654238 IMB654173:IMB654238 IVX654173:IVX654238 JFT654173:JFT654238 JPP654173:JPP654238 JZL654173:JZL654238 KJH654173:KJH654238 KTD654173:KTD654238 LCZ654173:LCZ654238 LMV654173:LMV654238 LWR654173:LWR654238 MGN654173:MGN654238 MQJ654173:MQJ654238 NAF654173:NAF654238 NKB654173:NKB654238 NTX654173:NTX654238 ODT654173:ODT654238 ONP654173:ONP654238 OXL654173:OXL654238 PHH654173:PHH654238 PRD654173:PRD654238 QAZ654173:QAZ654238 QKV654173:QKV654238 QUR654173:QUR654238 REN654173:REN654238 ROJ654173:ROJ654238 RYF654173:RYF654238 SIB654173:SIB654238 SRX654173:SRX654238 TBT654173:TBT654238 TLP654173:TLP654238 TVL654173:TVL654238 UFH654173:UFH654238 UPD654173:UPD654238 UYZ654173:UYZ654238 VIV654173:VIV654238 VSR654173:VSR654238 WCN654173:WCN654238 WMJ654173:WMJ654238 WWF654173:WWF654238 X719709:X719774 JT719709:JT719774 TP719709:TP719774 ADL719709:ADL719774 ANH719709:ANH719774 AXD719709:AXD719774 BGZ719709:BGZ719774 BQV719709:BQV719774 CAR719709:CAR719774 CKN719709:CKN719774 CUJ719709:CUJ719774 DEF719709:DEF719774 DOB719709:DOB719774 DXX719709:DXX719774 EHT719709:EHT719774 ERP719709:ERP719774 FBL719709:FBL719774 FLH719709:FLH719774 FVD719709:FVD719774 GEZ719709:GEZ719774 GOV719709:GOV719774 GYR719709:GYR719774 HIN719709:HIN719774 HSJ719709:HSJ719774 ICF719709:ICF719774 IMB719709:IMB719774 IVX719709:IVX719774 JFT719709:JFT719774 JPP719709:JPP719774 JZL719709:JZL719774 KJH719709:KJH719774 KTD719709:KTD719774 LCZ719709:LCZ719774 LMV719709:LMV719774 LWR719709:LWR719774 MGN719709:MGN719774 MQJ719709:MQJ719774 NAF719709:NAF719774 NKB719709:NKB719774 NTX719709:NTX719774 ODT719709:ODT719774 ONP719709:ONP719774 OXL719709:OXL719774 PHH719709:PHH719774 PRD719709:PRD719774 QAZ719709:QAZ719774 QKV719709:QKV719774 QUR719709:QUR719774 REN719709:REN719774 ROJ719709:ROJ719774 RYF719709:RYF719774 SIB719709:SIB719774 SRX719709:SRX719774 TBT719709:TBT719774 TLP719709:TLP719774 TVL719709:TVL719774 UFH719709:UFH719774 UPD719709:UPD719774 UYZ719709:UYZ719774 VIV719709:VIV719774 VSR719709:VSR719774 WCN719709:WCN719774 WMJ719709:WMJ719774 WWF719709:WWF719774 X785245:X785310 JT785245:JT785310 TP785245:TP785310 ADL785245:ADL785310 ANH785245:ANH785310 AXD785245:AXD785310 BGZ785245:BGZ785310 BQV785245:BQV785310 CAR785245:CAR785310 CKN785245:CKN785310 CUJ785245:CUJ785310 DEF785245:DEF785310 DOB785245:DOB785310 DXX785245:DXX785310 EHT785245:EHT785310 ERP785245:ERP785310 FBL785245:FBL785310 FLH785245:FLH785310 FVD785245:FVD785310 GEZ785245:GEZ785310 GOV785245:GOV785310 GYR785245:GYR785310 HIN785245:HIN785310 HSJ785245:HSJ785310 ICF785245:ICF785310 IMB785245:IMB785310 IVX785245:IVX785310 JFT785245:JFT785310 JPP785245:JPP785310 JZL785245:JZL785310 KJH785245:KJH785310 KTD785245:KTD785310 LCZ785245:LCZ785310 LMV785245:LMV785310 LWR785245:LWR785310 MGN785245:MGN785310 MQJ785245:MQJ785310 NAF785245:NAF785310 NKB785245:NKB785310 NTX785245:NTX785310 ODT785245:ODT785310 ONP785245:ONP785310 OXL785245:OXL785310 PHH785245:PHH785310 PRD785245:PRD785310 QAZ785245:QAZ785310 QKV785245:QKV785310 QUR785245:QUR785310 REN785245:REN785310 ROJ785245:ROJ785310 RYF785245:RYF785310 SIB785245:SIB785310 SRX785245:SRX785310 TBT785245:TBT785310 TLP785245:TLP785310 TVL785245:TVL785310 UFH785245:UFH785310 UPD785245:UPD785310 UYZ785245:UYZ785310 VIV785245:VIV785310 VSR785245:VSR785310 WCN785245:WCN785310 WMJ785245:WMJ785310 WWF785245:WWF785310 X850781:X850846 JT850781:JT850846 TP850781:TP850846 ADL850781:ADL850846 ANH850781:ANH850846 AXD850781:AXD850846 BGZ850781:BGZ850846 BQV850781:BQV850846 CAR850781:CAR850846 CKN850781:CKN850846 CUJ850781:CUJ850846 DEF850781:DEF850846 DOB850781:DOB850846 DXX850781:DXX850846 EHT850781:EHT850846 ERP850781:ERP850846 FBL850781:FBL850846 FLH850781:FLH850846 FVD850781:FVD850846 GEZ850781:GEZ850846 GOV850781:GOV850846 GYR850781:GYR850846 HIN850781:HIN850846 HSJ850781:HSJ850846 ICF850781:ICF850846 IMB850781:IMB850846 IVX850781:IVX850846 JFT850781:JFT850846 JPP850781:JPP850846 JZL850781:JZL850846 KJH850781:KJH850846 KTD850781:KTD850846 LCZ850781:LCZ850846 LMV850781:LMV850846 LWR850781:LWR850846 MGN850781:MGN850846 MQJ850781:MQJ850846 NAF850781:NAF850846 NKB850781:NKB850846 NTX850781:NTX850846 ODT850781:ODT850846 ONP850781:ONP850846 OXL850781:OXL850846 PHH850781:PHH850846 PRD850781:PRD850846 QAZ850781:QAZ850846 QKV850781:QKV850846 QUR850781:QUR850846 REN850781:REN850846 ROJ850781:ROJ850846 RYF850781:RYF850846 SIB850781:SIB850846 SRX850781:SRX850846 TBT850781:TBT850846 TLP850781:TLP850846 TVL850781:TVL850846 UFH850781:UFH850846 UPD850781:UPD850846 UYZ850781:UYZ850846 VIV850781:VIV850846 VSR850781:VSR850846 WCN850781:WCN850846 WMJ850781:WMJ850846 WWF850781:WWF850846 X916317:X916382 JT916317:JT916382 TP916317:TP916382 ADL916317:ADL916382 ANH916317:ANH916382 AXD916317:AXD916382 BGZ916317:BGZ916382 BQV916317:BQV916382 CAR916317:CAR916382 CKN916317:CKN916382 CUJ916317:CUJ916382 DEF916317:DEF916382 DOB916317:DOB916382 DXX916317:DXX916382 EHT916317:EHT916382 ERP916317:ERP916382 FBL916317:FBL916382 FLH916317:FLH916382 FVD916317:FVD916382 GEZ916317:GEZ916382 GOV916317:GOV916382 GYR916317:GYR916382 HIN916317:HIN916382 HSJ916317:HSJ916382 ICF916317:ICF916382 IMB916317:IMB916382 IVX916317:IVX916382 JFT916317:JFT916382 JPP916317:JPP916382 JZL916317:JZL916382 KJH916317:KJH916382 KTD916317:KTD916382 LCZ916317:LCZ916382 LMV916317:LMV916382 LWR916317:LWR916382 MGN916317:MGN916382 MQJ916317:MQJ916382 NAF916317:NAF916382 NKB916317:NKB916382 NTX916317:NTX916382 ODT916317:ODT916382 ONP916317:ONP916382 OXL916317:OXL916382 PHH916317:PHH916382 PRD916317:PRD916382 QAZ916317:QAZ916382 QKV916317:QKV916382 QUR916317:QUR916382 REN916317:REN916382 ROJ916317:ROJ916382 RYF916317:RYF916382 SIB916317:SIB916382 SRX916317:SRX916382 TBT916317:TBT916382 TLP916317:TLP916382 TVL916317:TVL916382 UFH916317:UFH916382 UPD916317:UPD916382 UYZ916317:UYZ916382 VIV916317:VIV916382 VSR916317:VSR916382 WCN916317:WCN916382 WMJ916317:WMJ916382 WWF916317:WWF916382 X981853:X981918 JT981853:JT981918 TP981853:TP981918 ADL981853:ADL981918 ANH981853:ANH981918 AXD981853:AXD981918 BGZ981853:BGZ981918 BQV981853:BQV981918 CAR981853:CAR981918 CKN981853:CKN981918 CUJ981853:CUJ981918 DEF981853:DEF981918 DOB981853:DOB981918 DXX981853:DXX981918 EHT981853:EHT981918 ERP981853:ERP981918 FBL981853:FBL981918 FLH981853:FLH981918 FVD981853:FVD981918 GEZ981853:GEZ981918 GOV981853:GOV981918 GYR981853:GYR981918 HIN981853:HIN981918 HSJ981853:HSJ981918 ICF981853:ICF981918 IMB981853:IMB981918 IVX981853:IVX981918 JFT981853:JFT981918 JPP981853:JPP981918 JZL981853:JZL981918 KJH981853:KJH981918 KTD981853:KTD981918 LCZ981853:LCZ981918 LMV981853:LMV981918 LWR981853:LWR981918 MGN981853:MGN981918 MQJ981853:MQJ981918 NAF981853:NAF981918 NKB981853:NKB981918 NTX981853:NTX981918 ODT981853:ODT981918 ONP981853:ONP981918 OXL981853:OXL981918 PHH981853:PHH981918 PRD981853:PRD981918 QAZ981853:QAZ981918 QKV981853:QKV981918 QUR981853:QUR981918 REN981853:REN981918 ROJ981853:ROJ981918 RYF981853:RYF981918 SIB981853:SIB981918 SRX981853:SRX981918 TBT981853:TBT981918 TLP981853:TLP981918 TVL981853:TVL981918 UFH981853:UFH981918 UPD981853:UPD981918 UYZ981853:UYZ981918 VIV981853:VIV981918 VSR981853:VSR981918 WCN981853:WCN981918 WMJ981853:WMJ981918 WWF981853:WWF981918 X1047389:X1047454 JT1047389:JT1047454 TP1047389:TP1047454 ADL1047389:ADL1047454 ANH1047389:ANH1047454 AXD1047389:AXD1047454 BGZ1047389:BGZ1047454 BQV1047389:BQV1047454 CAR1047389:CAR1047454 CKN1047389:CKN1047454 CUJ1047389:CUJ1047454 DEF1047389:DEF1047454 DOB1047389:DOB1047454 DXX1047389:DXX1047454 EHT1047389:EHT1047454 ERP1047389:ERP1047454 FBL1047389:FBL1047454 FLH1047389:FLH1047454 FVD1047389:FVD1047454 GEZ1047389:GEZ1047454 GOV1047389:GOV1047454 GYR1047389:GYR1047454 HIN1047389:HIN1047454 HSJ1047389:HSJ1047454 ICF1047389:ICF1047454 IMB1047389:IMB1047454 IVX1047389:IVX1047454 JFT1047389:JFT1047454 JPP1047389:JPP1047454 JZL1047389:JZL1047454 KJH1047389:KJH1047454 KTD1047389:KTD1047454 LCZ1047389:LCZ1047454 LMV1047389:LMV1047454 LWR1047389:LWR1047454 MGN1047389:MGN1047454 MQJ1047389:MQJ1047454 NAF1047389:NAF1047454 NKB1047389:NKB1047454 NTX1047389:NTX1047454 ODT1047389:ODT1047454 ONP1047389:ONP1047454 OXL1047389:OXL1047454 PHH1047389:PHH1047454 PRD1047389:PRD1047454 QAZ1047389:QAZ1047454 QKV1047389:QKV1047454 QUR1047389:QUR1047454 REN1047389:REN1047454 ROJ1047389:ROJ1047454 RYF1047389:RYF1047454 SIB1047389:SIB1047454 SRX1047389:SRX1047454 TBT1047389:TBT1047454 TLP1047389:TLP1047454 TVL1047389:TVL1047454 UFH1047389:UFH1047454 UPD1047389:UPD1047454 UYZ1047389:UYZ1047454 VIV1047389:VIV1047454 VSR1047389:VSR1047454 WCN1047389:WCN1047454 WMJ1047389:WMJ1047454 WWF1047389:WWF1047454 WWF983028:WWF983093 X65524:X65589 JT65524:JT65589 TP65524:TP65589 ADL65524:ADL65589 ANH65524:ANH65589 AXD65524:AXD65589 BGZ65524:BGZ65589 BQV65524:BQV65589 CAR65524:CAR65589 CKN65524:CKN65589 CUJ65524:CUJ65589 DEF65524:DEF65589 DOB65524:DOB65589 DXX65524:DXX65589 EHT65524:EHT65589 ERP65524:ERP65589 FBL65524:FBL65589 FLH65524:FLH65589 FVD65524:FVD65589 GEZ65524:GEZ65589 GOV65524:GOV65589 GYR65524:GYR65589 HIN65524:HIN65589 HSJ65524:HSJ65589 ICF65524:ICF65589 IMB65524:IMB65589 IVX65524:IVX65589 JFT65524:JFT65589 JPP65524:JPP65589 JZL65524:JZL65589 KJH65524:KJH65589 KTD65524:KTD65589 LCZ65524:LCZ65589 LMV65524:LMV65589 LWR65524:LWR65589 MGN65524:MGN65589 MQJ65524:MQJ65589 NAF65524:NAF65589 NKB65524:NKB65589 NTX65524:NTX65589 ODT65524:ODT65589 ONP65524:ONP65589 OXL65524:OXL65589 PHH65524:PHH65589 PRD65524:PRD65589 QAZ65524:QAZ65589 QKV65524:QKV65589 QUR65524:QUR65589 REN65524:REN65589 ROJ65524:ROJ65589 RYF65524:RYF65589 SIB65524:SIB65589 SRX65524:SRX65589 TBT65524:TBT65589 TLP65524:TLP65589 TVL65524:TVL65589 UFH65524:UFH65589 UPD65524:UPD65589 UYZ65524:UYZ65589 VIV65524:VIV65589 VSR65524:VSR65589 WCN65524:WCN65589 WMJ65524:WMJ65589 WWF65524:WWF65589 X131060:X131125 JT131060:JT131125 TP131060:TP131125 ADL131060:ADL131125 ANH131060:ANH131125 AXD131060:AXD131125 BGZ131060:BGZ131125 BQV131060:BQV131125 CAR131060:CAR131125 CKN131060:CKN131125 CUJ131060:CUJ131125 DEF131060:DEF131125 DOB131060:DOB131125 DXX131060:DXX131125 EHT131060:EHT131125 ERP131060:ERP131125 FBL131060:FBL131125 FLH131060:FLH131125 FVD131060:FVD131125 GEZ131060:GEZ131125 GOV131060:GOV131125 GYR131060:GYR131125 HIN131060:HIN131125 HSJ131060:HSJ131125 ICF131060:ICF131125 IMB131060:IMB131125 IVX131060:IVX131125 JFT131060:JFT131125 JPP131060:JPP131125 JZL131060:JZL131125 KJH131060:KJH131125 KTD131060:KTD131125 LCZ131060:LCZ131125 LMV131060:LMV131125 LWR131060:LWR131125 MGN131060:MGN131125 MQJ131060:MQJ131125 NAF131060:NAF131125 NKB131060:NKB131125 NTX131060:NTX131125 ODT131060:ODT131125 ONP131060:ONP131125 OXL131060:OXL131125 PHH131060:PHH131125 PRD131060:PRD131125 QAZ131060:QAZ131125 QKV131060:QKV131125 QUR131060:QUR131125 REN131060:REN131125 ROJ131060:ROJ131125 RYF131060:RYF131125 SIB131060:SIB131125 SRX131060:SRX131125 TBT131060:TBT131125 TLP131060:TLP131125 TVL131060:TVL131125 UFH131060:UFH131125 UPD131060:UPD131125 UYZ131060:UYZ131125 VIV131060:VIV131125 VSR131060:VSR131125 WCN131060:WCN131125 WMJ131060:WMJ131125 WWF131060:WWF131125 X196596:X196661 JT196596:JT196661 TP196596:TP196661 ADL196596:ADL196661 ANH196596:ANH196661 AXD196596:AXD196661 BGZ196596:BGZ196661 BQV196596:BQV196661 CAR196596:CAR196661 CKN196596:CKN196661 CUJ196596:CUJ196661 DEF196596:DEF196661 DOB196596:DOB196661 DXX196596:DXX196661 EHT196596:EHT196661 ERP196596:ERP196661 FBL196596:FBL196661 FLH196596:FLH196661 FVD196596:FVD196661 GEZ196596:GEZ196661 GOV196596:GOV196661 GYR196596:GYR196661 HIN196596:HIN196661 HSJ196596:HSJ196661 ICF196596:ICF196661 IMB196596:IMB196661 IVX196596:IVX196661 JFT196596:JFT196661 JPP196596:JPP196661 JZL196596:JZL196661 KJH196596:KJH196661 KTD196596:KTD196661 LCZ196596:LCZ196661 LMV196596:LMV196661 LWR196596:LWR196661 MGN196596:MGN196661 MQJ196596:MQJ196661 NAF196596:NAF196661 NKB196596:NKB196661 NTX196596:NTX196661 ODT196596:ODT196661 ONP196596:ONP196661 OXL196596:OXL196661 PHH196596:PHH196661 PRD196596:PRD196661 QAZ196596:QAZ196661 QKV196596:QKV196661 QUR196596:QUR196661 REN196596:REN196661 ROJ196596:ROJ196661 RYF196596:RYF196661 SIB196596:SIB196661 SRX196596:SRX196661 TBT196596:TBT196661 TLP196596:TLP196661 TVL196596:TVL196661 UFH196596:UFH196661 UPD196596:UPD196661 UYZ196596:UYZ196661 VIV196596:VIV196661 VSR196596:VSR196661 WCN196596:WCN196661 WMJ196596:WMJ196661 WWF196596:WWF196661 X262132:X262197 JT262132:JT262197 TP262132:TP262197 ADL262132:ADL262197 ANH262132:ANH262197 AXD262132:AXD262197 BGZ262132:BGZ262197 BQV262132:BQV262197 CAR262132:CAR262197 CKN262132:CKN262197 CUJ262132:CUJ262197 DEF262132:DEF262197 DOB262132:DOB262197 DXX262132:DXX262197 EHT262132:EHT262197 ERP262132:ERP262197 FBL262132:FBL262197 FLH262132:FLH262197 FVD262132:FVD262197 GEZ262132:GEZ262197 GOV262132:GOV262197 GYR262132:GYR262197 HIN262132:HIN262197 HSJ262132:HSJ262197 ICF262132:ICF262197 IMB262132:IMB262197 IVX262132:IVX262197 JFT262132:JFT262197 JPP262132:JPP262197 JZL262132:JZL262197 KJH262132:KJH262197 KTD262132:KTD262197 LCZ262132:LCZ262197 LMV262132:LMV262197 LWR262132:LWR262197 MGN262132:MGN262197 MQJ262132:MQJ262197 NAF262132:NAF262197 NKB262132:NKB262197 NTX262132:NTX262197 ODT262132:ODT262197 ONP262132:ONP262197 OXL262132:OXL262197 PHH262132:PHH262197 PRD262132:PRD262197 QAZ262132:QAZ262197 QKV262132:QKV262197 QUR262132:QUR262197 REN262132:REN262197 ROJ262132:ROJ262197 RYF262132:RYF262197 SIB262132:SIB262197 SRX262132:SRX262197 TBT262132:TBT262197 TLP262132:TLP262197 TVL262132:TVL262197 UFH262132:UFH262197 UPD262132:UPD262197 UYZ262132:UYZ262197 VIV262132:VIV262197 VSR262132:VSR262197 WCN262132:WCN262197 WMJ262132:WMJ262197 WWF262132:WWF262197 X327668:X327733 JT327668:JT327733 TP327668:TP327733 ADL327668:ADL327733 ANH327668:ANH327733 AXD327668:AXD327733 BGZ327668:BGZ327733 BQV327668:BQV327733 CAR327668:CAR327733 CKN327668:CKN327733 CUJ327668:CUJ327733 DEF327668:DEF327733 DOB327668:DOB327733 DXX327668:DXX327733 EHT327668:EHT327733 ERP327668:ERP327733 FBL327668:FBL327733 FLH327668:FLH327733 FVD327668:FVD327733 GEZ327668:GEZ327733 GOV327668:GOV327733 GYR327668:GYR327733 HIN327668:HIN327733 HSJ327668:HSJ327733 ICF327668:ICF327733 IMB327668:IMB327733 IVX327668:IVX327733 JFT327668:JFT327733 JPP327668:JPP327733 JZL327668:JZL327733 KJH327668:KJH327733 KTD327668:KTD327733 LCZ327668:LCZ327733 LMV327668:LMV327733 LWR327668:LWR327733 MGN327668:MGN327733 MQJ327668:MQJ327733 NAF327668:NAF327733 NKB327668:NKB327733 NTX327668:NTX327733 ODT327668:ODT327733 ONP327668:ONP327733 OXL327668:OXL327733 PHH327668:PHH327733 PRD327668:PRD327733 QAZ327668:QAZ327733 QKV327668:QKV327733 QUR327668:QUR327733 REN327668:REN327733 ROJ327668:ROJ327733 RYF327668:RYF327733 SIB327668:SIB327733 SRX327668:SRX327733 TBT327668:TBT327733 TLP327668:TLP327733 TVL327668:TVL327733 UFH327668:UFH327733 UPD327668:UPD327733 UYZ327668:UYZ327733 VIV327668:VIV327733 VSR327668:VSR327733 WCN327668:WCN327733 WMJ327668:WMJ327733 WWF327668:WWF327733 X393204:X393269 JT393204:JT393269 TP393204:TP393269 ADL393204:ADL393269 ANH393204:ANH393269 AXD393204:AXD393269 BGZ393204:BGZ393269 BQV393204:BQV393269 CAR393204:CAR393269 CKN393204:CKN393269 CUJ393204:CUJ393269 DEF393204:DEF393269 DOB393204:DOB393269 DXX393204:DXX393269 EHT393204:EHT393269 ERP393204:ERP393269 FBL393204:FBL393269 FLH393204:FLH393269 FVD393204:FVD393269 GEZ393204:GEZ393269 GOV393204:GOV393269 GYR393204:GYR393269 HIN393204:HIN393269 HSJ393204:HSJ393269 ICF393204:ICF393269 IMB393204:IMB393269 IVX393204:IVX393269 JFT393204:JFT393269 JPP393204:JPP393269 JZL393204:JZL393269 KJH393204:KJH393269 KTD393204:KTD393269 LCZ393204:LCZ393269 LMV393204:LMV393269 LWR393204:LWR393269 MGN393204:MGN393269 MQJ393204:MQJ393269 NAF393204:NAF393269 NKB393204:NKB393269 NTX393204:NTX393269 ODT393204:ODT393269 ONP393204:ONP393269 OXL393204:OXL393269 PHH393204:PHH393269 PRD393204:PRD393269 QAZ393204:QAZ393269 QKV393204:QKV393269 QUR393204:QUR393269 REN393204:REN393269 ROJ393204:ROJ393269 RYF393204:RYF393269 SIB393204:SIB393269 SRX393204:SRX393269 TBT393204:TBT393269 TLP393204:TLP393269 TVL393204:TVL393269 UFH393204:UFH393269 UPD393204:UPD393269 UYZ393204:UYZ393269 VIV393204:VIV393269 VSR393204:VSR393269 WCN393204:WCN393269 WMJ393204:WMJ393269 WWF393204:WWF393269 X458740:X458805 JT458740:JT458805 TP458740:TP458805 ADL458740:ADL458805 ANH458740:ANH458805 AXD458740:AXD458805 BGZ458740:BGZ458805 BQV458740:BQV458805 CAR458740:CAR458805 CKN458740:CKN458805 CUJ458740:CUJ458805 DEF458740:DEF458805 DOB458740:DOB458805 DXX458740:DXX458805 EHT458740:EHT458805 ERP458740:ERP458805 FBL458740:FBL458805 FLH458740:FLH458805 FVD458740:FVD458805 GEZ458740:GEZ458805 GOV458740:GOV458805 GYR458740:GYR458805 HIN458740:HIN458805 HSJ458740:HSJ458805 ICF458740:ICF458805 IMB458740:IMB458805 IVX458740:IVX458805 JFT458740:JFT458805 JPP458740:JPP458805 JZL458740:JZL458805 KJH458740:KJH458805 KTD458740:KTD458805 LCZ458740:LCZ458805 LMV458740:LMV458805 LWR458740:LWR458805 MGN458740:MGN458805 MQJ458740:MQJ458805 NAF458740:NAF458805 NKB458740:NKB458805 NTX458740:NTX458805 ODT458740:ODT458805 ONP458740:ONP458805 OXL458740:OXL458805 PHH458740:PHH458805 PRD458740:PRD458805 QAZ458740:QAZ458805 QKV458740:QKV458805 QUR458740:QUR458805 REN458740:REN458805 ROJ458740:ROJ458805 RYF458740:RYF458805 SIB458740:SIB458805 SRX458740:SRX458805 TBT458740:TBT458805 TLP458740:TLP458805 TVL458740:TVL458805 UFH458740:UFH458805 UPD458740:UPD458805 UYZ458740:UYZ458805 VIV458740:VIV458805 VSR458740:VSR458805 WCN458740:WCN458805 WMJ458740:WMJ458805 WWF458740:WWF458805 X524276:X524341 JT524276:JT524341 TP524276:TP524341 ADL524276:ADL524341 ANH524276:ANH524341 AXD524276:AXD524341 BGZ524276:BGZ524341 BQV524276:BQV524341 CAR524276:CAR524341 CKN524276:CKN524341 CUJ524276:CUJ524341 DEF524276:DEF524341 DOB524276:DOB524341 DXX524276:DXX524341 EHT524276:EHT524341 ERP524276:ERP524341 FBL524276:FBL524341 FLH524276:FLH524341 FVD524276:FVD524341 GEZ524276:GEZ524341 GOV524276:GOV524341 GYR524276:GYR524341 HIN524276:HIN524341 HSJ524276:HSJ524341 ICF524276:ICF524341 IMB524276:IMB524341 IVX524276:IVX524341 JFT524276:JFT524341 JPP524276:JPP524341 JZL524276:JZL524341 KJH524276:KJH524341 KTD524276:KTD524341 LCZ524276:LCZ524341 LMV524276:LMV524341 LWR524276:LWR524341 MGN524276:MGN524341 MQJ524276:MQJ524341 NAF524276:NAF524341 NKB524276:NKB524341 NTX524276:NTX524341 ODT524276:ODT524341 ONP524276:ONP524341 OXL524276:OXL524341 PHH524276:PHH524341 PRD524276:PRD524341 QAZ524276:QAZ524341 QKV524276:QKV524341 QUR524276:QUR524341 REN524276:REN524341 ROJ524276:ROJ524341 RYF524276:RYF524341 SIB524276:SIB524341 SRX524276:SRX524341 TBT524276:TBT524341 TLP524276:TLP524341 TVL524276:TVL524341 UFH524276:UFH524341 UPD524276:UPD524341 UYZ524276:UYZ524341 VIV524276:VIV524341 VSR524276:VSR524341 WCN524276:WCN524341 WMJ524276:WMJ524341 WWF524276:WWF524341 X589812:X589877 JT589812:JT589877 TP589812:TP589877 ADL589812:ADL589877 ANH589812:ANH589877 AXD589812:AXD589877 BGZ589812:BGZ589877 BQV589812:BQV589877 CAR589812:CAR589877 CKN589812:CKN589877 CUJ589812:CUJ589877 DEF589812:DEF589877 DOB589812:DOB589877 DXX589812:DXX589877 EHT589812:EHT589877 ERP589812:ERP589877 FBL589812:FBL589877 FLH589812:FLH589877 FVD589812:FVD589877 GEZ589812:GEZ589877 GOV589812:GOV589877 GYR589812:GYR589877 HIN589812:HIN589877 HSJ589812:HSJ589877 ICF589812:ICF589877 IMB589812:IMB589877 IVX589812:IVX589877 JFT589812:JFT589877 JPP589812:JPP589877 JZL589812:JZL589877 KJH589812:KJH589877 KTD589812:KTD589877 LCZ589812:LCZ589877 LMV589812:LMV589877 LWR589812:LWR589877 MGN589812:MGN589877 MQJ589812:MQJ589877 NAF589812:NAF589877 NKB589812:NKB589877 NTX589812:NTX589877 ODT589812:ODT589877 ONP589812:ONP589877 OXL589812:OXL589877 PHH589812:PHH589877 PRD589812:PRD589877 QAZ589812:QAZ589877 QKV589812:QKV589877 QUR589812:QUR589877 REN589812:REN589877 ROJ589812:ROJ589877 RYF589812:RYF589877 SIB589812:SIB589877 SRX589812:SRX589877 TBT589812:TBT589877 TLP589812:TLP589877 TVL589812:TVL589877 UFH589812:UFH589877 UPD589812:UPD589877 UYZ589812:UYZ589877 VIV589812:VIV589877 VSR589812:VSR589877 WCN589812:WCN589877 WMJ589812:WMJ589877 WWF589812:WWF589877 X655348:X655413 JT655348:JT655413 TP655348:TP655413 ADL655348:ADL655413 ANH655348:ANH655413 AXD655348:AXD655413 BGZ655348:BGZ655413 BQV655348:BQV655413 CAR655348:CAR655413 CKN655348:CKN655413 CUJ655348:CUJ655413 DEF655348:DEF655413 DOB655348:DOB655413 DXX655348:DXX655413 EHT655348:EHT655413 ERP655348:ERP655413 FBL655348:FBL655413 FLH655348:FLH655413 FVD655348:FVD655413 GEZ655348:GEZ655413 GOV655348:GOV655413 GYR655348:GYR655413 HIN655348:HIN655413 HSJ655348:HSJ655413 ICF655348:ICF655413 IMB655348:IMB655413 IVX655348:IVX655413 JFT655348:JFT655413 JPP655348:JPP655413 JZL655348:JZL655413 KJH655348:KJH655413 KTD655348:KTD655413 LCZ655348:LCZ655413 LMV655348:LMV655413 LWR655348:LWR655413 MGN655348:MGN655413 MQJ655348:MQJ655413 NAF655348:NAF655413 NKB655348:NKB655413 NTX655348:NTX655413 ODT655348:ODT655413 ONP655348:ONP655413 OXL655348:OXL655413 PHH655348:PHH655413 PRD655348:PRD655413 QAZ655348:QAZ655413 QKV655348:QKV655413 QUR655348:QUR655413 REN655348:REN655413 ROJ655348:ROJ655413 RYF655348:RYF655413 SIB655348:SIB655413 SRX655348:SRX655413 TBT655348:TBT655413 TLP655348:TLP655413 TVL655348:TVL655413 UFH655348:UFH655413 UPD655348:UPD655413 UYZ655348:UYZ655413 VIV655348:VIV655413 VSR655348:VSR655413 WCN655348:WCN655413 WMJ655348:WMJ655413 WWF655348:WWF655413 X720884:X720949 JT720884:JT720949 TP720884:TP720949 ADL720884:ADL720949 ANH720884:ANH720949 AXD720884:AXD720949 BGZ720884:BGZ720949 BQV720884:BQV720949 CAR720884:CAR720949 CKN720884:CKN720949 CUJ720884:CUJ720949 DEF720884:DEF720949 DOB720884:DOB720949 DXX720884:DXX720949 EHT720884:EHT720949 ERP720884:ERP720949 FBL720884:FBL720949 FLH720884:FLH720949 FVD720884:FVD720949 GEZ720884:GEZ720949 GOV720884:GOV720949 GYR720884:GYR720949 HIN720884:HIN720949 HSJ720884:HSJ720949 ICF720884:ICF720949 IMB720884:IMB720949 IVX720884:IVX720949 JFT720884:JFT720949 JPP720884:JPP720949 JZL720884:JZL720949 KJH720884:KJH720949 KTD720884:KTD720949 LCZ720884:LCZ720949 LMV720884:LMV720949 LWR720884:LWR720949 MGN720884:MGN720949 MQJ720884:MQJ720949 NAF720884:NAF720949 NKB720884:NKB720949 NTX720884:NTX720949 ODT720884:ODT720949 ONP720884:ONP720949 OXL720884:OXL720949 PHH720884:PHH720949 PRD720884:PRD720949 QAZ720884:QAZ720949 QKV720884:QKV720949 QUR720884:QUR720949 REN720884:REN720949 ROJ720884:ROJ720949 RYF720884:RYF720949 SIB720884:SIB720949 SRX720884:SRX720949 TBT720884:TBT720949 TLP720884:TLP720949 TVL720884:TVL720949 UFH720884:UFH720949 UPD720884:UPD720949 UYZ720884:UYZ720949 VIV720884:VIV720949 VSR720884:VSR720949 WCN720884:WCN720949 WMJ720884:WMJ720949 WWF720884:WWF720949 X786420:X786485 JT786420:JT786485 TP786420:TP786485 ADL786420:ADL786485 ANH786420:ANH786485 AXD786420:AXD786485 BGZ786420:BGZ786485 BQV786420:BQV786485 CAR786420:CAR786485 CKN786420:CKN786485 CUJ786420:CUJ786485 DEF786420:DEF786485 DOB786420:DOB786485 DXX786420:DXX786485 EHT786420:EHT786485 ERP786420:ERP786485 FBL786420:FBL786485 FLH786420:FLH786485 FVD786420:FVD786485 GEZ786420:GEZ786485 GOV786420:GOV786485 GYR786420:GYR786485 HIN786420:HIN786485 HSJ786420:HSJ786485 ICF786420:ICF786485 IMB786420:IMB786485 IVX786420:IVX786485 JFT786420:JFT786485 JPP786420:JPP786485 JZL786420:JZL786485 KJH786420:KJH786485 KTD786420:KTD786485 LCZ786420:LCZ786485 LMV786420:LMV786485 LWR786420:LWR786485 MGN786420:MGN786485 MQJ786420:MQJ786485 NAF786420:NAF786485 NKB786420:NKB786485 NTX786420:NTX786485 ODT786420:ODT786485 ONP786420:ONP786485 OXL786420:OXL786485 PHH786420:PHH786485 PRD786420:PRD786485 QAZ786420:QAZ786485 QKV786420:QKV786485 QUR786420:QUR786485 REN786420:REN786485 ROJ786420:ROJ786485 RYF786420:RYF786485 SIB786420:SIB786485 SRX786420:SRX786485 TBT786420:TBT786485 TLP786420:TLP786485 TVL786420:TVL786485 UFH786420:UFH786485 UPD786420:UPD786485 UYZ786420:UYZ786485 VIV786420:VIV786485 VSR786420:VSR786485 WCN786420:WCN786485 WMJ786420:WMJ786485 WWF786420:WWF786485 X851956:X852021 JT851956:JT852021 TP851956:TP852021 ADL851956:ADL852021 ANH851956:ANH852021 AXD851956:AXD852021 BGZ851956:BGZ852021 BQV851956:BQV852021 CAR851956:CAR852021 CKN851956:CKN852021 CUJ851956:CUJ852021 DEF851956:DEF852021 DOB851956:DOB852021 DXX851956:DXX852021 EHT851956:EHT852021 ERP851956:ERP852021 FBL851956:FBL852021 FLH851956:FLH852021 FVD851956:FVD852021 GEZ851956:GEZ852021 GOV851956:GOV852021 GYR851956:GYR852021 HIN851956:HIN852021 HSJ851956:HSJ852021 ICF851956:ICF852021 IMB851956:IMB852021 IVX851956:IVX852021 JFT851956:JFT852021 JPP851956:JPP852021 JZL851956:JZL852021 KJH851956:KJH852021 KTD851956:KTD852021 LCZ851956:LCZ852021 LMV851956:LMV852021 LWR851956:LWR852021 MGN851956:MGN852021 MQJ851956:MQJ852021 NAF851956:NAF852021 NKB851956:NKB852021 NTX851956:NTX852021 ODT851956:ODT852021 ONP851956:ONP852021 OXL851956:OXL852021 PHH851956:PHH852021 PRD851956:PRD852021 QAZ851956:QAZ852021 QKV851956:QKV852021 QUR851956:QUR852021 REN851956:REN852021 ROJ851956:ROJ852021 RYF851956:RYF852021 SIB851956:SIB852021 SRX851956:SRX852021 TBT851956:TBT852021 TLP851956:TLP852021 TVL851956:TVL852021 UFH851956:UFH852021 UPD851956:UPD852021 UYZ851956:UYZ852021 VIV851956:VIV852021 VSR851956:VSR852021 WCN851956:WCN852021 WMJ851956:WMJ852021 WWF851956:WWF852021 X917492:X917557 JT917492:JT917557 TP917492:TP917557 ADL917492:ADL917557 ANH917492:ANH917557 AXD917492:AXD917557 BGZ917492:BGZ917557 BQV917492:BQV917557 CAR917492:CAR917557 CKN917492:CKN917557 CUJ917492:CUJ917557 DEF917492:DEF917557 DOB917492:DOB917557 DXX917492:DXX917557 EHT917492:EHT917557 ERP917492:ERP917557 FBL917492:FBL917557 FLH917492:FLH917557 FVD917492:FVD917557 GEZ917492:GEZ917557 GOV917492:GOV917557 GYR917492:GYR917557 HIN917492:HIN917557 HSJ917492:HSJ917557 ICF917492:ICF917557 IMB917492:IMB917557 IVX917492:IVX917557 JFT917492:JFT917557 JPP917492:JPP917557 JZL917492:JZL917557 KJH917492:KJH917557 KTD917492:KTD917557 LCZ917492:LCZ917557 LMV917492:LMV917557 LWR917492:LWR917557 MGN917492:MGN917557 MQJ917492:MQJ917557 NAF917492:NAF917557 NKB917492:NKB917557 NTX917492:NTX917557 ODT917492:ODT917557 ONP917492:ONP917557 OXL917492:OXL917557 PHH917492:PHH917557 PRD917492:PRD917557 QAZ917492:QAZ917557 QKV917492:QKV917557 QUR917492:QUR917557 REN917492:REN917557 ROJ917492:ROJ917557 RYF917492:RYF917557 SIB917492:SIB917557 SRX917492:SRX917557 TBT917492:TBT917557 TLP917492:TLP917557 TVL917492:TVL917557 UFH917492:UFH917557 UPD917492:UPD917557 UYZ917492:UYZ917557 VIV917492:VIV917557 VSR917492:VSR917557 WCN917492:WCN917557 WMJ917492:WMJ917557 WWF917492:WWF917557 X983028:X983093 JT983028:JT983093 TP983028:TP983093 ADL983028:ADL983093 ANH983028:ANH983093 AXD983028:AXD983093 BGZ983028:BGZ983093 BQV983028:BQV983093 CAR983028:CAR983093 CKN983028:CKN983093 CUJ983028:CUJ983093 DEF983028:DEF983093 DOB983028:DOB983093 DXX983028:DXX983093 EHT983028:EHT983093 ERP983028:ERP983093 FBL983028:FBL983093 FLH983028:FLH983093 FVD983028:FVD983093 GEZ983028:GEZ983093 GOV983028:GOV983093 GYR983028:GYR983093 HIN983028:HIN983093 HSJ983028:HSJ983093 ICF983028:ICF983093 IMB983028:IMB983093 IVX983028:IVX983093 JFT983028:JFT983093 JPP983028:JPP983093 JZL983028:JZL983093 KJH983028:KJH983093 KTD983028:KTD983093 LCZ983028:LCZ983093 LMV983028:LMV983093 LWR983028:LWR983093 MGN983028:MGN983093 MQJ983028:MQJ983093 NAF983028:NAF983093 NKB983028:NKB983093 NTX983028:NTX983093 ODT983028:ODT983093 ONP983028:ONP983093 OXL983028:OXL983093 PHH983028:PHH983093 PRD983028:PRD983093 QAZ983028:QAZ983093 QKV983028:QKV983093 QUR983028:QUR983093 REN983028:REN983093 ROJ983028:ROJ983093 RYF983028:RYF983093 SIB983028:SIB983093 SRX983028:SRX983093 TBT983028:TBT983093 TLP983028:TLP983093 TVL983028:TVL983093 UFH983028:UFH983093 UPD983028:UPD983093 UYZ983028:UYZ983093 VIV983028:VIV983093 VSR983028:VSR983093 WCN983028:WCN983093 WMJ983028:WMJ983093 ADL2:ADL70 AXD2:AXD70 BGZ2:BGZ70 BQV2:BQV70 CAR2:CAR70 CKN2:CKN70 CUJ2:CUJ70 DEF2:DEF70 DOB2:DOB70 DXX2:DXX70 EHT2:EHT70 ERP2:ERP70 FBL2:FBL70 FLH2:FLH70 FVD2:FVD70 GEZ2:GEZ70 GOV2:GOV70 GYR2:GYR70 HIN2:HIN70 HSJ2:HSJ70 ICF2:ICF70 IMB2:IMB70 IVX2:IVX70 JFT2:JFT70 JPP2:JPP70 JZL2:JZL70 KJH2:KJH70 KTD2:KTD70 LCZ2:LCZ70 LMV2:LMV70 LWR2:LWR70 MGN2:MGN70 MQJ2:MQJ70 NAF2:NAF70 NKB2:NKB70 NTX2:NTX70 ODT2:ODT70 ONP2:ONP70 OXL2:OXL70 PHH2:PHH70 PRD2:PRD70 QAZ2:QAZ70 QKV2:QKV70 QUR2:QUR70 REN2:REN70 ROJ2:ROJ70 RYF2:RYF70 SIB2:SIB70 SRX2:SRX70 TBT2:TBT70 TLP2:TLP70 TVL2:TVL70 UFH2:UFH70 UPD2:UPD70 UYZ2:UYZ70 VIV2:VIV70 VSR2:VSR70 WCN2:WCN70 WMJ2:WMJ70 WWF2:WWF70 JT2:JT70 TP2:TP70 ANH2:ANH70 X2:X486">
      <formula1>$AT$2:$AT$3</formula1>
    </dataValidation>
    <dataValidation type="list" allowBlank="1" showInputMessage="1" showErrorMessage="1" sqref="G64349:G64416 JC64349:JC64416 SY64349:SY64416 ACU64349:ACU64416 AMQ64349:AMQ64416 AWM64349:AWM64416 BGI64349:BGI64416 BQE64349:BQE64416 CAA64349:CAA64416 CJW64349:CJW64416 CTS64349:CTS64416 DDO64349:DDO64416 DNK64349:DNK64416 DXG64349:DXG64416 EHC64349:EHC64416 EQY64349:EQY64416 FAU64349:FAU64416 FKQ64349:FKQ64416 FUM64349:FUM64416 GEI64349:GEI64416 GOE64349:GOE64416 GYA64349:GYA64416 HHW64349:HHW64416 HRS64349:HRS64416 IBO64349:IBO64416 ILK64349:ILK64416 IVG64349:IVG64416 JFC64349:JFC64416 JOY64349:JOY64416 JYU64349:JYU64416 KIQ64349:KIQ64416 KSM64349:KSM64416 LCI64349:LCI64416 LME64349:LME64416 LWA64349:LWA64416 MFW64349:MFW64416 MPS64349:MPS64416 MZO64349:MZO64416 NJK64349:NJK64416 NTG64349:NTG64416 ODC64349:ODC64416 OMY64349:OMY64416 OWU64349:OWU64416 PGQ64349:PGQ64416 PQM64349:PQM64416 QAI64349:QAI64416 QKE64349:QKE64416 QUA64349:QUA64416 RDW64349:RDW64416 RNS64349:RNS64416 RXO64349:RXO64416 SHK64349:SHK64416 SRG64349:SRG64416 TBC64349:TBC64416 TKY64349:TKY64416 TUU64349:TUU64416 UEQ64349:UEQ64416 UOM64349:UOM64416 UYI64349:UYI64416 VIE64349:VIE64416 VSA64349:VSA64416 WBW64349:WBW64416 WLS64349:WLS64416 WVO64349:WVO64416 G129885:G129952 JC129885:JC129952 SY129885:SY129952 ACU129885:ACU129952 AMQ129885:AMQ129952 AWM129885:AWM129952 BGI129885:BGI129952 BQE129885:BQE129952 CAA129885:CAA129952 CJW129885:CJW129952 CTS129885:CTS129952 DDO129885:DDO129952 DNK129885:DNK129952 DXG129885:DXG129952 EHC129885:EHC129952 EQY129885:EQY129952 FAU129885:FAU129952 FKQ129885:FKQ129952 FUM129885:FUM129952 GEI129885:GEI129952 GOE129885:GOE129952 GYA129885:GYA129952 HHW129885:HHW129952 HRS129885:HRS129952 IBO129885:IBO129952 ILK129885:ILK129952 IVG129885:IVG129952 JFC129885:JFC129952 JOY129885:JOY129952 JYU129885:JYU129952 KIQ129885:KIQ129952 KSM129885:KSM129952 LCI129885:LCI129952 LME129885:LME129952 LWA129885:LWA129952 MFW129885:MFW129952 MPS129885:MPS129952 MZO129885:MZO129952 NJK129885:NJK129952 NTG129885:NTG129952 ODC129885:ODC129952 OMY129885:OMY129952 OWU129885:OWU129952 PGQ129885:PGQ129952 PQM129885:PQM129952 QAI129885:QAI129952 QKE129885:QKE129952 QUA129885:QUA129952 RDW129885:RDW129952 RNS129885:RNS129952 RXO129885:RXO129952 SHK129885:SHK129952 SRG129885:SRG129952 TBC129885:TBC129952 TKY129885:TKY129952 TUU129885:TUU129952 UEQ129885:UEQ129952 UOM129885:UOM129952 UYI129885:UYI129952 VIE129885:VIE129952 VSA129885:VSA129952 WBW129885:WBW129952 WLS129885:WLS129952 WVO129885:WVO129952 G195421:G195488 JC195421:JC195488 SY195421:SY195488 ACU195421:ACU195488 AMQ195421:AMQ195488 AWM195421:AWM195488 BGI195421:BGI195488 BQE195421:BQE195488 CAA195421:CAA195488 CJW195421:CJW195488 CTS195421:CTS195488 DDO195421:DDO195488 DNK195421:DNK195488 DXG195421:DXG195488 EHC195421:EHC195488 EQY195421:EQY195488 FAU195421:FAU195488 FKQ195421:FKQ195488 FUM195421:FUM195488 GEI195421:GEI195488 GOE195421:GOE195488 GYA195421:GYA195488 HHW195421:HHW195488 HRS195421:HRS195488 IBO195421:IBO195488 ILK195421:ILK195488 IVG195421:IVG195488 JFC195421:JFC195488 JOY195421:JOY195488 JYU195421:JYU195488 KIQ195421:KIQ195488 KSM195421:KSM195488 LCI195421:LCI195488 LME195421:LME195488 LWA195421:LWA195488 MFW195421:MFW195488 MPS195421:MPS195488 MZO195421:MZO195488 NJK195421:NJK195488 NTG195421:NTG195488 ODC195421:ODC195488 OMY195421:OMY195488 OWU195421:OWU195488 PGQ195421:PGQ195488 PQM195421:PQM195488 QAI195421:QAI195488 QKE195421:QKE195488 QUA195421:QUA195488 RDW195421:RDW195488 RNS195421:RNS195488 RXO195421:RXO195488 SHK195421:SHK195488 SRG195421:SRG195488 TBC195421:TBC195488 TKY195421:TKY195488 TUU195421:TUU195488 UEQ195421:UEQ195488 UOM195421:UOM195488 UYI195421:UYI195488 VIE195421:VIE195488 VSA195421:VSA195488 WBW195421:WBW195488 WLS195421:WLS195488 WVO195421:WVO195488 G260957:G261024 JC260957:JC261024 SY260957:SY261024 ACU260957:ACU261024 AMQ260957:AMQ261024 AWM260957:AWM261024 BGI260957:BGI261024 BQE260957:BQE261024 CAA260957:CAA261024 CJW260957:CJW261024 CTS260957:CTS261024 DDO260957:DDO261024 DNK260957:DNK261024 DXG260957:DXG261024 EHC260957:EHC261024 EQY260957:EQY261024 FAU260957:FAU261024 FKQ260957:FKQ261024 FUM260957:FUM261024 GEI260957:GEI261024 GOE260957:GOE261024 GYA260957:GYA261024 HHW260957:HHW261024 HRS260957:HRS261024 IBO260957:IBO261024 ILK260957:ILK261024 IVG260957:IVG261024 JFC260957:JFC261024 JOY260957:JOY261024 JYU260957:JYU261024 KIQ260957:KIQ261024 KSM260957:KSM261024 LCI260957:LCI261024 LME260957:LME261024 LWA260957:LWA261024 MFW260957:MFW261024 MPS260957:MPS261024 MZO260957:MZO261024 NJK260957:NJK261024 NTG260957:NTG261024 ODC260957:ODC261024 OMY260957:OMY261024 OWU260957:OWU261024 PGQ260957:PGQ261024 PQM260957:PQM261024 QAI260957:QAI261024 QKE260957:QKE261024 QUA260957:QUA261024 RDW260957:RDW261024 RNS260957:RNS261024 RXO260957:RXO261024 SHK260957:SHK261024 SRG260957:SRG261024 TBC260957:TBC261024 TKY260957:TKY261024 TUU260957:TUU261024 UEQ260957:UEQ261024 UOM260957:UOM261024 UYI260957:UYI261024 VIE260957:VIE261024 VSA260957:VSA261024 WBW260957:WBW261024 WLS260957:WLS261024 WVO260957:WVO261024 G326493:G326560 JC326493:JC326560 SY326493:SY326560 ACU326493:ACU326560 AMQ326493:AMQ326560 AWM326493:AWM326560 BGI326493:BGI326560 BQE326493:BQE326560 CAA326493:CAA326560 CJW326493:CJW326560 CTS326493:CTS326560 DDO326493:DDO326560 DNK326493:DNK326560 DXG326493:DXG326560 EHC326493:EHC326560 EQY326493:EQY326560 FAU326493:FAU326560 FKQ326493:FKQ326560 FUM326493:FUM326560 GEI326493:GEI326560 GOE326493:GOE326560 GYA326493:GYA326560 HHW326493:HHW326560 HRS326493:HRS326560 IBO326493:IBO326560 ILK326493:ILK326560 IVG326493:IVG326560 JFC326493:JFC326560 JOY326493:JOY326560 JYU326493:JYU326560 KIQ326493:KIQ326560 KSM326493:KSM326560 LCI326493:LCI326560 LME326493:LME326560 LWA326493:LWA326560 MFW326493:MFW326560 MPS326493:MPS326560 MZO326493:MZO326560 NJK326493:NJK326560 NTG326493:NTG326560 ODC326493:ODC326560 OMY326493:OMY326560 OWU326493:OWU326560 PGQ326493:PGQ326560 PQM326493:PQM326560 QAI326493:QAI326560 QKE326493:QKE326560 QUA326493:QUA326560 RDW326493:RDW326560 RNS326493:RNS326560 RXO326493:RXO326560 SHK326493:SHK326560 SRG326493:SRG326560 TBC326493:TBC326560 TKY326493:TKY326560 TUU326493:TUU326560 UEQ326493:UEQ326560 UOM326493:UOM326560 UYI326493:UYI326560 VIE326493:VIE326560 VSA326493:VSA326560 WBW326493:WBW326560 WLS326493:WLS326560 WVO326493:WVO326560 G392029:G392096 JC392029:JC392096 SY392029:SY392096 ACU392029:ACU392096 AMQ392029:AMQ392096 AWM392029:AWM392096 BGI392029:BGI392096 BQE392029:BQE392096 CAA392029:CAA392096 CJW392029:CJW392096 CTS392029:CTS392096 DDO392029:DDO392096 DNK392029:DNK392096 DXG392029:DXG392096 EHC392029:EHC392096 EQY392029:EQY392096 FAU392029:FAU392096 FKQ392029:FKQ392096 FUM392029:FUM392096 GEI392029:GEI392096 GOE392029:GOE392096 GYA392029:GYA392096 HHW392029:HHW392096 HRS392029:HRS392096 IBO392029:IBO392096 ILK392029:ILK392096 IVG392029:IVG392096 JFC392029:JFC392096 JOY392029:JOY392096 JYU392029:JYU392096 KIQ392029:KIQ392096 KSM392029:KSM392096 LCI392029:LCI392096 LME392029:LME392096 LWA392029:LWA392096 MFW392029:MFW392096 MPS392029:MPS392096 MZO392029:MZO392096 NJK392029:NJK392096 NTG392029:NTG392096 ODC392029:ODC392096 OMY392029:OMY392096 OWU392029:OWU392096 PGQ392029:PGQ392096 PQM392029:PQM392096 QAI392029:QAI392096 QKE392029:QKE392096 QUA392029:QUA392096 RDW392029:RDW392096 RNS392029:RNS392096 RXO392029:RXO392096 SHK392029:SHK392096 SRG392029:SRG392096 TBC392029:TBC392096 TKY392029:TKY392096 TUU392029:TUU392096 UEQ392029:UEQ392096 UOM392029:UOM392096 UYI392029:UYI392096 VIE392029:VIE392096 VSA392029:VSA392096 WBW392029:WBW392096 WLS392029:WLS392096 WVO392029:WVO392096 G457565:G457632 JC457565:JC457632 SY457565:SY457632 ACU457565:ACU457632 AMQ457565:AMQ457632 AWM457565:AWM457632 BGI457565:BGI457632 BQE457565:BQE457632 CAA457565:CAA457632 CJW457565:CJW457632 CTS457565:CTS457632 DDO457565:DDO457632 DNK457565:DNK457632 DXG457565:DXG457632 EHC457565:EHC457632 EQY457565:EQY457632 FAU457565:FAU457632 FKQ457565:FKQ457632 FUM457565:FUM457632 GEI457565:GEI457632 GOE457565:GOE457632 GYA457565:GYA457632 HHW457565:HHW457632 HRS457565:HRS457632 IBO457565:IBO457632 ILK457565:ILK457632 IVG457565:IVG457632 JFC457565:JFC457632 JOY457565:JOY457632 JYU457565:JYU457632 KIQ457565:KIQ457632 KSM457565:KSM457632 LCI457565:LCI457632 LME457565:LME457632 LWA457565:LWA457632 MFW457565:MFW457632 MPS457565:MPS457632 MZO457565:MZO457632 NJK457565:NJK457632 NTG457565:NTG457632 ODC457565:ODC457632 OMY457565:OMY457632 OWU457565:OWU457632 PGQ457565:PGQ457632 PQM457565:PQM457632 QAI457565:QAI457632 QKE457565:QKE457632 QUA457565:QUA457632 RDW457565:RDW457632 RNS457565:RNS457632 RXO457565:RXO457632 SHK457565:SHK457632 SRG457565:SRG457632 TBC457565:TBC457632 TKY457565:TKY457632 TUU457565:TUU457632 UEQ457565:UEQ457632 UOM457565:UOM457632 UYI457565:UYI457632 VIE457565:VIE457632 VSA457565:VSA457632 WBW457565:WBW457632 WLS457565:WLS457632 WVO457565:WVO457632 G523101:G523168 JC523101:JC523168 SY523101:SY523168 ACU523101:ACU523168 AMQ523101:AMQ523168 AWM523101:AWM523168 BGI523101:BGI523168 BQE523101:BQE523168 CAA523101:CAA523168 CJW523101:CJW523168 CTS523101:CTS523168 DDO523101:DDO523168 DNK523101:DNK523168 DXG523101:DXG523168 EHC523101:EHC523168 EQY523101:EQY523168 FAU523101:FAU523168 FKQ523101:FKQ523168 FUM523101:FUM523168 GEI523101:GEI523168 GOE523101:GOE523168 GYA523101:GYA523168 HHW523101:HHW523168 HRS523101:HRS523168 IBO523101:IBO523168 ILK523101:ILK523168 IVG523101:IVG523168 JFC523101:JFC523168 JOY523101:JOY523168 JYU523101:JYU523168 KIQ523101:KIQ523168 KSM523101:KSM523168 LCI523101:LCI523168 LME523101:LME523168 LWA523101:LWA523168 MFW523101:MFW523168 MPS523101:MPS523168 MZO523101:MZO523168 NJK523101:NJK523168 NTG523101:NTG523168 ODC523101:ODC523168 OMY523101:OMY523168 OWU523101:OWU523168 PGQ523101:PGQ523168 PQM523101:PQM523168 QAI523101:QAI523168 QKE523101:QKE523168 QUA523101:QUA523168 RDW523101:RDW523168 RNS523101:RNS523168 RXO523101:RXO523168 SHK523101:SHK523168 SRG523101:SRG523168 TBC523101:TBC523168 TKY523101:TKY523168 TUU523101:TUU523168 UEQ523101:UEQ523168 UOM523101:UOM523168 UYI523101:UYI523168 VIE523101:VIE523168 VSA523101:VSA523168 WBW523101:WBW523168 WLS523101:WLS523168 WVO523101:WVO523168 G588637:G588704 JC588637:JC588704 SY588637:SY588704 ACU588637:ACU588704 AMQ588637:AMQ588704 AWM588637:AWM588704 BGI588637:BGI588704 BQE588637:BQE588704 CAA588637:CAA588704 CJW588637:CJW588704 CTS588637:CTS588704 DDO588637:DDO588704 DNK588637:DNK588704 DXG588637:DXG588704 EHC588637:EHC588704 EQY588637:EQY588704 FAU588637:FAU588704 FKQ588637:FKQ588704 FUM588637:FUM588704 GEI588637:GEI588704 GOE588637:GOE588704 GYA588637:GYA588704 HHW588637:HHW588704 HRS588637:HRS588704 IBO588637:IBO588704 ILK588637:ILK588704 IVG588637:IVG588704 JFC588637:JFC588704 JOY588637:JOY588704 JYU588637:JYU588704 KIQ588637:KIQ588704 KSM588637:KSM588704 LCI588637:LCI588704 LME588637:LME588704 LWA588637:LWA588704 MFW588637:MFW588704 MPS588637:MPS588704 MZO588637:MZO588704 NJK588637:NJK588704 NTG588637:NTG588704 ODC588637:ODC588704 OMY588637:OMY588704 OWU588637:OWU588704 PGQ588637:PGQ588704 PQM588637:PQM588704 QAI588637:QAI588704 QKE588637:QKE588704 QUA588637:QUA588704 RDW588637:RDW588704 RNS588637:RNS588704 RXO588637:RXO588704 SHK588637:SHK588704 SRG588637:SRG588704 TBC588637:TBC588704 TKY588637:TKY588704 TUU588637:TUU588704 UEQ588637:UEQ588704 UOM588637:UOM588704 UYI588637:UYI588704 VIE588637:VIE588704 VSA588637:VSA588704 WBW588637:WBW588704 WLS588637:WLS588704 WVO588637:WVO588704 G654173:G654240 JC654173:JC654240 SY654173:SY654240 ACU654173:ACU654240 AMQ654173:AMQ654240 AWM654173:AWM654240 BGI654173:BGI654240 BQE654173:BQE654240 CAA654173:CAA654240 CJW654173:CJW654240 CTS654173:CTS654240 DDO654173:DDO654240 DNK654173:DNK654240 DXG654173:DXG654240 EHC654173:EHC654240 EQY654173:EQY654240 FAU654173:FAU654240 FKQ654173:FKQ654240 FUM654173:FUM654240 GEI654173:GEI654240 GOE654173:GOE654240 GYA654173:GYA654240 HHW654173:HHW654240 HRS654173:HRS654240 IBO654173:IBO654240 ILK654173:ILK654240 IVG654173:IVG654240 JFC654173:JFC654240 JOY654173:JOY654240 JYU654173:JYU654240 KIQ654173:KIQ654240 KSM654173:KSM654240 LCI654173:LCI654240 LME654173:LME654240 LWA654173:LWA654240 MFW654173:MFW654240 MPS654173:MPS654240 MZO654173:MZO654240 NJK654173:NJK654240 NTG654173:NTG654240 ODC654173:ODC654240 OMY654173:OMY654240 OWU654173:OWU654240 PGQ654173:PGQ654240 PQM654173:PQM654240 QAI654173:QAI654240 QKE654173:QKE654240 QUA654173:QUA654240 RDW654173:RDW654240 RNS654173:RNS654240 RXO654173:RXO654240 SHK654173:SHK654240 SRG654173:SRG654240 TBC654173:TBC654240 TKY654173:TKY654240 TUU654173:TUU654240 UEQ654173:UEQ654240 UOM654173:UOM654240 UYI654173:UYI654240 VIE654173:VIE654240 VSA654173:VSA654240 WBW654173:WBW654240 WLS654173:WLS654240 WVO654173:WVO654240 G719709:G719776 JC719709:JC719776 SY719709:SY719776 ACU719709:ACU719776 AMQ719709:AMQ719776 AWM719709:AWM719776 BGI719709:BGI719776 BQE719709:BQE719776 CAA719709:CAA719776 CJW719709:CJW719776 CTS719709:CTS719776 DDO719709:DDO719776 DNK719709:DNK719776 DXG719709:DXG719776 EHC719709:EHC719776 EQY719709:EQY719776 FAU719709:FAU719776 FKQ719709:FKQ719776 FUM719709:FUM719776 GEI719709:GEI719776 GOE719709:GOE719776 GYA719709:GYA719776 HHW719709:HHW719776 HRS719709:HRS719776 IBO719709:IBO719776 ILK719709:ILK719776 IVG719709:IVG719776 JFC719709:JFC719776 JOY719709:JOY719776 JYU719709:JYU719776 KIQ719709:KIQ719776 KSM719709:KSM719776 LCI719709:LCI719776 LME719709:LME719776 LWA719709:LWA719776 MFW719709:MFW719776 MPS719709:MPS719776 MZO719709:MZO719776 NJK719709:NJK719776 NTG719709:NTG719776 ODC719709:ODC719776 OMY719709:OMY719776 OWU719709:OWU719776 PGQ719709:PGQ719776 PQM719709:PQM719776 QAI719709:QAI719776 QKE719709:QKE719776 QUA719709:QUA719776 RDW719709:RDW719776 RNS719709:RNS719776 RXO719709:RXO719776 SHK719709:SHK719776 SRG719709:SRG719776 TBC719709:TBC719776 TKY719709:TKY719776 TUU719709:TUU719776 UEQ719709:UEQ719776 UOM719709:UOM719776 UYI719709:UYI719776 VIE719709:VIE719776 VSA719709:VSA719776 WBW719709:WBW719776 WLS719709:WLS719776 WVO719709:WVO719776 G785245:G785312 JC785245:JC785312 SY785245:SY785312 ACU785245:ACU785312 AMQ785245:AMQ785312 AWM785245:AWM785312 BGI785245:BGI785312 BQE785245:BQE785312 CAA785245:CAA785312 CJW785245:CJW785312 CTS785245:CTS785312 DDO785245:DDO785312 DNK785245:DNK785312 DXG785245:DXG785312 EHC785245:EHC785312 EQY785245:EQY785312 FAU785245:FAU785312 FKQ785245:FKQ785312 FUM785245:FUM785312 GEI785245:GEI785312 GOE785245:GOE785312 GYA785245:GYA785312 HHW785245:HHW785312 HRS785245:HRS785312 IBO785245:IBO785312 ILK785245:ILK785312 IVG785245:IVG785312 JFC785245:JFC785312 JOY785245:JOY785312 JYU785245:JYU785312 KIQ785245:KIQ785312 KSM785245:KSM785312 LCI785245:LCI785312 LME785245:LME785312 LWA785245:LWA785312 MFW785245:MFW785312 MPS785245:MPS785312 MZO785245:MZO785312 NJK785245:NJK785312 NTG785245:NTG785312 ODC785245:ODC785312 OMY785245:OMY785312 OWU785245:OWU785312 PGQ785245:PGQ785312 PQM785245:PQM785312 QAI785245:QAI785312 QKE785245:QKE785312 QUA785245:QUA785312 RDW785245:RDW785312 RNS785245:RNS785312 RXO785245:RXO785312 SHK785245:SHK785312 SRG785245:SRG785312 TBC785245:TBC785312 TKY785245:TKY785312 TUU785245:TUU785312 UEQ785245:UEQ785312 UOM785245:UOM785312 UYI785245:UYI785312 VIE785245:VIE785312 VSA785245:VSA785312 WBW785245:WBW785312 WLS785245:WLS785312 WVO785245:WVO785312 G850781:G850848 JC850781:JC850848 SY850781:SY850848 ACU850781:ACU850848 AMQ850781:AMQ850848 AWM850781:AWM850848 BGI850781:BGI850848 BQE850781:BQE850848 CAA850781:CAA850848 CJW850781:CJW850848 CTS850781:CTS850848 DDO850781:DDO850848 DNK850781:DNK850848 DXG850781:DXG850848 EHC850781:EHC850848 EQY850781:EQY850848 FAU850781:FAU850848 FKQ850781:FKQ850848 FUM850781:FUM850848 GEI850781:GEI850848 GOE850781:GOE850848 GYA850781:GYA850848 HHW850781:HHW850848 HRS850781:HRS850848 IBO850781:IBO850848 ILK850781:ILK850848 IVG850781:IVG850848 JFC850781:JFC850848 JOY850781:JOY850848 JYU850781:JYU850848 KIQ850781:KIQ850848 KSM850781:KSM850848 LCI850781:LCI850848 LME850781:LME850848 LWA850781:LWA850848 MFW850781:MFW850848 MPS850781:MPS850848 MZO850781:MZO850848 NJK850781:NJK850848 NTG850781:NTG850848 ODC850781:ODC850848 OMY850781:OMY850848 OWU850781:OWU850848 PGQ850781:PGQ850848 PQM850781:PQM850848 QAI850781:QAI850848 QKE850781:QKE850848 QUA850781:QUA850848 RDW850781:RDW850848 RNS850781:RNS850848 RXO850781:RXO850848 SHK850781:SHK850848 SRG850781:SRG850848 TBC850781:TBC850848 TKY850781:TKY850848 TUU850781:TUU850848 UEQ850781:UEQ850848 UOM850781:UOM850848 UYI850781:UYI850848 VIE850781:VIE850848 VSA850781:VSA850848 WBW850781:WBW850848 WLS850781:WLS850848 WVO850781:WVO850848 G916317:G916384 JC916317:JC916384 SY916317:SY916384 ACU916317:ACU916384 AMQ916317:AMQ916384 AWM916317:AWM916384 BGI916317:BGI916384 BQE916317:BQE916384 CAA916317:CAA916384 CJW916317:CJW916384 CTS916317:CTS916384 DDO916317:DDO916384 DNK916317:DNK916384 DXG916317:DXG916384 EHC916317:EHC916384 EQY916317:EQY916384 FAU916317:FAU916384 FKQ916317:FKQ916384 FUM916317:FUM916384 GEI916317:GEI916384 GOE916317:GOE916384 GYA916317:GYA916384 HHW916317:HHW916384 HRS916317:HRS916384 IBO916317:IBO916384 ILK916317:ILK916384 IVG916317:IVG916384 JFC916317:JFC916384 JOY916317:JOY916384 JYU916317:JYU916384 KIQ916317:KIQ916384 KSM916317:KSM916384 LCI916317:LCI916384 LME916317:LME916384 LWA916317:LWA916384 MFW916317:MFW916384 MPS916317:MPS916384 MZO916317:MZO916384 NJK916317:NJK916384 NTG916317:NTG916384 ODC916317:ODC916384 OMY916317:OMY916384 OWU916317:OWU916384 PGQ916317:PGQ916384 PQM916317:PQM916384 QAI916317:QAI916384 QKE916317:QKE916384 QUA916317:QUA916384 RDW916317:RDW916384 RNS916317:RNS916384 RXO916317:RXO916384 SHK916317:SHK916384 SRG916317:SRG916384 TBC916317:TBC916384 TKY916317:TKY916384 TUU916317:TUU916384 UEQ916317:UEQ916384 UOM916317:UOM916384 UYI916317:UYI916384 VIE916317:VIE916384 VSA916317:VSA916384 WBW916317:WBW916384 WLS916317:WLS916384 WVO916317:WVO916384 G981853:G981920 JC981853:JC981920 SY981853:SY981920 ACU981853:ACU981920 AMQ981853:AMQ981920 AWM981853:AWM981920 BGI981853:BGI981920 BQE981853:BQE981920 CAA981853:CAA981920 CJW981853:CJW981920 CTS981853:CTS981920 DDO981853:DDO981920 DNK981853:DNK981920 DXG981853:DXG981920 EHC981853:EHC981920 EQY981853:EQY981920 FAU981853:FAU981920 FKQ981853:FKQ981920 FUM981853:FUM981920 GEI981853:GEI981920 GOE981853:GOE981920 GYA981853:GYA981920 HHW981853:HHW981920 HRS981853:HRS981920 IBO981853:IBO981920 ILK981853:ILK981920 IVG981853:IVG981920 JFC981853:JFC981920 JOY981853:JOY981920 JYU981853:JYU981920 KIQ981853:KIQ981920 KSM981853:KSM981920 LCI981853:LCI981920 LME981853:LME981920 LWA981853:LWA981920 MFW981853:MFW981920 MPS981853:MPS981920 MZO981853:MZO981920 NJK981853:NJK981920 NTG981853:NTG981920 ODC981853:ODC981920 OMY981853:OMY981920 OWU981853:OWU981920 PGQ981853:PGQ981920 PQM981853:PQM981920 QAI981853:QAI981920 QKE981853:QKE981920 QUA981853:QUA981920 RDW981853:RDW981920 RNS981853:RNS981920 RXO981853:RXO981920 SHK981853:SHK981920 SRG981853:SRG981920 TBC981853:TBC981920 TKY981853:TKY981920 TUU981853:TUU981920 UEQ981853:UEQ981920 UOM981853:UOM981920 UYI981853:UYI981920 VIE981853:VIE981920 VSA981853:VSA981920 WBW981853:WBW981920 WLS981853:WLS981920 WVO981853:WVO981920 G1047389:G1047456 JC1047389:JC1047456 SY1047389:SY1047456 ACU1047389:ACU1047456 AMQ1047389:AMQ1047456 AWM1047389:AWM1047456 BGI1047389:BGI1047456 BQE1047389:BQE1047456 CAA1047389:CAA1047456 CJW1047389:CJW1047456 CTS1047389:CTS1047456 DDO1047389:DDO1047456 DNK1047389:DNK1047456 DXG1047389:DXG1047456 EHC1047389:EHC1047456 EQY1047389:EQY1047456 FAU1047389:FAU1047456 FKQ1047389:FKQ1047456 FUM1047389:FUM1047456 GEI1047389:GEI1047456 GOE1047389:GOE1047456 GYA1047389:GYA1047456 HHW1047389:HHW1047456 HRS1047389:HRS1047456 IBO1047389:IBO1047456 ILK1047389:ILK1047456 IVG1047389:IVG1047456 JFC1047389:JFC1047456 JOY1047389:JOY1047456 JYU1047389:JYU1047456 KIQ1047389:KIQ1047456 KSM1047389:KSM1047456 LCI1047389:LCI1047456 LME1047389:LME1047456 LWA1047389:LWA1047456 MFW1047389:MFW1047456 MPS1047389:MPS1047456 MZO1047389:MZO1047456 NJK1047389:NJK1047456 NTG1047389:NTG1047456 ODC1047389:ODC1047456 OMY1047389:OMY1047456 OWU1047389:OWU1047456 PGQ1047389:PGQ1047456 PQM1047389:PQM1047456 QAI1047389:QAI1047456 QKE1047389:QKE1047456 QUA1047389:QUA1047456 RDW1047389:RDW1047456 RNS1047389:RNS1047456 RXO1047389:RXO1047456 SHK1047389:SHK1047456 SRG1047389:SRG1047456 TBC1047389:TBC1047456 TKY1047389:TKY1047456 TUU1047389:TUU1047456 UEQ1047389:UEQ1047456 UOM1047389:UOM1047456 UYI1047389:UYI1047456 VIE1047389:VIE1047456 VSA1047389:VSA1047456 WBW1047389:WBW1047456 WLS1047389:WLS1047456 WVO1047389:WVO1047456 WVO983028:WVO983099 G65524:G65595 JC65524:JC65595 SY65524:SY65595 ACU65524:ACU65595 AMQ65524:AMQ65595 AWM65524:AWM65595 BGI65524:BGI65595 BQE65524:BQE65595 CAA65524:CAA65595 CJW65524:CJW65595 CTS65524:CTS65595 DDO65524:DDO65595 DNK65524:DNK65595 DXG65524:DXG65595 EHC65524:EHC65595 EQY65524:EQY65595 FAU65524:FAU65595 FKQ65524:FKQ65595 FUM65524:FUM65595 GEI65524:GEI65595 GOE65524:GOE65595 GYA65524:GYA65595 HHW65524:HHW65595 HRS65524:HRS65595 IBO65524:IBO65595 ILK65524:ILK65595 IVG65524:IVG65595 JFC65524:JFC65595 JOY65524:JOY65595 JYU65524:JYU65595 KIQ65524:KIQ65595 KSM65524:KSM65595 LCI65524:LCI65595 LME65524:LME65595 LWA65524:LWA65595 MFW65524:MFW65595 MPS65524:MPS65595 MZO65524:MZO65595 NJK65524:NJK65595 NTG65524:NTG65595 ODC65524:ODC65595 OMY65524:OMY65595 OWU65524:OWU65595 PGQ65524:PGQ65595 PQM65524:PQM65595 QAI65524:QAI65595 QKE65524:QKE65595 QUA65524:QUA65595 RDW65524:RDW65595 RNS65524:RNS65595 RXO65524:RXO65595 SHK65524:SHK65595 SRG65524:SRG65595 TBC65524:TBC65595 TKY65524:TKY65595 TUU65524:TUU65595 UEQ65524:UEQ65595 UOM65524:UOM65595 UYI65524:UYI65595 VIE65524:VIE65595 VSA65524:VSA65595 WBW65524:WBW65595 WLS65524:WLS65595 WVO65524:WVO65595 G131060:G131131 JC131060:JC131131 SY131060:SY131131 ACU131060:ACU131131 AMQ131060:AMQ131131 AWM131060:AWM131131 BGI131060:BGI131131 BQE131060:BQE131131 CAA131060:CAA131131 CJW131060:CJW131131 CTS131060:CTS131131 DDO131060:DDO131131 DNK131060:DNK131131 DXG131060:DXG131131 EHC131060:EHC131131 EQY131060:EQY131131 FAU131060:FAU131131 FKQ131060:FKQ131131 FUM131060:FUM131131 GEI131060:GEI131131 GOE131060:GOE131131 GYA131060:GYA131131 HHW131060:HHW131131 HRS131060:HRS131131 IBO131060:IBO131131 ILK131060:ILK131131 IVG131060:IVG131131 JFC131060:JFC131131 JOY131060:JOY131131 JYU131060:JYU131131 KIQ131060:KIQ131131 KSM131060:KSM131131 LCI131060:LCI131131 LME131060:LME131131 LWA131060:LWA131131 MFW131060:MFW131131 MPS131060:MPS131131 MZO131060:MZO131131 NJK131060:NJK131131 NTG131060:NTG131131 ODC131060:ODC131131 OMY131060:OMY131131 OWU131060:OWU131131 PGQ131060:PGQ131131 PQM131060:PQM131131 QAI131060:QAI131131 QKE131060:QKE131131 QUA131060:QUA131131 RDW131060:RDW131131 RNS131060:RNS131131 RXO131060:RXO131131 SHK131060:SHK131131 SRG131060:SRG131131 TBC131060:TBC131131 TKY131060:TKY131131 TUU131060:TUU131131 UEQ131060:UEQ131131 UOM131060:UOM131131 UYI131060:UYI131131 VIE131060:VIE131131 VSA131060:VSA131131 WBW131060:WBW131131 WLS131060:WLS131131 WVO131060:WVO131131 G196596:G196667 JC196596:JC196667 SY196596:SY196667 ACU196596:ACU196667 AMQ196596:AMQ196667 AWM196596:AWM196667 BGI196596:BGI196667 BQE196596:BQE196667 CAA196596:CAA196667 CJW196596:CJW196667 CTS196596:CTS196667 DDO196596:DDO196667 DNK196596:DNK196667 DXG196596:DXG196667 EHC196596:EHC196667 EQY196596:EQY196667 FAU196596:FAU196667 FKQ196596:FKQ196667 FUM196596:FUM196667 GEI196596:GEI196667 GOE196596:GOE196667 GYA196596:GYA196667 HHW196596:HHW196667 HRS196596:HRS196667 IBO196596:IBO196667 ILK196596:ILK196667 IVG196596:IVG196667 JFC196596:JFC196667 JOY196596:JOY196667 JYU196596:JYU196667 KIQ196596:KIQ196667 KSM196596:KSM196667 LCI196596:LCI196667 LME196596:LME196667 LWA196596:LWA196667 MFW196596:MFW196667 MPS196596:MPS196667 MZO196596:MZO196667 NJK196596:NJK196667 NTG196596:NTG196667 ODC196596:ODC196667 OMY196596:OMY196667 OWU196596:OWU196667 PGQ196596:PGQ196667 PQM196596:PQM196667 QAI196596:QAI196667 QKE196596:QKE196667 QUA196596:QUA196667 RDW196596:RDW196667 RNS196596:RNS196667 RXO196596:RXO196667 SHK196596:SHK196667 SRG196596:SRG196667 TBC196596:TBC196667 TKY196596:TKY196667 TUU196596:TUU196667 UEQ196596:UEQ196667 UOM196596:UOM196667 UYI196596:UYI196667 VIE196596:VIE196667 VSA196596:VSA196667 WBW196596:WBW196667 WLS196596:WLS196667 WVO196596:WVO196667 G262132:G262203 JC262132:JC262203 SY262132:SY262203 ACU262132:ACU262203 AMQ262132:AMQ262203 AWM262132:AWM262203 BGI262132:BGI262203 BQE262132:BQE262203 CAA262132:CAA262203 CJW262132:CJW262203 CTS262132:CTS262203 DDO262132:DDO262203 DNK262132:DNK262203 DXG262132:DXG262203 EHC262132:EHC262203 EQY262132:EQY262203 FAU262132:FAU262203 FKQ262132:FKQ262203 FUM262132:FUM262203 GEI262132:GEI262203 GOE262132:GOE262203 GYA262132:GYA262203 HHW262132:HHW262203 HRS262132:HRS262203 IBO262132:IBO262203 ILK262132:ILK262203 IVG262132:IVG262203 JFC262132:JFC262203 JOY262132:JOY262203 JYU262132:JYU262203 KIQ262132:KIQ262203 KSM262132:KSM262203 LCI262132:LCI262203 LME262132:LME262203 LWA262132:LWA262203 MFW262132:MFW262203 MPS262132:MPS262203 MZO262132:MZO262203 NJK262132:NJK262203 NTG262132:NTG262203 ODC262132:ODC262203 OMY262132:OMY262203 OWU262132:OWU262203 PGQ262132:PGQ262203 PQM262132:PQM262203 QAI262132:QAI262203 QKE262132:QKE262203 QUA262132:QUA262203 RDW262132:RDW262203 RNS262132:RNS262203 RXO262132:RXO262203 SHK262132:SHK262203 SRG262132:SRG262203 TBC262132:TBC262203 TKY262132:TKY262203 TUU262132:TUU262203 UEQ262132:UEQ262203 UOM262132:UOM262203 UYI262132:UYI262203 VIE262132:VIE262203 VSA262132:VSA262203 WBW262132:WBW262203 WLS262132:WLS262203 WVO262132:WVO262203 G327668:G327739 JC327668:JC327739 SY327668:SY327739 ACU327668:ACU327739 AMQ327668:AMQ327739 AWM327668:AWM327739 BGI327668:BGI327739 BQE327668:BQE327739 CAA327668:CAA327739 CJW327668:CJW327739 CTS327668:CTS327739 DDO327668:DDO327739 DNK327668:DNK327739 DXG327668:DXG327739 EHC327668:EHC327739 EQY327668:EQY327739 FAU327668:FAU327739 FKQ327668:FKQ327739 FUM327668:FUM327739 GEI327668:GEI327739 GOE327668:GOE327739 GYA327668:GYA327739 HHW327668:HHW327739 HRS327668:HRS327739 IBO327668:IBO327739 ILK327668:ILK327739 IVG327668:IVG327739 JFC327668:JFC327739 JOY327668:JOY327739 JYU327668:JYU327739 KIQ327668:KIQ327739 KSM327668:KSM327739 LCI327668:LCI327739 LME327668:LME327739 LWA327668:LWA327739 MFW327668:MFW327739 MPS327668:MPS327739 MZO327668:MZO327739 NJK327668:NJK327739 NTG327668:NTG327739 ODC327668:ODC327739 OMY327668:OMY327739 OWU327668:OWU327739 PGQ327668:PGQ327739 PQM327668:PQM327739 QAI327668:QAI327739 QKE327668:QKE327739 QUA327668:QUA327739 RDW327668:RDW327739 RNS327668:RNS327739 RXO327668:RXO327739 SHK327668:SHK327739 SRG327668:SRG327739 TBC327668:TBC327739 TKY327668:TKY327739 TUU327668:TUU327739 UEQ327668:UEQ327739 UOM327668:UOM327739 UYI327668:UYI327739 VIE327668:VIE327739 VSA327668:VSA327739 WBW327668:WBW327739 WLS327668:WLS327739 WVO327668:WVO327739 G393204:G393275 JC393204:JC393275 SY393204:SY393275 ACU393204:ACU393275 AMQ393204:AMQ393275 AWM393204:AWM393275 BGI393204:BGI393275 BQE393204:BQE393275 CAA393204:CAA393275 CJW393204:CJW393275 CTS393204:CTS393275 DDO393204:DDO393275 DNK393204:DNK393275 DXG393204:DXG393275 EHC393204:EHC393275 EQY393204:EQY393275 FAU393204:FAU393275 FKQ393204:FKQ393275 FUM393204:FUM393275 GEI393204:GEI393275 GOE393204:GOE393275 GYA393204:GYA393275 HHW393204:HHW393275 HRS393204:HRS393275 IBO393204:IBO393275 ILK393204:ILK393275 IVG393204:IVG393275 JFC393204:JFC393275 JOY393204:JOY393275 JYU393204:JYU393275 KIQ393204:KIQ393275 KSM393204:KSM393275 LCI393204:LCI393275 LME393204:LME393275 LWA393204:LWA393275 MFW393204:MFW393275 MPS393204:MPS393275 MZO393204:MZO393275 NJK393204:NJK393275 NTG393204:NTG393275 ODC393204:ODC393275 OMY393204:OMY393275 OWU393204:OWU393275 PGQ393204:PGQ393275 PQM393204:PQM393275 QAI393204:QAI393275 QKE393204:QKE393275 QUA393204:QUA393275 RDW393204:RDW393275 RNS393204:RNS393275 RXO393204:RXO393275 SHK393204:SHK393275 SRG393204:SRG393275 TBC393204:TBC393275 TKY393204:TKY393275 TUU393204:TUU393275 UEQ393204:UEQ393275 UOM393204:UOM393275 UYI393204:UYI393275 VIE393204:VIE393275 VSA393204:VSA393275 WBW393204:WBW393275 WLS393204:WLS393275 WVO393204:WVO393275 G458740:G458811 JC458740:JC458811 SY458740:SY458811 ACU458740:ACU458811 AMQ458740:AMQ458811 AWM458740:AWM458811 BGI458740:BGI458811 BQE458740:BQE458811 CAA458740:CAA458811 CJW458740:CJW458811 CTS458740:CTS458811 DDO458740:DDO458811 DNK458740:DNK458811 DXG458740:DXG458811 EHC458740:EHC458811 EQY458740:EQY458811 FAU458740:FAU458811 FKQ458740:FKQ458811 FUM458740:FUM458811 GEI458740:GEI458811 GOE458740:GOE458811 GYA458740:GYA458811 HHW458740:HHW458811 HRS458740:HRS458811 IBO458740:IBO458811 ILK458740:ILK458811 IVG458740:IVG458811 JFC458740:JFC458811 JOY458740:JOY458811 JYU458740:JYU458811 KIQ458740:KIQ458811 KSM458740:KSM458811 LCI458740:LCI458811 LME458740:LME458811 LWA458740:LWA458811 MFW458740:MFW458811 MPS458740:MPS458811 MZO458740:MZO458811 NJK458740:NJK458811 NTG458740:NTG458811 ODC458740:ODC458811 OMY458740:OMY458811 OWU458740:OWU458811 PGQ458740:PGQ458811 PQM458740:PQM458811 QAI458740:QAI458811 QKE458740:QKE458811 QUA458740:QUA458811 RDW458740:RDW458811 RNS458740:RNS458811 RXO458740:RXO458811 SHK458740:SHK458811 SRG458740:SRG458811 TBC458740:TBC458811 TKY458740:TKY458811 TUU458740:TUU458811 UEQ458740:UEQ458811 UOM458740:UOM458811 UYI458740:UYI458811 VIE458740:VIE458811 VSA458740:VSA458811 WBW458740:WBW458811 WLS458740:WLS458811 WVO458740:WVO458811 G524276:G524347 JC524276:JC524347 SY524276:SY524347 ACU524276:ACU524347 AMQ524276:AMQ524347 AWM524276:AWM524347 BGI524276:BGI524347 BQE524276:BQE524347 CAA524276:CAA524347 CJW524276:CJW524347 CTS524276:CTS524347 DDO524276:DDO524347 DNK524276:DNK524347 DXG524276:DXG524347 EHC524276:EHC524347 EQY524276:EQY524347 FAU524276:FAU524347 FKQ524276:FKQ524347 FUM524276:FUM524347 GEI524276:GEI524347 GOE524276:GOE524347 GYA524276:GYA524347 HHW524276:HHW524347 HRS524276:HRS524347 IBO524276:IBO524347 ILK524276:ILK524347 IVG524276:IVG524347 JFC524276:JFC524347 JOY524276:JOY524347 JYU524276:JYU524347 KIQ524276:KIQ524347 KSM524276:KSM524347 LCI524276:LCI524347 LME524276:LME524347 LWA524276:LWA524347 MFW524276:MFW524347 MPS524276:MPS524347 MZO524276:MZO524347 NJK524276:NJK524347 NTG524276:NTG524347 ODC524276:ODC524347 OMY524276:OMY524347 OWU524276:OWU524347 PGQ524276:PGQ524347 PQM524276:PQM524347 QAI524276:QAI524347 QKE524276:QKE524347 QUA524276:QUA524347 RDW524276:RDW524347 RNS524276:RNS524347 RXO524276:RXO524347 SHK524276:SHK524347 SRG524276:SRG524347 TBC524276:TBC524347 TKY524276:TKY524347 TUU524276:TUU524347 UEQ524276:UEQ524347 UOM524276:UOM524347 UYI524276:UYI524347 VIE524276:VIE524347 VSA524276:VSA524347 WBW524276:WBW524347 WLS524276:WLS524347 WVO524276:WVO524347 G589812:G589883 JC589812:JC589883 SY589812:SY589883 ACU589812:ACU589883 AMQ589812:AMQ589883 AWM589812:AWM589883 BGI589812:BGI589883 BQE589812:BQE589883 CAA589812:CAA589883 CJW589812:CJW589883 CTS589812:CTS589883 DDO589812:DDO589883 DNK589812:DNK589883 DXG589812:DXG589883 EHC589812:EHC589883 EQY589812:EQY589883 FAU589812:FAU589883 FKQ589812:FKQ589883 FUM589812:FUM589883 GEI589812:GEI589883 GOE589812:GOE589883 GYA589812:GYA589883 HHW589812:HHW589883 HRS589812:HRS589883 IBO589812:IBO589883 ILK589812:ILK589883 IVG589812:IVG589883 JFC589812:JFC589883 JOY589812:JOY589883 JYU589812:JYU589883 KIQ589812:KIQ589883 KSM589812:KSM589883 LCI589812:LCI589883 LME589812:LME589883 LWA589812:LWA589883 MFW589812:MFW589883 MPS589812:MPS589883 MZO589812:MZO589883 NJK589812:NJK589883 NTG589812:NTG589883 ODC589812:ODC589883 OMY589812:OMY589883 OWU589812:OWU589883 PGQ589812:PGQ589883 PQM589812:PQM589883 QAI589812:QAI589883 QKE589812:QKE589883 QUA589812:QUA589883 RDW589812:RDW589883 RNS589812:RNS589883 RXO589812:RXO589883 SHK589812:SHK589883 SRG589812:SRG589883 TBC589812:TBC589883 TKY589812:TKY589883 TUU589812:TUU589883 UEQ589812:UEQ589883 UOM589812:UOM589883 UYI589812:UYI589883 VIE589812:VIE589883 VSA589812:VSA589883 WBW589812:WBW589883 WLS589812:WLS589883 WVO589812:WVO589883 G655348:G655419 JC655348:JC655419 SY655348:SY655419 ACU655348:ACU655419 AMQ655348:AMQ655419 AWM655348:AWM655419 BGI655348:BGI655419 BQE655348:BQE655419 CAA655348:CAA655419 CJW655348:CJW655419 CTS655348:CTS655419 DDO655348:DDO655419 DNK655348:DNK655419 DXG655348:DXG655419 EHC655348:EHC655419 EQY655348:EQY655419 FAU655348:FAU655419 FKQ655348:FKQ655419 FUM655348:FUM655419 GEI655348:GEI655419 GOE655348:GOE655419 GYA655348:GYA655419 HHW655348:HHW655419 HRS655348:HRS655419 IBO655348:IBO655419 ILK655348:ILK655419 IVG655348:IVG655419 JFC655348:JFC655419 JOY655348:JOY655419 JYU655348:JYU655419 KIQ655348:KIQ655419 KSM655348:KSM655419 LCI655348:LCI655419 LME655348:LME655419 LWA655348:LWA655419 MFW655348:MFW655419 MPS655348:MPS655419 MZO655348:MZO655419 NJK655348:NJK655419 NTG655348:NTG655419 ODC655348:ODC655419 OMY655348:OMY655419 OWU655348:OWU655419 PGQ655348:PGQ655419 PQM655348:PQM655419 QAI655348:QAI655419 QKE655348:QKE655419 QUA655348:QUA655419 RDW655348:RDW655419 RNS655348:RNS655419 RXO655348:RXO655419 SHK655348:SHK655419 SRG655348:SRG655419 TBC655348:TBC655419 TKY655348:TKY655419 TUU655348:TUU655419 UEQ655348:UEQ655419 UOM655348:UOM655419 UYI655348:UYI655419 VIE655348:VIE655419 VSA655348:VSA655419 WBW655348:WBW655419 WLS655348:WLS655419 WVO655348:WVO655419 G720884:G720955 JC720884:JC720955 SY720884:SY720955 ACU720884:ACU720955 AMQ720884:AMQ720955 AWM720884:AWM720955 BGI720884:BGI720955 BQE720884:BQE720955 CAA720884:CAA720955 CJW720884:CJW720955 CTS720884:CTS720955 DDO720884:DDO720955 DNK720884:DNK720955 DXG720884:DXG720955 EHC720884:EHC720955 EQY720884:EQY720955 FAU720884:FAU720955 FKQ720884:FKQ720955 FUM720884:FUM720955 GEI720884:GEI720955 GOE720884:GOE720955 GYA720884:GYA720955 HHW720884:HHW720955 HRS720884:HRS720955 IBO720884:IBO720955 ILK720884:ILK720955 IVG720884:IVG720955 JFC720884:JFC720955 JOY720884:JOY720955 JYU720884:JYU720955 KIQ720884:KIQ720955 KSM720884:KSM720955 LCI720884:LCI720955 LME720884:LME720955 LWA720884:LWA720955 MFW720884:MFW720955 MPS720884:MPS720955 MZO720884:MZO720955 NJK720884:NJK720955 NTG720884:NTG720955 ODC720884:ODC720955 OMY720884:OMY720955 OWU720884:OWU720955 PGQ720884:PGQ720955 PQM720884:PQM720955 QAI720884:QAI720955 QKE720884:QKE720955 QUA720884:QUA720955 RDW720884:RDW720955 RNS720884:RNS720955 RXO720884:RXO720955 SHK720884:SHK720955 SRG720884:SRG720955 TBC720884:TBC720955 TKY720884:TKY720955 TUU720884:TUU720955 UEQ720884:UEQ720955 UOM720884:UOM720955 UYI720884:UYI720955 VIE720884:VIE720955 VSA720884:VSA720955 WBW720884:WBW720955 WLS720884:WLS720955 WVO720884:WVO720955 G786420:G786491 JC786420:JC786491 SY786420:SY786491 ACU786420:ACU786491 AMQ786420:AMQ786491 AWM786420:AWM786491 BGI786420:BGI786491 BQE786420:BQE786491 CAA786420:CAA786491 CJW786420:CJW786491 CTS786420:CTS786491 DDO786420:DDO786491 DNK786420:DNK786491 DXG786420:DXG786491 EHC786420:EHC786491 EQY786420:EQY786491 FAU786420:FAU786491 FKQ786420:FKQ786491 FUM786420:FUM786491 GEI786420:GEI786491 GOE786420:GOE786491 GYA786420:GYA786491 HHW786420:HHW786491 HRS786420:HRS786491 IBO786420:IBO786491 ILK786420:ILK786491 IVG786420:IVG786491 JFC786420:JFC786491 JOY786420:JOY786491 JYU786420:JYU786491 KIQ786420:KIQ786491 KSM786420:KSM786491 LCI786420:LCI786491 LME786420:LME786491 LWA786420:LWA786491 MFW786420:MFW786491 MPS786420:MPS786491 MZO786420:MZO786491 NJK786420:NJK786491 NTG786420:NTG786491 ODC786420:ODC786491 OMY786420:OMY786491 OWU786420:OWU786491 PGQ786420:PGQ786491 PQM786420:PQM786491 QAI786420:QAI786491 QKE786420:QKE786491 QUA786420:QUA786491 RDW786420:RDW786491 RNS786420:RNS786491 RXO786420:RXO786491 SHK786420:SHK786491 SRG786420:SRG786491 TBC786420:TBC786491 TKY786420:TKY786491 TUU786420:TUU786491 UEQ786420:UEQ786491 UOM786420:UOM786491 UYI786420:UYI786491 VIE786420:VIE786491 VSA786420:VSA786491 WBW786420:WBW786491 WLS786420:WLS786491 WVO786420:WVO786491 G851956:G852027 JC851956:JC852027 SY851956:SY852027 ACU851956:ACU852027 AMQ851956:AMQ852027 AWM851956:AWM852027 BGI851956:BGI852027 BQE851956:BQE852027 CAA851956:CAA852027 CJW851956:CJW852027 CTS851956:CTS852027 DDO851956:DDO852027 DNK851956:DNK852027 DXG851956:DXG852027 EHC851956:EHC852027 EQY851956:EQY852027 FAU851956:FAU852027 FKQ851956:FKQ852027 FUM851956:FUM852027 GEI851956:GEI852027 GOE851956:GOE852027 GYA851956:GYA852027 HHW851956:HHW852027 HRS851956:HRS852027 IBO851956:IBO852027 ILK851956:ILK852027 IVG851956:IVG852027 JFC851956:JFC852027 JOY851956:JOY852027 JYU851956:JYU852027 KIQ851956:KIQ852027 KSM851956:KSM852027 LCI851956:LCI852027 LME851956:LME852027 LWA851956:LWA852027 MFW851956:MFW852027 MPS851956:MPS852027 MZO851956:MZO852027 NJK851956:NJK852027 NTG851956:NTG852027 ODC851956:ODC852027 OMY851956:OMY852027 OWU851956:OWU852027 PGQ851956:PGQ852027 PQM851956:PQM852027 QAI851956:QAI852027 QKE851956:QKE852027 QUA851956:QUA852027 RDW851956:RDW852027 RNS851956:RNS852027 RXO851956:RXO852027 SHK851956:SHK852027 SRG851956:SRG852027 TBC851956:TBC852027 TKY851956:TKY852027 TUU851956:TUU852027 UEQ851956:UEQ852027 UOM851956:UOM852027 UYI851956:UYI852027 VIE851956:VIE852027 VSA851956:VSA852027 WBW851956:WBW852027 WLS851956:WLS852027 WVO851956:WVO852027 G917492:G917563 JC917492:JC917563 SY917492:SY917563 ACU917492:ACU917563 AMQ917492:AMQ917563 AWM917492:AWM917563 BGI917492:BGI917563 BQE917492:BQE917563 CAA917492:CAA917563 CJW917492:CJW917563 CTS917492:CTS917563 DDO917492:DDO917563 DNK917492:DNK917563 DXG917492:DXG917563 EHC917492:EHC917563 EQY917492:EQY917563 FAU917492:FAU917563 FKQ917492:FKQ917563 FUM917492:FUM917563 GEI917492:GEI917563 GOE917492:GOE917563 GYA917492:GYA917563 HHW917492:HHW917563 HRS917492:HRS917563 IBO917492:IBO917563 ILK917492:ILK917563 IVG917492:IVG917563 JFC917492:JFC917563 JOY917492:JOY917563 JYU917492:JYU917563 KIQ917492:KIQ917563 KSM917492:KSM917563 LCI917492:LCI917563 LME917492:LME917563 LWA917492:LWA917563 MFW917492:MFW917563 MPS917492:MPS917563 MZO917492:MZO917563 NJK917492:NJK917563 NTG917492:NTG917563 ODC917492:ODC917563 OMY917492:OMY917563 OWU917492:OWU917563 PGQ917492:PGQ917563 PQM917492:PQM917563 QAI917492:QAI917563 QKE917492:QKE917563 QUA917492:QUA917563 RDW917492:RDW917563 RNS917492:RNS917563 RXO917492:RXO917563 SHK917492:SHK917563 SRG917492:SRG917563 TBC917492:TBC917563 TKY917492:TKY917563 TUU917492:TUU917563 UEQ917492:UEQ917563 UOM917492:UOM917563 UYI917492:UYI917563 VIE917492:VIE917563 VSA917492:VSA917563 WBW917492:WBW917563 WLS917492:WLS917563 WVO917492:WVO917563 G983028:G983099 JC983028:JC983099 SY983028:SY983099 ACU983028:ACU983099 AMQ983028:AMQ983099 AWM983028:AWM983099 BGI983028:BGI983099 BQE983028:BQE983099 CAA983028:CAA983099 CJW983028:CJW983099 CTS983028:CTS983099 DDO983028:DDO983099 DNK983028:DNK983099 DXG983028:DXG983099 EHC983028:EHC983099 EQY983028:EQY983099 FAU983028:FAU983099 FKQ983028:FKQ983099 FUM983028:FUM983099 GEI983028:GEI983099 GOE983028:GOE983099 GYA983028:GYA983099 HHW983028:HHW983099 HRS983028:HRS983099 IBO983028:IBO983099 ILK983028:ILK983099 IVG983028:IVG983099 JFC983028:JFC983099 JOY983028:JOY983099 JYU983028:JYU983099 KIQ983028:KIQ983099 KSM983028:KSM983099 LCI983028:LCI983099 LME983028:LME983099 LWA983028:LWA983099 MFW983028:MFW983099 MPS983028:MPS983099 MZO983028:MZO983099 NJK983028:NJK983099 NTG983028:NTG983099 ODC983028:ODC983099 OMY983028:OMY983099 OWU983028:OWU983099 PGQ983028:PGQ983099 PQM983028:PQM983099 QAI983028:QAI983099 QKE983028:QKE983099 QUA983028:QUA983099 RDW983028:RDW983099 RNS983028:RNS983099 RXO983028:RXO983099 SHK983028:SHK983099 SRG983028:SRG983099 TBC983028:TBC983099 TKY983028:TKY983099 TUU983028:TUU983099 UEQ983028:UEQ983099 UOM983028:UOM983099 UYI983028:UYI983099 VIE983028:VIE983099 VSA983028:VSA983099 WBW983028:WBW983099 WLS983028:WLS983099 G2:G486 SY2:SY70 WLS2:WLS70 WBW2:WBW70 VSA2:VSA70 VIE2:VIE70 UYI2:UYI70 UOM2:UOM70 UEQ2:UEQ70 TUU2:TUU70 TKY2:TKY70 TBC2:TBC70 SRG2:SRG70 SHK2:SHK70 RXO2:RXO70 RNS2:RNS70 RDW2:RDW70 QUA2:QUA70 QKE2:QKE70 QAI2:QAI70 PQM2:PQM70 PGQ2:PGQ70 OWU2:OWU70 OMY2:OMY70 ODC2:ODC70 NTG2:NTG70 NJK2:NJK70 MZO2:MZO70 MPS2:MPS70 MFW2:MFW70 LWA2:LWA70 LME2:LME70 LCI2:LCI70 KSM2:KSM70 KIQ2:KIQ70 JYU2:JYU70 JOY2:JOY70 JFC2:JFC70 IVG2:IVG70 ILK2:ILK70 IBO2:IBO70 HRS2:HRS70 HHW2:HHW70 GYA2:GYA70 GOE2:GOE70 GEI2:GEI70 FUM2:FUM70 FKQ2:FKQ70 FAU2:FAU70 EQY2:EQY70 EHC2:EHC70 DXG2:DXG70 DNK2:DNK70 DDO2:DDO70 CTS2:CTS70 CJW2:CJW70 CAA2:CAA70 BQE2:BQE70 BGI2:BGI70 AWM2:AWM70 AMQ2:AMQ70 ACU2:ACU70 JC2:JC70 WVO2:WVO70">
      <formula1>$AJ$2:$AJ$4</formula1>
    </dataValidation>
    <dataValidation type="list" allowBlank="1" showInputMessage="1" showErrorMessage="1" sqref="I64349:I64414 JE64349:JE64414 TA64349:TA64414 ACW64349:ACW64414 AMS64349:AMS64414 AWO64349:AWO64414 BGK64349:BGK64414 BQG64349:BQG64414 CAC64349:CAC64414 CJY64349:CJY64414 CTU64349:CTU64414 DDQ64349:DDQ64414 DNM64349:DNM64414 DXI64349:DXI64414 EHE64349:EHE64414 ERA64349:ERA64414 FAW64349:FAW64414 FKS64349:FKS64414 FUO64349:FUO64414 GEK64349:GEK64414 GOG64349:GOG64414 GYC64349:GYC64414 HHY64349:HHY64414 HRU64349:HRU64414 IBQ64349:IBQ64414 ILM64349:ILM64414 IVI64349:IVI64414 JFE64349:JFE64414 JPA64349:JPA64414 JYW64349:JYW64414 KIS64349:KIS64414 KSO64349:KSO64414 LCK64349:LCK64414 LMG64349:LMG64414 LWC64349:LWC64414 MFY64349:MFY64414 MPU64349:MPU64414 MZQ64349:MZQ64414 NJM64349:NJM64414 NTI64349:NTI64414 ODE64349:ODE64414 ONA64349:ONA64414 OWW64349:OWW64414 PGS64349:PGS64414 PQO64349:PQO64414 QAK64349:QAK64414 QKG64349:QKG64414 QUC64349:QUC64414 RDY64349:RDY64414 RNU64349:RNU64414 RXQ64349:RXQ64414 SHM64349:SHM64414 SRI64349:SRI64414 TBE64349:TBE64414 TLA64349:TLA64414 TUW64349:TUW64414 UES64349:UES64414 UOO64349:UOO64414 UYK64349:UYK64414 VIG64349:VIG64414 VSC64349:VSC64414 WBY64349:WBY64414 WLU64349:WLU64414 WVQ64349:WVQ64414 I129885:I129950 JE129885:JE129950 TA129885:TA129950 ACW129885:ACW129950 AMS129885:AMS129950 AWO129885:AWO129950 BGK129885:BGK129950 BQG129885:BQG129950 CAC129885:CAC129950 CJY129885:CJY129950 CTU129885:CTU129950 DDQ129885:DDQ129950 DNM129885:DNM129950 DXI129885:DXI129950 EHE129885:EHE129950 ERA129885:ERA129950 FAW129885:FAW129950 FKS129885:FKS129950 FUO129885:FUO129950 GEK129885:GEK129950 GOG129885:GOG129950 GYC129885:GYC129950 HHY129885:HHY129950 HRU129885:HRU129950 IBQ129885:IBQ129950 ILM129885:ILM129950 IVI129885:IVI129950 JFE129885:JFE129950 JPA129885:JPA129950 JYW129885:JYW129950 KIS129885:KIS129950 KSO129885:KSO129950 LCK129885:LCK129950 LMG129885:LMG129950 LWC129885:LWC129950 MFY129885:MFY129950 MPU129885:MPU129950 MZQ129885:MZQ129950 NJM129885:NJM129950 NTI129885:NTI129950 ODE129885:ODE129950 ONA129885:ONA129950 OWW129885:OWW129950 PGS129885:PGS129950 PQO129885:PQO129950 QAK129885:QAK129950 QKG129885:QKG129950 QUC129885:QUC129950 RDY129885:RDY129950 RNU129885:RNU129950 RXQ129885:RXQ129950 SHM129885:SHM129950 SRI129885:SRI129950 TBE129885:TBE129950 TLA129885:TLA129950 TUW129885:TUW129950 UES129885:UES129950 UOO129885:UOO129950 UYK129885:UYK129950 VIG129885:VIG129950 VSC129885:VSC129950 WBY129885:WBY129950 WLU129885:WLU129950 WVQ129885:WVQ129950 I195421:I195486 JE195421:JE195486 TA195421:TA195486 ACW195421:ACW195486 AMS195421:AMS195486 AWO195421:AWO195486 BGK195421:BGK195486 BQG195421:BQG195486 CAC195421:CAC195486 CJY195421:CJY195486 CTU195421:CTU195486 DDQ195421:DDQ195486 DNM195421:DNM195486 DXI195421:DXI195486 EHE195421:EHE195486 ERA195421:ERA195486 FAW195421:FAW195486 FKS195421:FKS195486 FUO195421:FUO195486 GEK195421:GEK195486 GOG195421:GOG195486 GYC195421:GYC195486 HHY195421:HHY195486 HRU195421:HRU195486 IBQ195421:IBQ195486 ILM195421:ILM195486 IVI195421:IVI195486 JFE195421:JFE195486 JPA195421:JPA195486 JYW195421:JYW195486 KIS195421:KIS195486 KSO195421:KSO195486 LCK195421:LCK195486 LMG195421:LMG195486 LWC195421:LWC195486 MFY195421:MFY195486 MPU195421:MPU195486 MZQ195421:MZQ195486 NJM195421:NJM195486 NTI195421:NTI195486 ODE195421:ODE195486 ONA195421:ONA195486 OWW195421:OWW195486 PGS195421:PGS195486 PQO195421:PQO195486 QAK195421:QAK195486 QKG195421:QKG195486 QUC195421:QUC195486 RDY195421:RDY195486 RNU195421:RNU195486 RXQ195421:RXQ195486 SHM195421:SHM195486 SRI195421:SRI195486 TBE195421:TBE195486 TLA195421:TLA195486 TUW195421:TUW195486 UES195421:UES195486 UOO195421:UOO195486 UYK195421:UYK195486 VIG195421:VIG195486 VSC195421:VSC195486 WBY195421:WBY195486 WLU195421:WLU195486 WVQ195421:WVQ195486 I260957:I261022 JE260957:JE261022 TA260957:TA261022 ACW260957:ACW261022 AMS260957:AMS261022 AWO260957:AWO261022 BGK260957:BGK261022 BQG260957:BQG261022 CAC260957:CAC261022 CJY260957:CJY261022 CTU260957:CTU261022 DDQ260957:DDQ261022 DNM260957:DNM261022 DXI260957:DXI261022 EHE260957:EHE261022 ERA260957:ERA261022 FAW260957:FAW261022 FKS260957:FKS261022 FUO260957:FUO261022 GEK260957:GEK261022 GOG260957:GOG261022 GYC260957:GYC261022 HHY260957:HHY261022 HRU260957:HRU261022 IBQ260957:IBQ261022 ILM260957:ILM261022 IVI260957:IVI261022 JFE260957:JFE261022 JPA260957:JPA261022 JYW260957:JYW261022 KIS260957:KIS261022 KSO260957:KSO261022 LCK260957:LCK261022 LMG260957:LMG261022 LWC260957:LWC261022 MFY260957:MFY261022 MPU260957:MPU261022 MZQ260957:MZQ261022 NJM260957:NJM261022 NTI260957:NTI261022 ODE260957:ODE261022 ONA260957:ONA261022 OWW260957:OWW261022 PGS260957:PGS261022 PQO260957:PQO261022 QAK260957:QAK261022 QKG260957:QKG261022 QUC260957:QUC261022 RDY260957:RDY261022 RNU260957:RNU261022 RXQ260957:RXQ261022 SHM260957:SHM261022 SRI260957:SRI261022 TBE260957:TBE261022 TLA260957:TLA261022 TUW260957:TUW261022 UES260957:UES261022 UOO260957:UOO261022 UYK260957:UYK261022 VIG260957:VIG261022 VSC260957:VSC261022 WBY260957:WBY261022 WLU260957:WLU261022 WVQ260957:WVQ261022 I326493:I326558 JE326493:JE326558 TA326493:TA326558 ACW326493:ACW326558 AMS326493:AMS326558 AWO326493:AWO326558 BGK326493:BGK326558 BQG326493:BQG326558 CAC326493:CAC326558 CJY326493:CJY326558 CTU326493:CTU326558 DDQ326493:DDQ326558 DNM326493:DNM326558 DXI326493:DXI326558 EHE326493:EHE326558 ERA326493:ERA326558 FAW326493:FAW326558 FKS326493:FKS326558 FUO326493:FUO326558 GEK326493:GEK326558 GOG326493:GOG326558 GYC326493:GYC326558 HHY326493:HHY326558 HRU326493:HRU326558 IBQ326493:IBQ326558 ILM326493:ILM326558 IVI326493:IVI326558 JFE326493:JFE326558 JPA326493:JPA326558 JYW326493:JYW326558 KIS326493:KIS326558 KSO326493:KSO326558 LCK326493:LCK326558 LMG326493:LMG326558 LWC326493:LWC326558 MFY326493:MFY326558 MPU326493:MPU326558 MZQ326493:MZQ326558 NJM326493:NJM326558 NTI326493:NTI326558 ODE326493:ODE326558 ONA326493:ONA326558 OWW326493:OWW326558 PGS326493:PGS326558 PQO326493:PQO326558 QAK326493:QAK326558 QKG326493:QKG326558 QUC326493:QUC326558 RDY326493:RDY326558 RNU326493:RNU326558 RXQ326493:RXQ326558 SHM326493:SHM326558 SRI326493:SRI326558 TBE326493:TBE326558 TLA326493:TLA326558 TUW326493:TUW326558 UES326493:UES326558 UOO326493:UOO326558 UYK326493:UYK326558 VIG326493:VIG326558 VSC326493:VSC326558 WBY326493:WBY326558 WLU326493:WLU326558 WVQ326493:WVQ326558 I392029:I392094 JE392029:JE392094 TA392029:TA392094 ACW392029:ACW392094 AMS392029:AMS392094 AWO392029:AWO392094 BGK392029:BGK392094 BQG392029:BQG392094 CAC392029:CAC392094 CJY392029:CJY392094 CTU392029:CTU392094 DDQ392029:DDQ392094 DNM392029:DNM392094 DXI392029:DXI392094 EHE392029:EHE392094 ERA392029:ERA392094 FAW392029:FAW392094 FKS392029:FKS392094 FUO392029:FUO392094 GEK392029:GEK392094 GOG392029:GOG392094 GYC392029:GYC392094 HHY392029:HHY392094 HRU392029:HRU392094 IBQ392029:IBQ392094 ILM392029:ILM392094 IVI392029:IVI392094 JFE392029:JFE392094 JPA392029:JPA392094 JYW392029:JYW392094 KIS392029:KIS392094 KSO392029:KSO392094 LCK392029:LCK392094 LMG392029:LMG392094 LWC392029:LWC392094 MFY392029:MFY392094 MPU392029:MPU392094 MZQ392029:MZQ392094 NJM392029:NJM392094 NTI392029:NTI392094 ODE392029:ODE392094 ONA392029:ONA392094 OWW392029:OWW392094 PGS392029:PGS392094 PQO392029:PQO392094 QAK392029:QAK392094 QKG392029:QKG392094 QUC392029:QUC392094 RDY392029:RDY392094 RNU392029:RNU392094 RXQ392029:RXQ392094 SHM392029:SHM392094 SRI392029:SRI392094 TBE392029:TBE392094 TLA392029:TLA392094 TUW392029:TUW392094 UES392029:UES392094 UOO392029:UOO392094 UYK392029:UYK392094 VIG392029:VIG392094 VSC392029:VSC392094 WBY392029:WBY392094 WLU392029:WLU392094 WVQ392029:WVQ392094 I457565:I457630 JE457565:JE457630 TA457565:TA457630 ACW457565:ACW457630 AMS457565:AMS457630 AWO457565:AWO457630 BGK457565:BGK457630 BQG457565:BQG457630 CAC457565:CAC457630 CJY457565:CJY457630 CTU457565:CTU457630 DDQ457565:DDQ457630 DNM457565:DNM457630 DXI457565:DXI457630 EHE457565:EHE457630 ERA457565:ERA457630 FAW457565:FAW457630 FKS457565:FKS457630 FUO457565:FUO457630 GEK457565:GEK457630 GOG457565:GOG457630 GYC457565:GYC457630 HHY457565:HHY457630 HRU457565:HRU457630 IBQ457565:IBQ457630 ILM457565:ILM457630 IVI457565:IVI457630 JFE457565:JFE457630 JPA457565:JPA457630 JYW457565:JYW457630 KIS457565:KIS457630 KSO457565:KSO457630 LCK457565:LCK457630 LMG457565:LMG457630 LWC457565:LWC457630 MFY457565:MFY457630 MPU457565:MPU457630 MZQ457565:MZQ457630 NJM457565:NJM457630 NTI457565:NTI457630 ODE457565:ODE457630 ONA457565:ONA457630 OWW457565:OWW457630 PGS457565:PGS457630 PQO457565:PQO457630 QAK457565:QAK457630 QKG457565:QKG457630 QUC457565:QUC457630 RDY457565:RDY457630 RNU457565:RNU457630 RXQ457565:RXQ457630 SHM457565:SHM457630 SRI457565:SRI457630 TBE457565:TBE457630 TLA457565:TLA457630 TUW457565:TUW457630 UES457565:UES457630 UOO457565:UOO457630 UYK457565:UYK457630 VIG457565:VIG457630 VSC457565:VSC457630 WBY457565:WBY457630 WLU457565:WLU457630 WVQ457565:WVQ457630 I523101:I523166 JE523101:JE523166 TA523101:TA523166 ACW523101:ACW523166 AMS523101:AMS523166 AWO523101:AWO523166 BGK523101:BGK523166 BQG523101:BQG523166 CAC523101:CAC523166 CJY523101:CJY523166 CTU523101:CTU523166 DDQ523101:DDQ523166 DNM523101:DNM523166 DXI523101:DXI523166 EHE523101:EHE523166 ERA523101:ERA523166 FAW523101:FAW523166 FKS523101:FKS523166 FUO523101:FUO523166 GEK523101:GEK523166 GOG523101:GOG523166 GYC523101:GYC523166 HHY523101:HHY523166 HRU523101:HRU523166 IBQ523101:IBQ523166 ILM523101:ILM523166 IVI523101:IVI523166 JFE523101:JFE523166 JPA523101:JPA523166 JYW523101:JYW523166 KIS523101:KIS523166 KSO523101:KSO523166 LCK523101:LCK523166 LMG523101:LMG523166 LWC523101:LWC523166 MFY523101:MFY523166 MPU523101:MPU523166 MZQ523101:MZQ523166 NJM523101:NJM523166 NTI523101:NTI523166 ODE523101:ODE523166 ONA523101:ONA523166 OWW523101:OWW523166 PGS523101:PGS523166 PQO523101:PQO523166 QAK523101:QAK523166 QKG523101:QKG523166 QUC523101:QUC523166 RDY523101:RDY523166 RNU523101:RNU523166 RXQ523101:RXQ523166 SHM523101:SHM523166 SRI523101:SRI523166 TBE523101:TBE523166 TLA523101:TLA523166 TUW523101:TUW523166 UES523101:UES523166 UOO523101:UOO523166 UYK523101:UYK523166 VIG523101:VIG523166 VSC523101:VSC523166 WBY523101:WBY523166 WLU523101:WLU523166 WVQ523101:WVQ523166 I588637:I588702 JE588637:JE588702 TA588637:TA588702 ACW588637:ACW588702 AMS588637:AMS588702 AWO588637:AWO588702 BGK588637:BGK588702 BQG588637:BQG588702 CAC588637:CAC588702 CJY588637:CJY588702 CTU588637:CTU588702 DDQ588637:DDQ588702 DNM588637:DNM588702 DXI588637:DXI588702 EHE588637:EHE588702 ERA588637:ERA588702 FAW588637:FAW588702 FKS588637:FKS588702 FUO588637:FUO588702 GEK588637:GEK588702 GOG588637:GOG588702 GYC588637:GYC588702 HHY588637:HHY588702 HRU588637:HRU588702 IBQ588637:IBQ588702 ILM588637:ILM588702 IVI588637:IVI588702 JFE588637:JFE588702 JPA588637:JPA588702 JYW588637:JYW588702 KIS588637:KIS588702 KSO588637:KSO588702 LCK588637:LCK588702 LMG588637:LMG588702 LWC588637:LWC588702 MFY588637:MFY588702 MPU588637:MPU588702 MZQ588637:MZQ588702 NJM588637:NJM588702 NTI588637:NTI588702 ODE588637:ODE588702 ONA588637:ONA588702 OWW588637:OWW588702 PGS588637:PGS588702 PQO588637:PQO588702 QAK588637:QAK588702 QKG588637:QKG588702 QUC588637:QUC588702 RDY588637:RDY588702 RNU588637:RNU588702 RXQ588637:RXQ588702 SHM588637:SHM588702 SRI588637:SRI588702 TBE588637:TBE588702 TLA588637:TLA588702 TUW588637:TUW588702 UES588637:UES588702 UOO588637:UOO588702 UYK588637:UYK588702 VIG588637:VIG588702 VSC588637:VSC588702 WBY588637:WBY588702 WLU588637:WLU588702 WVQ588637:WVQ588702 I654173:I654238 JE654173:JE654238 TA654173:TA654238 ACW654173:ACW654238 AMS654173:AMS654238 AWO654173:AWO654238 BGK654173:BGK654238 BQG654173:BQG654238 CAC654173:CAC654238 CJY654173:CJY654238 CTU654173:CTU654238 DDQ654173:DDQ654238 DNM654173:DNM654238 DXI654173:DXI654238 EHE654173:EHE654238 ERA654173:ERA654238 FAW654173:FAW654238 FKS654173:FKS654238 FUO654173:FUO654238 GEK654173:GEK654238 GOG654173:GOG654238 GYC654173:GYC654238 HHY654173:HHY654238 HRU654173:HRU654238 IBQ654173:IBQ654238 ILM654173:ILM654238 IVI654173:IVI654238 JFE654173:JFE654238 JPA654173:JPA654238 JYW654173:JYW654238 KIS654173:KIS654238 KSO654173:KSO654238 LCK654173:LCK654238 LMG654173:LMG654238 LWC654173:LWC654238 MFY654173:MFY654238 MPU654173:MPU654238 MZQ654173:MZQ654238 NJM654173:NJM654238 NTI654173:NTI654238 ODE654173:ODE654238 ONA654173:ONA654238 OWW654173:OWW654238 PGS654173:PGS654238 PQO654173:PQO654238 QAK654173:QAK654238 QKG654173:QKG654238 QUC654173:QUC654238 RDY654173:RDY654238 RNU654173:RNU654238 RXQ654173:RXQ654238 SHM654173:SHM654238 SRI654173:SRI654238 TBE654173:TBE654238 TLA654173:TLA654238 TUW654173:TUW654238 UES654173:UES654238 UOO654173:UOO654238 UYK654173:UYK654238 VIG654173:VIG654238 VSC654173:VSC654238 WBY654173:WBY654238 WLU654173:WLU654238 WVQ654173:WVQ654238 I719709:I719774 JE719709:JE719774 TA719709:TA719774 ACW719709:ACW719774 AMS719709:AMS719774 AWO719709:AWO719774 BGK719709:BGK719774 BQG719709:BQG719774 CAC719709:CAC719774 CJY719709:CJY719774 CTU719709:CTU719774 DDQ719709:DDQ719774 DNM719709:DNM719774 DXI719709:DXI719774 EHE719709:EHE719774 ERA719709:ERA719774 FAW719709:FAW719774 FKS719709:FKS719774 FUO719709:FUO719774 GEK719709:GEK719774 GOG719709:GOG719774 GYC719709:GYC719774 HHY719709:HHY719774 HRU719709:HRU719774 IBQ719709:IBQ719774 ILM719709:ILM719774 IVI719709:IVI719774 JFE719709:JFE719774 JPA719709:JPA719774 JYW719709:JYW719774 KIS719709:KIS719774 KSO719709:KSO719774 LCK719709:LCK719774 LMG719709:LMG719774 LWC719709:LWC719774 MFY719709:MFY719774 MPU719709:MPU719774 MZQ719709:MZQ719774 NJM719709:NJM719774 NTI719709:NTI719774 ODE719709:ODE719774 ONA719709:ONA719774 OWW719709:OWW719774 PGS719709:PGS719774 PQO719709:PQO719774 QAK719709:QAK719774 QKG719709:QKG719774 QUC719709:QUC719774 RDY719709:RDY719774 RNU719709:RNU719774 RXQ719709:RXQ719774 SHM719709:SHM719774 SRI719709:SRI719774 TBE719709:TBE719774 TLA719709:TLA719774 TUW719709:TUW719774 UES719709:UES719774 UOO719709:UOO719774 UYK719709:UYK719774 VIG719709:VIG719774 VSC719709:VSC719774 WBY719709:WBY719774 WLU719709:WLU719774 WVQ719709:WVQ719774 I785245:I785310 JE785245:JE785310 TA785245:TA785310 ACW785245:ACW785310 AMS785245:AMS785310 AWO785245:AWO785310 BGK785245:BGK785310 BQG785245:BQG785310 CAC785245:CAC785310 CJY785245:CJY785310 CTU785245:CTU785310 DDQ785245:DDQ785310 DNM785245:DNM785310 DXI785245:DXI785310 EHE785245:EHE785310 ERA785245:ERA785310 FAW785245:FAW785310 FKS785245:FKS785310 FUO785245:FUO785310 GEK785245:GEK785310 GOG785245:GOG785310 GYC785245:GYC785310 HHY785245:HHY785310 HRU785245:HRU785310 IBQ785245:IBQ785310 ILM785245:ILM785310 IVI785245:IVI785310 JFE785245:JFE785310 JPA785245:JPA785310 JYW785245:JYW785310 KIS785245:KIS785310 KSO785245:KSO785310 LCK785245:LCK785310 LMG785245:LMG785310 LWC785245:LWC785310 MFY785245:MFY785310 MPU785245:MPU785310 MZQ785245:MZQ785310 NJM785245:NJM785310 NTI785245:NTI785310 ODE785245:ODE785310 ONA785245:ONA785310 OWW785245:OWW785310 PGS785245:PGS785310 PQO785245:PQO785310 QAK785245:QAK785310 QKG785245:QKG785310 QUC785245:QUC785310 RDY785245:RDY785310 RNU785245:RNU785310 RXQ785245:RXQ785310 SHM785245:SHM785310 SRI785245:SRI785310 TBE785245:TBE785310 TLA785245:TLA785310 TUW785245:TUW785310 UES785245:UES785310 UOO785245:UOO785310 UYK785245:UYK785310 VIG785245:VIG785310 VSC785245:VSC785310 WBY785245:WBY785310 WLU785245:WLU785310 WVQ785245:WVQ785310 I850781:I850846 JE850781:JE850846 TA850781:TA850846 ACW850781:ACW850846 AMS850781:AMS850846 AWO850781:AWO850846 BGK850781:BGK850846 BQG850781:BQG850846 CAC850781:CAC850846 CJY850781:CJY850846 CTU850781:CTU850846 DDQ850781:DDQ850846 DNM850781:DNM850846 DXI850781:DXI850846 EHE850781:EHE850846 ERA850781:ERA850846 FAW850781:FAW850846 FKS850781:FKS850846 FUO850781:FUO850846 GEK850781:GEK850846 GOG850781:GOG850846 GYC850781:GYC850846 HHY850781:HHY850846 HRU850781:HRU850846 IBQ850781:IBQ850846 ILM850781:ILM850846 IVI850781:IVI850846 JFE850781:JFE850846 JPA850781:JPA850846 JYW850781:JYW850846 KIS850781:KIS850846 KSO850781:KSO850846 LCK850781:LCK850846 LMG850781:LMG850846 LWC850781:LWC850846 MFY850781:MFY850846 MPU850781:MPU850846 MZQ850781:MZQ850846 NJM850781:NJM850846 NTI850781:NTI850846 ODE850781:ODE850846 ONA850781:ONA850846 OWW850781:OWW850846 PGS850781:PGS850846 PQO850781:PQO850846 QAK850781:QAK850846 QKG850781:QKG850846 QUC850781:QUC850846 RDY850781:RDY850846 RNU850781:RNU850846 RXQ850781:RXQ850846 SHM850781:SHM850846 SRI850781:SRI850846 TBE850781:TBE850846 TLA850781:TLA850846 TUW850781:TUW850846 UES850781:UES850846 UOO850781:UOO850846 UYK850781:UYK850846 VIG850781:VIG850846 VSC850781:VSC850846 WBY850781:WBY850846 WLU850781:WLU850846 WVQ850781:WVQ850846 I916317:I916382 JE916317:JE916382 TA916317:TA916382 ACW916317:ACW916382 AMS916317:AMS916382 AWO916317:AWO916382 BGK916317:BGK916382 BQG916317:BQG916382 CAC916317:CAC916382 CJY916317:CJY916382 CTU916317:CTU916382 DDQ916317:DDQ916382 DNM916317:DNM916382 DXI916317:DXI916382 EHE916317:EHE916382 ERA916317:ERA916382 FAW916317:FAW916382 FKS916317:FKS916382 FUO916317:FUO916382 GEK916317:GEK916382 GOG916317:GOG916382 GYC916317:GYC916382 HHY916317:HHY916382 HRU916317:HRU916382 IBQ916317:IBQ916382 ILM916317:ILM916382 IVI916317:IVI916382 JFE916317:JFE916382 JPA916317:JPA916382 JYW916317:JYW916382 KIS916317:KIS916382 KSO916317:KSO916382 LCK916317:LCK916382 LMG916317:LMG916382 LWC916317:LWC916382 MFY916317:MFY916382 MPU916317:MPU916382 MZQ916317:MZQ916382 NJM916317:NJM916382 NTI916317:NTI916382 ODE916317:ODE916382 ONA916317:ONA916382 OWW916317:OWW916382 PGS916317:PGS916382 PQO916317:PQO916382 QAK916317:QAK916382 QKG916317:QKG916382 QUC916317:QUC916382 RDY916317:RDY916382 RNU916317:RNU916382 RXQ916317:RXQ916382 SHM916317:SHM916382 SRI916317:SRI916382 TBE916317:TBE916382 TLA916317:TLA916382 TUW916317:TUW916382 UES916317:UES916382 UOO916317:UOO916382 UYK916317:UYK916382 VIG916317:VIG916382 VSC916317:VSC916382 WBY916317:WBY916382 WLU916317:WLU916382 WVQ916317:WVQ916382 I981853:I981918 JE981853:JE981918 TA981853:TA981918 ACW981853:ACW981918 AMS981853:AMS981918 AWO981853:AWO981918 BGK981853:BGK981918 BQG981853:BQG981918 CAC981853:CAC981918 CJY981853:CJY981918 CTU981853:CTU981918 DDQ981853:DDQ981918 DNM981853:DNM981918 DXI981853:DXI981918 EHE981853:EHE981918 ERA981853:ERA981918 FAW981853:FAW981918 FKS981853:FKS981918 FUO981853:FUO981918 GEK981853:GEK981918 GOG981853:GOG981918 GYC981853:GYC981918 HHY981853:HHY981918 HRU981853:HRU981918 IBQ981853:IBQ981918 ILM981853:ILM981918 IVI981853:IVI981918 JFE981853:JFE981918 JPA981853:JPA981918 JYW981853:JYW981918 KIS981853:KIS981918 KSO981853:KSO981918 LCK981853:LCK981918 LMG981853:LMG981918 LWC981853:LWC981918 MFY981853:MFY981918 MPU981853:MPU981918 MZQ981853:MZQ981918 NJM981853:NJM981918 NTI981853:NTI981918 ODE981853:ODE981918 ONA981853:ONA981918 OWW981853:OWW981918 PGS981853:PGS981918 PQO981853:PQO981918 QAK981853:QAK981918 QKG981853:QKG981918 QUC981853:QUC981918 RDY981853:RDY981918 RNU981853:RNU981918 RXQ981853:RXQ981918 SHM981853:SHM981918 SRI981853:SRI981918 TBE981853:TBE981918 TLA981853:TLA981918 TUW981853:TUW981918 UES981853:UES981918 UOO981853:UOO981918 UYK981853:UYK981918 VIG981853:VIG981918 VSC981853:VSC981918 WBY981853:WBY981918 WLU981853:WLU981918 WVQ981853:WVQ981918 I1047389:I1047454 JE1047389:JE1047454 TA1047389:TA1047454 ACW1047389:ACW1047454 AMS1047389:AMS1047454 AWO1047389:AWO1047454 BGK1047389:BGK1047454 BQG1047389:BQG1047454 CAC1047389:CAC1047454 CJY1047389:CJY1047454 CTU1047389:CTU1047454 DDQ1047389:DDQ1047454 DNM1047389:DNM1047454 DXI1047389:DXI1047454 EHE1047389:EHE1047454 ERA1047389:ERA1047454 FAW1047389:FAW1047454 FKS1047389:FKS1047454 FUO1047389:FUO1047454 GEK1047389:GEK1047454 GOG1047389:GOG1047454 GYC1047389:GYC1047454 HHY1047389:HHY1047454 HRU1047389:HRU1047454 IBQ1047389:IBQ1047454 ILM1047389:ILM1047454 IVI1047389:IVI1047454 JFE1047389:JFE1047454 JPA1047389:JPA1047454 JYW1047389:JYW1047454 KIS1047389:KIS1047454 KSO1047389:KSO1047454 LCK1047389:LCK1047454 LMG1047389:LMG1047454 LWC1047389:LWC1047454 MFY1047389:MFY1047454 MPU1047389:MPU1047454 MZQ1047389:MZQ1047454 NJM1047389:NJM1047454 NTI1047389:NTI1047454 ODE1047389:ODE1047454 ONA1047389:ONA1047454 OWW1047389:OWW1047454 PGS1047389:PGS1047454 PQO1047389:PQO1047454 QAK1047389:QAK1047454 QKG1047389:QKG1047454 QUC1047389:QUC1047454 RDY1047389:RDY1047454 RNU1047389:RNU1047454 RXQ1047389:RXQ1047454 SHM1047389:SHM1047454 SRI1047389:SRI1047454 TBE1047389:TBE1047454 TLA1047389:TLA1047454 TUW1047389:TUW1047454 UES1047389:UES1047454 UOO1047389:UOO1047454 UYK1047389:UYK1047454 VIG1047389:VIG1047454 VSC1047389:VSC1047454 WBY1047389:WBY1047454 WLU1047389:WLU1047454 WVQ1047389:WVQ1047454 WVQ983028:WVQ983093 I65524:I65589 JE65524:JE65589 TA65524:TA65589 ACW65524:ACW65589 AMS65524:AMS65589 AWO65524:AWO65589 BGK65524:BGK65589 BQG65524:BQG65589 CAC65524:CAC65589 CJY65524:CJY65589 CTU65524:CTU65589 DDQ65524:DDQ65589 DNM65524:DNM65589 DXI65524:DXI65589 EHE65524:EHE65589 ERA65524:ERA65589 FAW65524:FAW65589 FKS65524:FKS65589 FUO65524:FUO65589 GEK65524:GEK65589 GOG65524:GOG65589 GYC65524:GYC65589 HHY65524:HHY65589 HRU65524:HRU65589 IBQ65524:IBQ65589 ILM65524:ILM65589 IVI65524:IVI65589 JFE65524:JFE65589 JPA65524:JPA65589 JYW65524:JYW65589 KIS65524:KIS65589 KSO65524:KSO65589 LCK65524:LCK65589 LMG65524:LMG65589 LWC65524:LWC65589 MFY65524:MFY65589 MPU65524:MPU65589 MZQ65524:MZQ65589 NJM65524:NJM65589 NTI65524:NTI65589 ODE65524:ODE65589 ONA65524:ONA65589 OWW65524:OWW65589 PGS65524:PGS65589 PQO65524:PQO65589 QAK65524:QAK65589 QKG65524:QKG65589 QUC65524:QUC65589 RDY65524:RDY65589 RNU65524:RNU65589 RXQ65524:RXQ65589 SHM65524:SHM65589 SRI65524:SRI65589 TBE65524:TBE65589 TLA65524:TLA65589 TUW65524:TUW65589 UES65524:UES65589 UOO65524:UOO65589 UYK65524:UYK65589 VIG65524:VIG65589 VSC65524:VSC65589 WBY65524:WBY65589 WLU65524:WLU65589 WVQ65524:WVQ65589 I131060:I131125 JE131060:JE131125 TA131060:TA131125 ACW131060:ACW131125 AMS131060:AMS131125 AWO131060:AWO131125 BGK131060:BGK131125 BQG131060:BQG131125 CAC131060:CAC131125 CJY131060:CJY131125 CTU131060:CTU131125 DDQ131060:DDQ131125 DNM131060:DNM131125 DXI131060:DXI131125 EHE131060:EHE131125 ERA131060:ERA131125 FAW131060:FAW131125 FKS131060:FKS131125 FUO131060:FUO131125 GEK131060:GEK131125 GOG131060:GOG131125 GYC131060:GYC131125 HHY131060:HHY131125 HRU131060:HRU131125 IBQ131060:IBQ131125 ILM131060:ILM131125 IVI131060:IVI131125 JFE131060:JFE131125 JPA131060:JPA131125 JYW131060:JYW131125 KIS131060:KIS131125 KSO131060:KSO131125 LCK131060:LCK131125 LMG131060:LMG131125 LWC131060:LWC131125 MFY131060:MFY131125 MPU131060:MPU131125 MZQ131060:MZQ131125 NJM131060:NJM131125 NTI131060:NTI131125 ODE131060:ODE131125 ONA131060:ONA131125 OWW131060:OWW131125 PGS131060:PGS131125 PQO131060:PQO131125 QAK131060:QAK131125 QKG131060:QKG131125 QUC131060:QUC131125 RDY131060:RDY131125 RNU131060:RNU131125 RXQ131060:RXQ131125 SHM131060:SHM131125 SRI131060:SRI131125 TBE131060:TBE131125 TLA131060:TLA131125 TUW131060:TUW131125 UES131060:UES131125 UOO131060:UOO131125 UYK131060:UYK131125 VIG131060:VIG131125 VSC131060:VSC131125 WBY131060:WBY131125 WLU131060:WLU131125 WVQ131060:WVQ131125 I196596:I196661 JE196596:JE196661 TA196596:TA196661 ACW196596:ACW196661 AMS196596:AMS196661 AWO196596:AWO196661 BGK196596:BGK196661 BQG196596:BQG196661 CAC196596:CAC196661 CJY196596:CJY196661 CTU196596:CTU196661 DDQ196596:DDQ196661 DNM196596:DNM196661 DXI196596:DXI196661 EHE196596:EHE196661 ERA196596:ERA196661 FAW196596:FAW196661 FKS196596:FKS196661 FUO196596:FUO196661 GEK196596:GEK196661 GOG196596:GOG196661 GYC196596:GYC196661 HHY196596:HHY196661 HRU196596:HRU196661 IBQ196596:IBQ196661 ILM196596:ILM196661 IVI196596:IVI196661 JFE196596:JFE196661 JPA196596:JPA196661 JYW196596:JYW196661 KIS196596:KIS196661 KSO196596:KSO196661 LCK196596:LCK196661 LMG196596:LMG196661 LWC196596:LWC196661 MFY196596:MFY196661 MPU196596:MPU196661 MZQ196596:MZQ196661 NJM196596:NJM196661 NTI196596:NTI196661 ODE196596:ODE196661 ONA196596:ONA196661 OWW196596:OWW196661 PGS196596:PGS196661 PQO196596:PQO196661 QAK196596:QAK196661 QKG196596:QKG196661 QUC196596:QUC196661 RDY196596:RDY196661 RNU196596:RNU196661 RXQ196596:RXQ196661 SHM196596:SHM196661 SRI196596:SRI196661 TBE196596:TBE196661 TLA196596:TLA196661 TUW196596:TUW196661 UES196596:UES196661 UOO196596:UOO196661 UYK196596:UYK196661 VIG196596:VIG196661 VSC196596:VSC196661 WBY196596:WBY196661 WLU196596:WLU196661 WVQ196596:WVQ196661 I262132:I262197 JE262132:JE262197 TA262132:TA262197 ACW262132:ACW262197 AMS262132:AMS262197 AWO262132:AWO262197 BGK262132:BGK262197 BQG262132:BQG262197 CAC262132:CAC262197 CJY262132:CJY262197 CTU262132:CTU262197 DDQ262132:DDQ262197 DNM262132:DNM262197 DXI262132:DXI262197 EHE262132:EHE262197 ERA262132:ERA262197 FAW262132:FAW262197 FKS262132:FKS262197 FUO262132:FUO262197 GEK262132:GEK262197 GOG262132:GOG262197 GYC262132:GYC262197 HHY262132:HHY262197 HRU262132:HRU262197 IBQ262132:IBQ262197 ILM262132:ILM262197 IVI262132:IVI262197 JFE262132:JFE262197 JPA262132:JPA262197 JYW262132:JYW262197 KIS262132:KIS262197 KSO262132:KSO262197 LCK262132:LCK262197 LMG262132:LMG262197 LWC262132:LWC262197 MFY262132:MFY262197 MPU262132:MPU262197 MZQ262132:MZQ262197 NJM262132:NJM262197 NTI262132:NTI262197 ODE262132:ODE262197 ONA262132:ONA262197 OWW262132:OWW262197 PGS262132:PGS262197 PQO262132:PQO262197 QAK262132:QAK262197 QKG262132:QKG262197 QUC262132:QUC262197 RDY262132:RDY262197 RNU262132:RNU262197 RXQ262132:RXQ262197 SHM262132:SHM262197 SRI262132:SRI262197 TBE262132:TBE262197 TLA262132:TLA262197 TUW262132:TUW262197 UES262132:UES262197 UOO262132:UOO262197 UYK262132:UYK262197 VIG262132:VIG262197 VSC262132:VSC262197 WBY262132:WBY262197 WLU262132:WLU262197 WVQ262132:WVQ262197 I327668:I327733 JE327668:JE327733 TA327668:TA327733 ACW327668:ACW327733 AMS327668:AMS327733 AWO327668:AWO327733 BGK327668:BGK327733 BQG327668:BQG327733 CAC327668:CAC327733 CJY327668:CJY327733 CTU327668:CTU327733 DDQ327668:DDQ327733 DNM327668:DNM327733 DXI327668:DXI327733 EHE327668:EHE327733 ERA327668:ERA327733 FAW327668:FAW327733 FKS327668:FKS327733 FUO327668:FUO327733 GEK327668:GEK327733 GOG327668:GOG327733 GYC327668:GYC327733 HHY327668:HHY327733 HRU327668:HRU327733 IBQ327668:IBQ327733 ILM327668:ILM327733 IVI327668:IVI327733 JFE327668:JFE327733 JPA327668:JPA327733 JYW327668:JYW327733 KIS327668:KIS327733 KSO327668:KSO327733 LCK327668:LCK327733 LMG327668:LMG327733 LWC327668:LWC327733 MFY327668:MFY327733 MPU327668:MPU327733 MZQ327668:MZQ327733 NJM327668:NJM327733 NTI327668:NTI327733 ODE327668:ODE327733 ONA327668:ONA327733 OWW327668:OWW327733 PGS327668:PGS327733 PQO327668:PQO327733 QAK327668:QAK327733 QKG327668:QKG327733 QUC327668:QUC327733 RDY327668:RDY327733 RNU327668:RNU327733 RXQ327668:RXQ327733 SHM327668:SHM327733 SRI327668:SRI327733 TBE327668:TBE327733 TLA327668:TLA327733 TUW327668:TUW327733 UES327668:UES327733 UOO327668:UOO327733 UYK327668:UYK327733 VIG327668:VIG327733 VSC327668:VSC327733 WBY327668:WBY327733 WLU327668:WLU327733 WVQ327668:WVQ327733 I393204:I393269 JE393204:JE393269 TA393204:TA393269 ACW393204:ACW393269 AMS393204:AMS393269 AWO393204:AWO393269 BGK393204:BGK393269 BQG393204:BQG393269 CAC393204:CAC393269 CJY393204:CJY393269 CTU393204:CTU393269 DDQ393204:DDQ393269 DNM393204:DNM393269 DXI393204:DXI393269 EHE393204:EHE393269 ERA393204:ERA393269 FAW393204:FAW393269 FKS393204:FKS393269 FUO393204:FUO393269 GEK393204:GEK393269 GOG393204:GOG393269 GYC393204:GYC393269 HHY393204:HHY393269 HRU393204:HRU393269 IBQ393204:IBQ393269 ILM393204:ILM393269 IVI393204:IVI393269 JFE393204:JFE393269 JPA393204:JPA393269 JYW393204:JYW393269 KIS393204:KIS393269 KSO393204:KSO393269 LCK393204:LCK393269 LMG393204:LMG393269 LWC393204:LWC393269 MFY393204:MFY393269 MPU393204:MPU393269 MZQ393204:MZQ393269 NJM393204:NJM393269 NTI393204:NTI393269 ODE393204:ODE393269 ONA393204:ONA393269 OWW393204:OWW393269 PGS393204:PGS393269 PQO393204:PQO393269 QAK393204:QAK393269 QKG393204:QKG393269 QUC393204:QUC393269 RDY393204:RDY393269 RNU393204:RNU393269 RXQ393204:RXQ393269 SHM393204:SHM393269 SRI393204:SRI393269 TBE393204:TBE393269 TLA393204:TLA393269 TUW393204:TUW393269 UES393204:UES393269 UOO393204:UOO393269 UYK393204:UYK393269 VIG393204:VIG393269 VSC393204:VSC393269 WBY393204:WBY393269 WLU393204:WLU393269 WVQ393204:WVQ393269 I458740:I458805 JE458740:JE458805 TA458740:TA458805 ACW458740:ACW458805 AMS458740:AMS458805 AWO458740:AWO458805 BGK458740:BGK458805 BQG458740:BQG458805 CAC458740:CAC458805 CJY458740:CJY458805 CTU458740:CTU458805 DDQ458740:DDQ458805 DNM458740:DNM458805 DXI458740:DXI458805 EHE458740:EHE458805 ERA458740:ERA458805 FAW458740:FAW458805 FKS458740:FKS458805 FUO458740:FUO458805 GEK458740:GEK458805 GOG458740:GOG458805 GYC458740:GYC458805 HHY458740:HHY458805 HRU458740:HRU458805 IBQ458740:IBQ458805 ILM458740:ILM458805 IVI458740:IVI458805 JFE458740:JFE458805 JPA458740:JPA458805 JYW458740:JYW458805 KIS458740:KIS458805 KSO458740:KSO458805 LCK458740:LCK458805 LMG458740:LMG458805 LWC458740:LWC458805 MFY458740:MFY458805 MPU458740:MPU458805 MZQ458740:MZQ458805 NJM458740:NJM458805 NTI458740:NTI458805 ODE458740:ODE458805 ONA458740:ONA458805 OWW458740:OWW458805 PGS458740:PGS458805 PQO458740:PQO458805 QAK458740:QAK458805 QKG458740:QKG458805 QUC458740:QUC458805 RDY458740:RDY458805 RNU458740:RNU458805 RXQ458740:RXQ458805 SHM458740:SHM458805 SRI458740:SRI458805 TBE458740:TBE458805 TLA458740:TLA458805 TUW458740:TUW458805 UES458740:UES458805 UOO458740:UOO458805 UYK458740:UYK458805 VIG458740:VIG458805 VSC458740:VSC458805 WBY458740:WBY458805 WLU458740:WLU458805 WVQ458740:WVQ458805 I524276:I524341 JE524276:JE524341 TA524276:TA524341 ACW524276:ACW524341 AMS524276:AMS524341 AWO524276:AWO524341 BGK524276:BGK524341 BQG524276:BQG524341 CAC524276:CAC524341 CJY524276:CJY524341 CTU524276:CTU524341 DDQ524276:DDQ524341 DNM524276:DNM524341 DXI524276:DXI524341 EHE524276:EHE524341 ERA524276:ERA524341 FAW524276:FAW524341 FKS524276:FKS524341 FUO524276:FUO524341 GEK524276:GEK524341 GOG524276:GOG524341 GYC524276:GYC524341 HHY524276:HHY524341 HRU524276:HRU524341 IBQ524276:IBQ524341 ILM524276:ILM524341 IVI524276:IVI524341 JFE524276:JFE524341 JPA524276:JPA524341 JYW524276:JYW524341 KIS524276:KIS524341 KSO524276:KSO524341 LCK524276:LCK524341 LMG524276:LMG524341 LWC524276:LWC524341 MFY524276:MFY524341 MPU524276:MPU524341 MZQ524276:MZQ524341 NJM524276:NJM524341 NTI524276:NTI524341 ODE524276:ODE524341 ONA524276:ONA524341 OWW524276:OWW524341 PGS524276:PGS524341 PQO524276:PQO524341 QAK524276:QAK524341 QKG524276:QKG524341 QUC524276:QUC524341 RDY524276:RDY524341 RNU524276:RNU524341 RXQ524276:RXQ524341 SHM524276:SHM524341 SRI524276:SRI524341 TBE524276:TBE524341 TLA524276:TLA524341 TUW524276:TUW524341 UES524276:UES524341 UOO524276:UOO524341 UYK524276:UYK524341 VIG524276:VIG524341 VSC524276:VSC524341 WBY524276:WBY524341 WLU524276:WLU524341 WVQ524276:WVQ524341 I589812:I589877 JE589812:JE589877 TA589812:TA589877 ACW589812:ACW589877 AMS589812:AMS589877 AWO589812:AWO589877 BGK589812:BGK589877 BQG589812:BQG589877 CAC589812:CAC589877 CJY589812:CJY589877 CTU589812:CTU589877 DDQ589812:DDQ589877 DNM589812:DNM589877 DXI589812:DXI589877 EHE589812:EHE589877 ERA589812:ERA589877 FAW589812:FAW589877 FKS589812:FKS589877 FUO589812:FUO589877 GEK589812:GEK589877 GOG589812:GOG589877 GYC589812:GYC589877 HHY589812:HHY589877 HRU589812:HRU589877 IBQ589812:IBQ589877 ILM589812:ILM589877 IVI589812:IVI589877 JFE589812:JFE589877 JPA589812:JPA589877 JYW589812:JYW589877 KIS589812:KIS589877 KSO589812:KSO589877 LCK589812:LCK589877 LMG589812:LMG589877 LWC589812:LWC589877 MFY589812:MFY589877 MPU589812:MPU589877 MZQ589812:MZQ589877 NJM589812:NJM589877 NTI589812:NTI589877 ODE589812:ODE589877 ONA589812:ONA589877 OWW589812:OWW589877 PGS589812:PGS589877 PQO589812:PQO589877 QAK589812:QAK589877 QKG589812:QKG589877 QUC589812:QUC589877 RDY589812:RDY589877 RNU589812:RNU589877 RXQ589812:RXQ589877 SHM589812:SHM589877 SRI589812:SRI589877 TBE589812:TBE589877 TLA589812:TLA589877 TUW589812:TUW589877 UES589812:UES589877 UOO589812:UOO589877 UYK589812:UYK589877 VIG589812:VIG589877 VSC589812:VSC589877 WBY589812:WBY589877 WLU589812:WLU589877 WVQ589812:WVQ589877 I655348:I655413 JE655348:JE655413 TA655348:TA655413 ACW655348:ACW655413 AMS655348:AMS655413 AWO655348:AWO655413 BGK655348:BGK655413 BQG655348:BQG655413 CAC655348:CAC655413 CJY655348:CJY655413 CTU655348:CTU655413 DDQ655348:DDQ655413 DNM655348:DNM655413 DXI655348:DXI655413 EHE655348:EHE655413 ERA655348:ERA655413 FAW655348:FAW655413 FKS655348:FKS655413 FUO655348:FUO655413 GEK655348:GEK655413 GOG655348:GOG655413 GYC655348:GYC655413 HHY655348:HHY655413 HRU655348:HRU655413 IBQ655348:IBQ655413 ILM655348:ILM655413 IVI655348:IVI655413 JFE655348:JFE655413 JPA655348:JPA655413 JYW655348:JYW655413 KIS655348:KIS655413 KSO655348:KSO655413 LCK655348:LCK655413 LMG655348:LMG655413 LWC655348:LWC655413 MFY655348:MFY655413 MPU655348:MPU655413 MZQ655348:MZQ655413 NJM655348:NJM655413 NTI655348:NTI655413 ODE655348:ODE655413 ONA655348:ONA655413 OWW655348:OWW655413 PGS655348:PGS655413 PQO655348:PQO655413 QAK655348:QAK655413 QKG655348:QKG655413 QUC655348:QUC655413 RDY655348:RDY655413 RNU655348:RNU655413 RXQ655348:RXQ655413 SHM655348:SHM655413 SRI655348:SRI655413 TBE655348:TBE655413 TLA655348:TLA655413 TUW655348:TUW655413 UES655348:UES655413 UOO655348:UOO655413 UYK655348:UYK655413 VIG655348:VIG655413 VSC655348:VSC655413 WBY655348:WBY655413 WLU655348:WLU655413 WVQ655348:WVQ655413 I720884:I720949 JE720884:JE720949 TA720884:TA720949 ACW720884:ACW720949 AMS720884:AMS720949 AWO720884:AWO720949 BGK720884:BGK720949 BQG720884:BQG720949 CAC720884:CAC720949 CJY720884:CJY720949 CTU720884:CTU720949 DDQ720884:DDQ720949 DNM720884:DNM720949 DXI720884:DXI720949 EHE720884:EHE720949 ERA720884:ERA720949 FAW720884:FAW720949 FKS720884:FKS720949 FUO720884:FUO720949 GEK720884:GEK720949 GOG720884:GOG720949 GYC720884:GYC720949 HHY720884:HHY720949 HRU720884:HRU720949 IBQ720884:IBQ720949 ILM720884:ILM720949 IVI720884:IVI720949 JFE720884:JFE720949 JPA720884:JPA720949 JYW720884:JYW720949 KIS720884:KIS720949 KSO720884:KSO720949 LCK720884:LCK720949 LMG720884:LMG720949 LWC720884:LWC720949 MFY720884:MFY720949 MPU720884:MPU720949 MZQ720884:MZQ720949 NJM720884:NJM720949 NTI720884:NTI720949 ODE720884:ODE720949 ONA720884:ONA720949 OWW720884:OWW720949 PGS720884:PGS720949 PQO720884:PQO720949 QAK720884:QAK720949 QKG720884:QKG720949 QUC720884:QUC720949 RDY720884:RDY720949 RNU720884:RNU720949 RXQ720884:RXQ720949 SHM720884:SHM720949 SRI720884:SRI720949 TBE720884:TBE720949 TLA720884:TLA720949 TUW720884:TUW720949 UES720884:UES720949 UOO720884:UOO720949 UYK720884:UYK720949 VIG720884:VIG720949 VSC720884:VSC720949 WBY720884:WBY720949 WLU720884:WLU720949 WVQ720884:WVQ720949 I786420:I786485 JE786420:JE786485 TA786420:TA786485 ACW786420:ACW786485 AMS786420:AMS786485 AWO786420:AWO786485 BGK786420:BGK786485 BQG786420:BQG786485 CAC786420:CAC786485 CJY786420:CJY786485 CTU786420:CTU786485 DDQ786420:DDQ786485 DNM786420:DNM786485 DXI786420:DXI786485 EHE786420:EHE786485 ERA786420:ERA786485 FAW786420:FAW786485 FKS786420:FKS786485 FUO786420:FUO786485 GEK786420:GEK786485 GOG786420:GOG786485 GYC786420:GYC786485 HHY786420:HHY786485 HRU786420:HRU786485 IBQ786420:IBQ786485 ILM786420:ILM786485 IVI786420:IVI786485 JFE786420:JFE786485 JPA786420:JPA786485 JYW786420:JYW786485 KIS786420:KIS786485 KSO786420:KSO786485 LCK786420:LCK786485 LMG786420:LMG786485 LWC786420:LWC786485 MFY786420:MFY786485 MPU786420:MPU786485 MZQ786420:MZQ786485 NJM786420:NJM786485 NTI786420:NTI786485 ODE786420:ODE786485 ONA786420:ONA786485 OWW786420:OWW786485 PGS786420:PGS786485 PQO786420:PQO786485 QAK786420:QAK786485 QKG786420:QKG786485 QUC786420:QUC786485 RDY786420:RDY786485 RNU786420:RNU786485 RXQ786420:RXQ786485 SHM786420:SHM786485 SRI786420:SRI786485 TBE786420:TBE786485 TLA786420:TLA786485 TUW786420:TUW786485 UES786420:UES786485 UOO786420:UOO786485 UYK786420:UYK786485 VIG786420:VIG786485 VSC786420:VSC786485 WBY786420:WBY786485 WLU786420:WLU786485 WVQ786420:WVQ786485 I851956:I852021 JE851956:JE852021 TA851956:TA852021 ACW851956:ACW852021 AMS851956:AMS852021 AWO851956:AWO852021 BGK851956:BGK852021 BQG851956:BQG852021 CAC851956:CAC852021 CJY851956:CJY852021 CTU851956:CTU852021 DDQ851956:DDQ852021 DNM851956:DNM852021 DXI851956:DXI852021 EHE851956:EHE852021 ERA851956:ERA852021 FAW851956:FAW852021 FKS851956:FKS852021 FUO851956:FUO852021 GEK851956:GEK852021 GOG851956:GOG852021 GYC851956:GYC852021 HHY851956:HHY852021 HRU851956:HRU852021 IBQ851956:IBQ852021 ILM851956:ILM852021 IVI851956:IVI852021 JFE851956:JFE852021 JPA851956:JPA852021 JYW851956:JYW852021 KIS851956:KIS852021 KSO851956:KSO852021 LCK851956:LCK852021 LMG851956:LMG852021 LWC851956:LWC852021 MFY851956:MFY852021 MPU851956:MPU852021 MZQ851956:MZQ852021 NJM851956:NJM852021 NTI851956:NTI852021 ODE851956:ODE852021 ONA851956:ONA852021 OWW851956:OWW852021 PGS851956:PGS852021 PQO851956:PQO852021 QAK851956:QAK852021 QKG851956:QKG852021 QUC851956:QUC852021 RDY851956:RDY852021 RNU851956:RNU852021 RXQ851956:RXQ852021 SHM851956:SHM852021 SRI851956:SRI852021 TBE851956:TBE852021 TLA851956:TLA852021 TUW851956:TUW852021 UES851956:UES852021 UOO851956:UOO852021 UYK851956:UYK852021 VIG851956:VIG852021 VSC851956:VSC852021 WBY851956:WBY852021 WLU851956:WLU852021 WVQ851956:WVQ852021 I917492:I917557 JE917492:JE917557 TA917492:TA917557 ACW917492:ACW917557 AMS917492:AMS917557 AWO917492:AWO917557 BGK917492:BGK917557 BQG917492:BQG917557 CAC917492:CAC917557 CJY917492:CJY917557 CTU917492:CTU917557 DDQ917492:DDQ917557 DNM917492:DNM917557 DXI917492:DXI917557 EHE917492:EHE917557 ERA917492:ERA917557 FAW917492:FAW917557 FKS917492:FKS917557 FUO917492:FUO917557 GEK917492:GEK917557 GOG917492:GOG917557 GYC917492:GYC917557 HHY917492:HHY917557 HRU917492:HRU917557 IBQ917492:IBQ917557 ILM917492:ILM917557 IVI917492:IVI917557 JFE917492:JFE917557 JPA917492:JPA917557 JYW917492:JYW917557 KIS917492:KIS917557 KSO917492:KSO917557 LCK917492:LCK917557 LMG917492:LMG917557 LWC917492:LWC917557 MFY917492:MFY917557 MPU917492:MPU917557 MZQ917492:MZQ917557 NJM917492:NJM917557 NTI917492:NTI917557 ODE917492:ODE917557 ONA917492:ONA917557 OWW917492:OWW917557 PGS917492:PGS917557 PQO917492:PQO917557 QAK917492:QAK917557 QKG917492:QKG917557 QUC917492:QUC917557 RDY917492:RDY917557 RNU917492:RNU917557 RXQ917492:RXQ917557 SHM917492:SHM917557 SRI917492:SRI917557 TBE917492:TBE917557 TLA917492:TLA917557 TUW917492:TUW917557 UES917492:UES917557 UOO917492:UOO917557 UYK917492:UYK917557 VIG917492:VIG917557 VSC917492:VSC917557 WBY917492:WBY917557 WLU917492:WLU917557 WVQ917492:WVQ917557 I983028:I983093 JE983028:JE983093 TA983028:TA983093 ACW983028:ACW983093 AMS983028:AMS983093 AWO983028:AWO983093 BGK983028:BGK983093 BQG983028:BQG983093 CAC983028:CAC983093 CJY983028:CJY983093 CTU983028:CTU983093 DDQ983028:DDQ983093 DNM983028:DNM983093 DXI983028:DXI983093 EHE983028:EHE983093 ERA983028:ERA983093 FAW983028:FAW983093 FKS983028:FKS983093 FUO983028:FUO983093 GEK983028:GEK983093 GOG983028:GOG983093 GYC983028:GYC983093 HHY983028:HHY983093 HRU983028:HRU983093 IBQ983028:IBQ983093 ILM983028:ILM983093 IVI983028:IVI983093 JFE983028:JFE983093 JPA983028:JPA983093 JYW983028:JYW983093 KIS983028:KIS983093 KSO983028:KSO983093 LCK983028:LCK983093 LMG983028:LMG983093 LWC983028:LWC983093 MFY983028:MFY983093 MPU983028:MPU983093 MZQ983028:MZQ983093 NJM983028:NJM983093 NTI983028:NTI983093 ODE983028:ODE983093 ONA983028:ONA983093 OWW983028:OWW983093 PGS983028:PGS983093 PQO983028:PQO983093 QAK983028:QAK983093 QKG983028:QKG983093 QUC983028:QUC983093 RDY983028:RDY983093 RNU983028:RNU983093 RXQ983028:RXQ983093 SHM983028:SHM983093 SRI983028:SRI983093 TBE983028:TBE983093 TLA983028:TLA983093 TUW983028:TUW983093 UES983028:UES983093 UOO983028:UOO983093 UYK983028:UYK983093 VIG983028:VIG983093 VSC983028:VSC983093 WBY983028:WBY983093 WLU983028:WLU983093 I2:I486 ACW2:ACW70 AWO2:AWO70 BGK2:BGK70 BQG2:BQG70 CAC2:CAC70 CJY2:CJY70 CTU2:CTU70 DDQ2:DDQ70 DNM2:DNM70 DXI2:DXI70 EHE2:EHE70 ERA2:ERA70 FAW2:FAW70 FKS2:FKS70 FUO2:FUO70 GEK2:GEK70 GOG2:GOG70 GYC2:GYC70 HHY2:HHY70 HRU2:HRU70 IBQ2:IBQ70 ILM2:ILM70 IVI2:IVI70 JFE2:JFE70 JPA2:JPA70 JYW2:JYW70 KIS2:KIS70 KSO2:KSO70 LCK2:LCK70 LMG2:LMG70 LWC2:LWC70 MFY2:MFY70 MPU2:MPU70 MZQ2:MZQ70 NJM2:NJM70 NTI2:NTI70 ODE2:ODE70 ONA2:ONA70 OWW2:OWW70 PGS2:PGS70 PQO2:PQO70 QAK2:QAK70 QKG2:QKG70 QUC2:QUC70 RDY2:RDY70 RNU2:RNU70 RXQ2:RXQ70 SHM2:SHM70 SRI2:SRI70 TBE2:TBE70 TLA2:TLA70 TUW2:TUW70 UES2:UES70 UOO2:UOO70 UYK2:UYK70 VIG2:VIG70 VSC2:VSC70 WBY2:WBY70 WLU2:WLU70 WVQ2:WVQ70 JE2:JE70 TA2:TA70 AMS2:AMS70">
      <formula1>$AN$5:$AN$6</formula1>
    </dataValidation>
    <dataValidation type="list" allowBlank="1" showInputMessage="1" showErrorMessage="1" sqref="J64349:J64414 JF64349:JF64414 TB64349:TB64414 ACX64349:ACX64414 AMT64349:AMT64414 AWP64349:AWP64414 BGL64349:BGL64414 BQH64349:BQH64414 CAD64349:CAD64414 CJZ64349:CJZ64414 CTV64349:CTV64414 DDR64349:DDR64414 DNN64349:DNN64414 DXJ64349:DXJ64414 EHF64349:EHF64414 ERB64349:ERB64414 FAX64349:FAX64414 FKT64349:FKT64414 FUP64349:FUP64414 GEL64349:GEL64414 GOH64349:GOH64414 GYD64349:GYD64414 HHZ64349:HHZ64414 HRV64349:HRV64414 IBR64349:IBR64414 ILN64349:ILN64414 IVJ64349:IVJ64414 JFF64349:JFF64414 JPB64349:JPB64414 JYX64349:JYX64414 KIT64349:KIT64414 KSP64349:KSP64414 LCL64349:LCL64414 LMH64349:LMH64414 LWD64349:LWD64414 MFZ64349:MFZ64414 MPV64349:MPV64414 MZR64349:MZR64414 NJN64349:NJN64414 NTJ64349:NTJ64414 ODF64349:ODF64414 ONB64349:ONB64414 OWX64349:OWX64414 PGT64349:PGT64414 PQP64349:PQP64414 QAL64349:QAL64414 QKH64349:QKH64414 QUD64349:QUD64414 RDZ64349:RDZ64414 RNV64349:RNV64414 RXR64349:RXR64414 SHN64349:SHN64414 SRJ64349:SRJ64414 TBF64349:TBF64414 TLB64349:TLB64414 TUX64349:TUX64414 UET64349:UET64414 UOP64349:UOP64414 UYL64349:UYL64414 VIH64349:VIH64414 VSD64349:VSD64414 WBZ64349:WBZ64414 WLV64349:WLV64414 WVR64349:WVR64414 J129885:J129950 JF129885:JF129950 TB129885:TB129950 ACX129885:ACX129950 AMT129885:AMT129950 AWP129885:AWP129950 BGL129885:BGL129950 BQH129885:BQH129950 CAD129885:CAD129950 CJZ129885:CJZ129950 CTV129885:CTV129950 DDR129885:DDR129950 DNN129885:DNN129950 DXJ129885:DXJ129950 EHF129885:EHF129950 ERB129885:ERB129950 FAX129885:FAX129950 FKT129885:FKT129950 FUP129885:FUP129950 GEL129885:GEL129950 GOH129885:GOH129950 GYD129885:GYD129950 HHZ129885:HHZ129950 HRV129885:HRV129950 IBR129885:IBR129950 ILN129885:ILN129950 IVJ129885:IVJ129950 JFF129885:JFF129950 JPB129885:JPB129950 JYX129885:JYX129950 KIT129885:KIT129950 KSP129885:KSP129950 LCL129885:LCL129950 LMH129885:LMH129950 LWD129885:LWD129950 MFZ129885:MFZ129950 MPV129885:MPV129950 MZR129885:MZR129950 NJN129885:NJN129950 NTJ129885:NTJ129950 ODF129885:ODF129950 ONB129885:ONB129950 OWX129885:OWX129950 PGT129885:PGT129950 PQP129885:PQP129950 QAL129885:QAL129950 QKH129885:QKH129950 QUD129885:QUD129950 RDZ129885:RDZ129950 RNV129885:RNV129950 RXR129885:RXR129950 SHN129885:SHN129950 SRJ129885:SRJ129950 TBF129885:TBF129950 TLB129885:TLB129950 TUX129885:TUX129950 UET129885:UET129950 UOP129885:UOP129950 UYL129885:UYL129950 VIH129885:VIH129950 VSD129885:VSD129950 WBZ129885:WBZ129950 WLV129885:WLV129950 WVR129885:WVR129950 J195421:J195486 JF195421:JF195486 TB195421:TB195486 ACX195421:ACX195486 AMT195421:AMT195486 AWP195421:AWP195486 BGL195421:BGL195486 BQH195421:BQH195486 CAD195421:CAD195486 CJZ195421:CJZ195486 CTV195421:CTV195486 DDR195421:DDR195486 DNN195421:DNN195486 DXJ195421:DXJ195486 EHF195421:EHF195486 ERB195421:ERB195486 FAX195421:FAX195486 FKT195421:FKT195486 FUP195421:FUP195486 GEL195421:GEL195486 GOH195421:GOH195486 GYD195421:GYD195486 HHZ195421:HHZ195486 HRV195421:HRV195486 IBR195421:IBR195486 ILN195421:ILN195486 IVJ195421:IVJ195486 JFF195421:JFF195486 JPB195421:JPB195486 JYX195421:JYX195486 KIT195421:KIT195486 KSP195421:KSP195486 LCL195421:LCL195486 LMH195421:LMH195486 LWD195421:LWD195486 MFZ195421:MFZ195486 MPV195421:MPV195486 MZR195421:MZR195486 NJN195421:NJN195486 NTJ195421:NTJ195486 ODF195421:ODF195486 ONB195421:ONB195486 OWX195421:OWX195486 PGT195421:PGT195486 PQP195421:PQP195486 QAL195421:QAL195486 QKH195421:QKH195486 QUD195421:QUD195486 RDZ195421:RDZ195486 RNV195421:RNV195486 RXR195421:RXR195486 SHN195421:SHN195486 SRJ195421:SRJ195486 TBF195421:TBF195486 TLB195421:TLB195486 TUX195421:TUX195486 UET195421:UET195486 UOP195421:UOP195486 UYL195421:UYL195486 VIH195421:VIH195486 VSD195421:VSD195486 WBZ195421:WBZ195486 WLV195421:WLV195486 WVR195421:WVR195486 J260957:J261022 JF260957:JF261022 TB260957:TB261022 ACX260957:ACX261022 AMT260957:AMT261022 AWP260957:AWP261022 BGL260957:BGL261022 BQH260957:BQH261022 CAD260957:CAD261022 CJZ260957:CJZ261022 CTV260957:CTV261022 DDR260957:DDR261022 DNN260957:DNN261022 DXJ260957:DXJ261022 EHF260957:EHF261022 ERB260957:ERB261022 FAX260957:FAX261022 FKT260957:FKT261022 FUP260957:FUP261022 GEL260957:GEL261022 GOH260957:GOH261022 GYD260957:GYD261022 HHZ260957:HHZ261022 HRV260957:HRV261022 IBR260957:IBR261022 ILN260957:ILN261022 IVJ260957:IVJ261022 JFF260957:JFF261022 JPB260957:JPB261022 JYX260957:JYX261022 KIT260957:KIT261022 KSP260957:KSP261022 LCL260957:LCL261022 LMH260957:LMH261022 LWD260957:LWD261022 MFZ260957:MFZ261022 MPV260957:MPV261022 MZR260957:MZR261022 NJN260957:NJN261022 NTJ260957:NTJ261022 ODF260957:ODF261022 ONB260957:ONB261022 OWX260957:OWX261022 PGT260957:PGT261022 PQP260957:PQP261022 QAL260957:QAL261022 QKH260957:QKH261022 QUD260957:QUD261022 RDZ260957:RDZ261022 RNV260957:RNV261022 RXR260957:RXR261022 SHN260957:SHN261022 SRJ260957:SRJ261022 TBF260957:TBF261022 TLB260957:TLB261022 TUX260957:TUX261022 UET260957:UET261022 UOP260957:UOP261022 UYL260957:UYL261022 VIH260957:VIH261022 VSD260957:VSD261022 WBZ260957:WBZ261022 WLV260957:WLV261022 WVR260957:WVR261022 J326493:J326558 JF326493:JF326558 TB326493:TB326558 ACX326493:ACX326558 AMT326493:AMT326558 AWP326493:AWP326558 BGL326493:BGL326558 BQH326493:BQH326558 CAD326493:CAD326558 CJZ326493:CJZ326558 CTV326493:CTV326558 DDR326493:DDR326558 DNN326493:DNN326558 DXJ326493:DXJ326558 EHF326493:EHF326558 ERB326493:ERB326558 FAX326493:FAX326558 FKT326493:FKT326558 FUP326493:FUP326558 GEL326493:GEL326558 GOH326493:GOH326558 GYD326493:GYD326558 HHZ326493:HHZ326558 HRV326493:HRV326558 IBR326493:IBR326558 ILN326493:ILN326558 IVJ326493:IVJ326558 JFF326493:JFF326558 JPB326493:JPB326558 JYX326493:JYX326558 KIT326493:KIT326558 KSP326493:KSP326558 LCL326493:LCL326558 LMH326493:LMH326558 LWD326493:LWD326558 MFZ326493:MFZ326558 MPV326493:MPV326558 MZR326493:MZR326558 NJN326493:NJN326558 NTJ326493:NTJ326558 ODF326493:ODF326558 ONB326493:ONB326558 OWX326493:OWX326558 PGT326493:PGT326558 PQP326493:PQP326558 QAL326493:QAL326558 QKH326493:QKH326558 QUD326493:QUD326558 RDZ326493:RDZ326558 RNV326493:RNV326558 RXR326493:RXR326558 SHN326493:SHN326558 SRJ326493:SRJ326558 TBF326493:TBF326558 TLB326493:TLB326558 TUX326493:TUX326558 UET326493:UET326558 UOP326493:UOP326558 UYL326493:UYL326558 VIH326493:VIH326558 VSD326493:VSD326558 WBZ326493:WBZ326558 WLV326493:WLV326558 WVR326493:WVR326558 J392029:J392094 JF392029:JF392094 TB392029:TB392094 ACX392029:ACX392094 AMT392029:AMT392094 AWP392029:AWP392094 BGL392029:BGL392094 BQH392029:BQH392094 CAD392029:CAD392094 CJZ392029:CJZ392094 CTV392029:CTV392094 DDR392029:DDR392094 DNN392029:DNN392094 DXJ392029:DXJ392094 EHF392029:EHF392094 ERB392029:ERB392094 FAX392029:FAX392094 FKT392029:FKT392094 FUP392029:FUP392094 GEL392029:GEL392094 GOH392029:GOH392094 GYD392029:GYD392094 HHZ392029:HHZ392094 HRV392029:HRV392094 IBR392029:IBR392094 ILN392029:ILN392094 IVJ392029:IVJ392094 JFF392029:JFF392094 JPB392029:JPB392094 JYX392029:JYX392094 KIT392029:KIT392094 KSP392029:KSP392094 LCL392029:LCL392094 LMH392029:LMH392094 LWD392029:LWD392094 MFZ392029:MFZ392094 MPV392029:MPV392094 MZR392029:MZR392094 NJN392029:NJN392094 NTJ392029:NTJ392094 ODF392029:ODF392094 ONB392029:ONB392094 OWX392029:OWX392094 PGT392029:PGT392094 PQP392029:PQP392094 QAL392029:QAL392094 QKH392029:QKH392094 QUD392029:QUD392094 RDZ392029:RDZ392094 RNV392029:RNV392094 RXR392029:RXR392094 SHN392029:SHN392094 SRJ392029:SRJ392094 TBF392029:TBF392094 TLB392029:TLB392094 TUX392029:TUX392094 UET392029:UET392094 UOP392029:UOP392094 UYL392029:UYL392094 VIH392029:VIH392094 VSD392029:VSD392094 WBZ392029:WBZ392094 WLV392029:WLV392094 WVR392029:WVR392094 J457565:J457630 JF457565:JF457630 TB457565:TB457630 ACX457565:ACX457630 AMT457565:AMT457630 AWP457565:AWP457630 BGL457565:BGL457630 BQH457565:BQH457630 CAD457565:CAD457630 CJZ457565:CJZ457630 CTV457565:CTV457630 DDR457565:DDR457630 DNN457565:DNN457630 DXJ457565:DXJ457630 EHF457565:EHF457630 ERB457565:ERB457630 FAX457565:FAX457630 FKT457565:FKT457630 FUP457565:FUP457630 GEL457565:GEL457630 GOH457565:GOH457630 GYD457565:GYD457630 HHZ457565:HHZ457630 HRV457565:HRV457630 IBR457565:IBR457630 ILN457565:ILN457630 IVJ457565:IVJ457630 JFF457565:JFF457630 JPB457565:JPB457630 JYX457565:JYX457630 KIT457565:KIT457630 KSP457565:KSP457630 LCL457565:LCL457630 LMH457565:LMH457630 LWD457565:LWD457630 MFZ457565:MFZ457630 MPV457565:MPV457630 MZR457565:MZR457630 NJN457565:NJN457630 NTJ457565:NTJ457630 ODF457565:ODF457630 ONB457565:ONB457630 OWX457565:OWX457630 PGT457565:PGT457630 PQP457565:PQP457630 QAL457565:QAL457630 QKH457565:QKH457630 QUD457565:QUD457630 RDZ457565:RDZ457630 RNV457565:RNV457630 RXR457565:RXR457630 SHN457565:SHN457630 SRJ457565:SRJ457630 TBF457565:TBF457630 TLB457565:TLB457630 TUX457565:TUX457630 UET457565:UET457630 UOP457565:UOP457630 UYL457565:UYL457630 VIH457565:VIH457630 VSD457565:VSD457630 WBZ457565:WBZ457630 WLV457565:WLV457630 WVR457565:WVR457630 J523101:J523166 JF523101:JF523166 TB523101:TB523166 ACX523101:ACX523166 AMT523101:AMT523166 AWP523101:AWP523166 BGL523101:BGL523166 BQH523101:BQH523166 CAD523101:CAD523166 CJZ523101:CJZ523166 CTV523101:CTV523166 DDR523101:DDR523166 DNN523101:DNN523166 DXJ523101:DXJ523166 EHF523101:EHF523166 ERB523101:ERB523166 FAX523101:FAX523166 FKT523101:FKT523166 FUP523101:FUP523166 GEL523101:GEL523166 GOH523101:GOH523166 GYD523101:GYD523166 HHZ523101:HHZ523166 HRV523101:HRV523166 IBR523101:IBR523166 ILN523101:ILN523166 IVJ523101:IVJ523166 JFF523101:JFF523166 JPB523101:JPB523166 JYX523101:JYX523166 KIT523101:KIT523166 KSP523101:KSP523166 LCL523101:LCL523166 LMH523101:LMH523166 LWD523101:LWD523166 MFZ523101:MFZ523166 MPV523101:MPV523166 MZR523101:MZR523166 NJN523101:NJN523166 NTJ523101:NTJ523166 ODF523101:ODF523166 ONB523101:ONB523166 OWX523101:OWX523166 PGT523101:PGT523166 PQP523101:PQP523166 QAL523101:QAL523166 QKH523101:QKH523166 QUD523101:QUD523166 RDZ523101:RDZ523166 RNV523101:RNV523166 RXR523101:RXR523166 SHN523101:SHN523166 SRJ523101:SRJ523166 TBF523101:TBF523166 TLB523101:TLB523166 TUX523101:TUX523166 UET523101:UET523166 UOP523101:UOP523166 UYL523101:UYL523166 VIH523101:VIH523166 VSD523101:VSD523166 WBZ523101:WBZ523166 WLV523101:WLV523166 WVR523101:WVR523166 J588637:J588702 JF588637:JF588702 TB588637:TB588702 ACX588637:ACX588702 AMT588637:AMT588702 AWP588637:AWP588702 BGL588637:BGL588702 BQH588637:BQH588702 CAD588637:CAD588702 CJZ588637:CJZ588702 CTV588637:CTV588702 DDR588637:DDR588702 DNN588637:DNN588702 DXJ588637:DXJ588702 EHF588637:EHF588702 ERB588637:ERB588702 FAX588637:FAX588702 FKT588637:FKT588702 FUP588637:FUP588702 GEL588637:GEL588702 GOH588637:GOH588702 GYD588637:GYD588702 HHZ588637:HHZ588702 HRV588637:HRV588702 IBR588637:IBR588702 ILN588637:ILN588702 IVJ588637:IVJ588702 JFF588637:JFF588702 JPB588637:JPB588702 JYX588637:JYX588702 KIT588637:KIT588702 KSP588637:KSP588702 LCL588637:LCL588702 LMH588637:LMH588702 LWD588637:LWD588702 MFZ588637:MFZ588702 MPV588637:MPV588702 MZR588637:MZR588702 NJN588637:NJN588702 NTJ588637:NTJ588702 ODF588637:ODF588702 ONB588637:ONB588702 OWX588637:OWX588702 PGT588637:PGT588702 PQP588637:PQP588702 QAL588637:QAL588702 QKH588637:QKH588702 QUD588637:QUD588702 RDZ588637:RDZ588702 RNV588637:RNV588702 RXR588637:RXR588702 SHN588637:SHN588702 SRJ588637:SRJ588702 TBF588637:TBF588702 TLB588637:TLB588702 TUX588637:TUX588702 UET588637:UET588702 UOP588637:UOP588702 UYL588637:UYL588702 VIH588637:VIH588702 VSD588637:VSD588702 WBZ588637:WBZ588702 WLV588637:WLV588702 WVR588637:WVR588702 J654173:J654238 JF654173:JF654238 TB654173:TB654238 ACX654173:ACX654238 AMT654173:AMT654238 AWP654173:AWP654238 BGL654173:BGL654238 BQH654173:BQH654238 CAD654173:CAD654238 CJZ654173:CJZ654238 CTV654173:CTV654238 DDR654173:DDR654238 DNN654173:DNN654238 DXJ654173:DXJ654238 EHF654173:EHF654238 ERB654173:ERB654238 FAX654173:FAX654238 FKT654173:FKT654238 FUP654173:FUP654238 GEL654173:GEL654238 GOH654173:GOH654238 GYD654173:GYD654238 HHZ654173:HHZ654238 HRV654173:HRV654238 IBR654173:IBR654238 ILN654173:ILN654238 IVJ654173:IVJ654238 JFF654173:JFF654238 JPB654173:JPB654238 JYX654173:JYX654238 KIT654173:KIT654238 KSP654173:KSP654238 LCL654173:LCL654238 LMH654173:LMH654238 LWD654173:LWD654238 MFZ654173:MFZ654238 MPV654173:MPV654238 MZR654173:MZR654238 NJN654173:NJN654238 NTJ654173:NTJ654238 ODF654173:ODF654238 ONB654173:ONB654238 OWX654173:OWX654238 PGT654173:PGT654238 PQP654173:PQP654238 QAL654173:QAL654238 QKH654173:QKH654238 QUD654173:QUD654238 RDZ654173:RDZ654238 RNV654173:RNV654238 RXR654173:RXR654238 SHN654173:SHN654238 SRJ654173:SRJ654238 TBF654173:TBF654238 TLB654173:TLB654238 TUX654173:TUX654238 UET654173:UET654238 UOP654173:UOP654238 UYL654173:UYL654238 VIH654173:VIH654238 VSD654173:VSD654238 WBZ654173:WBZ654238 WLV654173:WLV654238 WVR654173:WVR654238 J719709:J719774 JF719709:JF719774 TB719709:TB719774 ACX719709:ACX719774 AMT719709:AMT719774 AWP719709:AWP719774 BGL719709:BGL719774 BQH719709:BQH719774 CAD719709:CAD719774 CJZ719709:CJZ719774 CTV719709:CTV719774 DDR719709:DDR719774 DNN719709:DNN719774 DXJ719709:DXJ719774 EHF719709:EHF719774 ERB719709:ERB719774 FAX719709:FAX719774 FKT719709:FKT719774 FUP719709:FUP719774 GEL719709:GEL719774 GOH719709:GOH719774 GYD719709:GYD719774 HHZ719709:HHZ719774 HRV719709:HRV719774 IBR719709:IBR719774 ILN719709:ILN719774 IVJ719709:IVJ719774 JFF719709:JFF719774 JPB719709:JPB719774 JYX719709:JYX719774 KIT719709:KIT719774 KSP719709:KSP719774 LCL719709:LCL719774 LMH719709:LMH719774 LWD719709:LWD719774 MFZ719709:MFZ719774 MPV719709:MPV719774 MZR719709:MZR719774 NJN719709:NJN719774 NTJ719709:NTJ719774 ODF719709:ODF719774 ONB719709:ONB719774 OWX719709:OWX719774 PGT719709:PGT719774 PQP719709:PQP719774 QAL719709:QAL719774 QKH719709:QKH719774 QUD719709:QUD719774 RDZ719709:RDZ719774 RNV719709:RNV719774 RXR719709:RXR719774 SHN719709:SHN719774 SRJ719709:SRJ719774 TBF719709:TBF719774 TLB719709:TLB719774 TUX719709:TUX719774 UET719709:UET719774 UOP719709:UOP719774 UYL719709:UYL719774 VIH719709:VIH719774 VSD719709:VSD719774 WBZ719709:WBZ719774 WLV719709:WLV719774 WVR719709:WVR719774 J785245:J785310 JF785245:JF785310 TB785245:TB785310 ACX785245:ACX785310 AMT785245:AMT785310 AWP785245:AWP785310 BGL785245:BGL785310 BQH785245:BQH785310 CAD785245:CAD785310 CJZ785245:CJZ785310 CTV785245:CTV785310 DDR785245:DDR785310 DNN785245:DNN785310 DXJ785245:DXJ785310 EHF785245:EHF785310 ERB785245:ERB785310 FAX785245:FAX785310 FKT785245:FKT785310 FUP785245:FUP785310 GEL785245:GEL785310 GOH785245:GOH785310 GYD785245:GYD785310 HHZ785245:HHZ785310 HRV785245:HRV785310 IBR785245:IBR785310 ILN785245:ILN785310 IVJ785245:IVJ785310 JFF785245:JFF785310 JPB785245:JPB785310 JYX785245:JYX785310 KIT785245:KIT785310 KSP785245:KSP785310 LCL785245:LCL785310 LMH785245:LMH785310 LWD785245:LWD785310 MFZ785245:MFZ785310 MPV785245:MPV785310 MZR785245:MZR785310 NJN785245:NJN785310 NTJ785245:NTJ785310 ODF785245:ODF785310 ONB785245:ONB785310 OWX785245:OWX785310 PGT785245:PGT785310 PQP785245:PQP785310 QAL785245:QAL785310 QKH785245:QKH785310 QUD785245:QUD785310 RDZ785245:RDZ785310 RNV785245:RNV785310 RXR785245:RXR785310 SHN785245:SHN785310 SRJ785245:SRJ785310 TBF785245:TBF785310 TLB785245:TLB785310 TUX785245:TUX785310 UET785245:UET785310 UOP785245:UOP785310 UYL785245:UYL785310 VIH785245:VIH785310 VSD785245:VSD785310 WBZ785245:WBZ785310 WLV785245:WLV785310 WVR785245:WVR785310 J850781:J850846 JF850781:JF850846 TB850781:TB850846 ACX850781:ACX850846 AMT850781:AMT850846 AWP850781:AWP850846 BGL850781:BGL850846 BQH850781:BQH850846 CAD850781:CAD850846 CJZ850781:CJZ850846 CTV850781:CTV850846 DDR850781:DDR850846 DNN850781:DNN850846 DXJ850781:DXJ850846 EHF850781:EHF850846 ERB850781:ERB850846 FAX850781:FAX850846 FKT850781:FKT850846 FUP850781:FUP850846 GEL850781:GEL850846 GOH850781:GOH850846 GYD850781:GYD850846 HHZ850781:HHZ850846 HRV850781:HRV850846 IBR850781:IBR850846 ILN850781:ILN850846 IVJ850781:IVJ850846 JFF850781:JFF850846 JPB850781:JPB850846 JYX850781:JYX850846 KIT850781:KIT850846 KSP850781:KSP850846 LCL850781:LCL850846 LMH850781:LMH850846 LWD850781:LWD850846 MFZ850781:MFZ850846 MPV850781:MPV850846 MZR850781:MZR850846 NJN850781:NJN850846 NTJ850781:NTJ850846 ODF850781:ODF850846 ONB850781:ONB850846 OWX850781:OWX850846 PGT850781:PGT850846 PQP850781:PQP850846 QAL850781:QAL850846 QKH850781:QKH850846 QUD850781:QUD850846 RDZ850781:RDZ850846 RNV850781:RNV850846 RXR850781:RXR850846 SHN850781:SHN850846 SRJ850781:SRJ850846 TBF850781:TBF850846 TLB850781:TLB850846 TUX850781:TUX850846 UET850781:UET850846 UOP850781:UOP850846 UYL850781:UYL850846 VIH850781:VIH850846 VSD850781:VSD850846 WBZ850781:WBZ850846 WLV850781:WLV850846 WVR850781:WVR850846 J916317:J916382 JF916317:JF916382 TB916317:TB916382 ACX916317:ACX916382 AMT916317:AMT916382 AWP916317:AWP916382 BGL916317:BGL916382 BQH916317:BQH916382 CAD916317:CAD916382 CJZ916317:CJZ916382 CTV916317:CTV916382 DDR916317:DDR916382 DNN916317:DNN916382 DXJ916317:DXJ916382 EHF916317:EHF916382 ERB916317:ERB916382 FAX916317:FAX916382 FKT916317:FKT916382 FUP916317:FUP916382 GEL916317:GEL916382 GOH916317:GOH916382 GYD916317:GYD916382 HHZ916317:HHZ916382 HRV916317:HRV916382 IBR916317:IBR916382 ILN916317:ILN916382 IVJ916317:IVJ916382 JFF916317:JFF916382 JPB916317:JPB916382 JYX916317:JYX916382 KIT916317:KIT916382 KSP916317:KSP916382 LCL916317:LCL916382 LMH916317:LMH916382 LWD916317:LWD916382 MFZ916317:MFZ916382 MPV916317:MPV916382 MZR916317:MZR916382 NJN916317:NJN916382 NTJ916317:NTJ916382 ODF916317:ODF916382 ONB916317:ONB916382 OWX916317:OWX916382 PGT916317:PGT916382 PQP916317:PQP916382 QAL916317:QAL916382 QKH916317:QKH916382 QUD916317:QUD916382 RDZ916317:RDZ916382 RNV916317:RNV916382 RXR916317:RXR916382 SHN916317:SHN916382 SRJ916317:SRJ916382 TBF916317:TBF916382 TLB916317:TLB916382 TUX916317:TUX916382 UET916317:UET916382 UOP916317:UOP916382 UYL916317:UYL916382 VIH916317:VIH916382 VSD916317:VSD916382 WBZ916317:WBZ916382 WLV916317:WLV916382 WVR916317:WVR916382 J981853:J981918 JF981853:JF981918 TB981853:TB981918 ACX981853:ACX981918 AMT981853:AMT981918 AWP981853:AWP981918 BGL981853:BGL981918 BQH981853:BQH981918 CAD981853:CAD981918 CJZ981853:CJZ981918 CTV981853:CTV981918 DDR981853:DDR981918 DNN981853:DNN981918 DXJ981853:DXJ981918 EHF981853:EHF981918 ERB981853:ERB981918 FAX981853:FAX981918 FKT981853:FKT981918 FUP981853:FUP981918 GEL981853:GEL981918 GOH981853:GOH981918 GYD981853:GYD981918 HHZ981853:HHZ981918 HRV981853:HRV981918 IBR981853:IBR981918 ILN981853:ILN981918 IVJ981853:IVJ981918 JFF981853:JFF981918 JPB981853:JPB981918 JYX981853:JYX981918 KIT981853:KIT981918 KSP981853:KSP981918 LCL981853:LCL981918 LMH981853:LMH981918 LWD981853:LWD981918 MFZ981853:MFZ981918 MPV981853:MPV981918 MZR981853:MZR981918 NJN981853:NJN981918 NTJ981853:NTJ981918 ODF981853:ODF981918 ONB981853:ONB981918 OWX981853:OWX981918 PGT981853:PGT981918 PQP981853:PQP981918 QAL981853:QAL981918 QKH981853:QKH981918 QUD981853:QUD981918 RDZ981853:RDZ981918 RNV981853:RNV981918 RXR981853:RXR981918 SHN981853:SHN981918 SRJ981853:SRJ981918 TBF981853:TBF981918 TLB981853:TLB981918 TUX981853:TUX981918 UET981853:UET981918 UOP981853:UOP981918 UYL981853:UYL981918 VIH981853:VIH981918 VSD981853:VSD981918 WBZ981853:WBZ981918 WLV981853:WLV981918 WVR981853:WVR981918 J1047389:J1047454 JF1047389:JF1047454 TB1047389:TB1047454 ACX1047389:ACX1047454 AMT1047389:AMT1047454 AWP1047389:AWP1047454 BGL1047389:BGL1047454 BQH1047389:BQH1047454 CAD1047389:CAD1047454 CJZ1047389:CJZ1047454 CTV1047389:CTV1047454 DDR1047389:DDR1047454 DNN1047389:DNN1047454 DXJ1047389:DXJ1047454 EHF1047389:EHF1047454 ERB1047389:ERB1047454 FAX1047389:FAX1047454 FKT1047389:FKT1047454 FUP1047389:FUP1047454 GEL1047389:GEL1047454 GOH1047389:GOH1047454 GYD1047389:GYD1047454 HHZ1047389:HHZ1047454 HRV1047389:HRV1047454 IBR1047389:IBR1047454 ILN1047389:ILN1047454 IVJ1047389:IVJ1047454 JFF1047389:JFF1047454 JPB1047389:JPB1047454 JYX1047389:JYX1047454 KIT1047389:KIT1047454 KSP1047389:KSP1047454 LCL1047389:LCL1047454 LMH1047389:LMH1047454 LWD1047389:LWD1047454 MFZ1047389:MFZ1047454 MPV1047389:MPV1047454 MZR1047389:MZR1047454 NJN1047389:NJN1047454 NTJ1047389:NTJ1047454 ODF1047389:ODF1047454 ONB1047389:ONB1047454 OWX1047389:OWX1047454 PGT1047389:PGT1047454 PQP1047389:PQP1047454 QAL1047389:QAL1047454 QKH1047389:QKH1047454 QUD1047389:QUD1047454 RDZ1047389:RDZ1047454 RNV1047389:RNV1047454 RXR1047389:RXR1047454 SHN1047389:SHN1047454 SRJ1047389:SRJ1047454 TBF1047389:TBF1047454 TLB1047389:TLB1047454 TUX1047389:TUX1047454 UET1047389:UET1047454 UOP1047389:UOP1047454 UYL1047389:UYL1047454 VIH1047389:VIH1047454 VSD1047389:VSD1047454 WBZ1047389:WBZ1047454 WLV1047389:WLV1047454 WVR1047389:WVR1047454">
      <formula1>$AP$2:$AP$15</formula1>
    </dataValidation>
    <dataValidation type="list" allowBlank="1" showInputMessage="1" showErrorMessage="1" sqref="K64349:K64414 JG64349:JG64414 TC64349:TC64414 ACY64349:ACY64414 AMU64349:AMU64414 AWQ64349:AWQ64414 BGM64349:BGM64414 BQI64349:BQI64414 CAE64349:CAE64414 CKA64349:CKA64414 CTW64349:CTW64414 DDS64349:DDS64414 DNO64349:DNO64414 DXK64349:DXK64414 EHG64349:EHG64414 ERC64349:ERC64414 FAY64349:FAY64414 FKU64349:FKU64414 FUQ64349:FUQ64414 GEM64349:GEM64414 GOI64349:GOI64414 GYE64349:GYE64414 HIA64349:HIA64414 HRW64349:HRW64414 IBS64349:IBS64414 ILO64349:ILO64414 IVK64349:IVK64414 JFG64349:JFG64414 JPC64349:JPC64414 JYY64349:JYY64414 KIU64349:KIU64414 KSQ64349:KSQ64414 LCM64349:LCM64414 LMI64349:LMI64414 LWE64349:LWE64414 MGA64349:MGA64414 MPW64349:MPW64414 MZS64349:MZS64414 NJO64349:NJO64414 NTK64349:NTK64414 ODG64349:ODG64414 ONC64349:ONC64414 OWY64349:OWY64414 PGU64349:PGU64414 PQQ64349:PQQ64414 QAM64349:QAM64414 QKI64349:QKI64414 QUE64349:QUE64414 REA64349:REA64414 RNW64349:RNW64414 RXS64349:RXS64414 SHO64349:SHO64414 SRK64349:SRK64414 TBG64349:TBG64414 TLC64349:TLC64414 TUY64349:TUY64414 UEU64349:UEU64414 UOQ64349:UOQ64414 UYM64349:UYM64414 VII64349:VII64414 VSE64349:VSE64414 WCA64349:WCA64414 WLW64349:WLW64414 WVS64349:WVS64414 K129885:K129950 JG129885:JG129950 TC129885:TC129950 ACY129885:ACY129950 AMU129885:AMU129950 AWQ129885:AWQ129950 BGM129885:BGM129950 BQI129885:BQI129950 CAE129885:CAE129950 CKA129885:CKA129950 CTW129885:CTW129950 DDS129885:DDS129950 DNO129885:DNO129950 DXK129885:DXK129950 EHG129885:EHG129950 ERC129885:ERC129950 FAY129885:FAY129950 FKU129885:FKU129950 FUQ129885:FUQ129950 GEM129885:GEM129950 GOI129885:GOI129950 GYE129885:GYE129950 HIA129885:HIA129950 HRW129885:HRW129950 IBS129885:IBS129950 ILO129885:ILO129950 IVK129885:IVK129950 JFG129885:JFG129950 JPC129885:JPC129950 JYY129885:JYY129950 KIU129885:KIU129950 KSQ129885:KSQ129950 LCM129885:LCM129950 LMI129885:LMI129950 LWE129885:LWE129950 MGA129885:MGA129950 MPW129885:MPW129950 MZS129885:MZS129950 NJO129885:NJO129950 NTK129885:NTK129950 ODG129885:ODG129950 ONC129885:ONC129950 OWY129885:OWY129950 PGU129885:PGU129950 PQQ129885:PQQ129950 QAM129885:QAM129950 QKI129885:QKI129950 QUE129885:QUE129950 REA129885:REA129950 RNW129885:RNW129950 RXS129885:RXS129950 SHO129885:SHO129950 SRK129885:SRK129950 TBG129885:TBG129950 TLC129885:TLC129950 TUY129885:TUY129950 UEU129885:UEU129950 UOQ129885:UOQ129950 UYM129885:UYM129950 VII129885:VII129950 VSE129885:VSE129950 WCA129885:WCA129950 WLW129885:WLW129950 WVS129885:WVS129950 K195421:K195486 JG195421:JG195486 TC195421:TC195486 ACY195421:ACY195486 AMU195421:AMU195486 AWQ195421:AWQ195486 BGM195421:BGM195486 BQI195421:BQI195486 CAE195421:CAE195486 CKA195421:CKA195486 CTW195421:CTW195486 DDS195421:DDS195486 DNO195421:DNO195486 DXK195421:DXK195486 EHG195421:EHG195486 ERC195421:ERC195486 FAY195421:FAY195486 FKU195421:FKU195486 FUQ195421:FUQ195486 GEM195421:GEM195486 GOI195421:GOI195486 GYE195421:GYE195486 HIA195421:HIA195486 HRW195421:HRW195486 IBS195421:IBS195486 ILO195421:ILO195486 IVK195421:IVK195486 JFG195421:JFG195486 JPC195421:JPC195486 JYY195421:JYY195486 KIU195421:KIU195486 KSQ195421:KSQ195486 LCM195421:LCM195486 LMI195421:LMI195486 LWE195421:LWE195486 MGA195421:MGA195486 MPW195421:MPW195486 MZS195421:MZS195486 NJO195421:NJO195486 NTK195421:NTK195486 ODG195421:ODG195486 ONC195421:ONC195486 OWY195421:OWY195486 PGU195421:PGU195486 PQQ195421:PQQ195486 QAM195421:QAM195486 QKI195421:QKI195486 QUE195421:QUE195486 REA195421:REA195486 RNW195421:RNW195486 RXS195421:RXS195486 SHO195421:SHO195486 SRK195421:SRK195486 TBG195421:TBG195486 TLC195421:TLC195486 TUY195421:TUY195486 UEU195421:UEU195486 UOQ195421:UOQ195486 UYM195421:UYM195486 VII195421:VII195486 VSE195421:VSE195486 WCA195421:WCA195486 WLW195421:WLW195486 WVS195421:WVS195486 K260957:K261022 JG260957:JG261022 TC260957:TC261022 ACY260957:ACY261022 AMU260957:AMU261022 AWQ260957:AWQ261022 BGM260957:BGM261022 BQI260957:BQI261022 CAE260957:CAE261022 CKA260957:CKA261022 CTW260957:CTW261022 DDS260957:DDS261022 DNO260957:DNO261022 DXK260957:DXK261022 EHG260957:EHG261022 ERC260957:ERC261022 FAY260957:FAY261022 FKU260957:FKU261022 FUQ260957:FUQ261022 GEM260957:GEM261022 GOI260957:GOI261022 GYE260957:GYE261022 HIA260957:HIA261022 HRW260957:HRW261022 IBS260957:IBS261022 ILO260957:ILO261022 IVK260957:IVK261022 JFG260957:JFG261022 JPC260957:JPC261022 JYY260957:JYY261022 KIU260957:KIU261022 KSQ260957:KSQ261022 LCM260957:LCM261022 LMI260957:LMI261022 LWE260957:LWE261022 MGA260957:MGA261022 MPW260957:MPW261022 MZS260957:MZS261022 NJO260957:NJO261022 NTK260957:NTK261022 ODG260957:ODG261022 ONC260957:ONC261022 OWY260957:OWY261022 PGU260957:PGU261022 PQQ260957:PQQ261022 QAM260957:QAM261022 QKI260957:QKI261022 QUE260957:QUE261022 REA260957:REA261022 RNW260957:RNW261022 RXS260957:RXS261022 SHO260957:SHO261022 SRK260957:SRK261022 TBG260957:TBG261022 TLC260957:TLC261022 TUY260957:TUY261022 UEU260957:UEU261022 UOQ260957:UOQ261022 UYM260957:UYM261022 VII260957:VII261022 VSE260957:VSE261022 WCA260957:WCA261022 WLW260957:WLW261022 WVS260957:WVS261022 K326493:K326558 JG326493:JG326558 TC326493:TC326558 ACY326493:ACY326558 AMU326493:AMU326558 AWQ326493:AWQ326558 BGM326493:BGM326558 BQI326493:BQI326558 CAE326493:CAE326558 CKA326493:CKA326558 CTW326493:CTW326558 DDS326493:DDS326558 DNO326493:DNO326558 DXK326493:DXK326558 EHG326493:EHG326558 ERC326493:ERC326558 FAY326493:FAY326558 FKU326493:FKU326558 FUQ326493:FUQ326558 GEM326493:GEM326558 GOI326493:GOI326558 GYE326493:GYE326558 HIA326493:HIA326558 HRW326493:HRW326558 IBS326493:IBS326558 ILO326493:ILO326558 IVK326493:IVK326558 JFG326493:JFG326558 JPC326493:JPC326558 JYY326493:JYY326558 KIU326493:KIU326558 KSQ326493:KSQ326558 LCM326493:LCM326558 LMI326493:LMI326558 LWE326493:LWE326558 MGA326493:MGA326558 MPW326493:MPW326558 MZS326493:MZS326558 NJO326493:NJO326558 NTK326493:NTK326558 ODG326493:ODG326558 ONC326493:ONC326558 OWY326493:OWY326558 PGU326493:PGU326558 PQQ326493:PQQ326558 QAM326493:QAM326558 QKI326493:QKI326558 QUE326493:QUE326558 REA326493:REA326558 RNW326493:RNW326558 RXS326493:RXS326558 SHO326493:SHO326558 SRK326493:SRK326558 TBG326493:TBG326558 TLC326493:TLC326558 TUY326493:TUY326558 UEU326493:UEU326558 UOQ326493:UOQ326558 UYM326493:UYM326558 VII326493:VII326558 VSE326493:VSE326558 WCA326493:WCA326558 WLW326493:WLW326558 WVS326493:WVS326558 K392029:K392094 JG392029:JG392094 TC392029:TC392094 ACY392029:ACY392094 AMU392029:AMU392094 AWQ392029:AWQ392094 BGM392029:BGM392094 BQI392029:BQI392094 CAE392029:CAE392094 CKA392029:CKA392094 CTW392029:CTW392094 DDS392029:DDS392094 DNO392029:DNO392094 DXK392029:DXK392094 EHG392029:EHG392094 ERC392029:ERC392094 FAY392029:FAY392094 FKU392029:FKU392094 FUQ392029:FUQ392094 GEM392029:GEM392094 GOI392029:GOI392094 GYE392029:GYE392094 HIA392029:HIA392094 HRW392029:HRW392094 IBS392029:IBS392094 ILO392029:ILO392094 IVK392029:IVK392094 JFG392029:JFG392094 JPC392029:JPC392094 JYY392029:JYY392094 KIU392029:KIU392094 KSQ392029:KSQ392094 LCM392029:LCM392094 LMI392029:LMI392094 LWE392029:LWE392094 MGA392029:MGA392094 MPW392029:MPW392094 MZS392029:MZS392094 NJO392029:NJO392094 NTK392029:NTK392094 ODG392029:ODG392094 ONC392029:ONC392094 OWY392029:OWY392094 PGU392029:PGU392094 PQQ392029:PQQ392094 QAM392029:QAM392094 QKI392029:QKI392094 QUE392029:QUE392094 REA392029:REA392094 RNW392029:RNW392094 RXS392029:RXS392094 SHO392029:SHO392094 SRK392029:SRK392094 TBG392029:TBG392094 TLC392029:TLC392094 TUY392029:TUY392094 UEU392029:UEU392094 UOQ392029:UOQ392094 UYM392029:UYM392094 VII392029:VII392094 VSE392029:VSE392094 WCA392029:WCA392094 WLW392029:WLW392094 WVS392029:WVS392094 K457565:K457630 JG457565:JG457630 TC457565:TC457630 ACY457565:ACY457630 AMU457565:AMU457630 AWQ457565:AWQ457630 BGM457565:BGM457630 BQI457565:BQI457630 CAE457565:CAE457630 CKA457565:CKA457630 CTW457565:CTW457630 DDS457565:DDS457630 DNO457565:DNO457630 DXK457565:DXK457630 EHG457565:EHG457630 ERC457565:ERC457630 FAY457565:FAY457630 FKU457565:FKU457630 FUQ457565:FUQ457630 GEM457565:GEM457630 GOI457565:GOI457630 GYE457565:GYE457630 HIA457565:HIA457630 HRW457565:HRW457630 IBS457565:IBS457630 ILO457565:ILO457630 IVK457565:IVK457630 JFG457565:JFG457630 JPC457565:JPC457630 JYY457565:JYY457630 KIU457565:KIU457630 KSQ457565:KSQ457630 LCM457565:LCM457630 LMI457565:LMI457630 LWE457565:LWE457630 MGA457565:MGA457630 MPW457565:MPW457630 MZS457565:MZS457630 NJO457565:NJO457630 NTK457565:NTK457630 ODG457565:ODG457630 ONC457565:ONC457630 OWY457565:OWY457630 PGU457565:PGU457630 PQQ457565:PQQ457630 QAM457565:QAM457630 QKI457565:QKI457630 QUE457565:QUE457630 REA457565:REA457630 RNW457565:RNW457630 RXS457565:RXS457630 SHO457565:SHO457630 SRK457565:SRK457630 TBG457565:TBG457630 TLC457565:TLC457630 TUY457565:TUY457630 UEU457565:UEU457630 UOQ457565:UOQ457630 UYM457565:UYM457630 VII457565:VII457630 VSE457565:VSE457630 WCA457565:WCA457630 WLW457565:WLW457630 WVS457565:WVS457630 K523101:K523166 JG523101:JG523166 TC523101:TC523166 ACY523101:ACY523166 AMU523101:AMU523166 AWQ523101:AWQ523166 BGM523101:BGM523166 BQI523101:BQI523166 CAE523101:CAE523166 CKA523101:CKA523166 CTW523101:CTW523166 DDS523101:DDS523166 DNO523101:DNO523166 DXK523101:DXK523166 EHG523101:EHG523166 ERC523101:ERC523166 FAY523101:FAY523166 FKU523101:FKU523166 FUQ523101:FUQ523166 GEM523101:GEM523166 GOI523101:GOI523166 GYE523101:GYE523166 HIA523101:HIA523166 HRW523101:HRW523166 IBS523101:IBS523166 ILO523101:ILO523166 IVK523101:IVK523166 JFG523101:JFG523166 JPC523101:JPC523166 JYY523101:JYY523166 KIU523101:KIU523166 KSQ523101:KSQ523166 LCM523101:LCM523166 LMI523101:LMI523166 LWE523101:LWE523166 MGA523101:MGA523166 MPW523101:MPW523166 MZS523101:MZS523166 NJO523101:NJO523166 NTK523101:NTK523166 ODG523101:ODG523166 ONC523101:ONC523166 OWY523101:OWY523166 PGU523101:PGU523166 PQQ523101:PQQ523166 QAM523101:QAM523166 QKI523101:QKI523166 QUE523101:QUE523166 REA523101:REA523166 RNW523101:RNW523166 RXS523101:RXS523166 SHO523101:SHO523166 SRK523101:SRK523166 TBG523101:TBG523166 TLC523101:TLC523166 TUY523101:TUY523166 UEU523101:UEU523166 UOQ523101:UOQ523166 UYM523101:UYM523166 VII523101:VII523166 VSE523101:VSE523166 WCA523101:WCA523166 WLW523101:WLW523166 WVS523101:WVS523166 K588637:K588702 JG588637:JG588702 TC588637:TC588702 ACY588637:ACY588702 AMU588637:AMU588702 AWQ588637:AWQ588702 BGM588637:BGM588702 BQI588637:BQI588702 CAE588637:CAE588702 CKA588637:CKA588702 CTW588637:CTW588702 DDS588637:DDS588702 DNO588637:DNO588702 DXK588637:DXK588702 EHG588637:EHG588702 ERC588637:ERC588702 FAY588637:FAY588702 FKU588637:FKU588702 FUQ588637:FUQ588702 GEM588637:GEM588702 GOI588637:GOI588702 GYE588637:GYE588702 HIA588637:HIA588702 HRW588637:HRW588702 IBS588637:IBS588702 ILO588637:ILO588702 IVK588637:IVK588702 JFG588637:JFG588702 JPC588637:JPC588702 JYY588637:JYY588702 KIU588637:KIU588702 KSQ588637:KSQ588702 LCM588637:LCM588702 LMI588637:LMI588702 LWE588637:LWE588702 MGA588637:MGA588702 MPW588637:MPW588702 MZS588637:MZS588702 NJO588637:NJO588702 NTK588637:NTK588702 ODG588637:ODG588702 ONC588637:ONC588702 OWY588637:OWY588702 PGU588637:PGU588702 PQQ588637:PQQ588702 QAM588637:QAM588702 QKI588637:QKI588702 QUE588637:QUE588702 REA588637:REA588702 RNW588637:RNW588702 RXS588637:RXS588702 SHO588637:SHO588702 SRK588637:SRK588702 TBG588637:TBG588702 TLC588637:TLC588702 TUY588637:TUY588702 UEU588637:UEU588702 UOQ588637:UOQ588702 UYM588637:UYM588702 VII588637:VII588702 VSE588637:VSE588702 WCA588637:WCA588702 WLW588637:WLW588702 WVS588637:WVS588702 K654173:K654238 JG654173:JG654238 TC654173:TC654238 ACY654173:ACY654238 AMU654173:AMU654238 AWQ654173:AWQ654238 BGM654173:BGM654238 BQI654173:BQI654238 CAE654173:CAE654238 CKA654173:CKA654238 CTW654173:CTW654238 DDS654173:DDS654238 DNO654173:DNO654238 DXK654173:DXK654238 EHG654173:EHG654238 ERC654173:ERC654238 FAY654173:FAY654238 FKU654173:FKU654238 FUQ654173:FUQ654238 GEM654173:GEM654238 GOI654173:GOI654238 GYE654173:GYE654238 HIA654173:HIA654238 HRW654173:HRW654238 IBS654173:IBS654238 ILO654173:ILO654238 IVK654173:IVK654238 JFG654173:JFG654238 JPC654173:JPC654238 JYY654173:JYY654238 KIU654173:KIU654238 KSQ654173:KSQ654238 LCM654173:LCM654238 LMI654173:LMI654238 LWE654173:LWE654238 MGA654173:MGA654238 MPW654173:MPW654238 MZS654173:MZS654238 NJO654173:NJO654238 NTK654173:NTK654238 ODG654173:ODG654238 ONC654173:ONC654238 OWY654173:OWY654238 PGU654173:PGU654238 PQQ654173:PQQ654238 QAM654173:QAM654238 QKI654173:QKI654238 QUE654173:QUE654238 REA654173:REA654238 RNW654173:RNW654238 RXS654173:RXS654238 SHO654173:SHO654238 SRK654173:SRK654238 TBG654173:TBG654238 TLC654173:TLC654238 TUY654173:TUY654238 UEU654173:UEU654238 UOQ654173:UOQ654238 UYM654173:UYM654238 VII654173:VII654238 VSE654173:VSE654238 WCA654173:WCA654238 WLW654173:WLW654238 WVS654173:WVS654238 K719709:K719774 JG719709:JG719774 TC719709:TC719774 ACY719709:ACY719774 AMU719709:AMU719774 AWQ719709:AWQ719774 BGM719709:BGM719774 BQI719709:BQI719774 CAE719709:CAE719774 CKA719709:CKA719774 CTW719709:CTW719774 DDS719709:DDS719774 DNO719709:DNO719774 DXK719709:DXK719774 EHG719709:EHG719774 ERC719709:ERC719774 FAY719709:FAY719774 FKU719709:FKU719774 FUQ719709:FUQ719774 GEM719709:GEM719774 GOI719709:GOI719774 GYE719709:GYE719774 HIA719709:HIA719774 HRW719709:HRW719774 IBS719709:IBS719774 ILO719709:ILO719774 IVK719709:IVK719774 JFG719709:JFG719774 JPC719709:JPC719774 JYY719709:JYY719774 KIU719709:KIU719774 KSQ719709:KSQ719774 LCM719709:LCM719774 LMI719709:LMI719774 LWE719709:LWE719774 MGA719709:MGA719774 MPW719709:MPW719774 MZS719709:MZS719774 NJO719709:NJO719774 NTK719709:NTK719774 ODG719709:ODG719774 ONC719709:ONC719774 OWY719709:OWY719774 PGU719709:PGU719774 PQQ719709:PQQ719774 QAM719709:QAM719774 QKI719709:QKI719774 QUE719709:QUE719774 REA719709:REA719774 RNW719709:RNW719774 RXS719709:RXS719774 SHO719709:SHO719774 SRK719709:SRK719774 TBG719709:TBG719774 TLC719709:TLC719774 TUY719709:TUY719774 UEU719709:UEU719774 UOQ719709:UOQ719774 UYM719709:UYM719774 VII719709:VII719774 VSE719709:VSE719774 WCA719709:WCA719774 WLW719709:WLW719774 WVS719709:WVS719774 K785245:K785310 JG785245:JG785310 TC785245:TC785310 ACY785245:ACY785310 AMU785245:AMU785310 AWQ785245:AWQ785310 BGM785245:BGM785310 BQI785245:BQI785310 CAE785245:CAE785310 CKA785245:CKA785310 CTW785245:CTW785310 DDS785245:DDS785310 DNO785245:DNO785310 DXK785245:DXK785310 EHG785245:EHG785310 ERC785245:ERC785310 FAY785245:FAY785310 FKU785245:FKU785310 FUQ785245:FUQ785310 GEM785245:GEM785310 GOI785245:GOI785310 GYE785245:GYE785310 HIA785245:HIA785310 HRW785245:HRW785310 IBS785245:IBS785310 ILO785245:ILO785310 IVK785245:IVK785310 JFG785245:JFG785310 JPC785245:JPC785310 JYY785245:JYY785310 KIU785245:KIU785310 KSQ785245:KSQ785310 LCM785245:LCM785310 LMI785245:LMI785310 LWE785245:LWE785310 MGA785245:MGA785310 MPW785245:MPW785310 MZS785245:MZS785310 NJO785245:NJO785310 NTK785245:NTK785310 ODG785245:ODG785310 ONC785245:ONC785310 OWY785245:OWY785310 PGU785245:PGU785310 PQQ785245:PQQ785310 QAM785245:QAM785310 QKI785245:QKI785310 QUE785245:QUE785310 REA785245:REA785310 RNW785245:RNW785310 RXS785245:RXS785310 SHO785245:SHO785310 SRK785245:SRK785310 TBG785245:TBG785310 TLC785245:TLC785310 TUY785245:TUY785310 UEU785245:UEU785310 UOQ785245:UOQ785310 UYM785245:UYM785310 VII785245:VII785310 VSE785245:VSE785310 WCA785245:WCA785310 WLW785245:WLW785310 WVS785245:WVS785310 K850781:K850846 JG850781:JG850846 TC850781:TC850846 ACY850781:ACY850846 AMU850781:AMU850846 AWQ850781:AWQ850846 BGM850781:BGM850846 BQI850781:BQI850846 CAE850781:CAE850846 CKA850781:CKA850846 CTW850781:CTW850846 DDS850781:DDS850846 DNO850781:DNO850846 DXK850781:DXK850846 EHG850781:EHG850846 ERC850781:ERC850846 FAY850781:FAY850846 FKU850781:FKU850846 FUQ850781:FUQ850846 GEM850781:GEM850846 GOI850781:GOI850846 GYE850781:GYE850846 HIA850781:HIA850846 HRW850781:HRW850846 IBS850781:IBS850846 ILO850781:ILO850846 IVK850781:IVK850846 JFG850781:JFG850846 JPC850781:JPC850846 JYY850781:JYY850846 KIU850781:KIU850846 KSQ850781:KSQ850846 LCM850781:LCM850846 LMI850781:LMI850846 LWE850781:LWE850846 MGA850781:MGA850846 MPW850781:MPW850846 MZS850781:MZS850846 NJO850781:NJO850846 NTK850781:NTK850846 ODG850781:ODG850846 ONC850781:ONC850846 OWY850781:OWY850846 PGU850781:PGU850846 PQQ850781:PQQ850846 QAM850781:QAM850846 QKI850781:QKI850846 QUE850781:QUE850846 REA850781:REA850846 RNW850781:RNW850846 RXS850781:RXS850846 SHO850781:SHO850846 SRK850781:SRK850846 TBG850781:TBG850846 TLC850781:TLC850846 TUY850781:TUY850846 UEU850781:UEU850846 UOQ850781:UOQ850846 UYM850781:UYM850846 VII850781:VII850846 VSE850781:VSE850846 WCA850781:WCA850846 WLW850781:WLW850846 WVS850781:WVS850846 K916317:K916382 JG916317:JG916382 TC916317:TC916382 ACY916317:ACY916382 AMU916317:AMU916382 AWQ916317:AWQ916382 BGM916317:BGM916382 BQI916317:BQI916382 CAE916317:CAE916382 CKA916317:CKA916382 CTW916317:CTW916382 DDS916317:DDS916382 DNO916317:DNO916382 DXK916317:DXK916382 EHG916317:EHG916382 ERC916317:ERC916382 FAY916317:FAY916382 FKU916317:FKU916382 FUQ916317:FUQ916382 GEM916317:GEM916382 GOI916317:GOI916382 GYE916317:GYE916382 HIA916317:HIA916382 HRW916317:HRW916382 IBS916317:IBS916382 ILO916317:ILO916382 IVK916317:IVK916382 JFG916317:JFG916382 JPC916317:JPC916382 JYY916317:JYY916382 KIU916317:KIU916382 KSQ916317:KSQ916382 LCM916317:LCM916382 LMI916317:LMI916382 LWE916317:LWE916382 MGA916317:MGA916382 MPW916317:MPW916382 MZS916317:MZS916382 NJO916317:NJO916382 NTK916317:NTK916382 ODG916317:ODG916382 ONC916317:ONC916382 OWY916317:OWY916382 PGU916317:PGU916382 PQQ916317:PQQ916382 QAM916317:QAM916382 QKI916317:QKI916382 QUE916317:QUE916382 REA916317:REA916382 RNW916317:RNW916382 RXS916317:RXS916382 SHO916317:SHO916382 SRK916317:SRK916382 TBG916317:TBG916382 TLC916317:TLC916382 TUY916317:TUY916382 UEU916317:UEU916382 UOQ916317:UOQ916382 UYM916317:UYM916382 VII916317:VII916382 VSE916317:VSE916382 WCA916317:WCA916382 WLW916317:WLW916382 WVS916317:WVS916382 K981853:K981918 JG981853:JG981918 TC981853:TC981918 ACY981853:ACY981918 AMU981853:AMU981918 AWQ981853:AWQ981918 BGM981853:BGM981918 BQI981853:BQI981918 CAE981853:CAE981918 CKA981853:CKA981918 CTW981853:CTW981918 DDS981853:DDS981918 DNO981853:DNO981918 DXK981853:DXK981918 EHG981853:EHG981918 ERC981853:ERC981918 FAY981853:FAY981918 FKU981853:FKU981918 FUQ981853:FUQ981918 GEM981853:GEM981918 GOI981853:GOI981918 GYE981853:GYE981918 HIA981853:HIA981918 HRW981853:HRW981918 IBS981853:IBS981918 ILO981853:ILO981918 IVK981853:IVK981918 JFG981853:JFG981918 JPC981853:JPC981918 JYY981853:JYY981918 KIU981853:KIU981918 KSQ981853:KSQ981918 LCM981853:LCM981918 LMI981853:LMI981918 LWE981853:LWE981918 MGA981853:MGA981918 MPW981853:MPW981918 MZS981853:MZS981918 NJO981853:NJO981918 NTK981853:NTK981918 ODG981853:ODG981918 ONC981853:ONC981918 OWY981853:OWY981918 PGU981853:PGU981918 PQQ981853:PQQ981918 QAM981853:QAM981918 QKI981853:QKI981918 QUE981853:QUE981918 REA981853:REA981918 RNW981853:RNW981918 RXS981853:RXS981918 SHO981853:SHO981918 SRK981853:SRK981918 TBG981853:TBG981918 TLC981853:TLC981918 TUY981853:TUY981918 UEU981853:UEU981918 UOQ981853:UOQ981918 UYM981853:UYM981918 VII981853:VII981918 VSE981853:VSE981918 WCA981853:WCA981918 WLW981853:WLW981918 WVS981853:WVS981918 K1047389:K1047454 JG1047389:JG1047454 TC1047389:TC1047454 ACY1047389:ACY1047454 AMU1047389:AMU1047454 AWQ1047389:AWQ1047454 BGM1047389:BGM1047454 BQI1047389:BQI1047454 CAE1047389:CAE1047454 CKA1047389:CKA1047454 CTW1047389:CTW1047454 DDS1047389:DDS1047454 DNO1047389:DNO1047454 DXK1047389:DXK1047454 EHG1047389:EHG1047454 ERC1047389:ERC1047454 FAY1047389:FAY1047454 FKU1047389:FKU1047454 FUQ1047389:FUQ1047454 GEM1047389:GEM1047454 GOI1047389:GOI1047454 GYE1047389:GYE1047454 HIA1047389:HIA1047454 HRW1047389:HRW1047454 IBS1047389:IBS1047454 ILO1047389:ILO1047454 IVK1047389:IVK1047454 JFG1047389:JFG1047454 JPC1047389:JPC1047454 JYY1047389:JYY1047454 KIU1047389:KIU1047454 KSQ1047389:KSQ1047454 LCM1047389:LCM1047454 LMI1047389:LMI1047454 LWE1047389:LWE1047454 MGA1047389:MGA1047454 MPW1047389:MPW1047454 MZS1047389:MZS1047454 NJO1047389:NJO1047454 NTK1047389:NTK1047454 ODG1047389:ODG1047454 ONC1047389:ONC1047454 OWY1047389:OWY1047454 PGU1047389:PGU1047454 PQQ1047389:PQQ1047454 QAM1047389:QAM1047454 QKI1047389:QKI1047454 QUE1047389:QUE1047454 REA1047389:REA1047454 RNW1047389:RNW1047454 RXS1047389:RXS1047454 SHO1047389:SHO1047454 SRK1047389:SRK1047454 TBG1047389:TBG1047454 TLC1047389:TLC1047454 TUY1047389:TUY1047454 UEU1047389:UEU1047454 UOQ1047389:UOQ1047454 UYM1047389:UYM1047454 VII1047389:VII1047454 VSE1047389:VSE1047454 WCA1047389:WCA1047454 WLW1047389:WLW1047454 WVS1047389:WVS1047454">
      <formula1>$AR$2:$AR$24</formula1>
    </dataValidation>
    <dataValidation type="list" allowBlank="1" showInputMessage="1" showErrorMessage="1" sqref="Y64349:AA64414 JU64349:JW64414 TQ64349:TS64414 ADM64349:ADO64414 ANI64349:ANK64414 AXE64349:AXG64414 BHA64349:BHC64414 BQW64349:BQY64414 CAS64349:CAU64414 CKO64349:CKQ64414 CUK64349:CUM64414 DEG64349:DEI64414 DOC64349:DOE64414 DXY64349:DYA64414 EHU64349:EHW64414 ERQ64349:ERS64414 FBM64349:FBO64414 FLI64349:FLK64414 FVE64349:FVG64414 GFA64349:GFC64414 GOW64349:GOY64414 GYS64349:GYU64414 HIO64349:HIQ64414 HSK64349:HSM64414 ICG64349:ICI64414 IMC64349:IME64414 IVY64349:IWA64414 JFU64349:JFW64414 JPQ64349:JPS64414 JZM64349:JZO64414 KJI64349:KJK64414 KTE64349:KTG64414 LDA64349:LDC64414 LMW64349:LMY64414 LWS64349:LWU64414 MGO64349:MGQ64414 MQK64349:MQM64414 NAG64349:NAI64414 NKC64349:NKE64414 NTY64349:NUA64414 ODU64349:ODW64414 ONQ64349:ONS64414 OXM64349:OXO64414 PHI64349:PHK64414 PRE64349:PRG64414 QBA64349:QBC64414 QKW64349:QKY64414 QUS64349:QUU64414 REO64349:REQ64414 ROK64349:ROM64414 RYG64349:RYI64414 SIC64349:SIE64414 SRY64349:SSA64414 TBU64349:TBW64414 TLQ64349:TLS64414 TVM64349:TVO64414 UFI64349:UFK64414 UPE64349:UPG64414 UZA64349:UZC64414 VIW64349:VIY64414 VSS64349:VSU64414 WCO64349:WCQ64414 WMK64349:WMM64414 WWG64349:WWI64414 Y129885:AA129950 JU129885:JW129950 TQ129885:TS129950 ADM129885:ADO129950 ANI129885:ANK129950 AXE129885:AXG129950 BHA129885:BHC129950 BQW129885:BQY129950 CAS129885:CAU129950 CKO129885:CKQ129950 CUK129885:CUM129950 DEG129885:DEI129950 DOC129885:DOE129950 DXY129885:DYA129950 EHU129885:EHW129950 ERQ129885:ERS129950 FBM129885:FBO129950 FLI129885:FLK129950 FVE129885:FVG129950 GFA129885:GFC129950 GOW129885:GOY129950 GYS129885:GYU129950 HIO129885:HIQ129950 HSK129885:HSM129950 ICG129885:ICI129950 IMC129885:IME129950 IVY129885:IWA129950 JFU129885:JFW129950 JPQ129885:JPS129950 JZM129885:JZO129950 KJI129885:KJK129950 KTE129885:KTG129950 LDA129885:LDC129950 LMW129885:LMY129950 LWS129885:LWU129950 MGO129885:MGQ129950 MQK129885:MQM129950 NAG129885:NAI129950 NKC129885:NKE129950 NTY129885:NUA129950 ODU129885:ODW129950 ONQ129885:ONS129950 OXM129885:OXO129950 PHI129885:PHK129950 PRE129885:PRG129950 QBA129885:QBC129950 QKW129885:QKY129950 QUS129885:QUU129950 REO129885:REQ129950 ROK129885:ROM129950 RYG129885:RYI129950 SIC129885:SIE129950 SRY129885:SSA129950 TBU129885:TBW129950 TLQ129885:TLS129950 TVM129885:TVO129950 UFI129885:UFK129950 UPE129885:UPG129950 UZA129885:UZC129950 VIW129885:VIY129950 VSS129885:VSU129950 WCO129885:WCQ129950 WMK129885:WMM129950 WWG129885:WWI129950 Y195421:AA195486 JU195421:JW195486 TQ195421:TS195486 ADM195421:ADO195486 ANI195421:ANK195486 AXE195421:AXG195486 BHA195421:BHC195486 BQW195421:BQY195486 CAS195421:CAU195486 CKO195421:CKQ195486 CUK195421:CUM195486 DEG195421:DEI195486 DOC195421:DOE195486 DXY195421:DYA195486 EHU195421:EHW195486 ERQ195421:ERS195486 FBM195421:FBO195486 FLI195421:FLK195486 FVE195421:FVG195486 GFA195421:GFC195486 GOW195421:GOY195486 GYS195421:GYU195486 HIO195421:HIQ195486 HSK195421:HSM195486 ICG195421:ICI195486 IMC195421:IME195486 IVY195421:IWA195486 JFU195421:JFW195486 JPQ195421:JPS195486 JZM195421:JZO195486 KJI195421:KJK195486 KTE195421:KTG195486 LDA195421:LDC195486 LMW195421:LMY195486 LWS195421:LWU195486 MGO195421:MGQ195486 MQK195421:MQM195486 NAG195421:NAI195486 NKC195421:NKE195486 NTY195421:NUA195486 ODU195421:ODW195486 ONQ195421:ONS195486 OXM195421:OXO195486 PHI195421:PHK195486 PRE195421:PRG195486 QBA195421:QBC195486 QKW195421:QKY195486 QUS195421:QUU195486 REO195421:REQ195486 ROK195421:ROM195486 RYG195421:RYI195486 SIC195421:SIE195486 SRY195421:SSA195486 TBU195421:TBW195486 TLQ195421:TLS195486 TVM195421:TVO195486 UFI195421:UFK195486 UPE195421:UPG195486 UZA195421:UZC195486 VIW195421:VIY195486 VSS195421:VSU195486 WCO195421:WCQ195486 WMK195421:WMM195486 WWG195421:WWI195486 Y260957:AA261022 JU260957:JW261022 TQ260957:TS261022 ADM260957:ADO261022 ANI260957:ANK261022 AXE260957:AXG261022 BHA260957:BHC261022 BQW260957:BQY261022 CAS260957:CAU261022 CKO260957:CKQ261022 CUK260957:CUM261022 DEG260957:DEI261022 DOC260957:DOE261022 DXY260957:DYA261022 EHU260957:EHW261022 ERQ260957:ERS261022 FBM260957:FBO261022 FLI260957:FLK261022 FVE260957:FVG261022 GFA260957:GFC261022 GOW260957:GOY261022 GYS260957:GYU261022 HIO260957:HIQ261022 HSK260957:HSM261022 ICG260957:ICI261022 IMC260957:IME261022 IVY260957:IWA261022 JFU260957:JFW261022 JPQ260957:JPS261022 JZM260957:JZO261022 KJI260957:KJK261022 KTE260957:KTG261022 LDA260957:LDC261022 LMW260957:LMY261022 LWS260957:LWU261022 MGO260957:MGQ261022 MQK260957:MQM261022 NAG260957:NAI261022 NKC260957:NKE261022 NTY260957:NUA261022 ODU260957:ODW261022 ONQ260957:ONS261022 OXM260957:OXO261022 PHI260957:PHK261022 PRE260957:PRG261022 QBA260957:QBC261022 QKW260957:QKY261022 QUS260957:QUU261022 REO260957:REQ261022 ROK260957:ROM261022 RYG260957:RYI261022 SIC260957:SIE261022 SRY260957:SSA261022 TBU260957:TBW261022 TLQ260957:TLS261022 TVM260957:TVO261022 UFI260957:UFK261022 UPE260957:UPG261022 UZA260957:UZC261022 VIW260957:VIY261022 VSS260957:VSU261022 WCO260957:WCQ261022 WMK260957:WMM261022 WWG260957:WWI261022 Y326493:AA326558 JU326493:JW326558 TQ326493:TS326558 ADM326493:ADO326558 ANI326493:ANK326558 AXE326493:AXG326558 BHA326493:BHC326558 BQW326493:BQY326558 CAS326493:CAU326558 CKO326493:CKQ326558 CUK326493:CUM326558 DEG326493:DEI326558 DOC326493:DOE326558 DXY326493:DYA326558 EHU326493:EHW326558 ERQ326493:ERS326558 FBM326493:FBO326558 FLI326493:FLK326558 FVE326493:FVG326558 GFA326493:GFC326558 GOW326493:GOY326558 GYS326493:GYU326558 HIO326493:HIQ326558 HSK326493:HSM326558 ICG326493:ICI326558 IMC326493:IME326558 IVY326493:IWA326558 JFU326493:JFW326558 JPQ326493:JPS326558 JZM326493:JZO326558 KJI326493:KJK326558 KTE326493:KTG326558 LDA326493:LDC326558 LMW326493:LMY326558 LWS326493:LWU326558 MGO326493:MGQ326558 MQK326493:MQM326558 NAG326493:NAI326558 NKC326493:NKE326558 NTY326493:NUA326558 ODU326493:ODW326558 ONQ326493:ONS326558 OXM326493:OXO326558 PHI326493:PHK326558 PRE326493:PRG326558 QBA326493:QBC326558 QKW326493:QKY326558 QUS326493:QUU326558 REO326493:REQ326558 ROK326493:ROM326558 RYG326493:RYI326558 SIC326493:SIE326558 SRY326493:SSA326558 TBU326493:TBW326558 TLQ326493:TLS326558 TVM326493:TVO326558 UFI326493:UFK326558 UPE326493:UPG326558 UZA326493:UZC326558 VIW326493:VIY326558 VSS326493:VSU326558 WCO326493:WCQ326558 WMK326493:WMM326558 WWG326493:WWI326558 Y392029:AA392094 JU392029:JW392094 TQ392029:TS392094 ADM392029:ADO392094 ANI392029:ANK392094 AXE392029:AXG392094 BHA392029:BHC392094 BQW392029:BQY392094 CAS392029:CAU392094 CKO392029:CKQ392094 CUK392029:CUM392094 DEG392029:DEI392094 DOC392029:DOE392094 DXY392029:DYA392094 EHU392029:EHW392094 ERQ392029:ERS392094 FBM392029:FBO392094 FLI392029:FLK392094 FVE392029:FVG392094 GFA392029:GFC392094 GOW392029:GOY392094 GYS392029:GYU392094 HIO392029:HIQ392094 HSK392029:HSM392094 ICG392029:ICI392094 IMC392029:IME392094 IVY392029:IWA392094 JFU392029:JFW392094 JPQ392029:JPS392094 JZM392029:JZO392094 KJI392029:KJK392094 KTE392029:KTG392094 LDA392029:LDC392094 LMW392029:LMY392094 LWS392029:LWU392094 MGO392029:MGQ392094 MQK392029:MQM392094 NAG392029:NAI392094 NKC392029:NKE392094 NTY392029:NUA392094 ODU392029:ODW392094 ONQ392029:ONS392094 OXM392029:OXO392094 PHI392029:PHK392094 PRE392029:PRG392094 QBA392029:QBC392094 QKW392029:QKY392094 QUS392029:QUU392094 REO392029:REQ392094 ROK392029:ROM392094 RYG392029:RYI392094 SIC392029:SIE392094 SRY392029:SSA392094 TBU392029:TBW392094 TLQ392029:TLS392094 TVM392029:TVO392094 UFI392029:UFK392094 UPE392029:UPG392094 UZA392029:UZC392094 VIW392029:VIY392094 VSS392029:VSU392094 WCO392029:WCQ392094 WMK392029:WMM392094 WWG392029:WWI392094 Y457565:AA457630 JU457565:JW457630 TQ457565:TS457630 ADM457565:ADO457630 ANI457565:ANK457630 AXE457565:AXG457630 BHA457565:BHC457630 BQW457565:BQY457630 CAS457565:CAU457630 CKO457565:CKQ457630 CUK457565:CUM457630 DEG457565:DEI457630 DOC457565:DOE457630 DXY457565:DYA457630 EHU457565:EHW457630 ERQ457565:ERS457630 FBM457565:FBO457630 FLI457565:FLK457630 FVE457565:FVG457630 GFA457565:GFC457630 GOW457565:GOY457630 GYS457565:GYU457630 HIO457565:HIQ457630 HSK457565:HSM457630 ICG457565:ICI457630 IMC457565:IME457630 IVY457565:IWA457630 JFU457565:JFW457630 JPQ457565:JPS457630 JZM457565:JZO457630 KJI457565:KJK457630 KTE457565:KTG457630 LDA457565:LDC457630 LMW457565:LMY457630 LWS457565:LWU457630 MGO457565:MGQ457630 MQK457565:MQM457630 NAG457565:NAI457630 NKC457565:NKE457630 NTY457565:NUA457630 ODU457565:ODW457630 ONQ457565:ONS457630 OXM457565:OXO457630 PHI457565:PHK457630 PRE457565:PRG457630 QBA457565:QBC457630 QKW457565:QKY457630 QUS457565:QUU457630 REO457565:REQ457630 ROK457565:ROM457630 RYG457565:RYI457630 SIC457565:SIE457630 SRY457565:SSA457630 TBU457565:TBW457630 TLQ457565:TLS457630 TVM457565:TVO457630 UFI457565:UFK457630 UPE457565:UPG457630 UZA457565:UZC457630 VIW457565:VIY457630 VSS457565:VSU457630 WCO457565:WCQ457630 WMK457565:WMM457630 WWG457565:WWI457630 Y523101:AA523166 JU523101:JW523166 TQ523101:TS523166 ADM523101:ADO523166 ANI523101:ANK523166 AXE523101:AXG523166 BHA523101:BHC523166 BQW523101:BQY523166 CAS523101:CAU523166 CKO523101:CKQ523166 CUK523101:CUM523166 DEG523101:DEI523166 DOC523101:DOE523166 DXY523101:DYA523166 EHU523101:EHW523166 ERQ523101:ERS523166 FBM523101:FBO523166 FLI523101:FLK523166 FVE523101:FVG523166 GFA523101:GFC523166 GOW523101:GOY523166 GYS523101:GYU523166 HIO523101:HIQ523166 HSK523101:HSM523166 ICG523101:ICI523166 IMC523101:IME523166 IVY523101:IWA523166 JFU523101:JFW523166 JPQ523101:JPS523166 JZM523101:JZO523166 KJI523101:KJK523166 KTE523101:KTG523166 LDA523101:LDC523166 LMW523101:LMY523166 LWS523101:LWU523166 MGO523101:MGQ523166 MQK523101:MQM523166 NAG523101:NAI523166 NKC523101:NKE523166 NTY523101:NUA523166 ODU523101:ODW523166 ONQ523101:ONS523166 OXM523101:OXO523166 PHI523101:PHK523166 PRE523101:PRG523166 QBA523101:QBC523166 QKW523101:QKY523166 QUS523101:QUU523166 REO523101:REQ523166 ROK523101:ROM523166 RYG523101:RYI523166 SIC523101:SIE523166 SRY523101:SSA523166 TBU523101:TBW523166 TLQ523101:TLS523166 TVM523101:TVO523166 UFI523101:UFK523166 UPE523101:UPG523166 UZA523101:UZC523166 VIW523101:VIY523166 VSS523101:VSU523166 WCO523101:WCQ523166 WMK523101:WMM523166 WWG523101:WWI523166 Y588637:AA588702 JU588637:JW588702 TQ588637:TS588702 ADM588637:ADO588702 ANI588637:ANK588702 AXE588637:AXG588702 BHA588637:BHC588702 BQW588637:BQY588702 CAS588637:CAU588702 CKO588637:CKQ588702 CUK588637:CUM588702 DEG588637:DEI588702 DOC588637:DOE588702 DXY588637:DYA588702 EHU588637:EHW588702 ERQ588637:ERS588702 FBM588637:FBO588702 FLI588637:FLK588702 FVE588637:FVG588702 GFA588637:GFC588702 GOW588637:GOY588702 GYS588637:GYU588702 HIO588637:HIQ588702 HSK588637:HSM588702 ICG588637:ICI588702 IMC588637:IME588702 IVY588637:IWA588702 JFU588637:JFW588702 JPQ588637:JPS588702 JZM588637:JZO588702 KJI588637:KJK588702 KTE588637:KTG588702 LDA588637:LDC588702 LMW588637:LMY588702 LWS588637:LWU588702 MGO588637:MGQ588702 MQK588637:MQM588702 NAG588637:NAI588702 NKC588637:NKE588702 NTY588637:NUA588702 ODU588637:ODW588702 ONQ588637:ONS588702 OXM588637:OXO588702 PHI588637:PHK588702 PRE588637:PRG588702 QBA588637:QBC588702 QKW588637:QKY588702 QUS588637:QUU588702 REO588637:REQ588702 ROK588637:ROM588702 RYG588637:RYI588702 SIC588637:SIE588702 SRY588637:SSA588702 TBU588637:TBW588702 TLQ588637:TLS588702 TVM588637:TVO588702 UFI588637:UFK588702 UPE588637:UPG588702 UZA588637:UZC588702 VIW588637:VIY588702 VSS588637:VSU588702 WCO588637:WCQ588702 WMK588637:WMM588702 WWG588637:WWI588702 Y654173:AA654238 JU654173:JW654238 TQ654173:TS654238 ADM654173:ADO654238 ANI654173:ANK654238 AXE654173:AXG654238 BHA654173:BHC654238 BQW654173:BQY654238 CAS654173:CAU654238 CKO654173:CKQ654238 CUK654173:CUM654238 DEG654173:DEI654238 DOC654173:DOE654238 DXY654173:DYA654238 EHU654173:EHW654238 ERQ654173:ERS654238 FBM654173:FBO654238 FLI654173:FLK654238 FVE654173:FVG654238 GFA654173:GFC654238 GOW654173:GOY654238 GYS654173:GYU654238 HIO654173:HIQ654238 HSK654173:HSM654238 ICG654173:ICI654238 IMC654173:IME654238 IVY654173:IWA654238 JFU654173:JFW654238 JPQ654173:JPS654238 JZM654173:JZO654238 KJI654173:KJK654238 KTE654173:KTG654238 LDA654173:LDC654238 LMW654173:LMY654238 LWS654173:LWU654238 MGO654173:MGQ654238 MQK654173:MQM654238 NAG654173:NAI654238 NKC654173:NKE654238 NTY654173:NUA654238 ODU654173:ODW654238 ONQ654173:ONS654238 OXM654173:OXO654238 PHI654173:PHK654238 PRE654173:PRG654238 QBA654173:QBC654238 QKW654173:QKY654238 QUS654173:QUU654238 REO654173:REQ654238 ROK654173:ROM654238 RYG654173:RYI654238 SIC654173:SIE654238 SRY654173:SSA654238 TBU654173:TBW654238 TLQ654173:TLS654238 TVM654173:TVO654238 UFI654173:UFK654238 UPE654173:UPG654238 UZA654173:UZC654238 VIW654173:VIY654238 VSS654173:VSU654238 WCO654173:WCQ654238 WMK654173:WMM654238 WWG654173:WWI654238 Y719709:AA719774 JU719709:JW719774 TQ719709:TS719774 ADM719709:ADO719774 ANI719709:ANK719774 AXE719709:AXG719774 BHA719709:BHC719774 BQW719709:BQY719774 CAS719709:CAU719774 CKO719709:CKQ719774 CUK719709:CUM719774 DEG719709:DEI719774 DOC719709:DOE719774 DXY719709:DYA719774 EHU719709:EHW719774 ERQ719709:ERS719774 FBM719709:FBO719774 FLI719709:FLK719774 FVE719709:FVG719774 GFA719709:GFC719774 GOW719709:GOY719774 GYS719709:GYU719774 HIO719709:HIQ719774 HSK719709:HSM719774 ICG719709:ICI719774 IMC719709:IME719774 IVY719709:IWA719774 JFU719709:JFW719774 JPQ719709:JPS719774 JZM719709:JZO719774 KJI719709:KJK719774 KTE719709:KTG719774 LDA719709:LDC719774 LMW719709:LMY719774 LWS719709:LWU719774 MGO719709:MGQ719774 MQK719709:MQM719774 NAG719709:NAI719774 NKC719709:NKE719774 NTY719709:NUA719774 ODU719709:ODW719774 ONQ719709:ONS719774 OXM719709:OXO719774 PHI719709:PHK719774 PRE719709:PRG719774 QBA719709:QBC719774 QKW719709:QKY719774 QUS719709:QUU719774 REO719709:REQ719774 ROK719709:ROM719774 RYG719709:RYI719774 SIC719709:SIE719774 SRY719709:SSA719774 TBU719709:TBW719774 TLQ719709:TLS719774 TVM719709:TVO719774 UFI719709:UFK719774 UPE719709:UPG719774 UZA719709:UZC719774 VIW719709:VIY719774 VSS719709:VSU719774 WCO719709:WCQ719774 WMK719709:WMM719774 WWG719709:WWI719774 Y785245:AA785310 JU785245:JW785310 TQ785245:TS785310 ADM785245:ADO785310 ANI785245:ANK785310 AXE785245:AXG785310 BHA785245:BHC785310 BQW785245:BQY785310 CAS785245:CAU785310 CKO785245:CKQ785310 CUK785245:CUM785310 DEG785245:DEI785310 DOC785245:DOE785310 DXY785245:DYA785310 EHU785245:EHW785310 ERQ785245:ERS785310 FBM785245:FBO785310 FLI785245:FLK785310 FVE785245:FVG785310 GFA785245:GFC785310 GOW785245:GOY785310 GYS785245:GYU785310 HIO785245:HIQ785310 HSK785245:HSM785310 ICG785245:ICI785310 IMC785245:IME785310 IVY785245:IWA785310 JFU785245:JFW785310 JPQ785245:JPS785310 JZM785245:JZO785310 KJI785245:KJK785310 KTE785245:KTG785310 LDA785245:LDC785310 LMW785245:LMY785310 LWS785245:LWU785310 MGO785245:MGQ785310 MQK785245:MQM785310 NAG785245:NAI785310 NKC785245:NKE785310 NTY785245:NUA785310 ODU785245:ODW785310 ONQ785245:ONS785310 OXM785245:OXO785310 PHI785245:PHK785310 PRE785245:PRG785310 QBA785245:QBC785310 QKW785245:QKY785310 QUS785245:QUU785310 REO785245:REQ785310 ROK785245:ROM785310 RYG785245:RYI785310 SIC785245:SIE785310 SRY785245:SSA785310 TBU785245:TBW785310 TLQ785245:TLS785310 TVM785245:TVO785310 UFI785245:UFK785310 UPE785245:UPG785310 UZA785245:UZC785310 VIW785245:VIY785310 VSS785245:VSU785310 WCO785245:WCQ785310 WMK785245:WMM785310 WWG785245:WWI785310 Y850781:AA850846 JU850781:JW850846 TQ850781:TS850846 ADM850781:ADO850846 ANI850781:ANK850846 AXE850781:AXG850846 BHA850781:BHC850846 BQW850781:BQY850846 CAS850781:CAU850846 CKO850781:CKQ850846 CUK850781:CUM850846 DEG850781:DEI850846 DOC850781:DOE850846 DXY850781:DYA850846 EHU850781:EHW850846 ERQ850781:ERS850846 FBM850781:FBO850846 FLI850781:FLK850846 FVE850781:FVG850846 GFA850781:GFC850846 GOW850781:GOY850846 GYS850781:GYU850846 HIO850781:HIQ850846 HSK850781:HSM850846 ICG850781:ICI850846 IMC850781:IME850846 IVY850781:IWA850846 JFU850781:JFW850846 JPQ850781:JPS850846 JZM850781:JZO850846 KJI850781:KJK850846 KTE850781:KTG850846 LDA850781:LDC850846 LMW850781:LMY850846 LWS850781:LWU850846 MGO850781:MGQ850846 MQK850781:MQM850846 NAG850781:NAI850846 NKC850781:NKE850846 NTY850781:NUA850846 ODU850781:ODW850846 ONQ850781:ONS850846 OXM850781:OXO850846 PHI850781:PHK850846 PRE850781:PRG850846 QBA850781:QBC850846 QKW850781:QKY850846 QUS850781:QUU850846 REO850781:REQ850846 ROK850781:ROM850846 RYG850781:RYI850846 SIC850781:SIE850846 SRY850781:SSA850846 TBU850781:TBW850846 TLQ850781:TLS850846 TVM850781:TVO850846 UFI850781:UFK850846 UPE850781:UPG850846 UZA850781:UZC850846 VIW850781:VIY850846 VSS850781:VSU850846 WCO850781:WCQ850846 WMK850781:WMM850846 WWG850781:WWI850846 Y916317:AA916382 JU916317:JW916382 TQ916317:TS916382 ADM916317:ADO916382 ANI916317:ANK916382 AXE916317:AXG916382 BHA916317:BHC916382 BQW916317:BQY916382 CAS916317:CAU916382 CKO916317:CKQ916382 CUK916317:CUM916382 DEG916317:DEI916382 DOC916317:DOE916382 DXY916317:DYA916382 EHU916317:EHW916382 ERQ916317:ERS916382 FBM916317:FBO916382 FLI916317:FLK916382 FVE916317:FVG916382 GFA916317:GFC916382 GOW916317:GOY916382 GYS916317:GYU916382 HIO916317:HIQ916382 HSK916317:HSM916382 ICG916317:ICI916382 IMC916317:IME916382 IVY916317:IWA916382 JFU916317:JFW916382 JPQ916317:JPS916382 JZM916317:JZO916382 KJI916317:KJK916382 KTE916317:KTG916382 LDA916317:LDC916382 LMW916317:LMY916382 LWS916317:LWU916382 MGO916317:MGQ916382 MQK916317:MQM916382 NAG916317:NAI916382 NKC916317:NKE916382 NTY916317:NUA916382 ODU916317:ODW916382 ONQ916317:ONS916382 OXM916317:OXO916382 PHI916317:PHK916382 PRE916317:PRG916382 QBA916317:QBC916382 QKW916317:QKY916382 QUS916317:QUU916382 REO916317:REQ916382 ROK916317:ROM916382 RYG916317:RYI916382 SIC916317:SIE916382 SRY916317:SSA916382 TBU916317:TBW916382 TLQ916317:TLS916382 TVM916317:TVO916382 UFI916317:UFK916382 UPE916317:UPG916382 UZA916317:UZC916382 VIW916317:VIY916382 VSS916317:VSU916382 WCO916317:WCQ916382 WMK916317:WMM916382 WWG916317:WWI916382 Y981853:AA981918 JU981853:JW981918 TQ981853:TS981918 ADM981853:ADO981918 ANI981853:ANK981918 AXE981853:AXG981918 BHA981853:BHC981918 BQW981853:BQY981918 CAS981853:CAU981918 CKO981853:CKQ981918 CUK981853:CUM981918 DEG981853:DEI981918 DOC981853:DOE981918 DXY981853:DYA981918 EHU981853:EHW981918 ERQ981853:ERS981918 FBM981853:FBO981918 FLI981853:FLK981918 FVE981853:FVG981918 GFA981853:GFC981918 GOW981853:GOY981918 GYS981853:GYU981918 HIO981853:HIQ981918 HSK981853:HSM981918 ICG981853:ICI981918 IMC981853:IME981918 IVY981853:IWA981918 JFU981853:JFW981918 JPQ981853:JPS981918 JZM981853:JZO981918 KJI981853:KJK981918 KTE981853:KTG981918 LDA981853:LDC981918 LMW981853:LMY981918 LWS981853:LWU981918 MGO981853:MGQ981918 MQK981853:MQM981918 NAG981853:NAI981918 NKC981853:NKE981918 NTY981853:NUA981918 ODU981853:ODW981918 ONQ981853:ONS981918 OXM981853:OXO981918 PHI981853:PHK981918 PRE981853:PRG981918 QBA981853:QBC981918 QKW981853:QKY981918 QUS981853:QUU981918 REO981853:REQ981918 ROK981853:ROM981918 RYG981853:RYI981918 SIC981853:SIE981918 SRY981853:SSA981918 TBU981853:TBW981918 TLQ981853:TLS981918 TVM981853:TVO981918 UFI981853:UFK981918 UPE981853:UPG981918 UZA981853:UZC981918 VIW981853:VIY981918 VSS981853:VSU981918 WCO981853:WCQ981918 WMK981853:WMM981918 WWG981853:WWI981918 Y1047389:AA1047454 JU1047389:JW1047454 TQ1047389:TS1047454 ADM1047389:ADO1047454 ANI1047389:ANK1047454 AXE1047389:AXG1047454 BHA1047389:BHC1047454 BQW1047389:BQY1047454 CAS1047389:CAU1047454 CKO1047389:CKQ1047454 CUK1047389:CUM1047454 DEG1047389:DEI1047454 DOC1047389:DOE1047454 DXY1047389:DYA1047454 EHU1047389:EHW1047454 ERQ1047389:ERS1047454 FBM1047389:FBO1047454 FLI1047389:FLK1047454 FVE1047389:FVG1047454 GFA1047389:GFC1047454 GOW1047389:GOY1047454 GYS1047389:GYU1047454 HIO1047389:HIQ1047454 HSK1047389:HSM1047454 ICG1047389:ICI1047454 IMC1047389:IME1047454 IVY1047389:IWA1047454 JFU1047389:JFW1047454 JPQ1047389:JPS1047454 JZM1047389:JZO1047454 KJI1047389:KJK1047454 KTE1047389:KTG1047454 LDA1047389:LDC1047454 LMW1047389:LMY1047454 LWS1047389:LWU1047454 MGO1047389:MGQ1047454 MQK1047389:MQM1047454 NAG1047389:NAI1047454 NKC1047389:NKE1047454 NTY1047389:NUA1047454 ODU1047389:ODW1047454 ONQ1047389:ONS1047454 OXM1047389:OXO1047454 PHI1047389:PHK1047454 PRE1047389:PRG1047454 QBA1047389:QBC1047454 QKW1047389:QKY1047454 QUS1047389:QUU1047454 REO1047389:REQ1047454 ROK1047389:ROM1047454 RYG1047389:RYI1047454 SIC1047389:SIE1047454 SRY1047389:SSA1047454 TBU1047389:TBW1047454 TLQ1047389:TLS1047454 TVM1047389:TVO1047454 UFI1047389:UFK1047454 UPE1047389:UPG1047454 UZA1047389:UZC1047454 VIW1047389:VIY1047454 VSS1047389:VSU1047454 WCO1047389:WCQ1047454 WMK1047389:WMM1047454 WWG1047389:WWI1047454 WWG983028:WWI983093 Y65524:AA65589 JU65524:JW65589 TQ65524:TS65589 ADM65524:ADO65589 ANI65524:ANK65589 AXE65524:AXG65589 BHA65524:BHC65589 BQW65524:BQY65589 CAS65524:CAU65589 CKO65524:CKQ65589 CUK65524:CUM65589 DEG65524:DEI65589 DOC65524:DOE65589 DXY65524:DYA65589 EHU65524:EHW65589 ERQ65524:ERS65589 FBM65524:FBO65589 FLI65524:FLK65589 FVE65524:FVG65589 GFA65524:GFC65589 GOW65524:GOY65589 GYS65524:GYU65589 HIO65524:HIQ65589 HSK65524:HSM65589 ICG65524:ICI65589 IMC65524:IME65589 IVY65524:IWA65589 JFU65524:JFW65589 JPQ65524:JPS65589 JZM65524:JZO65589 KJI65524:KJK65589 KTE65524:KTG65589 LDA65524:LDC65589 LMW65524:LMY65589 LWS65524:LWU65589 MGO65524:MGQ65589 MQK65524:MQM65589 NAG65524:NAI65589 NKC65524:NKE65589 NTY65524:NUA65589 ODU65524:ODW65589 ONQ65524:ONS65589 OXM65524:OXO65589 PHI65524:PHK65589 PRE65524:PRG65589 QBA65524:QBC65589 QKW65524:QKY65589 QUS65524:QUU65589 REO65524:REQ65589 ROK65524:ROM65589 RYG65524:RYI65589 SIC65524:SIE65589 SRY65524:SSA65589 TBU65524:TBW65589 TLQ65524:TLS65589 TVM65524:TVO65589 UFI65524:UFK65589 UPE65524:UPG65589 UZA65524:UZC65589 VIW65524:VIY65589 VSS65524:VSU65589 WCO65524:WCQ65589 WMK65524:WMM65589 WWG65524:WWI65589 Y131060:AA131125 JU131060:JW131125 TQ131060:TS131125 ADM131060:ADO131125 ANI131060:ANK131125 AXE131060:AXG131125 BHA131060:BHC131125 BQW131060:BQY131125 CAS131060:CAU131125 CKO131060:CKQ131125 CUK131060:CUM131125 DEG131060:DEI131125 DOC131060:DOE131125 DXY131060:DYA131125 EHU131060:EHW131125 ERQ131060:ERS131125 FBM131060:FBO131125 FLI131060:FLK131125 FVE131060:FVG131125 GFA131060:GFC131125 GOW131060:GOY131125 GYS131060:GYU131125 HIO131060:HIQ131125 HSK131060:HSM131125 ICG131060:ICI131125 IMC131060:IME131125 IVY131060:IWA131125 JFU131060:JFW131125 JPQ131060:JPS131125 JZM131060:JZO131125 KJI131060:KJK131125 KTE131060:KTG131125 LDA131060:LDC131125 LMW131060:LMY131125 LWS131060:LWU131125 MGO131060:MGQ131125 MQK131060:MQM131125 NAG131060:NAI131125 NKC131060:NKE131125 NTY131060:NUA131125 ODU131060:ODW131125 ONQ131060:ONS131125 OXM131060:OXO131125 PHI131060:PHK131125 PRE131060:PRG131125 QBA131060:QBC131125 QKW131060:QKY131125 QUS131060:QUU131125 REO131060:REQ131125 ROK131060:ROM131125 RYG131060:RYI131125 SIC131060:SIE131125 SRY131060:SSA131125 TBU131060:TBW131125 TLQ131060:TLS131125 TVM131060:TVO131125 UFI131060:UFK131125 UPE131060:UPG131125 UZA131060:UZC131125 VIW131060:VIY131125 VSS131060:VSU131125 WCO131060:WCQ131125 WMK131060:WMM131125 WWG131060:WWI131125 Y196596:AA196661 JU196596:JW196661 TQ196596:TS196661 ADM196596:ADO196661 ANI196596:ANK196661 AXE196596:AXG196661 BHA196596:BHC196661 BQW196596:BQY196661 CAS196596:CAU196661 CKO196596:CKQ196661 CUK196596:CUM196661 DEG196596:DEI196661 DOC196596:DOE196661 DXY196596:DYA196661 EHU196596:EHW196661 ERQ196596:ERS196661 FBM196596:FBO196661 FLI196596:FLK196661 FVE196596:FVG196661 GFA196596:GFC196661 GOW196596:GOY196661 GYS196596:GYU196661 HIO196596:HIQ196661 HSK196596:HSM196661 ICG196596:ICI196661 IMC196596:IME196661 IVY196596:IWA196661 JFU196596:JFW196661 JPQ196596:JPS196661 JZM196596:JZO196661 KJI196596:KJK196661 KTE196596:KTG196661 LDA196596:LDC196661 LMW196596:LMY196661 LWS196596:LWU196661 MGO196596:MGQ196661 MQK196596:MQM196661 NAG196596:NAI196661 NKC196596:NKE196661 NTY196596:NUA196661 ODU196596:ODW196661 ONQ196596:ONS196661 OXM196596:OXO196661 PHI196596:PHK196661 PRE196596:PRG196661 QBA196596:QBC196661 QKW196596:QKY196661 QUS196596:QUU196661 REO196596:REQ196661 ROK196596:ROM196661 RYG196596:RYI196661 SIC196596:SIE196661 SRY196596:SSA196661 TBU196596:TBW196661 TLQ196596:TLS196661 TVM196596:TVO196661 UFI196596:UFK196661 UPE196596:UPG196661 UZA196596:UZC196661 VIW196596:VIY196661 VSS196596:VSU196661 WCO196596:WCQ196661 WMK196596:WMM196661 WWG196596:WWI196661 Y262132:AA262197 JU262132:JW262197 TQ262132:TS262197 ADM262132:ADO262197 ANI262132:ANK262197 AXE262132:AXG262197 BHA262132:BHC262197 BQW262132:BQY262197 CAS262132:CAU262197 CKO262132:CKQ262197 CUK262132:CUM262197 DEG262132:DEI262197 DOC262132:DOE262197 DXY262132:DYA262197 EHU262132:EHW262197 ERQ262132:ERS262197 FBM262132:FBO262197 FLI262132:FLK262197 FVE262132:FVG262197 GFA262132:GFC262197 GOW262132:GOY262197 GYS262132:GYU262197 HIO262132:HIQ262197 HSK262132:HSM262197 ICG262132:ICI262197 IMC262132:IME262197 IVY262132:IWA262197 JFU262132:JFW262197 JPQ262132:JPS262197 JZM262132:JZO262197 KJI262132:KJK262197 KTE262132:KTG262197 LDA262132:LDC262197 LMW262132:LMY262197 LWS262132:LWU262197 MGO262132:MGQ262197 MQK262132:MQM262197 NAG262132:NAI262197 NKC262132:NKE262197 NTY262132:NUA262197 ODU262132:ODW262197 ONQ262132:ONS262197 OXM262132:OXO262197 PHI262132:PHK262197 PRE262132:PRG262197 QBA262132:QBC262197 QKW262132:QKY262197 QUS262132:QUU262197 REO262132:REQ262197 ROK262132:ROM262197 RYG262132:RYI262197 SIC262132:SIE262197 SRY262132:SSA262197 TBU262132:TBW262197 TLQ262132:TLS262197 TVM262132:TVO262197 UFI262132:UFK262197 UPE262132:UPG262197 UZA262132:UZC262197 VIW262132:VIY262197 VSS262132:VSU262197 WCO262132:WCQ262197 WMK262132:WMM262197 WWG262132:WWI262197 Y327668:AA327733 JU327668:JW327733 TQ327668:TS327733 ADM327668:ADO327733 ANI327668:ANK327733 AXE327668:AXG327733 BHA327668:BHC327733 BQW327668:BQY327733 CAS327668:CAU327733 CKO327668:CKQ327733 CUK327668:CUM327733 DEG327668:DEI327733 DOC327668:DOE327733 DXY327668:DYA327733 EHU327668:EHW327733 ERQ327668:ERS327733 FBM327668:FBO327733 FLI327668:FLK327733 FVE327668:FVG327733 GFA327668:GFC327733 GOW327668:GOY327733 GYS327668:GYU327733 HIO327668:HIQ327733 HSK327668:HSM327733 ICG327668:ICI327733 IMC327668:IME327733 IVY327668:IWA327733 JFU327668:JFW327733 JPQ327668:JPS327733 JZM327668:JZO327733 KJI327668:KJK327733 KTE327668:KTG327733 LDA327668:LDC327733 LMW327668:LMY327733 LWS327668:LWU327733 MGO327668:MGQ327733 MQK327668:MQM327733 NAG327668:NAI327733 NKC327668:NKE327733 NTY327668:NUA327733 ODU327668:ODW327733 ONQ327668:ONS327733 OXM327668:OXO327733 PHI327668:PHK327733 PRE327668:PRG327733 QBA327668:QBC327733 QKW327668:QKY327733 QUS327668:QUU327733 REO327668:REQ327733 ROK327668:ROM327733 RYG327668:RYI327733 SIC327668:SIE327733 SRY327668:SSA327733 TBU327668:TBW327733 TLQ327668:TLS327733 TVM327668:TVO327733 UFI327668:UFK327733 UPE327668:UPG327733 UZA327668:UZC327733 VIW327668:VIY327733 VSS327668:VSU327733 WCO327668:WCQ327733 WMK327668:WMM327733 WWG327668:WWI327733 Y393204:AA393269 JU393204:JW393269 TQ393204:TS393269 ADM393204:ADO393269 ANI393204:ANK393269 AXE393204:AXG393269 BHA393204:BHC393269 BQW393204:BQY393269 CAS393204:CAU393269 CKO393204:CKQ393269 CUK393204:CUM393269 DEG393204:DEI393269 DOC393204:DOE393269 DXY393204:DYA393269 EHU393204:EHW393269 ERQ393204:ERS393269 FBM393204:FBO393269 FLI393204:FLK393269 FVE393204:FVG393269 GFA393204:GFC393269 GOW393204:GOY393269 GYS393204:GYU393269 HIO393204:HIQ393269 HSK393204:HSM393269 ICG393204:ICI393269 IMC393204:IME393269 IVY393204:IWA393269 JFU393204:JFW393269 JPQ393204:JPS393269 JZM393204:JZO393269 KJI393204:KJK393269 KTE393204:KTG393269 LDA393204:LDC393269 LMW393204:LMY393269 LWS393204:LWU393269 MGO393204:MGQ393269 MQK393204:MQM393269 NAG393204:NAI393269 NKC393204:NKE393269 NTY393204:NUA393269 ODU393204:ODW393269 ONQ393204:ONS393269 OXM393204:OXO393269 PHI393204:PHK393269 PRE393204:PRG393269 QBA393204:QBC393269 QKW393204:QKY393269 QUS393204:QUU393269 REO393204:REQ393269 ROK393204:ROM393269 RYG393204:RYI393269 SIC393204:SIE393269 SRY393204:SSA393269 TBU393204:TBW393269 TLQ393204:TLS393269 TVM393204:TVO393269 UFI393204:UFK393269 UPE393204:UPG393269 UZA393204:UZC393269 VIW393204:VIY393269 VSS393204:VSU393269 WCO393204:WCQ393269 WMK393204:WMM393269 WWG393204:WWI393269 Y458740:AA458805 JU458740:JW458805 TQ458740:TS458805 ADM458740:ADO458805 ANI458740:ANK458805 AXE458740:AXG458805 BHA458740:BHC458805 BQW458740:BQY458805 CAS458740:CAU458805 CKO458740:CKQ458805 CUK458740:CUM458805 DEG458740:DEI458805 DOC458740:DOE458805 DXY458740:DYA458805 EHU458740:EHW458805 ERQ458740:ERS458805 FBM458740:FBO458805 FLI458740:FLK458805 FVE458740:FVG458805 GFA458740:GFC458805 GOW458740:GOY458805 GYS458740:GYU458805 HIO458740:HIQ458805 HSK458740:HSM458805 ICG458740:ICI458805 IMC458740:IME458805 IVY458740:IWA458805 JFU458740:JFW458805 JPQ458740:JPS458805 JZM458740:JZO458805 KJI458740:KJK458805 KTE458740:KTG458805 LDA458740:LDC458805 LMW458740:LMY458805 LWS458740:LWU458805 MGO458740:MGQ458805 MQK458740:MQM458805 NAG458740:NAI458805 NKC458740:NKE458805 NTY458740:NUA458805 ODU458740:ODW458805 ONQ458740:ONS458805 OXM458740:OXO458805 PHI458740:PHK458805 PRE458740:PRG458805 QBA458740:QBC458805 QKW458740:QKY458805 QUS458740:QUU458805 REO458740:REQ458805 ROK458740:ROM458805 RYG458740:RYI458805 SIC458740:SIE458805 SRY458740:SSA458805 TBU458740:TBW458805 TLQ458740:TLS458805 TVM458740:TVO458805 UFI458740:UFK458805 UPE458740:UPG458805 UZA458740:UZC458805 VIW458740:VIY458805 VSS458740:VSU458805 WCO458740:WCQ458805 WMK458740:WMM458805 WWG458740:WWI458805 Y524276:AA524341 JU524276:JW524341 TQ524276:TS524341 ADM524276:ADO524341 ANI524276:ANK524341 AXE524276:AXG524341 BHA524276:BHC524341 BQW524276:BQY524341 CAS524276:CAU524341 CKO524276:CKQ524341 CUK524276:CUM524341 DEG524276:DEI524341 DOC524276:DOE524341 DXY524276:DYA524341 EHU524276:EHW524341 ERQ524276:ERS524341 FBM524276:FBO524341 FLI524276:FLK524341 FVE524276:FVG524341 GFA524276:GFC524341 GOW524276:GOY524341 GYS524276:GYU524341 HIO524276:HIQ524341 HSK524276:HSM524341 ICG524276:ICI524341 IMC524276:IME524341 IVY524276:IWA524341 JFU524276:JFW524341 JPQ524276:JPS524341 JZM524276:JZO524341 KJI524276:KJK524341 KTE524276:KTG524341 LDA524276:LDC524341 LMW524276:LMY524341 LWS524276:LWU524341 MGO524276:MGQ524341 MQK524276:MQM524341 NAG524276:NAI524341 NKC524276:NKE524341 NTY524276:NUA524341 ODU524276:ODW524341 ONQ524276:ONS524341 OXM524276:OXO524341 PHI524276:PHK524341 PRE524276:PRG524341 QBA524276:QBC524341 QKW524276:QKY524341 QUS524276:QUU524341 REO524276:REQ524341 ROK524276:ROM524341 RYG524276:RYI524341 SIC524276:SIE524341 SRY524276:SSA524341 TBU524276:TBW524341 TLQ524276:TLS524341 TVM524276:TVO524341 UFI524276:UFK524341 UPE524276:UPG524341 UZA524276:UZC524341 VIW524276:VIY524341 VSS524276:VSU524341 WCO524276:WCQ524341 WMK524276:WMM524341 WWG524276:WWI524341 Y589812:AA589877 JU589812:JW589877 TQ589812:TS589877 ADM589812:ADO589877 ANI589812:ANK589877 AXE589812:AXG589877 BHA589812:BHC589877 BQW589812:BQY589877 CAS589812:CAU589877 CKO589812:CKQ589877 CUK589812:CUM589877 DEG589812:DEI589877 DOC589812:DOE589877 DXY589812:DYA589877 EHU589812:EHW589877 ERQ589812:ERS589877 FBM589812:FBO589877 FLI589812:FLK589877 FVE589812:FVG589877 GFA589812:GFC589877 GOW589812:GOY589877 GYS589812:GYU589877 HIO589812:HIQ589877 HSK589812:HSM589877 ICG589812:ICI589877 IMC589812:IME589877 IVY589812:IWA589877 JFU589812:JFW589877 JPQ589812:JPS589877 JZM589812:JZO589877 KJI589812:KJK589877 KTE589812:KTG589877 LDA589812:LDC589877 LMW589812:LMY589877 LWS589812:LWU589877 MGO589812:MGQ589877 MQK589812:MQM589877 NAG589812:NAI589877 NKC589812:NKE589877 NTY589812:NUA589877 ODU589812:ODW589877 ONQ589812:ONS589877 OXM589812:OXO589877 PHI589812:PHK589877 PRE589812:PRG589877 QBA589812:QBC589877 QKW589812:QKY589877 QUS589812:QUU589877 REO589812:REQ589877 ROK589812:ROM589877 RYG589812:RYI589877 SIC589812:SIE589877 SRY589812:SSA589877 TBU589812:TBW589877 TLQ589812:TLS589877 TVM589812:TVO589877 UFI589812:UFK589877 UPE589812:UPG589877 UZA589812:UZC589877 VIW589812:VIY589877 VSS589812:VSU589877 WCO589812:WCQ589877 WMK589812:WMM589877 WWG589812:WWI589877 Y655348:AA655413 JU655348:JW655413 TQ655348:TS655413 ADM655348:ADO655413 ANI655348:ANK655413 AXE655348:AXG655413 BHA655348:BHC655413 BQW655348:BQY655413 CAS655348:CAU655413 CKO655348:CKQ655413 CUK655348:CUM655413 DEG655348:DEI655413 DOC655348:DOE655413 DXY655348:DYA655413 EHU655348:EHW655413 ERQ655348:ERS655413 FBM655348:FBO655413 FLI655348:FLK655413 FVE655348:FVG655413 GFA655348:GFC655413 GOW655348:GOY655413 GYS655348:GYU655413 HIO655348:HIQ655413 HSK655348:HSM655413 ICG655348:ICI655413 IMC655348:IME655413 IVY655348:IWA655413 JFU655348:JFW655413 JPQ655348:JPS655413 JZM655348:JZO655413 KJI655348:KJK655413 KTE655348:KTG655413 LDA655348:LDC655413 LMW655348:LMY655413 LWS655348:LWU655413 MGO655348:MGQ655413 MQK655348:MQM655413 NAG655348:NAI655413 NKC655348:NKE655413 NTY655348:NUA655413 ODU655348:ODW655413 ONQ655348:ONS655413 OXM655348:OXO655413 PHI655348:PHK655413 PRE655348:PRG655413 QBA655348:QBC655413 QKW655348:QKY655413 QUS655348:QUU655413 REO655348:REQ655413 ROK655348:ROM655413 RYG655348:RYI655413 SIC655348:SIE655413 SRY655348:SSA655413 TBU655348:TBW655413 TLQ655348:TLS655413 TVM655348:TVO655413 UFI655348:UFK655413 UPE655348:UPG655413 UZA655348:UZC655413 VIW655348:VIY655413 VSS655348:VSU655413 WCO655348:WCQ655413 WMK655348:WMM655413 WWG655348:WWI655413 Y720884:AA720949 JU720884:JW720949 TQ720884:TS720949 ADM720884:ADO720949 ANI720884:ANK720949 AXE720884:AXG720949 BHA720884:BHC720949 BQW720884:BQY720949 CAS720884:CAU720949 CKO720884:CKQ720949 CUK720884:CUM720949 DEG720884:DEI720949 DOC720884:DOE720949 DXY720884:DYA720949 EHU720884:EHW720949 ERQ720884:ERS720949 FBM720884:FBO720949 FLI720884:FLK720949 FVE720884:FVG720949 GFA720884:GFC720949 GOW720884:GOY720949 GYS720884:GYU720949 HIO720884:HIQ720949 HSK720884:HSM720949 ICG720884:ICI720949 IMC720884:IME720949 IVY720884:IWA720949 JFU720884:JFW720949 JPQ720884:JPS720949 JZM720884:JZO720949 KJI720884:KJK720949 KTE720884:KTG720949 LDA720884:LDC720949 LMW720884:LMY720949 LWS720884:LWU720949 MGO720884:MGQ720949 MQK720884:MQM720949 NAG720884:NAI720949 NKC720884:NKE720949 NTY720884:NUA720949 ODU720884:ODW720949 ONQ720884:ONS720949 OXM720884:OXO720949 PHI720884:PHK720949 PRE720884:PRG720949 QBA720884:QBC720949 QKW720884:QKY720949 QUS720884:QUU720949 REO720884:REQ720949 ROK720884:ROM720949 RYG720884:RYI720949 SIC720884:SIE720949 SRY720884:SSA720949 TBU720884:TBW720949 TLQ720884:TLS720949 TVM720884:TVO720949 UFI720884:UFK720949 UPE720884:UPG720949 UZA720884:UZC720949 VIW720884:VIY720949 VSS720884:VSU720949 WCO720884:WCQ720949 WMK720884:WMM720949 WWG720884:WWI720949 Y786420:AA786485 JU786420:JW786485 TQ786420:TS786485 ADM786420:ADO786485 ANI786420:ANK786485 AXE786420:AXG786485 BHA786420:BHC786485 BQW786420:BQY786485 CAS786420:CAU786485 CKO786420:CKQ786485 CUK786420:CUM786485 DEG786420:DEI786485 DOC786420:DOE786485 DXY786420:DYA786485 EHU786420:EHW786485 ERQ786420:ERS786485 FBM786420:FBO786485 FLI786420:FLK786485 FVE786420:FVG786485 GFA786420:GFC786485 GOW786420:GOY786485 GYS786420:GYU786485 HIO786420:HIQ786485 HSK786420:HSM786485 ICG786420:ICI786485 IMC786420:IME786485 IVY786420:IWA786485 JFU786420:JFW786485 JPQ786420:JPS786485 JZM786420:JZO786485 KJI786420:KJK786485 KTE786420:KTG786485 LDA786420:LDC786485 LMW786420:LMY786485 LWS786420:LWU786485 MGO786420:MGQ786485 MQK786420:MQM786485 NAG786420:NAI786485 NKC786420:NKE786485 NTY786420:NUA786485 ODU786420:ODW786485 ONQ786420:ONS786485 OXM786420:OXO786485 PHI786420:PHK786485 PRE786420:PRG786485 QBA786420:QBC786485 QKW786420:QKY786485 QUS786420:QUU786485 REO786420:REQ786485 ROK786420:ROM786485 RYG786420:RYI786485 SIC786420:SIE786485 SRY786420:SSA786485 TBU786420:TBW786485 TLQ786420:TLS786485 TVM786420:TVO786485 UFI786420:UFK786485 UPE786420:UPG786485 UZA786420:UZC786485 VIW786420:VIY786485 VSS786420:VSU786485 WCO786420:WCQ786485 WMK786420:WMM786485 WWG786420:WWI786485 Y851956:AA852021 JU851956:JW852021 TQ851956:TS852021 ADM851956:ADO852021 ANI851956:ANK852021 AXE851956:AXG852021 BHA851956:BHC852021 BQW851956:BQY852021 CAS851956:CAU852021 CKO851956:CKQ852021 CUK851956:CUM852021 DEG851956:DEI852021 DOC851956:DOE852021 DXY851956:DYA852021 EHU851956:EHW852021 ERQ851956:ERS852021 FBM851956:FBO852021 FLI851956:FLK852021 FVE851956:FVG852021 GFA851956:GFC852021 GOW851956:GOY852021 GYS851956:GYU852021 HIO851956:HIQ852021 HSK851956:HSM852021 ICG851956:ICI852021 IMC851956:IME852021 IVY851956:IWA852021 JFU851956:JFW852021 JPQ851956:JPS852021 JZM851956:JZO852021 KJI851956:KJK852021 KTE851956:KTG852021 LDA851956:LDC852021 LMW851956:LMY852021 LWS851956:LWU852021 MGO851956:MGQ852021 MQK851956:MQM852021 NAG851956:NAI852021 NKC851956:NKE852021 NTY851956:NUA852021 ODU851956:ODW852021 ONQ851956:ONS852021 OXM851956:OXO852021 PHI851956:PHK852021 PRE851956:PRG852021 QBA851956:QBC852021 QKW851956:QKY852021 QUS851956:QUU852021 REO851956:REQ852021 ROK851956:ROM852021 RYG851956:RYI852021 SIC851956:SIE852021 SRY851956:SSA852021 TBU851956:TBW852021 TLQ851956:TLS852021 TVM851956:TVO852021 UFI851956:UFK852021 UPE851956:UPG852021 UZA851956:UZC852021 VIW851956:VIY852021 VSS851956:VSU852021 WCO851956:WCQ852021 WMK851956:WMM852021 WWG851956:WWI852021 Y917492:AA917557 JU917492:JW917557 TQ917492:TS917557 ADM917492:ADO917557 ANI917492:ANK917557 AXE917492:AXG917557 BHA917492:BHC917557 BQW917492:BQY917557 CAS917492:CAU917557 CKO917492:CKQ917557 CUK917492:CUM917557 DEG917492:DEI917557 DOC917492:DOE917557 DXY917492:DYA917557 EHU917492:EHW917557 ERQ917492:ERS917557 FBM917492:FBO917557 FLI917492:FLK917557 FVE917492:FVG917557 GFA917492:GFC917557 GOW917492:GOY917557 GYS917492:GYU917557 HIO917492:HIQ917557 HSK917492:HSM917557 ICG917492:ICI917557 IMC917492:IME917557 IVY917492:IWA917557 JFU917492:JFW917557 JPQ917492:JPS917557 JZM917492:JZO917557 KJI917492:KJK917557 KTE917492:KTG917557 LDA917492:LDC917557 LMW917492:LMY917557 LWS917492:LWU917557 MGO917492:MGQ917557 MQK917492:MQM917557 NAG917492:NAI917557 NKC917492:NKE917557 NTY917492:NUA917557 ODU917492:ODW917557 ONQ917492:ONS917557 OXM917492:OXO917557 PHI917492:PHK917557 PRE917492:PRG917557 QBA917492:QBC917557 QKW917492:QKY917557 QUS917492:QUU917557 REO917492:REQ917557 ROK917492:ROM917557 RYG917492:RYI917557 SIC917492:SIE917557 SRY917492:SSA917557 TBU917492:TBW917557 TLQ917492:TLS917557 TVM917492:TVO917557 UFI917492:UFK917557 UPE917492:UPG917557 UZA917492:UZC917557 VIW917492:VIY917557 VSS917492:VSU917557 WCO917492:WCQ917557 WMK917492:WMM917557 WWG917492:WWI917557 Y983028:AA983093 JU983028:JW983093 TQ983028:TS983093 ADM983028:ADO983093 ANI983028:ANK983093 AXE983028:AXG983093 BHA983028:BHC983093 BQW983028:BQY983093 CAS983028:CAU983093 CKO983028:CKQ983093 CUK983028:CUM983093 DEG983028:DEI983093 DOC983028:DOE983093 DXY983028:DYA983093 EHU983028:EHW983093 ERQ983028:ERS983093 FBM983028:FBO983093 FLI983028:FLK983093 FVE983028:FVG983093 GFA983028:GFC983093 GOW983028:GOY983093 GYS983028:GYU983093 HIO983028:HIQ983093 HSK983028:HSM983093 ICG983028:ICI983093 IMC983028:IME983093 IVY983028:IWA983093 JFU983028:JFW983093 JPQ983028:JPS983093 JZM983028:JZO983093 KJI983028:KJK983093 KTE983028:KTG983093 LDA983028:LDC983093 LMW983028:LMY983093 LWS983028:LWU983093 MGO983028:MGQ983093 MQK983028:MQM983093 NAG983028:NAI983093 NKC983028:NKE983093 NTY983028:NUA983093 ODU983028:ODW983093 ONQ983028:ONS983093 OXM983028:OXO983093 PHI983028:PHK983093 PRE983028:PRG983093 QBA983028:QBC983093 QKW983028:QKY983093 QUS983028:QUU983093 REO983028:REQ983093 ROK983028:ROM983093 RYG983028:RYI983093 SIC983028:SIE983093 SRY983028:SSA983093 TBU983028:TBW983093 TLQ983028:TLS983093 TVM983028:TVO983093 UFI983028:UFK983093 UPE983028:UPG983093 UZA983028:UZC983093 VIW983028:VIY983093 VSS983028:VSU983093 WCO983028:WCQ983093 WMK983028:WMM983093 JU2:JW70 ADM2:ADO70 ANI2:ANK70 AXE2:AXG70 BHA2:BHC70 BQW2:BQY70 CAS2:CAU70 CKO2:CKQ70 CUK2:CUM70 DEG2:DEI70 DOC2:DOE70 DXY2:DYA70 EHU2:EHW70 ERQ2:ERS70 FBM2:FBO70 FLI2:FLK70 FVE2:FVG70 GFA2:GFC70 GOW2:GOY70 GYS2:GYU70 HIO2:HIQ70 HSK2:HSM70 ICG2:ICI70 IMC2:IME70 IVY2:IWA70 JFU2:JFW70 JPQ2:JPS70 JZM2:JZO70 KJI2:KJK70 KTE2:KTG70 LDA2:LDC70 LMW2:LMY70 LWS2:LWU70 MGO2:MGQ70 MQK2:MQM70 NAG2:NAI70 NKC2:NKE70 NTY2:NUA70 ODU2:ODW70 ONQ2:ONS70 OXM2:OXO70 PHI2:PHK70 PRE2:PRG70 QBA2:QBC70 QKW2:QKY70 QUS2:QUU70 REO2:REQ70 ROK2:ROM70 RYG2:RYI70 SIC2:SIE70 SRY2:SSA70 TBU2:TBW70 TLQ2:TLS70 TVM2:TVO70 UFI2:UFK70 UPE2:UPG70 UZA2:UZC70 VIW2:VIY70 VSS2:VSU70 WCO2:WCQ70 WMK2:WMM70 WWG2:WWI70 TQ2:TS70">
      <formula1>$AV$2:$AV$20</formula1>
    </dataValidation>
    <dataValidation type="list" allowBlank="1" showInputMessage="1" showErrorMessage="1" sqref="H64349:H64414 JD64349:JD64414 SZ64349:SZ64414 ACV64349:ACV64414 AMR64349:AMR64414 AWN64349:AWN64414 BGJ64349:BGJ64414 BQF64349:BQF64414 CAB64349:CAB64414 CJX64349:CJX64414 CTT64349:CTT64414 DDP64349:DDP64414 DNL64349:DNL64414 DXH64349:DXH64414 EHD64349:EHD64414 EQZ64349:EQZ64414 FAV64349:FAV64414 FKR64349:FKR64414 FUN64349:FUN64414 GEJ64349:GEJ64414 GOF64349:GOF64414 GYB64349:GYB64414 HHX64349:HHX64414 HRT64349:HRT64414 IBP64349:IBP64414 ILL64349:ILL64414 IVH64349:IVH64414 JFD64349:JFD64414 JOZ64349:JOZ64414 JYV64349:JYV64414 KIR64349:KIR64414 KSN64349:KSN64414 LCJ64349:LCJ64414 LMF64349:LMF64414 LWB64349:LWB64414 MFX64349:MFX64414 MPT64349:MPT64414 MZP64349:MZP64414 NJL64349:NJL64414 NTH64349:NTH64414 ODD64349:ODD64414 OMZ64349:OMZ64414 OWV64349:OWV64414 PGR64349:PGR64414 PQN64349:PQN64414 QAJ64349:QAJ64414 QKF64349:QKF64414 QUB64349:QUB64414 RDX64349:RDX64414 RNT64349:RNT64414 RXP64349:RXP64414 SHL64349:SHL64414 SRH64349:SRH64414 TBD64349:TBD64414 TKZ64349:TKZ64414 TUV64349:TUV64414 UER64349:UER64414 UON64349:UON64414 UYJ64349:UYJ64414 VIF64349:VIF64414 VSB64349:VSB64414 WBX64349:WBX64414 WLT64349:WLT64414 WVP64349:WVP64414 H129885:H129950 JD129885:JD129950 SZ129885:SZ129950 ACV129885:ACV129950 AMR129885:AMR129950 AWN129885:AWN129950 BGJ129885:BGJ129950 BQF129885:BQF129950 CAB129885:CAB129950 CJX129885:CJX129950 CTT129885:CTT129950 DDP129885:DDP129950 DNL129885:DNL129950 DXH129885:DXH129950 EHD129885:EHD129950 EQZ129885:EQZ129950 FAV129885:FAV129950 FKR129885:FKR129950 FUN129885:FUN129950 GEJ129885:GEJ129950 GOF129885:GOF129950 GYB129885:GYB129950 HHX129885:HHX129950 HRT129885:HRT129950 IBP129885:IBP129950 ILL129885:ILL129950 IVH129885:IVH129950 JFD129885:JFD129950 JOZ129885:JOZ129950 JYV129885:JYV129950 KIR129885:KIR129950 KSN129885:KSN129950 LCJ129885:LCJ129950 LMF129885:LMF129950 LWB129885:LWB129950 MFX129885:MFX129950 MPT129885:MPT129950 MZP129885:MZP129950 NJL129885:NJL129950 NTH129885:NTH129950 ODD129885:ODD129950 OMZ129885:OMZ129950 OWV129885:OWV129950 PGR129885:PGR129950 PQN129885:PQN129950 QAJ129885:QAJ129950 QKF129885:QKF129950 QUB129885:QUB129950 RDX129885:RDX129950 RNT129885:RNT129950 RXP129885:RXP129950 SHL129885:SHL129950 SRH129885:SRH129950 TBD129885:TBD129950 TKZ129885:TKZ129950 TUV129885:TUV129950 UER129885:UER129950 UON129885:UON129950 UYJ129885:UYJ129950 VIF129885:VIF129950 VSB129885:VSB129950 WBX129885:WBX129950 WLT129885:WLT129950 WVP129885:WVP129950 H195421:H195486 JD195421:JD195486 SZ195421:SZ195486 ACV195421:ACV195486 AMR195421:AMR195486 AWN195421:AWN195486 BGJ195421:BGJ195486 BQF195421:BQF195486 CAB195421:CAB195486 CJX195421:CJX195486 CTT195421:CTT195486 DDP195421:DDP195486 DNL195421:DNL195486 DXH195421:DXH195486 EHD195421:EHD195486 EQZ195421:EQZ195486 FAV195421:FAV195486 FKR195421:FKR195486 FUN195421:FUN195486 GEJ195421:GEJ195486 GOF195421:GOF195486 GYB195421:GYB195486 HHX195421:HHX195486 HRT195421:HRT195486 IBP195421:IBP195486 ILL195421:ILL195486 IVH195421:IVH195486 JFD195421:JFD195486 JOZ195421:JOZ195486 JYV195421:JYV195486 KIR195421:KIR195486 KSN195421:KSN195486 LCJ195421:LCJ195486 LMF195421:LMF195486 LWB195421:LWB195486 MFX195421:MFX195486 MPT195421:MPT195486 MZP195421:MZP195486 NJL195421:NJL195486 NTH195421:NTH195486 ODD195421:ODD195486 OMZ195421:OMZ195486 OWV195421:OWV195486 PGR195421:PGR195486 PQN195421:PQN195486 QAJ195421:QAJ195486 QKF195421:QKF195486 QUB195421:QUB195486 RDX195421:RDX195486 RNT195421:RNT195486 RXP195421:RXP195486 SHL195421:SHL195486 SRH195421:SRH195486 TBD195421:TBD195486 TKZ195421:TKZ195486 TUV195421:TUV195486 UER195421:UER195486 UON195421:UON195486 UYJ195421:UYJ195486 VIF195421:VIF195486 VSB195421:VSB195486 WBX195421:WBX195486 WLT195421:WLT195486 WVP195421:WVP195486 H260957:H261022 JD260957:JD261022 SZ260957:SZ261022 ACV260957:ACV261022 AMR260957:AMR261022 AWN260957:AWN261022 BGJ260957:BGJ261022 BQF260957:BQF261022 CAB260957:CAB261022 CJX260957:CJX261022 CTT260957:CTT261022 DDP260957:DDP261022 DNL260957:DNL261022 DXH260957:DXH261022 EHD260957:EHD261022 EQZ260957:EQZ261022 FAV260957:FAV261022 FKR260957:FKR261022 FUN260957:FUN261022 GEJ260957:GEJ261022 GOF260957:GOF261022 GYB260957:GYB261022 HHX260957:HHX261022 HRT260957:HRT261022 IBP260957:IBP261022 ILL260957:ILL261022 IVH260957:IVH261022 JFD260957:JFD261022 JOZ260957:JOZ261022 JYV260957:JYV261022 KIR260957:KIR261022 KSN260957:KSN261022 LCJ260957:LCJ261022 LMF260957:LMF261022 LWB260957:LWB261022 MFX260957:MFX261022 MPT260957:MPT261022 MZP260957:MZP261022 NJL260957:NJL261022 NTH260957:NTH261022 ODD260957:ODD261022 OMZ260957:OMZ261022 OWV260957:OWV261022 PGR260957:PGR261022 PQN260957:PQN261022 QAJ260957:QAJ261022 QKF260957:QKF261022 QUB260957:QUB261022 RDX260957:RDX261022 RNT260957:RNT261022 RXP260957:RXP261022 SHL260957:SHL261022 SRH260957:SRH261022 TBD260957:TBD261022 TKZ260957:TKZ261022 TUV260957:TUV261022 UER260957:UER261022 UON260957:UON261022 UYJ260957:UYJ261022 VIF260957:VIF261022 VSB260957:VSB261022 WBX260957:WBX261022 WLT260957:WLT261022 WVP260957:WVP261022 H326493:H326558 JD326493:JD326558 SZ326493:SZ326558 ACV326493:ACV326558 AMR326493:AMR326558 AWN326493:AWN326558 BGJ326493:BGJ326558 BQF326493:BQF326558 CAB326493:CAB326558 CJX326493:CJX326558 CTT326493:CTT326558 DDP326493:DDP326558 DNL326493:DNL326558 DXH326493:DXH326558 EHD326493:EHD326558 EQZ326493:EQZ326558 FAV326493:FAV326558 FKR326493:FKR326558 FUN326493:FUN326558 GEJ326493:GEJ326558 GOF326493:GOF326558 GYB326493:GYB326558 HHX326493:HHX326558 HRT326493:HRT326558 IBP326493:IBP326558 ILL326493:ILL326558 IVH326493:IVH326558 JFD326493:JFD326558 JOZ326493:JOZ326558 JYV326493:JYV326558 KIR326493:KIR326558 KSN326493:KSN326558 LCJ326493:LCJ326558 LMF326493:LMF326558 LWB326493:LWB326558 MFX326493:MFX326558 MPT326493:MPT326558 MZP326493:MZP326558 NJL326493:NJL326558 NTH326493:NTH326558 ODD326493:ODD326558 OMZ326493:OMZ326558 OWV326493:OWV326558 PGR326493:PGR326558 PQN326493:PQN326558 QAJ326493:QAJ326558 QKF326493:QKF326558 QUB326493:QUB326558 RDX326493:RDX326558 RNT326493:RNT326558 RXP326493:RXP326558 SHL326493:SHL326558 SRH326493:SRH326558 TBD326493:TBD326558 TKZ326493:TKZ326558 TUV326493:TUV326558 UER326493:UER326558 UON326493:UON326558 UYJ326493:UYJ326558 VIF326493:VIF326558 VSB326493:VSB326558 WBX326493:WBX326558 WLT326493:WLT326558 WVP326493:WVP326558 H392029:H392094 JD392029:JD392094 SZ392029:SZ392094 ACV392029:ACV392094 AMR392029:AMR392094 AWN392029:AWN392094 BGJ392029:BGJ392094 BQF392029:BQF392094 CAB392029:CAB392094 CJX392029:CJX392094 CTT392029:CTT392094 DDP392029:DDP392094 DNL392029:DNL392094 DXH392029:DXH392094 EHD392029:EHD392094 EQZ392029:EQZ392094 FAV392029:FAV392094 FKR392029:FKR392094 FUN392029:FUN392094 GEJ392029:GEJ392094 GOF392029:GOF392094 GYB392029:GYB392094 HHX392029:HHX392094 HRT392029:HRT392094 IBP392029:IBP392094 ILL392029:ILL392094 IVH392029:IVH392094 JFD392029:JFD392094 JOZ392029:JOZ392094 JYV392029:JYV392094 KIR392029:KIR392094 KSN392029:KSN392094 LCJ392029:LCJ392094 LMF392029:LMF392094 LWB392029:LWB392094 MFX392029:MFX392094 MPT392029:MPT392094 MZP392029:MZP392094 NJL392029:NJL392094 NTH392029:NTH392094 ODD392029:ODD392094 OMZ392029:OMZ392094 OWV392029:OWV392094 PGR392029:PGR392094 PQN392029:PQN392094 QAJ392029:QAJ392094 QKF392029:QKF392094 QUB392029:QUB392094 RDX392029:RDX392094 RNT392029:RNT392094 RXP392029:RXP392094 SHL392029:SHL392094 SRH392029:SRH392094 TBD392029:TBD392094 TKZ392029:TKZ392094 TUV392029:TUV392094 UER392029:UER392094 UON392029:UON392094 UYJ392029:UYJ392094 VIF392029:VIF392094 VSB392029:VSB392094 WBX392029:WBX392094 WLT392029:WLT392094 WVP392029:WVP392094 H457565:H457630 JD457565:JD457630 SZ457565:SZ457630 ACV457565:ACV457630 AMR457565:AMR457630 AWN457565:AWN457630 BGJ457565:BGJ457630 BQF457565:BQF457630 CAB457565:CAB457630 CJX457565:CJX457630 CTT457565:CTT457630 DDP457565:DDP457630 DNL457565:DNL457630 DXH457565:DXH457630 EHD457565:EHD457630 EQZ457565:EQZ457630 FAV457565:FAV457630 FKR457565:FKR457630 FUN457565:FUN457630 GEJ457565:GEJ457630 GOF457565:GOF457630 GYB457565:GYB457630 HHX457565:HHX457630 HRT457565:HRT457630 IBP457565:IBP457630 ILL457565:ILL457630 IVH457565:IVH457630 JFD457565:JFD457630 JOZ457565:JOZ457630 JYV457565:JYV457630 KIR457565:KIR457630 KSN457565:KSN457630 LCJ457565:LCJ457630 LMF457565:LMF457630 LWB457565:LWB457630 MFX457565:MFX457630 MPT457565:MPT457630 MZP457565:MZP457630 NJL457565:NJL457630 NTH457565:NTH457630 ODD457565:ODD457630 OMZ457565:OMZ457630 OWV457565:OWV457630 PGR457565:PGR457630 PQN457565:PQN457630 QAJ457565:QAJ457630 QKF457565:QKF457630 QUB457565:QUB457630 RDX457565:RDX457630 RNT457565:RNT457630 RXP457565:RXP457630 SHL457565:SHL457630 SRH457565:SRH457630 TBD457565:TBD457630 TKZ457565:TKZ457630 TUV457565:TUV457630 UER457565:UER457630 UON457565:UON457630 UYJ457565:UYJ457630 VIF457565:VIF457630 VSB457565:VSB457630 WBX457565:WBX457630 WLT457565:WLT457630 WVP457565:WVP457630 H523101:H523166 JD523101:JD523166 SZ523101:SZ523166 ACV523101:ACV523166 AMR523101:AMR523166 AWN523101:AWN523166 BGJ523101:BGJ523166 BQF523101:BQF523166 CAB523101:CAB523166 CJX523101:CJX523166 CTT523101:CTT523166 DDP523101:DDP523166 DNL523101:DNL523166 DXH523101:DXH523166 EHD523101:EHD523166 EQZ523101:EQZ523166 FAV523101:FAV523166 FKR523101:FKR523166 FUN523101:FUN523166 GEJ523101:GEJ523166 GOF523101:GOF523166 GYB523101:GYB523166 HHX523101:HHX523166 HRT523101:HRT523166 IBP523101:IBP523166 ILL523101:ILL523166 IVH523101:IVH523166 JFD523101:JFD523166 JOZ523101:JOZ523166 JYV523101:JYV523166 KIR523101:KIR523166 KSN523101:KSN523166 LCJ523101:LCJ523166 LMF523101:LMF523166 LWB523101:LWB523166 MFX523101:MFX523166 MPT523101:MPT523166 MZP523101:MZP523166 NJL523101:NJL523166 NTH523101:NTH523166 ODD523101:ODD523166 OMZ523101:OMZ523166 OWV523101:OWV523166 PGR523101:PGR523166 PQN523101:PQN523166 QAJ523101:QAJ523166 QKF523101:QKF523166 QUB523101:QUB523166 RDX523101:RDX523166 RNT523101:RNT523166 RXP523101:RXP523166 SHL523101:SHL523166 SRH523101:SRH523166 TBD523101:TBD523166 TKZ523101:TKZ523166 TUV523101:TUV523166 UER523101:UER523166 UON523101:UON523166 UYJ523101:UYJ523166 VIF523101:VIF523166 VSB523101:VSB523166 WBX523101:WBX523166 WLT523101:WLT523166 WVP523101:WVP523166 H588637:H588702 JD588637:JD588702 SZ588637:SZ588702 ACV588637:ACV588702 AMR588637:AMR588702 AWN588637:AWN588702 BGJ588637:BGJ588702 BQF588637:BQF588702 CAB588637:CAB588702 CJX588637:CJX588702 CTT588637:CTT588702 DDP588637:DDP588702 DNL588637:DNL588702 DXH588637:DXH588702 EHD588637:EHD588702 EQZ588637:EQZ588702 FAV588637:FAV588702 FKR588637:FKR588702 FUN588637:FUN588702 GEJ588637:GEJ588702 GOF588637:GOF588702 GYB588637:GYB588702 HHX588637:HHX588702 HRT588637:HRT588702 IBP588637:IBP588702 ILL588637:ILL588702 IVH588637:IVH588702 JFD588637:JFD588702 JOZ588637:JOZ588702 JYV588637:JYV588702 KIR588637:KIR588702 KSN588637:KSN588702 LCJ588637:LCJ588702 LMF588637:LMF588702 LWB588637:LWB588702 MFX588637:MFX588702 MPT588637:MPT588702 MZP588637:MZP588702 NJL588637:NJL588702 NTH588637:NTH588702 ODD588637:ODD588702 OMZ588637:OMZ588702 OWV588637:OWV588702 PGR588637:PGR588702 PQN588637:PQN588702 QAJ588637:QAJ588702 QKF588637:QKF588702 QUB588637:QUB588702 RDX588637:RDX588702 RNT588637:RNT588702 RXP588637:RXP588702 SHL588637:SHL588702 SRH588637:SRH588702 TBD588637:TBD588702 TKZ588637:TKZ588702 TUV588637:TUV588702 UER588637:UER588702 UON588637:UON588702 UYJ588637:UYJ588702 VIF588637:VIF588702 VSB588637:VSB588702 WBX588637:WBX588702 WLT588637:WLT588702 WVP588637:WVP588702 H654173:H654238 JD654173:JD654238 SZ654173:SZ654238 ACV654173:ACV654238 AMR654173:AMR654238 AWN654173:AWN654238 BGJ654173:BGJ654238 BQF654173:BQF654238 CAB654173:CAB654238 CJX654173:CJX654238 CTT654173:CTT654238 DDP654173:DDP654238 DNL654173:DNL654238 DXH654173:DXH654238 EHD654173:EHD654238 EQZ654173:EQZ654238 FAV654173:FAV654238 FKR654173:FKR654238 FUN654173:FUN654238 GEJ654173:GEJ654238 GOF654173:GOF654238 GYB654173:GYB654238 HHX654173:HHX654238 HRT654173:HRT654238 IBP654173:IBP654238 ILL654173:ILL654238 IVH654173:IVH654238 JFD654173:JFD654238 JOZ654173:JOZ654238 JYV654173:JYV654238 KIR654173:KIR654238 KSN654173:KSN654238 LCJ654173:LCJ654238 LMF654173:LMF654238 LWB654173:LWB654238 MFX654173:MFX654238 MPT654173:MPT654238 MZP654173:MZP654238 NJL654173:NJL654238 NTH654173:NTH654238 ODD654173:ODD654238 OMZ654173:OMZ654238 OWV654173:OWV654238 PGR654173:PGR654238 PQN654173:PQN654238 QAJ654173:QAJ654238 QKF654173:QKF654238 QUB654173:QUB654238 RDX654173:RDX654238 RNT654173:RNT654238 RXP654173:RXP654238 SHL654173:SHL654238 SRH654173:SRH654238 TBD654173:TBD654238 TKZ654173:TKZ654238 TUV654173:TUV654238 UER654173:UER654238 UON654173:UON654238 UYJ654173:UYJ654238 VIF654173:VIF654238 VSB654173:VSB654238 WBX654173:WBX654238 WLT654173:WLT654238 WVP654173:WVP654238 H719709:H719774 JD719709:JD719774 SZ719709:SZ719774 ACV719709:ACV719774 AMR719709:AMR719774 AWN719709:AWN719774 BGJ719709:BGJ719774 BQF719709:BQF719774 CAB719709:CAB719774 CJX719709:CJX719774 CTT719709:CTT719774 DDP719709:DDP719774 DNL719709:DNL719774 DXH719709:DXH719774 EHD719709:EHD719774 EQZ719709:EQZ719774 FAV719709:FAV719774 FKR719709:FKR719774 FUN719709:FUN719774 GEJ719709:GEJ719774 GOF719709:GOF719774 GYB719709:GYB719774 HHX719709:HHX719774 HRT719709:HRT719774 IBP719709:IBP719774 ILL719709:ILL719774 IVH719709:IVH719774 JFD719709:JFD719774 JOZ719709:JOZ719774 JYV719709:JYV719774 KIR719709:KIR719774 KSN719709:KSN719774 LCJ719709:LCJ719774 LMF719709:LMF719774 LWB719709:LWB719774 MFX719709:MFX719774 MPT719709:MPT719774 MZP719709:MZP719774 NJL719709:NJL719774 NTH719709:NTH719774 ODD719709:ODD719774 OMZ719709:OMZ719774 OWV719709:OWV719774 PGR719709:PGR719774 PQN719709:PQN719774 QAJ719709:QAJ719774 QKF719709:QKF719774 QUB719709:QUB719774 RDX719709:RDX719774 RNT719709:RNT719774 RXP719709:RXP719774 SHL719709:SHL719774 SRH719709:SRH719774 TBD719709:TBD719774 TKZ719709:TKZ719774 TUV719709:TUV719774 UER719709:UER719774 UON719709:UON719774 UYJ719709:UYJ719774 VIF719709:VIF719774 VSB719709:VSB719774 WBX719709:WBX719774 WLT719709:WLT719774 WVP719709:WVP719774 H785245:H785310 JD785245:JD785310 SZ785245:SZ785310 ACV785245:ACV785310 AMR785245:AMR785310 AWN785245:AWN785310 BGJ785245:BGJ785310 BQF785245:BQF785310 CAB785245:CAB785310 CJX785245:CJX785310 CTT785245:CTT785310 DDP785245:DDP785310 DNL785245:DNL785310 DXH785245:DXH785310 EHD785245:EHD785310 EQZ785245:EQZ785310 FAV785245:FAV785310 FKR785245:FKR785310 FUN785245:FUN785310 GEJ785245:GEJ785310 GOF785245:GOF785310 GYB785245:GYB785310 HHX785245:HHX785310 HRT785245:HRT785310 IBP785245:IBP785310 ILL785245:ILL785310 IVH785245:IVH785310 JFD785245:JFD785310 JOZ785245:JOZ785310 JYV785245:JYV785310 KIR785245:KIR785310 KSN785245:KSN785310 LCJ785245:LCJ785310 LMF785245:LMF785310 LWB785245:LWB785310 MFX785245:MFX785310 MPT785245:MPT785310 MZP785245:MZP785310 NJL785245:NJL785310 NTH785245:NTH785310 ODD785245:ODD785310 OMZ785245:OMZ785310 OWV785245:OWV785310 PGR785245:PGR785310 PQN785245:PQN785310 QAJ785245:QAJ785310 QKF785245:QKF785310 QUB785245:QUB785310 RDX785245:RDX785310 RNT785245:RNT785310 RXP785245:RXP785310 SHL785245:SHL785310 SRH785245:SRH785310 TBD785245:TBD785310 TKZ785245:TKZ785310 TUV785245:TUV785310 UER785245:UER785310 UON785245:UON785310 UYJ785245:UYJ785310 VIF785245:VIF785310 VSB785245:VSB785310 WBX785245:WBX785310 WLT785245:WLT785310 WVP785245:WVP785310 H850781:H850846 JD850781:JD850846 SZ850781:SZ850846 ACV850781:ACV850846 AMR850781:AMR850846 AWN850781:AWN850846 BGJ850781:BGJ850846 BQF850781:BQF850846 CAB850781:CAB850846 CJX850781:CJX850846 CTT850781:CTT850846 DDP850781:DDP850846 DNL850781:DNL850846 DXH850781:DXH850846 EHD850781:EHD850846 EQZ850781:EQZ850846 FAV850781:FAV850846 FKR850781:FKR850846 FUN850781:FUN850846 GEJ850781:GEJ850846 GOF850781:GOF850846 GYB850781:GYB850846 HHX850781:HHX850846 HRT850781:HRT850846 IBP850781:IBP850846 ILL850781:ILL850846 IVH850781:IVH850846 JFD850781:JFD850846 JOZ850781:JOZ850846 JYV850781:JYV850846 KIR850781:KIR850846 KSN850781:KSN850846 LCJ850781:LCJ850846 LMF850781:LMF850846 LWB850781:LWB850846 MFX850781:MFX850846 MPT850781:MPT850846 MZP850781:MZP850846 NJL850781:NJL850846 NTH850781:NTH850846 ODD850781:ODD850846 OMZ850781:OMZ850846 OWV850781:OWV850846 PGR850781:PGR850846 PQN850781:PQN850846 QAJ850781:QAJ850846 QKF850781:QKF850846 QUB850781:QUB850846 RDX850781:RDX850846 RNT850781:RNT850846 RXP850781:RXP850846 SHL850781:SHL850846 SRH850781:SRH850846 TBD850781:TBD850846 TKZ850781:TKZ850846 TUV850781:TUV850846 UER850781:UER850846 UON850781:UON850846 UYJ850781:UYJ850846 VIF850781:VIF850846 VSB850781:VSB850846 WBX850781:WBX850846 WLT850781:WLT850846 WVP850781:WVP850846 H916317:H916382 JD916317:JD916382 SZ916317:SZ916382 ACV916317:ACV916382 AMR916317:AMR916382 AWN916317:AWN916382 BGJ916317:BGJ916382 BQF916317:BQF916382 CAB916317:CAB916382 CJX916317:CJX916382 CTT916317:CTT916382 DDP916317:DDP916382 DNL916317:DNL916382 DXH916317:DXH916382 EHD916317:EHD916382 EQZ916317:EQZ916382 FAV916317:FAV916382 FKR916317:FKR916382 FUN916317:FUN916382 GEJ916317:GEJ916382 GOF916317:GOF916382 GYB916317:GYB916382 HHX916317:HHX916382 HRT916317:HRT916382 IBP916317:IBP916382 ILL916317:ILL916382 IVH916317:IVH916382 JFD916317:JFD916382 JOZ916317:JOZ916382 JYV916317:JYV916382 KIR916317:KIR916382 KSN916317:KSN916382 LCJ916317:LCJ916382 LMF916317:LMF916382 LWB916317:LWB916382 MFX916317:MFX916382 MPT916317:MPT916382 MZP916317:MZP916382 NJL916317:NJL916382 NTH916317:NTH916382 ODD916317:ODD916382 OMZ916317:OMZ916382 OWV916317:OWV916382 PGR916317:PGR916382 PQN916317:PQN916382 QAJ916317:QAJ916382 QKF916317:QKF916382 QUB916317:QUB916382 RDX916317:RDX916382 RNT916317:RNT916382 RXP916317:RXP916382 SHL916317:SHL916382 SRH916317:SRH916382 TBD916317:TBD916382 TKZ916317:TKZ916382 TUV916317:TUV916382 UER916317:UER916382 UON916317:UON916382 UYJ916317:UYJ916382 VIF916317:VIF916382 VSB916317:VSB916382 WBX916317:WBX916382 WLT916317:WLT916382 WVP916317:WVP916382 H981853:H981918 JD981853:JD981918 SZ981853:SZ981918 ACV981853:ACV981918 AMR981853:AMR981918 AWN981853:AWN981918 BGJ981853:BGJ981918 BQF981853:BQF981918 CAB981853:CAB981918 CJX981853:CJX981918 CTT981853:CTT981918 DDP981853:DDP981918 DNL981853:DNL981918 DXH981853:DXH981918 EHD981853:EHD981918 EQZ981853:EQZ981918 FAV981853:FAV981918 FKR981853:FKR981918 FUN981853:FUN981918 GEJ981853:GEJ981918 GOF981853:GOF981918 GYB981853:GYB981918 HHX981853:HHX981918 HRT981853:HRT981918 IBP981853:IBP981918 ILL981853:ILL981918 IVH981853:IVH981918 JFD981853:JFD981918 JOZ981853:JOZ981918 JYV981853:JYV981918 KIR981853:KIR981918 KSN981853:KSN981918 LCJ981853:LCJ981918 LMF981853:LMF981918 LWB981853:LWB981918 MFX981853:MFX981918 MPT981853:MPT981918 MZP981853:MZP981918 NJL981853:NJL981918 NTH981853:NTH981918 ODD981853:ODD981918 OMZ981853:OMZ981918 OWV981853:OWV981918 PGR981853:PGR981918 PQN981853:PQN981918 QAJ981853:QAJ981918 QKF981853:QKF981918 QUB981853:QUB981918 RDX981853:RDX981918 RNT981853:RNT981918 RXP981853:RXP981918 SHL981853:SHL981918 SRH981853:SRH981918 TBD981853:TBD981918 TKZ981853:TKZ981918 TUV981853:TUV981918 UER981853:UER981918 UON981853:UON981918 UYJ981853:UYJ981918 VIF981853:VIF981918 VSB981853:VSB981918 WBX981853:WBX981918 WLT981853:WLT981918 WVP981853:WVP981918 H1047389:H1047454 JD1047389:JD1047454 SZ1047389:SZ1047454 ACV1047389:ACV1047454 AMR1047389:AMR1047454 AWN1047389:AWN1047454 BGJ1047389:BGJ1047454 BQF1047389:BQF1047454 CAB1047389:CAB1047454 CJX1047389:CJX1047454 CTT1047389:CTT1047454 DDP1047389:DDP1047454 DNL1047389:DNL1047454 DXH1047389:DXH1047454 EHD1047389:EHD1047454 EQZ1047389:EQZ1047454 FAV1047389:FAV1047454 FKR1047389:FKR1047454 FUN1047389:FUN1047454 GEJ1047389:GEJ1047454 GOF1047389:GOF1047454 GYB1047389:GYB1047454 HHX1047389:HHX1047454 HRT1047389:HRT1047454 IBP1047389:IBP1047454 ILL1047389:ILL1047454 IVH1047389:IVH1047454 JFD1047389:JFD1047454 JOZ1047389:JOZ1047454 JYV1047389:JYV1047454 KIR1047389:KIR1047454 KSN1047389:KSN1047454 LCJ1047389:LCJ1047454 LMF1047389:LMF1047454 LWB1047389:LWB1047454 MFX1047389:MFX1047454 MPT1047389:MPT1047454 MZP1047389:MZP1047454 NJL1047389:NJL1047454 NTH1047389:NTH1047454 ODD1047389:ODD1047454 OMZ1047389:OMZ1047454 OWV1047389:OWV1047454 PGR1047389:PGR1047454 PQN1047389:PQN1047454 QAJ1047389:QAJ1047454 QKF1047389:QKF1047454 QUB1047389:QUB1047454 RDX1047389:RDX1047454 RNT1047389:RNT1047454 RXP1047389:RXP1047454 SHL1047389:SHL1047454 SRH1047389:SRH1047454 TBD1047389:TBD1047454 TKZ1047389:TKZ1047454 TUV1047389:TUV1047454 UER1047389:UER1047454 UON1047389:UON1047454 UYJ1047389:UYJ1047454 VIF1047389:VIF1047454 VSB1047389:VSB1047454 WBX1047389:WBX1047454 WLT1047389:WLT1047454 WVP1047389:WVP1047454">
      <formula1>$AL$5:$AL$12</formula1>
    </dataValidation>
    <dataValidation type="list" allowBlank="1" showInputMessage="1" showErrorMessage="1" sqref="E64349:F64414 WVM983028:WVN983099 WLQ983028:WLR983099 WBU983028:WBV983099 VRY983028:VRZ983099 VIC983028:VID983099 UYG983028:UYH983099 UOK983028:UOL983099 UEO983028:UEP983099 TUS983028:TUT983099 TKW983028:TKX983099 TBA983028:TBB983099 SRE983028:SRF983099 SHI983028:SHJ983099 RXM983028:RXN983099 RNQ983028:RNR983099 RDU983028:RDV983099 QTY983028:QTZ983099 QKC983028:QKD983099 QAG983028:QAH983099 PQK983028:PQL983099 PGO983028:PGP983099 OWS983028:OWT983099 OMW983028:OMX983099 ODA983028:ODB983099 NTE983028:NTF983099 NJI983028:NJJ983099 MZM983028:MZN983099 MPQ983028:MPR983099 MFU983028:MFV983099 LVY983028:LVZ983099 LMC983028:LMD983099 LCG983028:LCH983099 KSK983028:KSL983099 KIO983028:KIP983099 JYS983028:JYT983099 JOW983028:JOX983099 JFA983028:JFB983099 IVE983028:IVF983099 ILI983028:ILJ983099 IBM983028:IBN983099 HRQ983028:HRR983099 HHU983028:HHV983099 GXY983028:GXZ983099 GOC983028:GOD983099 GEG983028:GEH983099 FUK983028:FUL983099 FKO983028:FKP983099 FAS983028:FAT983099 EQW983028:EQX983099 EHA983028:EHB983099 DXE983028:DXF983099 DNI983028:DNJ983099 DDM983028:DDN983099 CTQ983028:CTR983099 CJU983028:CJV983099 BZY983028:BZZ983099 BQC983028:BQD983099 BGG983028:BGH983099 AWK983028:AWL983099 AMO983028:AMP983099 ACS983028:ACT983099 SW983028:SX983099 JA983028:JB983099 E983028:F983099 WVM917492:WVN917563 WLQ917492:WLR917563 WBU917492:WBV917563 VRY917492:VRZ917563 VIC917492:VID917563 UYG917492:UYH917563 UOK917492:UOL917563 UEO917492:UEP917563 TUS917492:TUT917563 TKW917492:TKX917563 TBA917492:TBB917563 SRE917492:SRF917563 SHI917492:SHJ917563 RXM917492:RXN917563 RNQ917492:RNR917563 RDU917492:RDV917563 QTY917492:QTZ917563 QKC917492:QKD917563 QAG917492:QAH917563 PQK917492:PQL917563 PGO917492:PGP917563 OWS917492:OWT917563 OMW917492:OMX917563 ODA917492:ODB917563 NTE917492:NTF917563 NJI917492:NJJ917563 MZM917492:MZN917563 MPQ917492:MPR917563 MFU917492:MFV917563 LVY917492:LVZ917563 LMC917492:LMD917563 LCG917492:LCH917563 KSK917492:KSL917563 KIO917492:KIP917563 JYS917492:JYT917563 JOW917492:JOX917563 JFA917492:JFB917563 IVE917492:IVF917563 ILI917492:ILJ917563 IBM917492:IBN917563 HRQ917492:HRR917563 HHU917492:HHV917563 GXY917492:GXZ917563 GOC917492:GOD917563 GEG917492:GEH917563 FUK917492:FUL917563 FKO917492:FKP917563 FAS917492:FAT917563 EQW917492:EQX917563 EHA917492:EHB917563 DXE917492:DXF917563 DNI917492:DNJ917563 DDM917492:DDN917563 CTQ917492:CTR917563 CJU917492:CJV917563 BZY917492:BZZ917563 BQC917492:BQD917563 BGG917492:BGH917563 AWK917492:AWL917563 AMO917492:AMP917563 ACS917492:ACT917563 SW917492:SX917563 JA917492:JB917563 E917492:F917563 WVM851956:WVN852027 WLQ851956:WLR852027 WBU851956:WBV852027 VRY851956:VRZ852027 VIC851956:VID852027 UYG851956:UYH852027 UOK851956:UOL852027 UEO851956:UEP852027 TUS851956:TUT852027 TKW851956:TKX852027 TBA851956:TBB852027 SRE851956:SRF852027 SHI851956:SHJ852027 RXM851956:RXN852027 RNQ851956:RNR852027 RDU851956:RDV852027 QTY851956:QTZ852027 QKC851956:QKD852027 QAG851956:QAH852027 PQK851956:PQL852027 PGO851956:PGP852027 OWS851956:OWT852027 OMW851956:OMX852027 ODA851956:ODB852027 NTE851956:NTF852027 NJI851956:NJJ852027 MZM851956:MZN852027 MPQ851956:MPR852027 MFU851956:MFV852027 LVY851956:LVZ852027 LMC851956:LMD852027 LCG851956:LCH852027 KSK851956:KSL852027 KIO851956:KIP852027 JYS851956:JYT852027 JOW851956:JOX852027 JFA851956:JFB852027 IVE851956:IVF852027 ILI851956:ILJ852027 IBM851956:IBN852027 HRQ851956:HRR852027 HHU851956:HHV852027 GXY851956:GXZ852027 GOC851956:GOD852027 GEG851956:GEH852027 FUK851956:FUL852027 FKO851956:FKP852027 FAS851956:FAT852027 EQW851956:EQX852027 EHA851956:EHB852027 DXE851956:DXF852027 DNI851956:DNJ852027 DDM851956:DDN852027 CTQ851956:CTR852027 CJU851956:CJV852027 BZY851956:BZZ852027 BQC851956:BQD852027 BGG851956:BGH852027 AWK851956:AWL852027 AMO851956:AMP852027 ACS851956:ACT852027 SW851956:SX852027 JA851956:JB852027 E851956:F852027 WVM786420:WVN786491 WLQ786420:WLR786491 WBU786420:WBV786491 VRY786420:VRZ786491 VIC786420:VID786491 UYG786420:UYH786491 UOK786420:UOL786491 UEO786420:UEP786491 TUS786420:TUT786491 TKW786420:TKX786491 TBA786420:TBB786491 SRE786420:SRF786491 SHI786420:SHJ786491 RXM786420:RXN786491 RNQ786420:RNR786491 RDU786420:RDV786491 QTY786420:QTZ786491 QKC786420:QKD786491 QAG786420:QAH786491 PQK786420:PQL786491 PGO786420:PGP786491 OWS786420:OWT786491 OMW786420:OMX786491 ODA786420:ODB786491 NTE786420:NTF786491 NJI786420:NJJ786491 MZM786420:MZN786491 MPQ786420:MPR786491 MFU786420:MFV786491 LVY786420:LVZ786491 LMC786420:LMD786491 LCG786420:LCH786491 KSK786420:KSL786491 KIO786420:KIP786491 JYS786420:JYT786491 JOW786420:JOX786491 JFA786420:JFB786491 IVE786420:IVF786491 ILI786420:ILJ786491 IBM786420:IBN786491 HRQ786420:HRR786491 HHU786420:HHV786491 GXY786420:GXZ786491 GOC786420:GOD786491 GEG786420:GEH786491 FUK786420:FUL786491 FKO786420:FKP786491 FAS786420:FAT786491 EQW786420:EQX786491 EHA786420:EHB786491 DXE786420:DXF786491 DNI786420:DNJ786491 DDM786420:DDN786491 CTQ786420:CTR786491 CJU786420:CJV786491 BZY786420:BZZ786491 BQC786420:BQD786491 BGG786420:BGH786491 AWK786420:AWL786491 AMO786420:AMP786491 ACS786420:ACT786491 SW786420:SX786491 JA786420:JB786491 E786420:F786491 WVM720884:WVN720955 WLQ720884:WLR720955 WBU720884:WBV720955 VRY720884:VRZ720955 VIC720884:VID720955 UYG720884:UYH720955 UOK720884:UOL720955 UEO720884:UEP720955 TUS720884:TUT720955 TKW720884:TKX720955 TBA720884:TBB720955 SRE720884:SRF720955 SHI720884:SHJ720955 RXM720884:RXN720955 RNQ720884:RNR720955 RDU720884:RDV720955 QTY720884:QTZ720955 QKC720884:QKD720955 QAG720884:QAH720955 PQK720884:PQL720955 PGO720884:PGP720955 OWS720884:OWT720955 OMW720884:OMX720955 ODA720884:ODB720955 NTE720884:NTF720955 NJI720884:NJJ720955 MZM720884:MZN720955 MPQ720884:MPR720955 MFU720884:MFV720955 LVY720884:LVZ720955 LMC720884:LMD720955 LCG720884:LCH720955 KSK720884:KSL720955 KIO720884:KIP720955 JYS720884:JYT720955 JOW720884:JOX720955 JFA720884:JFB720955 IVE720884:IVF720955 ILI720884:ILJ720955 IBM720884:IBN720955 HRQ720884:HRR720955 HHU720884:HHV720955 GXY720884:GXZ720955 GOC720884:GOD720955 GEG720884:GEH720955 FUK720884:FUL720955 FKO720884:FKP720955 FAS720884:FAT720955 EQW720884:EQX720955 EHA720884:EHB720955 DXE720884:DXF720955 DNI720884:DNJ720955 DDM720884:DDN720955 CTQ720884:CTR720955 CJU720884:CJV720955 BZY720884:BZZ720955 BQC720884:BQD720955 BGG720884:BGH720955 AWK720884:AWL720955 AMO720884:AMP720955 ACS720884:ACT720955 SW720884:SX720955 JA720884:JB720955 E720884:F720955 WVM655348:WVN655419 WLQ655348:WLR655419 WBU655348:WBV655419 VRY655348:VRZ655419 VIC655348:VID655419 UYG655348:UYH655419 UOK655348:UOL655419 UEO655348:UEP655419 TUS655348:TUT655419 TKW655348:TKX655419 TBA655348:TBB655419 SRE655348:SRF655419 SHI655348:SHJ655419 RXM655348:RXN655419 RNQ655348:RNR655419 RDU655348:RDV655419 QTY655348:QTZ655419 QKC655348:QKD655419 QAG655348:QAH655419 PQK655348:PQL655419 PGO655348:PGP655419 OWS655348:OWT655419 OMW655348:OMX655419 ODA655348:ODB655419 NTE655348:NTF655419 NJI655348:NJJ655419 MZM655348:MZN655419 MPQ655348:MPR655419 MFU655348:MFV655419 LVY655348:LVZ655419 LMC655348:LMD655419 LCG655348:LCH655419 KSK655348:KSL655419 KIO655348:KIP655419 JYS655348:JYT655419 JOW655348:JOX655419 JFA655348:JFB655419 IVE655348:IVF655419 ILI655348:ILJ655419 IBM655348:IBN655419 HRQ655348:HRR655419 HHU655348:HHV655419 GXY655348:GXZ655419 GOC655348:GOD655419 GEG655348:GEH655419 FUK655348:FUL655419 FKO655348:FKP655419 FAS655348:FAT655419 EQW655348:EQX655419 EHA655348:EHB655419 DXE655348:DXF655419 DNI655348:DNJ655419 DDM655348:DDN655419 CTQ655348:CTR655419 CJU655348:CJV655419 BZY655348:BZZ655419 BQC655348:BQD655419 BGG655348:BGH655419 AWK655348:AWL655419 AMO655348:AMP655419 ACS655348:ACT655419 SW655348:SX655419 JA655348:JB655419 E655348:F655419 WVM589812:WVN589883 WLQ589812:WLR589883 WBU589812:WBV589883 VRY589812:VRZ589883 VIC589812:VID589883 UYG589812:UYH589883 UOK589812:UOL589883 UEO589812:UEP589883 TUS589812:TUT589883 TKW589812:TKX589883 TBA589812:TBB589883 SRE589812:SRF589883 SHI589812:SHJ589883 RXM589812:RXN589883 RNQ589812:RNR589883 RDU589812:RDV589883 QTY589812:QTZ589883 QKC589812:QKD589883 QAG589812:QAH589883 PQK589812:PQL589883 PGO589812:PGP589883 OWS589812:OWT589883 OMW589812:OMX589883 ODA589812:ODB589883 NTE589812:NTF589883 NJI589812:NJJ589883 MZM589812:MZN589883 MPQ589812:MPR589883 MFU589812:MFV589883 LVY589812:LVZ589883 LMC589812:LMD589883 LCG589812:LCH589883 KSK589812:KSL589883 KIO589812:KIP589883 JYS589812:JYT589883 JOW589812:JOX589883 JFA589812:JFB589883 IVE589812:IVF589883 ILI589812:ILJ589883 IBM589812:IBN589883 HRQ589812:HRR589883 HHU589812:HHV589883 GXY589812:GXZ589883 GOC589812:GOD589883 GEG589812:GEH589883 FUK589812:FUL589883 FKO589812:FKP589883 FAS589812:FAT589883 EQW589812:EQX589883 EHA589812:EHB589883 DXE589812:DXF589883 DNI589812:DNJ589883 DDM589812:DDN589883 CTQ589812:CTR589883 CJU589812:CJV589883 BZY589812:BZZ589883 BQC589812:BQD589883 BGG589812:BGH589883 AWK589812:AWL589883 AMO589812:AMP589883 ACS589812:ACT589883 SW589812:SX589883 JA589812:JB589883 E589812:F589883 WVM524276:WVN524347 WLQ524276:WLR524347 WBU524276:WBV524347 VRY524276:VRZ524347 VIC524276:VID524347 UYG524276:UYH524347 UOK524276:UOL524347 UEO524276:UEP524347 TUS524276:TUT524347 TKW524276:TKX524347 TBA524276:TBB524347 SRE524276:SRF524347 SHI524276:SHJ524347 RXM524276:RXN524347 RNQ524276:RNR524347 RDU524276:RDV524347 QTY524276:QTZ524347 QKC524276:QKD524347 QAG524276:QAH524347 PQK524276:PQL524347 PGO524276:PGP524347 OWS524276:OWT524347 OMW524276:OMX524347 ODA524276:ODB524347 NTE524276:NTF524347 NJI524276:NJJ524347 MZM524276:MZN524347 MPQ524276:MPR524347 MFU524276:MFV524347 LVY524276:LVZ524347 LMC524276:LMD524347 LCG524276:LCH524347 KSK524276:KSL524347 KIO524276:KIP524347 JYS524276:JYT524347 JOW524276:JOX524347 JFA524276:JFB524347 IVE524276:IVF524347 ILI524276:ILJ524347 IBM524276:IBN524347 HRQ524276:HRR524347 HHU524276:HHV524347 GXY524276:GXZ524347 GOC524276:GOD524347 GEG524276:GEH524347 FUK524276:FUL524347 FKO524276:FKP524347 FAS524276:FAT524347 EQW524276:EQX524347 EHA524276:EHB524347 DXE524276:DXF524347 DNI524276:DNJ524347 DDM524276:DDN524347 CTQ524276:CTR524347 CJU524276:CJV524347 BZY524276:BZZ524347 BQC524276:BQD524347 BGG524276:BGH524347 AWK524276:AWL524347 AMO524276:AMP524347 ACS524276:ACT524347 SW524276:SX524347 JA524276:JB524347 E524276:F524347 WVM458740:WVN458811 WLQ458740:WLR458811 WBU458740:WBV458811 VRY458740:VRZ458811 VIC458740:VID458811 UYG458740:UYH458811 UOK458740:UOL458811 UEO458740:UEP458811 TUS458740:TUT458811 TKW458740:TKX458811 TBA458740:TBB458811 SRE458740:SRF458811 SHI458740:SHJ458811 RXM458740:RXN458811 RNQ458740:RNR458811 RDU458740:RDV458811 QTY458740:QTZ458811 QKC458740:QKD458811 QAG458740:QAH458811 PQK458740:PQL458811 PGO458740:PGP458811 OWS458740:OWT458811 OMW458740:OMX458811 ODA458740:ODB458811 NTE458740:NTF458811 NJI458740:NJJ458811 MZM458740:MZN458811 MPQ458740:MPR458811 MFU458740:MFV458811 LVY458740:LVZ458811 LMC458740:LMD458811 LCG458740:LCH458811 KSK458740:KSL458811 KIO458740:KIP458811 JYS458740:JYT458811 JOW458740:JOX458811 JFA458740:JFB458811 IVE458740:IVF458811 ILI458740:ILJ458811 IBM458740:IBN458811 HRQ458740:HRR458811 HHU458740:HHV458811 GXY458740:GXZ458811 GOC458740:GOD458811 GEG458740:GEH458811 FUK458740:FUL458811 FKO458740:FKP458811 FAS458740:FAT458811 EQW458740:EQX458811 EHA458740:EHB458811 DXE458740:DXF458811 DNI458740:DNJ458811 DDM458740:DDN458811 CTQ458740:CTR458811 CJU458740:CJV458811 BZY458740:BZZ458811 BQC458740:BQD458811 BGG458740:BGH458811 AWK458740:AWL458811 AMO458740:AMP458811 ACS458740:ACT458811 SW458740:SX458811 JA458740:JB458811 E458740:F458811 WVM393204:WVN393275 WLQ393204:WLR393275 WBU393204:WBV393275 VRY393204:VRZ393275 VIC393204:VID393275 UYG393204:UYH393275 UOK393204:UOL393275 UEO393204:UEP393275 TUS393204:TUT393275 TKW393204:TKX393275 TBA393204:TBB393275 SRE393204:SRF393275 SHI393204:SHJ393275 RXM393204:RXN393275 RNQ393204:RNR393275 RDU393204:RDV393275 QTY393204:QTZ393275 QKC393204:QKD393275 QAG393204:QAH393275 PQK393204:PQL393275 PGO393204:PGP393275 OWS393204:OWT393275 OMW393204:OMX393275 ODA393204:ODB393275 NTE393204:NTF393275 NJI393204:NJJ393275 MZM393204:MZN393275 MPQ393204:MPR393275 MFU393204:MFV393275 LVY393204:LVZ393275 LMC393204:LMD393275 LCG393204:LCH393275 KSK393204:KSL393275 KIO393204:KIP393275 JYS393204:JYT393275 JOW393204:JOX393275 JFA393204:JFB393275 IVE393204:IVF393275 ILI393204:ILJ393275 IBM393204:IBN393275 HRQ393204:HRR393275 HHU393204:HHV393275 GXY393204:GXZ393275 GOC393204:GOD393275 GEG393204:GEH393275 FUK393204:FUL393275 FKO393204:FKP393275 FAS393204:FAT393275 EQW393204:EQX393275 EHA393204:EHB393275 DXE393204:DXF393275 DNI393204:DNJ393275 DDM393204:DDN393275 CTQ393204:CTR393275 CJU393204:CJV393275 BZY393204:BZZ393275 BQC393204:BQD393275 BGG393204:BGH393275 AWK393204:AWL393275 AMO393204:AMP393275 ACS393204:ACT393275 SW393204:SX393275 JA393204:JB393275 E393204:F393275 WVM327668:WVN327739 WLQ327668:WLR327739 WBU327668:WBV327739 VRY327668:VRZ327739 VIC327668:VID327739 UYG327668:UYH327739 UOK327668:UOL327739 UEO327668:UEP327739 TUS327668:TUT327739 TKW327668:TKX327739 TBA327668:TBB327739 SRE327668:SRF327739 SHI327668:SHJ327739 RXM327668:RXN327739 RNQ327668:RNR327739 RDU327668:RDV327739 QTY327668:QTZ327739 QKC327668:QKD327739 QAG327668:QAH327739 PQK327668:PQL327739 PGO327668:PGP327739 OWS327668:OWT327739 OMW327668:OMX327739 ODA327668:ODB327739 NTE327668:NTF327739 NJI327668:NJJ327739 MZM327668:MZN327739 MPQ327668:MPR327739 MFU327668:MFV327739 LVY327668:LVZ327739 LMC327668:LMD327739 LCG327668:LCH327739 KSK327668:KSL327739 KIO327668:KIP327739 JYS327668:JYT327739 JOW327668:JOX327739 JFA327668:JFB327739 IVE327668:IVF327739 ILI327668:ILJ327739 IBM327668:IBN327739 HRQ327668:HRR327739 HHU327668:HHV327739 GXY327668:GXZ327739 GOC327668:GOD327739 GEG327668:GEH327739 FUK327668:FUL327739 FKO327668:FKP327739 FAS327668:FAT327739 EQW327668:EQX327739 EHA327668:EHB327739 DXE327668:DXF327739 DNI327668:DNJ327739 DDM327668:DDN327739 CTQ327668:CTR327739 CJU327668:CJV327739 BZY327668:BZZ327739 BQC327668:BQD327739 BGG327668:BGH327739 AWK327668:AWL327739 AMO327668:AMP327739 ACS327668:ACT327739 SW327668:SX327739 JA327668:JB327739 E327668:F327739 WVM262132:WVN262203 WLQ262132:WLR262203 WBU262132:WBV262203 VRY262132:VRZ262203 VIC262132:VID262203 UYG262132:UYH262203 UOK262132:UOL262203 UEO262132:UEP262203 TUS262132:TUT262203 TKW262132:TKX262203 TBA262132:TBB262203 SRE262132:SRF262203 SHI262132:SHJ262203 RXM262132:RXN262203 RNQ262132:RNR262203 RDU262132:RDV262203 QTY262132:QTZ262203 QKC262132:QKD262203 QAG262132:QAH262203 PQK262132:PQL262203 PGO262132:PGP262203 OWS262132:OWT262203 OMW262132:OMX262203 ODA262132:ODB262203 NTE262132:NTF262203 NJI262132:NJJ262203 MZM262132:MZN262203 MPQ262132:MPR262203 MFU262132:MFV262203 LVY262132:LVZ262203 LMC262132:LMD262203 LCG262132:LCH262203 KSK262132:KSL262203 KIO262132:KIP262203 JYS262132:JYT262203 JOW262132:JOX262203 JFA262132:JFB262203 IVE262132:IVF262203 ILI262132:ILJ262203 IBM262132:IBN262203 HRQ262132:HRR262203 HHU262132:HHV262203 GXY262132:GXZ262203 GOC262132:GOD262203 GEG262132:GEH262203 FUK262132:FUL262203 FKO262132:FKP262203 FAS262132:FAT262203 EQW262132:EQX262203 EHA262132:EHB262203 DXE262132:DXF262203 DNI262132:DNJ262203 DDM262132:DDN262203 CTQ262132:CTR262203 CJU262132:CJV262203 BZY262132:BZZ262203 BQC262132:BQD262203 BGG262132:BGH262203 AWK262132:AWL262203 AMO262132:AMP262203 ACS262132:ACT262203 SW262132:SX262203 JA262132:JB262203 E262132:F262203 WVM196596:WVN196667 WLQ196596:WLR196667 WBU196596:WBV196667 VRY196596:VRZ196667 VIC196596:VID196667 UYG196596:UYH196667 UOK196596:UOL196667 UEO196596:UEP196667 TUS196596:TUT196667 TKW196596:TKX196667 TBA196596:TBB196667 SRE196596:SRF196667 SHI196596:SHJ196667 RXM196596:RXN196667 RNQ196596:RNR196667 RDU196596:RDV196667 QTY196596:QTZ196667 QKC196596:QKD196667 QAG196596:QAH196667 PQK196596:PQL196667 PGO196596:PGP196667 OWS196596:OWT196667 OMW196596:OMX196667 ODA196596:ODB196667 NTE196596:NTF196667 NJI196596:NJJ196667 MZM196596:MZN196667 MPQ196596:MPR196667 MFU196596:MFV196667 LVY196596:LVZ196667 LMC196596:LMD196667 LCG196596:LCH196667 KSK196596:KSL196667 KIO196596:KIP196667 JYS196596:JYT196667 JOW196596:JOX196667 JFA196596:JFB196667 IVE196596:IVF196667 ILI196596:ILJ196667 IBM196596:IBN196667 HRQ196596:HRR196667 HHU196596:HHV196667 GXY196596:GXZ196667 GOC196596:GOD196667 GEG196596:GEH196667 FUK196596:FUL196667 FKO196596:FKP196667 FAS196596:FAT196667 EQW196596:EQX196667 EHA196596:EHB196667 DXE196596:DXF196667 DNI196596:DNJ196667 DDM196596:DDN196667 CTQ196596:CTR196667 CJU196596:CJV196667 BZY196596:BZZ196667 BQC196596:BQD196667 BGG196596:BGH196667 AWK196596:AWL196667 AMO196596:AMP196667 ACS196596:ACT196667 SW196596:SX196667 JA196596:JB196667 E196596:F196667 WVM131060:WVN131131 WLQ131060:WLR131131 WBU131060:WBV131131 VRY131060:VRZ131131 VIC131060:VID131131 UYG131060:UYH131131 UOK131060:UOL131131 UEO131060:UEP131131 TUS131060:TUT131131 TKW131060:TKX131131 TBA131060:TBB131131 SRE131060:SRF131131 SHI131060:SHJ131131 RXM131060:RXN131131 RNQ131060:RNR131131 RDU131060:RDV131131 QTY131060:QTZ131131 QKC131060:QKD131131 QAG131060:QAH131131 PQK131060:PQL131131 PGO131060:PGP131131 OWS131060:OWT131131 OMW131060:OMX131131 ODA131060:ODB131131 NTE131060:NTF131131 NJI131060:NJJ131131 MZM131060:MZN131131 MPQ131060:MPR131131 MFU131060:MFV131131 LVY131060:LVZ131131 LMC131060:LMD131131 LCG131060:LCH131131 KSK131060:KSL131131 KIO131060:KIP131131 JYS131060:JYT131131 JOW131060:JOX131131 JFA131060:JFB131131 IVE131060:IVF131131 ILI131060:ILJ131131 IBM131060:IBN131131 HRQ131060:HRR131131 HHU131060:HHV131131 GXY131060:GXZ131131 GOC131060:GOD131131 GEG131060:GEH131131 FUK131060:FUL131131 FKO131060:FKP131131 FAS131060:FAT131131 EQW131060:EQX131131 EHA131060:EHB131131 DXE131060:DXF131131 DNI131060:DNJ131131 DDM131060:DDN131131 CTQ131060:CTR131131 CJU131060:CJV131131 BZY131060:BZZ131131 BQC131060:BQD131131 BGG131060:BGH131131 AWK131060:AWL131131 AMO131060:AMP131131 ACS131060:ACT131131 SW131060:SX131131 JA131060:JB131131 E131060:F131131 WVM65524:WVN65595 WLQ65524:WLR65595 WBU65524:WBV65595 VRY65524:VRZ65595 VIC65524:VID65595 UYG65524:UYH65595 UOK65524:UOL65595 UEO65524:UEP65595 TUS65524:TUT65595 TKW65524:TKX65595 TBA65524:TBB65595 SRE65524:SRF65595 SHI65524:SHJ65595 RXM65524:RXN65595 RNQ65524:RNR65595 RDU65524:RDV65595 QTY65524:QTZ65595 QKC65524:QKD65595 QAG65524:QAH65595 PQK65524:PQL65595 PGO65524:PGP65595 OWS65524:OWT65595 OMW65524:OMX65595 ODA65524:ODB65595 NTE65524:NTF65595 NJI65524:NJJ65595 MZM65524:MZN65595 MPQ65524:MPR65595 MFU65524:MFV65595 LVY65524:LVZ65595 LMC65524:LMD65595 LCG65524:LCH65595 KSK65524:KSL65595 KIO65524:KIP65595 JYS65524:JYT65595 JOW65524:JOX65595 JFA65524:JFB65595 IVE65524:IVF65595 ILI65524:ILJ65595 IBM65524:IBN65595 HRQ65524:HRR65595 HHU65524:HHV65595 GXY65524:GXZ65595 GOC65524:GOD65595 GEG65524:GEH65595 FUK65524:FUL65595 FKO65524:FKP65595 FAS65524:FAT65595 EQW65524:EQX65595 EHA65524:EHB65595 DXE65524:DXF65595 DNI65524:DNJ65595 DDM65524:DDN65595 CTQ65524:CTR65595 CJU65524:CJV65595 BZY65524:BZZ65595 BQC65524:BQD65595 BGG65524:BGH65595 AWK65524:AWL65595 AMO65524:AMP65595 ACS65524:ACT65595 SW65524:SX65595 JA65524:JB65595 E65524:F65595 JA64349:JB64414 WVM1047389:WVN1047454 WLQ1047389:WLR1047454 WBU1047389:WBV1047454 VRY1047389:VRZ1047454 VIC1047389:VID1047454 UYG1047389:UYH1047454 UOK1047389:UOL1047454 UEO1047389:UEP1047454 TUS1047389:TUT1047454 TKW1047389:TKX1047454 TBA1047389:TBB1047454 SRE1047389:SRF1047454 SHI1047389:SHJ1047454 RXM1047389:RXN1047454 RNQ1047389:RNR1047454 RDU1047389:RDV1047454 QTY1047389:QTZ1047454 QKC1047389:QKD1047454 QAG1047389:QAH1047454 PQK1047389:PQL1047454 PGO1047389:PGP1047454 OWS1047389:OWT1047454 OMW1047389:OMX1047454 ODA1047389:ODB1047454 NTE1047389:NTF1047454 NJI1047389:NJJ1047454 MZM1047389:MZN1047454 MPQ1047389:MPR1047454 MFU1047389:MFV1047454 LVY1047389:LVZ1047454 LMC1047389:LMD1047454 LCG1047389:LCH1047454 KSK1047389:KSL1047454 KIO1047389:KIP1047454 JYS1047389:JYT1047454 JOW1047389:JOX1047454 JFA1047389:JFB1047454 IVE1047389:IVF1047454 ILI1047389:ILJ1047454 IBM1047389:IBN1047454 HRQ1047389:HRR1047454 HHU1047389:HHV1047454 GXY1047389:GXZ1047454 GOC1047389:GOD1047454 GEG1047389:GEH1047454 FUK1047389:FUL1047454 FKO1047389:FKP1047454 FAS1047389:FAT1047454 EQW1047389:EQX1047454 EHA1047389:EHB1047454 DXE1047389:DXF1047454 DNI1047389:DNJ1047454 DDM1047389:DDN1047454 CTQ1047389:CTR1047454 CJU1047389:CJV1047454 BZY1047389:BZZ1047454 BQC1047389:BQD1047454 BGG1047389:BGH1047454 AWK1047389:AWL1047454 AMO1047389:AMP1047454 ACS1047389:ACT1047454 SW1047389:SX1047454 JA1047389:JB1047454 E1047389:F1047454 WVM981853:WVN981918 WLQ981853:WLR981918 WBU981853:WBV981918 VRY981853:VRZ981918 VIC981853:VID981918 UYG981853:UYH981918 UOK981853:UOL981918 UEO981853:UEP981918 TUS981853:TUT981918 TKW981853:TKX981918 TBA981853:TBB981918 SRE981853:SRF981918 SHI981853:SHJ981918 RXM981853:RXN981918 RNQ981853:RNR981918 RDU981853:RDV981918 QTY981853:QTZ981918 QKC981853:QKD981918 QAG981853:QAH981918 PQK981853:PQL981918 PGO981853:PGP981918 OWS981853:OWT981918 OMW981853:OMX981918 ODA981853:ODB981918 NTE981853:NTF981918 NJI981853:NJJ981918 MZM981853:MZN981918 MPQ981853:MPR981918 MFU981853:MFV981918 LVY981853:LVZ981918 LMC981853:LMD981918 LCG981853:LCH981918 KSK981853:KSL981918 KIO981853:KIP981918 JYS981853:JYT981918 JOW981853:JOX981918 JFA981853:JFB981918 IVE981853:IVF981918 ILI981853:ILJ981918 IBM981853:IBN981918 HRQ981853:HRR981918 HHU981853:HHV981918 GXY981853:GXZ981918 GOC981853:GOD981918 GEG981853:GEH981918 FUK981853:FUL981918 FKO981853:FKP981918 FAS981853:FAT981918 EQW981853:EQX981918 EHA981853:EHB981918 DXE981853:DXF981918 DNI981853:DNJ981918 DDM981853:DDN981918 CTQ981853:CTR981918 CJU981853:CJV981918 BZY981853:BZZ981918 BQC981853:BQD981918 BGG981853:BGH981918 AWK981853:AWL981918 AMO981853:AMP981918 ACS981853:ACT981918 SW981853:SX981918 JA981853:JB981918 E981853:F981918 WVM916317:WVN916382 WLQ916317:WLR916382 WBU916317:WBV916382 VRY916317:VRZ916382 VIC916317:VID916382 UYG916317:UYH916382 UOK916317:UOL916382 UEO916317:UEP916382 TUS916317:TUT916382 TKW916317:TKX916382 TBA916317:TBB916382 SRE916317:SRF916382 SHI916317:SHJ916382 RXM916317:RXN916382 RNQ916317:RNR916382 RDU916317:RDV916382 QTY916317:QTZ916382 QKC916317:QKD916382 QAG916317:QAH916382 PQK916317:PQL916382 PGO916317:PGP916382 OWS916317:OWT916382 OMW916317:OMX916382 ODA916317:ODB916382 NTE916317:NTF916382 NJI916317:NJJ916382 MZM916317:MZN916382 MPQ916317:MPR916382 MFU916317:MFV916382 LVY916317:LVZ916382 LMC916317:LMD916382 LCG916317:LCH916382 KSK916317:KSL916382 KIO916317:KIP916382 JYS916317:JYT916382 JOW916317:JOX916382 JFA916317:JFB916382 IVE916317:IVF916382 ILI916317:ILJ916382 IBM916317:IBN916382 HRQ916317:HRR916382 HHU916317:HHV916382 GXY916317:GXZ916382 GOC916317:GOD916382 GEG916317:GEH916382 FUK916317:FUL916382 FKO916317:FKP916382 FAS916317:FAT916382 EQW916317:EQX916382 EHA916317:EHB916382 DXE916317:DXF916382 DNI916317:DNJ916382 DDM916317:DDN916382 CTQ916317:CTR916382 CJU916317:CJV916382 BZY916317:BZZ916382 BQC916317:BQD916382 BGG916317:BGH916382 AWK916317:AWL916382 AMO916317:AMP916382 ACS916317:ACT916382 SW916317:SX916382 JA916317:JB916382 E916317:F916382 WVM850781:WVN850846 WLQ850781:WLR850846 WBU850781:WBV850846 VRY850781:VRZ850846 VIC850781:VID850846 UYG850781:UYH850846 UOK850781:UOL850846 UEO850781:UEP850846 TUS850781:TUT850846 TKW850781:TKX850846 TBA850781:TBB850846 SRE850781:SRF850846 SHI850781:SHJ850846 RXM850781:RXN850846 RNQ850781:RNR850846 RDU850781:RDV850846 QTY850781:QTZ850846 QKC850781:QKD850846 QAG850781:QAH850846 PQK850781:PQL850846 PGO850781:PGP850846 OWS850781:OWT850846 OMW850781:OMX850846 ODA850781:ODB850846 NTE850781:NTF850846 NJI850781:NJJ850846 MZM850781:MZN850846 MPQ850781:MPR850846 MFU850781:MFV850846 LVY850781:LVZ850846 LMC850781:LMD850846 LCG850781:LCH850846 KSK850781:KSL850846 KIO850781:KIP850846 JYS850781:JYT850846 JOW850781:JOX850846 JFA850781:JFB850846 IVE850781:IVF850846 ILI850781:ILJ850846 IBM850781:IBN850846 HRQ850781:HRR850846 HHU850781:HHV850846 GXY850781:GXZ850846 GOC850781:GOD850846 GEG850781:GEH850846 FUK850781:FUL850846 FKO850781:FKP850846 FAS850781:FAT850846 EQW850781:EQX850846 EHA850781:EHB850846 DXE850781:DXF850846 DNI850781:DNJ850846 DDM850781:DDN850846 CTQ850781:CTR850846 CJU850781:CJV850846 BZY850781:BZZ850846 BQC850781:BQD850846 BGG850781:BGH850846 AWK850781:AWL850846 AMO850781:AMP850846 ACS850781:ACT850846 SW850781:SX850846 JA850781:JB850846 E850781:F850846 WVM785245:WVN785310 WLQ785245:WLR785310 WBU785245:WBV785310 VRY785245:VRZ785310 VIC785245:VID785310 UYG785245:UYH785310 UOK785245:UOL785310 UEO785245:UEP785310 TUS785245:TUT785310 TKW785245:TKX785310 TBA785245:TBB785310 SRE785245:SRF785310 SHI785245:SHJ785310 RXM785245:RXN785310 RNQ785245:RNR785310 RDU785245:RDV785310 QTY785245:QTZ785310 QKC785245:QKD785310 QAG785245:QAH785310 PQK785245:PQL785310 PGO785245:PGP785310 OWS785245:OWT785310 OMW785245:OMX785310 ODA785245:ODB785310 NTE785245:NTF785310 NJI785245:NJJ785310 MZM785245:MZN785310 MPQ785245:MPR785310 MFU785245:MFV785310 LVY785245:LVZ785310 LMC785245:LMD785310 LCG785245:LCH785310 KSK785245:KSL785310 KIO785245:KIP785310 JYS785245:JYT785310 JOW785245:JOX785310 JFA785245:JFB785310 IVE785245:IVF785310 ILI785245:ILJ785310 IBM785245:IBN785310 HRQ785245:HRR785310 HHU785245:HHV785310 GXY785245:GXZ785310 GOC785245:GOD785310 GEG785245:GEH785310 FUK785245:FUL785310 FKO785245:FKP785310 FAS785245:FAT785310 EQW785245:EQX785310 EHA785245:EHB785310 DXE785245:DXF785310 DNI785245:DNJ785310 DDM785245:DDN785310 CTQ785245:CTR785310 CJU785245:CJV785310 BZY785245:BZZ785310 BQC785245:BQD785310 BGG785245:BGH785310 AWK785245:AWL785310 AMO785245:AMP785310 ACS785245:ACT785310 SW785245:SX785310 JA785245:JB785310 E785245:F785310 WVM719709:WVN719774 WLQ719709:WLR719774 WBU719709:WBV719774 VRY719709:VRZ719774 VIC719709:VID719774 UYG719709:UYH719774 UOK719709:UOL719774 UEO719709:UEP719774 TUS719709:TUT719774 TKW719709:TKX719774 TBA719709:TBB719774 SRE719709:SRF719774 SHI719709:SHJ719774 RXM719709:RXN719774 RNQ719709:RNR719774 RDU719709:RDV719774 QTY719709:QTZ719774 QKC719709:QKD719774 QAG719709:QAH719774 PQK719709:PQL719774 PGO719709:PGP719774 OWS719709:OWT719774 OMW719709:OMX719774 ODA719709:ODB719774 NTE719709:NTF719774 NJI719709:NJJ719774 MZM719709:MZN719774 MPQ719709:MPR719774 MFU719709:MFV719774 LVY719709:LVZ719774 LMC719709:LMD719774 LCG719709:LCH719774 KSK719709:KSL719774 KIO719709:KIP719774 JYS719709:JYT719774 JOW719709:JOX719774 JFA719709:JFB719774 IVE719709:IVF719774 ILI719709:ILJ719774 IBM719709:IBN719774 HRQ719709:HRR719774 HHU719709:HHV719774 GXY719709:GXZ719774 GOC719709:GOD719774 GEG719709:GEH719774 FUK719709:FUL719774 FKO719709:FKP719774 FAS719709:FAT719774 EQW719709:EQX719774 EHA719709:EHB719774 DXE719709:DXF719774 DNI719709:DNJ719774 DDM719709:DDN719774 CTQ719709:CTR719774 CJU719709:CJV719774 BZY719709:BZZ719774 BQC719709:BQD719774 BGG719709:BGH719774 AWK719709:AWL719774 AMO719709:AMP719774 ACS719709:ACT719774 SW719709:SX719774 JA719709:JB719774 E719709:F719774 WVM654173:WVN654238 WLQ654173:WLR654238 WBU654173:WBV654238 VRY654173:VRZ654238 VIC654173:VID654238 UYG654173:UYH654238 UOK654173:UOL654238 UEO654173:UEP654238 TUS654173:TUT654238 TKW654173:TKX654238 TBA654173:TBB654238 SRE654173:SRF654238 SHI654173:SHJ654238 RXM654173:RXN654238 RNQ654173:RNR654238 RDU654173:RDV654238 QTY654173:QTZ654238 QKC654173:QKD654238 QAG654173:QAH654238 PQK654173:PQL654238 PGO654173:PGP654238 OWS654173:OWT654238 OMW654173:OMX654238 ODA654173:ODB654238 NTE654173:NTF654238 NJI654173:NJJ654238 MZM654173:MZN654238 MPQ654173:MPR654238 MFU654173:MFV654238 LVY654173:LVZ654238 LMC654173:LMD654238 LCG654173:LCH654238 KSK654173:KSL654238 KIO654173:KIP654238 JYS654173:JYT654238 JOW654173:JOX654238 JFA654173:JFB654238 IVE654173:IVF654238 ILI654173:ILJ654238 IBM654173:IBN654238 HRQ654173:HRR654238 HHU654173:HHV654238 GXY654173:GXZ654238 GOC654173:GOD654238 GEG654173:GEH654238 FUK654173:FUL654238 FKO654173:FKP654238 FAS654173:FAT654238 EQW654173:EQX654238 EHA654173:EHB654238 DXE654173:DXF654238 DNI654173:DNJ654238 DDM654173:DDN654238 CTQ654173:CTR654238 CJU654173:CJV654238 BZY654173:BZZ654238 BQC654173:BQD654238 BGG654173:BGH654238 AWK654173:AWL654238 AMO654173:AMP654238 ACS654173:ACT654238 SW654173:SX654238 JA654173:JB654238 E654173:F654238 WVM588637:WVN588702 WLQ588637:WLR588702 WBU588637:WBV588702 VRY588637:VRZ588702 VIC588637:VID588702 UYG588637:UYH588702 UOK588637:UOL588702 UEO588637:UEP588702 TUS588637:TUT588702 TKW588637:TKX588702 TBA588637:TBB588702 SRE588637:SRF588702 SHI588637:SHJ588702 RXM588637:RXN588702 RNQ588637:RNR588702 RDU588637:RDV588702 QTY588637:QTZ588702 QKC588637:QKD588702 QAG588637:QAH588702 PQK588637:PQL588702 PGO588637:PGP588702 OWS588637:OWT588702 OMW588637:OMX588702 ODA588637:ODB588702 NTE588637:NTF588702 NJI588637:NJJ588702 MZM588637:MZN588702 MPQ588637:MPR588702 MFU588637:MFV588702 LVY588637:LVZ588702 LMC588637:LMD588702 LCG588637:LCH588702 KSK588637:KSL588702 KIO588637:KIP588702 JYS588637:JYT588702 JOW588637:JOX588702 JFA588637:JFB588702 IVE588637:IVF588702 ILI588637:ILJ588702 IBM588637:IBN588702 HRQ588637:HRR588702 HHU588637:HHV588702 GXY588637:GXZ588702 GOC588637:GOD588702 GEG588637:GEH588702 FUK588637:FUL588702 FKO588637:FKP588702 FAS588637:FAT588702 EQW588637:EQX588702 EHA588637:EHB588702 DXE588637:DXF588702 DNI588637:DNJ588702 DDM588637:DDN588702 CTQ588637:CTR588702 CJU588637:CJV588702 BZY588637:BZZ588702 BQC588637:BQD588702 BGG588637:BGH588702 AWK588637:AWL588702 AMO588637:AMP588702 ACS588637:ACT588702 SW588637:SX588702 JA588637:JB588702 E588637:F588702 WVM523101:WVN523166 WLQ523101:WLR523166 WBU523101:WBV523166 VRY523101:VRZ523166 VIC523101:VID523166 UYG523101:UYH523166 UOK523101:UOL523166 UEO523101:UEP523166 TUS523101:TUT523166 TKW523101:TKX523166 TBA523101:TBB523166 SRE523101:SRF523166 SHI523101:SHJ523166 RXM523101:RXN523166 RNQ523101:RNR523166 RDU523101:RDV523166 QTY523101:QTZ523166 QKC523101:QKD523166 QAG523101:QAH523166 PQK523101:PQL523166 PGO523101:PGP523166 OWS523101:OWT523166 OMW523101:OMX523166 ODA523101:ODB523166 NTE523101:NTF523166 NJI523101:NJJ523166 MZM523101:MZN523166 MPQ523101:MPR523166 MFU523101:MFV523166 LVY523101:LVZ523166 LMC523101:LMD523166 LCG523101:LCH523166 KSK523101:KSL523166 KIO523101:KIP523166 JYS523101:JYT523166 JOW523101:JOX523166 JFA523101:JFB523166 IVE523101:IVF523166 ILI523101:ILJ523166 IBM523101:IBN523166 HRQ523101:HRR523166 HHU523101:HHV523166 GXY523101:GXZ523166 GOC523101:GOD523166 GEG523101:GEH523166 FUK523101:FUL523166 FKO523101:FKP523166 FAS523101:FAT523166 EQW523101:EQX523166 EHA523101:EHB523166 DXE523101:DXF523166 DNI523101:DNJ523166 DDM523101:DDN523166 CTQ523101:CTR523166 CJU523101:CJV523166 BZY523101:BZZ523166 BQC523101:BQD523166 BGG523101:BGH523166 AWK523101:AWL523166 AMO523101:AMP523166 ACS523101:ACT523166 SW523101:SX523166 JA523101:JB523166 E523101:F523166 WVM457565:WVN457630 WLQ457565:WLR457630 WBU457565:WBV457630 VRY457565:VRZ457630 VIC457565:VID457630 UYG457565:UYH457630 UOK457565:UOL457630 UEO457565:UEP457630 TUS457565:TUT457630 TKW457565:TKX457630 TBA457565:TBB457630 SRE457565:SRF457630 SHI457565:SHJ457630 RXM457565:RXN457630 RNQ457565:RNR457630 RDU457565:RDV457630 QTY457565:QTZ457630 QKC457565:QKD457630 QAG457565:QAH457630 PQK457565:PQL457630 PGO457565:PGP457630 OWS457565:OWT457630 OMW457565:OMX457630 ODA457565:ODB457630 NTE457565:NTF457630 NJI457565:NJJ457630 MZM457565:MZN457630 MPQ457565:MPR457630 MFU457565:MFV457630 LVY457565:LVZ457630 LMC457565:LMD457630 LCG457565:LCH457630 KSK457565:KSL457630 KIO457565:KIP457630 JYS457565:JYT457630 JOW457565:JOX457630 JFA457565:JFB457630 IVE457565:IVF457630 ILI457565:ILJ457630 IBM457565:IBN457630 HRQ457565:HRR457630 HHU457565:HHV457630 GXY457565:GXZ457630 GOC457565:GOD457630 GEG457565:GEH457630 FUK457565:FUL457630 FKO457565:FKP457630 FAS457565:FAT457630 EQW457565:EQX457630 EHA457565:EHB457630 DXE457565:DXF457630 DNI457565:DNJ457630 DDM457565:DDN457630 CTQ457565:CTR457630 CJU457565:CJV457630 BZY457565:BZZ457630 BQC457565:BQD457630 BGG457565:BGH457630 AWK457565:AWL457630 AMO457565:AMP457630 ACS457565:ACT457630 SW457565:SX457630 JA457565:JB457630 E457565:F457630 WVM392029:WVN392094 WLQ392029:WLR392094 WBU392029:WBV392094 VRY392029:VRZ392094 VIC392029:VID392094 UYG392029:UYH392094 UOK392029:UOL392094 UEO392029:UEP392094 TUS392029:TUT392094 TKW392029:TKX392094 TBA392029:TBB392094 SRE392029:SRF392094 SHI392029:SHJ392094 RXM392029:RXN392094 RNQ392029:RNR392094 RDU392029:RDV392094 QTY392029:QTZ392094 QKC392029:QKD392094 QAG392029:QAH392094 PQK392029:PQL392094 PGO392029:PGP392094 OWS392029:OWT392094 OMW392029:OMX392094 ODA392029:ODB392094 NTE392029:NTF392094 NJI392029:NJJ392094 MZM392029:MZN392094 MPQ392029:MPR392094 MFU392029:MFV392094 LVY392029:LVZ392094 LMC392029:LMD392094 LCG392029:LCH392094 KSK392029:KSL392094 KIO392029:KIP392094 JYS392029:JYT392094 JOW392029:JOX392094 JFA392029:JFB392094 IVE392029:IVF392094 ILI392029:ILJ392094 IBM392029:IBN392094 HRQ392029:HRR392094 HHU392029:HHV392094 GXY392029:GXZ392094 GOC392029:GOD392094 GEG392029:GEH392094 FUK392029:FUL392094 FKO392029:FKP392094 FAS392029:FAT392094 EQW392029:EQX392094 EHA392029:EHB392094 DXE392029:DXF392094 DNI392029:DNJ392094 DDM392029:DDN392094 CTQ392029:CTR392094 CJU392029:CJV392094 BZY392029:BZZ392094 BQC392029:BQD392094 BGG392029:BGH392094 AWK392029:AWL392094 AMO392029:AMP392094 ACS392029:ACT392094 SW392029:SX392094 JA392029:JB392094 E392029:F392094 WVM326493:WVN326558 WLQ326493:WLR326558 WBU326493:WBV326558 VRY326493:VRZ326558 VIC326493:VID326558 UYG326493:UYH326558 UOK326493:UOL326558 UEO326493:UEP326558 TUS326493:TUT326558 TKW326493:TKX326558 TBA326493:TBB326558 SRE326493:SRF326558 SHI326493:SHJ326558 RXM326493:RXN326558 RNQ326493:RNR326558 RDU326493:RDV326558 QTY326493:QTZ326558 QKC326493:QKD326558 QAG326493:QAH326558 PQK326493:PQL326558 PGO326493:PGP326558 OWS326493:OWT326558 OMW326493:OMX326558 ODA326493:ODB326558 NTE326493:NTF326558 NJI326493:NJJ326558 MZM326493:MZN326558 MPQ326493:MPR326558 MFU326493:MFV326558 LVY326493:LVZ326558 LMC326493:LMD326558 LCG326493:LCH326558 KSK326493:KSL326558 KIO326493:KIP326558 JYS326493:JYT326558 JOW326493:JOX326558 JFA326493:JFB326558 IVE326493:IVF326558 ILI326493:ILJ326558 IBM326493:IBN326558 HRQ326493:HRR326558 HHU326493:HHV326558 GXY326493:GXZ326558 GOC326493:GOD326558 GEG326493:GEH326558 FUK326493:FUL326558 FKO326493:FKP326558 FAS326493:FAT326558 EQW326493:EQX326558 EHA326493:EHB326558 DXE326493:DXF326558 DNI326493:DNJ326558 DDM326493:DDN326558 CTQ326493:CTR326558 CJU326493:CJV326558 BZY326493:BZZ326558 BQC326493:BQD326558 BGG326493:BGH326558 AWK326493:AWL326558 AMO326493:AMP326558 ACS326493:ACT326558 SW326493:SX326558 JA326493:JB326558 E326493:F326558 WVM260957:WVN261022 WLQ260957:WLR261022 WBU260957:WBV261022 VRY260957:VRZ261022 VIC260957:VID261022 UYG260957:UYH261022 UOK260957:UOL261022 UEO260957:UEP261022 TUS260957:TUT261022 TKW260957:TKX261022 TBA260957:TBB261022 SRE260957:SRF261022 SHI260957:SHJ261022 RXM260957:RXN261022 RNQ260957:RNR261022 RDU260957:RDV261022 QTY260957:QTZ261022 QKC260957:QKD261022 QAG260957:QAH261022 PQK260957:PQL261022 PGO260957:PGP261022 OWS260957:OWT261022 OMW260957:OMX261022 ODA260957:ODB261022 NTE260957:NTF261022 NJI260957:NJJ261022 MZM260957:MZN261022 MPQ260957:MPR261022 MFU260957:MFV261022 LVY260957:LVZ261022 LMC260957:LMD261022 LCG260957:LCH261022 KSK260957:KSL261022 KIO260957:KIP261022 JYS260957:JYT261022 JOW260957:JOX261022 JFA260957:JFB261022 IVE260957:IVF261022 ILI260957:ILJ261022 IBM260957:IBN261022 HRQ260957:HRR261022 HHU260957:HHV261022 GXY260957:GXZ261022 GOC260957:GOD261022 GEG260957:GEH261022 FUK260957:FUL261022 FKO260957:FKP261022 FAS260957:FAT261022 EQW260957:EQX261022 EHA260957:EHB261022 DXE260957:DXF261022 DNI260957:DNJ261022 DDM260957:DDN261022 CTQ260957:CTR261022 CJU260957:CJV261022 BZY260957:BZZ261022 BQC260957:BQD261022 BGG260957:BGH261022 AWK260957:AWL261022 AMO260957:AMP261022 ACS260957:ACT261022 SW260957:SX261022 JA260957:JB261022 E260957:F261022 WVM195421:WVN195486 WLQ195421:WLR195486 WBU195421:WBV195486 VRY195421:VRZ195486 VIC195421:VID195486 UYG195421:UYH195486 UOK195421:UOL195486 UEO195421:UEP195486 TUS195421:TUT195486 TKW195421:TKX195486 TBA195421:TBB195486 SRE195421:SRF195486 SHI195421:SHJ195486 RXM195421:RXN195486 RNQ195421:RNR195486 RDU195421:RDV195486 QTY195421:QTZ195486 QKC195421:QKD195486 QAG195421:QAH195486 PQK195421:PQL195486 PGO195421:PGP195486 OWS195421:OWT195486 OMW195421:OMX195486 ODA195421:ODB195486 NTE195421:NTF195486 NJI195421:NJJ195486 MZM195421:MZN195486 MPQ195421:MPR195486 MFU195421:MFV195486 LVY195421:LVZ195486 LMC195421:LMD195486 LCG195421:LCH195486 KSK195421:KSL195486 KIO195421:KIP195486 JYS195421:JYT195486 JOW195421:JOX195486 JFA195421:JFB195486 IVE195421:IVF195486 ILI195421:ILJ195486 IBM195421:IBN195486 HRQ195421:HRR195486 HHU195421:HHV195486 GXY195421:GXZ195486 GOC195421:GOD195486 GEG195421:GEH195486 FUK195421:FUL195486 FKO195421:FKP195486 FAS195421:FAT195486 EQW195421:EQX195486 EHA195421:EHB195486 DXE195421:DXF195486 DNI195421:DNJ195486 DDM195421:DDN195486 CTQ195421:CTR195486 CJU195421:CJV195486 BZY195421:BZZ195486 BQC195421:BQD195486 BGG195421:BGH195486 AWK195421:AWL195486 AMO195421:AMP195486 ACS195421:ACT195486 SW195421:SX195486 JA195421:JB195486 E195421:F195486 WVM129885:WVN129950 WLQ129885:WLR129950 WBU129885:WBV129950 VRY129885:VRZ129950 VIC129885:VID129950 UYG129885:UYH129950 UOK129885:UOL129950 UEO129885:UEP129950 TUS129885:TUT129950 TKW129885:TKX129950 TBA129885:TBB129950 SRE129885:SRF129950 SHI129885:SHJ129950 RXM129885:RXN129950 RNQ129885:RNR129950 RDU129885:RDV129950 QTY129885:QTZ129950 QKC129885:QKD129950 QAG129885:QAH129950 PQK129885:PQL129950 PGO129885:PGP129950 OWS129885:OWT129950 OMW129885:OMX129950 ODA129885:ODB129950 NTE129885:NTF129950 NJI129885:NJJ129950 MZM129885:MZN129950 MPQ129885:MPR129950 MFU129885:MFV129950 LVY129885:LVZ129950 LMC129885:LMD129950 LCG129885:LCH129950 KSK129885:KSL129950 KIO129885:KIP129950 JYS129885:JYT129950 JOW129885:JOX129950 JFA129885:JFB129950 IVE129885:IVF129950 ILI129885:ILJ129950 IBM129885:IBN129950 HRQ129885:HRR129950 HHU129885:HHV129950 GXY129885:GXZ129950 GOC129885:GOD129950 GEG129885:GEH129950 FUK129885:FUL129950 FKO129885:FKP129950 FAS129885:FAT129950 EQW129885:EQX129950 EHA129885:EHB129950 DXE129885:DXF129950 DNI129885:DNJ129950 DDM129885:DDN129950 CTQ129885:CTR129950 CJU129885:CJV129950 BZY129885:BZZ129950 BQC129885:BQD129950 BGG129885:BGH129950 AWK129885:AWL129950 AMO129885:AMP129950 ACS129885:ACT129950 SW129885:SX129950 JA129885:JB129950 E129885:F129950 WVM64349:WVN64414 WLQ64349:WLR64414 WBU64349:WBV64414 VRY64349:VRZ64414 VIC64349:VID64414 UYG64349:UYH64414 UOK64349:UOL64414 UEO64349:UEP64414 TUS64349:TUT64414 TKW64349:TKX64414 TBA64349:TBB64414 SRE64349:SRF64414 SHI64349:SHJ64414 RXM64349:RXN64414 RNQ64349:RNR64414 RDU64349:RDV64414 QTY64349:QTZ64414 QKC64349:QKD64414 QAG64349:QAH64414 PQK64349:PQL64414 PGO64349:PGP64414 OWS64349:OWT64414 OMW64349:OMX64414 ODA64349:ODB64414 NTE64349:NTF64414 NJI64349:NJJ64414 MZM64349:MZN64414 MPQ64349:MPR64414 MFU64349:MFV64414 LVY64349:LVZ64414 LMC64349:LMD64414 LCG64349:LCH64414 KSK64349:KSL64414 KIO64349:KIP64414 JYS64349:JYT64414 JOW64349:JOX64414 JFA64349:JFB64414 IVE64349:IVF64414 ILI64349:ILJ64414 IBM64349:IBN64414 HRQ64349:HRR64414 HHU64349:HHV64414 GXY64349:GXZ64414 GOC64349:GOD64414 GEG64349:GEH64414 FUK64349:FUL64414 FKO64349:FKP64414 FAS64349:FAT64414 EQW64349:EQX64414 EHA64349:EHB64414 DXE64349:DXF64414 DNI64349:DNJ64414 DDM64349:DDN64414 CTQ64349:CTR64414 CJU64349:CJV64414 BZY64349:BZZ64414 BQC64349:BQD64414 BGG64349:BGH64414 AWK64349:AWL64414 AMO64349:AMP64414 ACS64349:ACT64414 SW64349:SX64414 JA2:JB70 ACS2:ACT70 AMO2:AMP70 AWK2:AWL70 BGG2:BGH70 BQC2:BQD70 BZY2:BZZ70 CJU2:CJV70 CTQ2:CTR70 DDM2:DDN70 DNI2:DNJ70 DXE2:DXF70 EHA2:EHB70 EQW2:EQX70 FAS2:FAT70 FKO2:FKP70 FUK2:FUL70 GEG2:GEH70 GOC2:GOD70 GXY2:GXZ70 HHU2:HHV70 HRQ2:HRR70 IBM2:IBN70 ILI2:ILJ70 IVE2:IVF70 JFA2:JFB70 JOW2:JOX70 JYS2:JYT70 KIO2:KIP70 KSK2:KSL70 LCG2:LCH70 LMC2:LMD70 LVY2:LVZ70 MFU2:MFV70 MPQ2:MPR70 MZM2:MZN70 NJI2:NJJ70 NTE2:NTF70 ODA2:ODB70 OMW2:OMX70 OWS2:OWT70 PGO2:PGP70 PQK2:PQL70 QAG2:QAH70 QKC2:QKD70 QTY2:QTZ70 RDU2:RDV70 RNQ2:RNR70 RXM2:RXN70 SHI2:SHJ70 SRE2:SRF70 TBA2:TBB70 TKW2:TKX70 TUS2:TUT70 UEO2:UEP70 UOK2:UOL70 UYG2:UYH70 VIC2:VID70 VRY2:VRZ70 WBU2:WBV70 WLQ2:WLR70 WVM2:WVN70 SW2:SX70">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70" zoomScaleNormal="70" zoomScaleSheetLayoutView="100" workbookViewId="0">
      <selection activeCell="M57" sqref="M57"/>
    </sheetView>
  </sheetViews>
  <sheetFormatPr defaultRowHeight="13.5" x14ac:dyDescent="0.15"/>
  <cols>
    <col min="1" max="3" width="9" style="96"/>
    <col min="4" max="4" width="10.5" style="96" bestFit="1" customWidth="1"/>
    <col min="5" max="16" width="9" style="96"/>
    <col min="17" max="17" width="9" style="105"/>
    <col min="18" max="19" width="9" style="96"/>
    <col min="20" max="20" width="9" style="105"/>
    <col min="21" max="21" width="9" style="96"/>
    <col min="22" max="22" width="9" style="105"/>
    <col min="23" max="32" width="9" style="96"/>
    <col min="33" max="33" width="16.875" style="96" bestFit="1" customWidth="1"/>
    <col min="34" max="34" width="15.625" style="96" customWidth="1"/>
    <col min="35" max="39" width="9" style="187"/>
    <col min="40" max="16384" width="9" style="96"/>
  </cols>
  <sheetData>
    <row r="1" spans="1:53" ht="45" x14ac:dyDescent="0.15">
      <c r="A1" s="124" t="s">
        <v>0</v>
      </c>
      <c r="B1" s="90" t="s">
        <v>1</v>
      </c>
      <c r="C1" s="90" t="s">
        <v>523</v>
      </c>
      <c r="D1" s="91" t="s">
        <v>3</v>
      </c>
      <c r="E1" s="125" t="s">
        <v>4</v>
      </c>
      <c r="F1" s="125" t="s">
        <v>5</v>
      </c>
      <c r="G1" s="125" t="s">
        <v>6</v>
      </c>
      <c r="H1" s="125" t="s">
        <v>7</v>
      </c>
      <c r="I1" s="125" t="s">
        <v>8</v>
      </c>
      <c r="J1" s="125" t="s">
        <v>9</v>
      </c>
      <c r="K1" s="212" t="s">
        <v>10</v>
      </c>
      <c r="L1" s="91" t="s">
        <v>524</v>
      </c>
      <c r="M1" s="91" t="s">
        <v>12</v>
      </c>
      <c r="N1" s="91" t="s">
        <v>13</v>
      </c>
      <c r="O1" s="91" t="s">
        <v>525</v>
      </c>
      <c r="P1" s="91" t="s">
        <v>526</v>
      </c>
      <c r="Q1" s="92" t="s">
        <v>16</v>
      </c>
      <c r="R1" s="91" t="s">
        <v>527</v>
      </c>
      <c r="S1" s="91" t="s">
        <v>528</v>
      </c>
      <c r="T1" s="92" t="s">
        <v>19</v>
      </c>
      <c r="U1" s="93" t="s">
        <v>108</v>
      </c>
      <c r="V1" s="94" t="s">
        <v>20</v>
      </c>
      <c r="W1" s="91" t="s">
        <v>21</v>
      </c>
      <c r="X1" s="125" t="s">
        <v>22</v>
      </c>
      <c r="Y1" s="125" t="s">
        <v>23</v>
      </c>
      <c r="Z1" s="125" t="s">
        <v>24</v>
      </c>
      <c r="AA1" s="126" t="s">
        <v>25</v>
      </c>
      <c r="AB1" s="95" t="s">
        <v>529</v>
      </c>
      <c r="AE1" s="97" t="s">
        <v>0</v>
      </c>
      <c r="AF1" s="98"/>
      <c r="AG1" s="97" t="s">
        <v>4</v>
      </c>
      <c r="AH1" s="97" t="s">
        <v>5</v>
      </c>
      <c r="AI1" s="213"/>
      <c r="AJ1" s="214" t="s">
        <v>6</v>
      </c>
      <c r="AK1" s="213"/>
      <c r="AL1" s="215" t="s">
        <v>7</v>
      </c>
      <c r="AM1" s="213"/>
      <c r="AN1" s="99" t="s">
        <v>8</v>
      </c>
      <c r="AO1" s="98"/>
      <c r="AP1" s="99" t="s">
        <v>27</v>
      </c>
      <c r="AQ1" s="98"/>
      <c r="AR1" s="99" t="s">
        <v>10</v>
      </c>
      <c r="AS1" s="98"/>
      <c r="AT1" s="100" t="s">
        <v>28</v>
      </c>
      <c r="AU1" s="98"/>
      <c r="AV1" s="99" t="s">
        <v>29</v>
      </c>
      <c r="AX1" s="101" t="s">
        <v>530</v>
      </c>
      <c r="AY1" s="102" t="s">
        <v>531</v>
      </c>
      <c r="AZ1" s="102" t="s">
        <v>532</v>
      </c>
      <c r="BA1" s="103" t="s">
        <v>533</v>
      </c>
    </row>
    <row r="2" spans="1:53" x14ac:dyDescent="0.15">
      <c r="A2" s="216" t="s">
        <v>34</v>
      </c>
      <c r="B2" s="216" t="s">
        <v>534</v>
      </c>
      <c r="C2" s="216">
        <v>2018</v>
      </c>
      <c r="D2" s="217" t="s">
        <v>535</v>
      </c>
      <c r="E2" s="216" t="s">
        <v>536</v>
      </c>
      <c r="F2" s="216" t="s">
        <v>537</v>
      </c>
      <c r="G2" s="218" t="s">
        <v>36</v>
      </c>
      <c r="H2" s="219" t="s">
        <v>155</v>
      </c>
      <c r="I2" s="180" t="s">
        <v>153</v>
      </c>
      <c r="J2" s="220" t="s">
        <v>38</v>
      </c>
      <c r="K2" s="180" t="s">
        <v>154</v>
      </c>
      <c r="L2" s="221">
        <v>1</v>
      </c>
      <c r="M2" s="222"/>
      <c r="N2" s="222">
        <v>1</v>
      </c>
      <c r="O2" s="222">
        <v>0.9</v>
      </c>
      <c r="P2" s="222">
        <v>0.85</v>
      </c>
      <c r="Q2" s="223">
        <f t="shared" ref="Q2:Q65" si="0">IF(OR(O2="",P2=""),"",AVERAGE(O2,P2))</f>
        <v>0.875</v>
      </c>
      <c r="R2" s="224">
        <v>14.2</v>
      </c>
      <c r="S2" s="219">
        <v>124</v>
      </c>
      <c r="T2" s="225">
        <v>118</v>
      </c>
      <c r="U2" s="180">
        <v>128</v>
      </c>
      <c r="V2" s="225"/>
      <c r="W2" s="226">
        <v>124</v>
      </c>
      <c r="X2" s="227" t="s">
        <v>46</v>
      </c>
      <c r="Y2" s="227" t="s">
        <v>90</v>
      </c>
      <c r="Z2" s="227" t="s">
        <v>69</v>
      </c>
      <c r="AA2" s="228" t="s">
        <v>84</v>
      </c>
      <c r="AB2" s="55" t="s">
        <v>538</v>
      </c>
      <c r="AE2" s="106" t="s">
        <v>35</v>
      </c>
      <c r="AG2" s="127" t="s">
        <v>539</v>
      </c>
      <c r="AH2" s="127" t="s">
        <v>540</v>
      </c>
      <c r="AJ2" s="188" t="s">
        <v>36</v>
      </c>
      <c r="AL2" s="107" t="s">
        <v>127</v>
      </c>
      <c r="AN2" s="107" t="s">
        <v>37</v>
      </c>
      <c r="AO2" s="104"/>
      <c r="AP2" s="107" t="s">
        <v>38</v>
      </c>
      <c r="AQ2" s="104"/>
      <c r="AR2" s="107" t="s">
        <v>541</v>
      </c>
      <c r="AS2" s="104"/>
      <c r="AT2" s="107" t="s">
        <v>39</v>
      </c>
      <c r="AU2" s="104"/>
      <c r="AV2" s="199" t="s">
        <v>40</v>
      </c>
      <c r="AW2" s="104"/>
      <c r="AX2" s="108">
        <v>1</v>
      </c>
      <c r="AY2" s="109">
        <v>50</v>
      </c>
      <c r="AZ2" s="109">
        <v>1</v>
      </c>
      <c r="BA2" s="110">
        <v>50</v>
      </c>
    </row>
    <row r="3" spans="1:53" x14ac:dyDescent="0.15">
      <c r="A3" s="229" t="s">
        <v>34</v>
      </c>
      <c r="B3" s="229" t="s">
        <v>193</v>
      </c>
      <c r="C3" s="230">
        <v>2018</v>
      </c>
      <c r="D3" s="231" t="s">
        <v>284</v>
      </c>
      <c r="E3" s="229" t="s">
        <v>536</v>
      </c>
      <c r="F3" s="229" t="s">
        <v>537</v>
      </c>
      <c r="G3" s="232" t="s">
        <v>36</v>
      </c>
      <c r="H3" s="180" t="s">
        <v>155</v>
      </c>
      <c r="I3" s="180" t="s">
        <v>153</v>
      </c>
      <c r="J3" s="180" t="s">
        <v>38</v>
      </c>
      <c r="K3" s="180" t="s">
        <v>154</v>
      </c>
      <c r="L3" s="96">
        <v>2</v>
      </c>
      <c r="N3" s="96">
        <v>1</v>
      </c>
      <c r="O3" s="96">
        <v>1.3</v>
      </c>
      <c r="P3" s="34">
        <v>1</v>
      </c>
      <c r="Q3" s="233">
        <f t="shared" si="0"/>
        <v>1.1499999999999999</v>
      </c>
      <c r="R3" s="234">
        <v>13.9</v>
      </c>
      <c r="S3" s="234">
        <v>118</v>
      </c>
      <c r="T3" s="105">
        <f t="shared" ref="T3:T66" si="1">IF(H3="","",IF(OR(H3="GREEN",H3="GK"),IF(S3&gt;=$AX$2,VLOOKUP(S3,$AX$2:$AY$7,2,1),""),IF(S3&gt;=$AZ$2,VLOOKUP(S3,$AZ$2:$BA$7,2,1),"")))</f>
        <v>30</v>
      </c>
      <c r="U3" s="235">
        <v>128</v>
      </c>
      <c r="V3" s="236">
        <f t="shared" ref="V3:V66" si="2">IF(OR(N3="",U3="",T3=""),"",U3/N3*T3)</f>
        <v>3840</v>
      </c>
      <c r="W3" s="237">
        <v>118</v>
      </c>
      <c r="X3" s="238" t="s">
        <v>46</v>
      </c>
      <c r="Y3" s="238" t="s">
        <v>90</v>
      </c>
      <c r="Z3" s="238" t="s">
        <v>69</v>
      </c>
      <c r="AA3" s="228" t="s">
        <v>84</v>
      </c>
      <c r="AB3" s="55" t="s">
        <v>195</v>
      </c>
      <c r="AE3" s="111" t="s">
        <v>41</v>
      </c>
      <c r="AG3" s="127" t="s">
        <v>542</v>
      </c>
      <c r="AH3" s="127" t="s">
        <v>543</v>
      </c>
      <c r="AJ3" s="239" t="s">
        <v>42</v>
      </c>
      <c r="AL3" s="112" t="s">
        <v>128</v>
      </c>
      <c r="AN3" s="112" t="s">
        <v>43</v>
      </c>
      <c r="AP3" s="112" t="s">
        <v>44</v>
      </c>
      <c r="AR3" s="122" t="s">
        <v>45</v>
      </c>
      <c r="AT3" s="112" t="s">
        <v>46</v>
      </c>
      <c r="AV3" s="112" t="s">
        <v>47</v>
      </c>
      <c r="AX3" s="113">
        <v>72</v>
      </c>
      <c r="AY3" s="114">
        <v>46</v>
      </c>
      <c r="AZ3" s="114">
        <v>71</v>
      </c>
      <c r="BA3" s="115">
        <v>42</v>
      </c>
    </row>
    <row r="4" spans="1:53" x14ac:dyDescent="0.15">
      <c r="A4" s="229" t="s">
        <v>34</v>
      </c>
      <c r="B4" s="229" t="s">
        <v>193</v>
      </c>
      <c r="C4" s="229">
        <v>2018</v>
      </c>
      <c r="D4" s="231" t="s">
        <v>284</v>
      </c>
      <c r="E4" s="229" t="s">
        <v>536</v>
      </c>
      <c r="F4" s="229" t="s">
        <v>537</v>
      </c>
      <c r="G4" s="232" t="s">
        <v>36</v>
      </c>
      <c r="H4" s="180" t="s">
        <v>155</v>
      </c>
      <c r="I4" s="180" t="s">
        <v>153</v>
      </c>
      <c r="J4" s="180" t="s">
        <v>38</v>
      </c>
      <c r="K4" s="180" t="s">
        <v>154</v>
      </c>
      <c r="L4" s="96">
        <v>3</v>
      </c>
      <c r="N4" s="96">
        <v>1</v>
      </c>
      <c r="O4" s="96">
        <v>1.1000000000000001</v>
      </c>
      <c r="P4" s="34">
        <v>0.95</v>
      </c>
      <c r="Q4" s="129">
        <f t="shared" si="0"/>
        <v>1.0249999999999999</v>
      </c>
      <c r="R4" s="240">
        <v>14.4</v>
      </c>
      <c r="S4" s="240">
        <v>121</v>
      </c>
      <c r="T4" s="105">
        <f t="shared" si="1"/>
        <v>30</v>
      </c>
      <c r="U4" s="241">
        <v>128</v>
      </c>
      <c r="V4" s="236">
        <f t="shared" si="2"/>
        <v>3840</v>
      </c>
      <c r="W4" s="242">
        <v>121</v>
      </c>
      <c r="X4" s="238" t="s">
        <v>46</v>
      </c>
      <c r="Y4" s="238" t="s">
        <v>90</v>
      </c>
      <c r="Z4" s="238" t="s">
        <v>69</v>
      </c>
      <c r="AA4" s="228" t="s">
        <v>84</v>
      </c>
      <c r="AB4" s="55" t="s">
        <v>195</v>
      </c>
      <c r="AE4" s="111" t="s">
        <v>34</v>
      </c>
      <c r="AG4" s="127" t="s">
        <v>544</v>
      </c>
      <c r="AH4" s="127" t="s">
        <v>545</v>
      </c>
      <c r="AJ4" s="243" t="s">
        <v>48</v>
      </c>
      <c r="AL4" s="116" t="s">
        <v>129</v>
      </c>
      <c r="AN4" s="117" t="s">
        <v>49</v>
      </c>
      <c r="AP4" s="112" t="s">
        <v>546</v>
      </c>
      <c r="AR4" s="122" t="s">
        <v>547</v>
      </c>
      <c r="AT4" s="117"/>
      <c r="AV4" s="112" t="s">
        <v>50</v>
      </c>
      <c r="AX4" s="113">
        <v>75</v>
      </c>
      <c r="AY4" s="114">
        <v>42</v>
      </c>
      <c r="AZ4" s="114">
        <v>76</v>
      </c>
      <c r="BA4" s="115">
        <v>39</v>
      </c>
    </row>
    <row r="5" spans="1:53" x14ac:dyDescent="0.15">
      <c r="A5" s="229" t="s">
        <v>34</v>
      </c>
      <c r="B5" s="229" t="s">
        <v>193</v>
      </c>
      <c r="C5" s="230">
        <v>2018</v>
      </c>
      <c r="D5" s="231" t="s">
        <v>284</v>
      </c>
      <c r="E5" s="229" t="s">
        <v>548</v>
      </c>
      <c r="F5" s="229" t="s">
        <v>549</v>
      </c>
      <c r="G5" s="232" t="s">
        <v>36</v>
      </c>
      <c r="H5" s="180" t="s">
        <v>155</v>
      </c>
      <c r="I5" s="180" t="s">
        <v>153</v>
      </c>
      <c r="J5" s="180" t="s">
        <v>38</v>
      </c>
      <c r="K5" s="180" t="s">
        <v>154</v>
      </c>
      <c r="L5" s="96">
        <v>1</v>
      </c>
      <c r="N5" s="96">
        <v>5</v>
      </c>
      <c r="O5" s="96">
        <v>0.7</v>
      </c>
      <c r="P5" s="121">
        <v>0.8</v>
      </c>
      <c r="Q5" s="129">
        <f t="shared" si="0"/>
        <v>0.75</v>
      </c>
      <c r="R5" s="240">
        <v>12.8</v>
      </c>
      <c r="S5" s="240">
        <v>81</v>
      </c>
      <c r="T5" s="105">
        <f t="shared" si="1"/>
        <v>39</v>
      </c>
      <c r="U5" s="241">
        <v>398</v>
      </c>
      <c r="V5" s="236">
        <f t="shared" si="2"/>
        <v>3104.3999999999996</v>
      </c>
      <c r="W5" s="242">
        <v>81</v>
      </c>
      <c r="X5" s="238" t="s">
        <v>46</v>
      </c>
      <c r="Y5" s="238" t="s">
        <v>40</v>
      </c>
      <c r="Z5" s="238" t="s">
        <v>90</v>
      </c>
      <c r="AA5" s="228" t="s">
        <v>84</v>
      </c>
      <c r="AB5" s="55" t="s">
        <v>195</v>
      </c>
      <c r="AE5" s="111" t="s">
        <v>51</v>
      </c>
      <c r="AG5" s="127" t="s">
        <v>550</v>
      </c>
      <c r="AH5" s="127" t="s">
        <v>551</v>
      </c>
      <c r="AJ5" s="244"/>
      <c r="AL5" s="118" t="s">
        <v>552</v>
      </c>
      <c r="AN5" s="118" t="s">
        <v>553</v>
      </c>
      <c r="AP5" s="112" t="s">
        <v>554</v>
      </c>
      <c r="AR5" s="122" t="s">
        <v>54</v>
      </c>
      <c r="AT5" s="182"/>
      <c r="AV5" s="112" t="s">
        <v>55</v>
      </c>
      <c r="AX5" s="113">
        <v>84</v>
      </c>
      <c r="AY5" s="114">
        <v>39</v>
      </c>
      <c r="AZ5" s="114">
        <v>84</v>
      </c>
      <c r="BA5" s="115">
        <v>36</v>
      </c>
    </row>
    <row r="6" spans="1:53" x14ac:dyDescent="0.15">
      <c r="A6" s="229" t="s">
        <v>34</v>
      </c>
      <c r="B6" s="229" t="s">
        <v>193</v>
      </c>
      <c r="C6" s="229">
        <v>2018</v>
      </c>
      <c r="D6" s="231" t="s">
        <v>284</v>
      </c>
      <c r="E6" s="229" t="s">
        <v>548</v>
      </c>
      <c r="F6" s="229" t="s">
        <v>549</v>
      </c>
      <c r="G6" s="232" t="s">
        <v>36</v>
      </c>
      <c r="H6" s="180" t="s">
        <v>155</v>
      </c>
      <c r="I6" s="180" t="s">
        <v>153</v>
      </c>
      <c r="J6" s="180" t="s">
        <v>38</v>
      </c>
      <c r="K6" s="180" t="s">
        <v>154</v>
      </c>
      <c r="L6" s="96">
        <v>2</v>
      </c>
      <c r="N6" s="96">
        <v>5</v>
      </c>
      <c r="O6" s="96">
        <v>0.6</v>
      </c>
      <c r="P6" s="121">
        <v>0.55000000000000004</v>
      </c>
      <c r="Q6" s="129">
        <f t="shared" si="0"/>
        <v>0.57499999999999996</v>
      </c>
      <c r="R6" s="240">
        <v>13</v>
      </c>
      <c r="S6" s="240">
        <v>83</v>
      </c>
      <c r="T6" s="105">
        <f t="shared" si="1"/>
        <v>39</v>
      </c>
      <c r="U6" s="241">
        <v>398</v>
      </c>
      <c r="V6" s="236">
        <f t="shared" si="2"/>
        <v>3104.3999999999996</v>
      </c>
      <c r="W6" s="242">
        <v>83</v>
      </c>
      <c r="X6" s="238" t="s">
        <v>46</v>
      </c>
      <c r="Y6" s="238" t="s">
        <v>40</v>
      </c>
      <c r="Z6" s="238" t="s">
        <v>90</v>
      </c>
      <c r="AA6" s="228" t="s">
        <v>84</v>
      </c>
      <c r="AB6" s="55" t="s">
        <v>195</v>
      </c>
      <c r="AE6" s="111" t="s">
        <v>56</v>
      </c>
      <c r="AG6" s="127" t="s">
        <v>555</v>
      </c>
      <c r="AH6" s="127" t="s">
        <v>549</v>
      </c>
      <c r="AL6" s="118" t="s">
        <v>556</v>
      </c>
      <c r="AN6" s="118" t="s">
        <v>557</v>
      </c>
      <c r="AP6" s="112" t="s">
        <v>53</v>
      </c>
      <c r="AR6" s="122" t="s">
        <v>59</v>
      </c>
      <c r="AV6" s="112" t="s">
        <v>60</v>
      </c>
      <c r="AX6" s="113">
        <v>97</v>
      </c>
      <c r="AY6" s="114">
        <v>36</v>
      </c>
      <c r="AZ6" s="114">
        <v>99</v>
      </c>
      <c r="BA6" s="115">
        <v>33</v>
      </c>
    </row>
    <row r="7" spans="1:53" x14ac:dyDescent="0.15">
      <c r="A7" s="229" t="s">
        <v>34</v>
      </c>
      <c r="B7" s="229" t="s">
        <v>193</v>
      </c>
      <c r="C7" s="230">
        <v>2018</v>
      </c>
      <c r="D7" s="231" t="s">
        <v>284</v>
      </c>
      <c r="E7" s="229" t="s">
        <v>548</v>
      </c>
      <c r="F7" s="229" t="s">
        <v>549</v>
      </c>
      <c r="G7" s="232" t="s">
        <v>36</v>
      </c>
      <c r="H7" s="180" t="s">
        <v>155</v>
      </c>
      <c r="I7" s="180" t="s">
        <v>153</v>
      </c>
      <c r="J7" s="180" t="s">
        <v>38</v>
      </c>
      <c r="K7" s="180" t="s">
        <v>154</v>
      </c>
      <c r="L7" s="96">
        <v>3</v>
      </c>
      <c r="N7" s="96">
        <v>5</v>
      </c>
      <c r="O7" s="96">
        <v>0.65</v>
      </c>
      <c r="P7" s="121">
        <v>0.6</v>
      </c>
      <c r="Q7" s="129">
        <f t="shared" si="0"/>
        <v>0.625</v>
      </c>
      <c r="R7" s="240">
        <v>13.4</v>
      </c>
      <c r="S7" s="240">
        <v>85</v>
      </c>
      <c r="T7" s="105">
        <f t="shared" si="1"/>
        <v>36</v>
      </c>
      <c r="U7" s="241">
        <v>398</v>
      </c>
      <c r="V7" s="236">
        <f t="shared" si="2"/>
        <v>2865.6</v>
      </c>
      <c r="W7" s="242">
        <v>85</v>
      </c>
      <c r="X7" s="238" t="s">
        <v>46</v>
      </c>
      <c r="Y7" s="238" t="s">
        <v>40</v>
      </c>
      <c r="Z7" s="238" t="s">
        <v>90</v>
      </c>
      <c r="AA7" s="228" t="s">
        <v>84</v>
      </c>
      <c r="AB7" s="55" t="s">
        <v>195</v>
      </c>
      <c r="AE7" s="111" t="s">
        <v>61</v>
      </c>
      <c r="AG7" s="127" t="s">
        <v>548</v>
      </c>
      <c r="AH7" s="127" t="s">
        <v>537</v>
      </c>
      <c r="AL7" s="34" t="s">
        <v>558</v>
      </c>
      <c r="AP7" s="112" t="s">
        <v>58</v>
      </c>
      <c r="AR7" s="119" t="s">
        <v>122</v>
      </c>
      <c r="AV7" s="112" t="s">
        <v>64</v>
      </c>
      <c r="AX7" s="113">
        <v>109</v>
      </c>
      <c r="AY7" s="114">
        <v>33</v>
      </c>
      <c r="AZ7" s="114">
        <v>113</v>
      </c>
      <c r="BA7" s="115">
        <v>30</v>
      </c>
    </row>
    <row r="8" spans="1:53" x14ac:dyDescent="0.15">
      <c r="A8" s="229" t="s">
        <v>34</v>
      </c>
      <c r="B8" s="229" t="s">
        <v>193</v>
      </c>
      <c r="C8" s="229">
        <v>2018</v>
      </c>
      <c r="D8" s="231" t="s">
        <v>284</v>
      </c>
      <c r="E8" s="230" t="s">
        <v>548</v>
      </c>
      <c r="F8" s="229" t="s">
        <v>549</v>
      </c>
      <c r="G8" s="232" t="s">
        <v>36</v>
      </c>
      <c r="H8" s="180" t="s">
        <v>174</v>
      </c>
      <c r="I8" s="180" t="s">
        <v>153</v>
      </c>
      <c r="J8" s="180" t="s">
        <v>38</v>
      </c>
      <c r="K8" s="180" t="s">
        <v>54</v>
      </c>
      <c r="L8" s="96">
        <v>1</v>
      </c>
      <c r="N8" s="96">
        <v>4</v>
      </c>
      <c r="O8" s="96">
        <v>0.8</v>
      </c>
      <c r="P8" s="96">
        <v>0.75</v>
      </c>
      <c r="Q8" s="129">
        <f t="shared" si="0"/>
        <v>0.77500000000000002</v>
      </c>
      <c r="R8" s="240">
        <v>15.7</v>
      </c>
      <c r="S8" s="240">
        <v>95</v>
      </c>
      <c r="T8" s="105">
        <f t="shared" si="1"/>
        <v>39</v>
      </c>
      <c r="U8" s="245">
        <v>498</v>
      </c>
      <c r="V8" s="236">
        <f t="shared" si="2"/>
        <v>4855.5</v>
      </c>
      <c r="W8" s="242">
        <v>95</v>
      </c>
      <c r="X8" s="238" t="s">
        <v>46</v>
      </c>
      <c r="Y8" s="246" t="s">
        <v>40</v>
      </c>
      <c r="Z8" s="238" t="s">
        <v>90</v>
      </c>
      <c r="AA8" s="228" t="s">
        <v>84</v>
      </c>
      <c r="AB8" s="55" t="s">
        <v>195</v>
      </c>
      <c r="AE8" s="111" t="s">
        <v>59</v>
      </c>
      <c r="AG8" s="127" t="s">
        <v>559</v>
      </c>
      <c r="AH8" s="127" t="s">
        <v>560</v>
      </c>
      <c r="AL8" s="34" t="s">
        <v>362</v>
      </c>
      <c r="AP8" s="112" t="s">
        <v>62</v>
      </c>
      <c r="AR8" s="122" t="s">
        <v>81</v>
      </c>
      <c r="AV8" s="112" t="s">
        <v>97</v>
      </c>
      <c r="AX8" s="113">
        <v>151</v>
      </c>
      <c r="AY8" s="114">
        <v>22</v>
      </c>
      <c r="AZ8" s="114">
        <v>152</v>
      </c>
      <c r="BA8" s="115">
        <v>18</v>
      </c>
    </row>
    <row r="9" spans="1:53" x14ac:dyDescent="0.15">
      <c r="A9" s="229" t="s">
        <v>34</v>
      </c>
      <c r="B9" s="229" t="s">
        <v>193</v>
      </c>
      <c r="C9" s="230">
        <v>2018</v>
      </c>
      <c r="D9" s="231" t="s">
        <v>284</v>
      </c>
      <c r="E9" s="230" t="s">
        <v>548</v>
      </c>
      <c r="F9" s="229" t="s">
        <v>549</v>
      </c>
      <c r="G9" s="232" t="s">
        <v>36</v>
      </c>
      <c r="H9" s="180" t="s">
        <v>174</v>
      </c>
      <c r="I9" s="180" t="s">
        <v>153</v>
      </c>
      <c r="J9" s="180" t="s">
        <v>38</v>
      </c>
      <c r="K9" s="180" t="s">
        <v>54</v>
      </c>
      <c r="L9" s="96">
        <v>2</v>
      </c>
      <c r="N9" s="96">
        <v>4</v>
      </c>
      <c r="O9" s="96">
        <v>0.7</v>
      </c>
      <c r="P9" s="96">
        <v>0.8</v>
      </c>
      <c r="Q9" s="129">
        <f t="shared" si="0"/>
        <v>0.75</v>
      </c>
      <c r="R9" s="240">
        <v>15.1</v>
      </c>
      <c r="S9" s="240">
        <v>93</v>
      </c>
      <c r="T9" s="105">
        <f t="shared" si="1"/>
        <v>39</v>
      </c>
      <c r="U9" s="245">
        <v>498</v>
      </c>
      <c r="V9" s="236">
        <f t="shared" si="2"/>
        <v>4855.5</v>
      </c>
      <c r="W9" s="242">
        <v>93</v>
      </c>
      <c r="X9" s="238" t="s">
        <v>46</v>
      </c>
      <c r="Y9" s="246" t="s">
        <v>40</v>
      </c>
      <c r="Z9" s="238" t="s">
        <v>90</v>
      </c>
      <c r="AA9" s="228" t="s">
        <v>84</v>
      </c>
      <c r="AB9" s="55" t="s">
        <v>195</v>
      </c>
      <c r="AE9" s="111" t="s">
        <v>98</v>
      </c>
      <c r="AG9" s="127" t="s">
        <v>561</v>
      </c>
      <c r="AH9" s="127" t="s">
        <v>562</v>
      </c>
      <c r="AL9" s="118"/>
      <c r="AP9" s="112" t="s">
        <v>95</v>
      </c>
      <c r="AR9" s="119" t="s">
        <v>89</v>
      </c>
      <c r="AV9" s="112" t="s">
        <v>102</v>
      </c>
      <c r="AX9" s="31">
        <v>180</v>
      </c>
      <c r="AY9" s="32">
        <v>18</v>
      </c>
      <c r="AZ9" s="32">
        <v>181</v>
      </c>
      <c r="BA9" s="33">
        <v>16</v>
      </c>
    </row>
    <row r="10" spans="1:53" x14ac:dyDescent="0.15">
      <c r="A10" s="229" t="s">
        <v>34</v>
      </c>
      <c r="B10" s="229" t="s">
        <v>193</v>
      </c>
      <c r="C10" s="229">
        <v>2018</v>
      </c>
      <c r="D10" s="231" t="s">
        <v>284</v>
      </c>
      <c r="E10" s="230" t="s">
        <v>548</v>
      </c>
      <c r="F10" s="229" t="s">
        <v>549</v>
      </c>
      <c r="G10" s="232" t="s">
        <v>36</v>
      </c>
      <c r="H10" s="180" t="s">
        <v>174</v>
      </c>
      <c r="I10" s="180" t="s">
        <v>153</v>
      </c>
      <c r="J10" s="180" t="s">
        <v>38</v>
      </c>
      <c r="K10" s="180" t="s">
        <v>54</v>
      </c>
      <c r="L10" s="96">
        <v>3</v>
      </c>
      <c r="N10" s="96">
        <v>4</v>
      </c>
      <c r="O10" s="96">
        <v>0.8</v>
      </c>
      <c r="P10" s="96">
        <v>0.7</v>
      </c>
      <c r="Q10" s="129">
        <f t="shared" si="0"/>
        <v>0.75</v>
      </c>
      <c r="R10" s="240">
        <v>15.3</v>
      </c>
      <c r="S10" s="240">
        <v>88</v>
      </c>
      <c r="T10" s="105">
        <f t="shared" si="1"/>
        <v>39</v>
      </c>
      <c r="U10" s="245">
        <v>498</v>
      </c>
      <c r="V10" s="236">
        <f t="shared" si="2"/>
        <v>4855.5</v>
      </c>
      <c r="W10" s="242">
        <v>88</v>
      </c>
      <c r="X10" s="238" t="s">
        <v>46</v>
      </c>
      <c r="Y10" s="246" t="s">
        <v>40</v>
      </c>
      <c r="Z10" s="238" t="s">
        <v>90</v>
      </c>
      <c r="AA10" s="228" t="s">
        <v>84</v>
      </c>
      <c r="AB10" s="55" t="s">
        <v>195</v>
      </c>
      <c r="AE10" s="111" t="s">
        <v>103</v>
      </c>
      <c r="AG10" s="127" t="s">
        <v>563</v>
      </c>
      <c r="AH10" s="127" t="s">
        <v>564</v>
      </c>
      <c r="AL10" s="34"/>
      <c r="AP10" s="112" t="s">
        <v>100</v>
      </c>
      <c r="AR10" s="119" t="s">
        <v>123</v>
      </c>
      <c r="AV10" s="112" t="s">
        <v>106</v>
      </c>
    </row>
    <row r="11" spans="1:53" x14ac:dyDescent="0.15">
      <c r="A11" s="229" t="s">
        <v>34</v>
      </c>
      <c r="B11" s="229" t="s">
        <v>364</v>
      </c>
      <c r="C11" s="230">
        <v>2018</v>
      </c>
      <c r="D11" s="231" t="s">
        <v>284</v>
      </c>
      <c r="E11" s="230" t="s">
        <v>490</v>
      </c>
      <c r="F11" s="229" t="s">
        <v>549</v>
      </c>
      <c r="G11" s="232" t="s">
        <v>36</v>
      </c>
      <c r="H11" s="180" t="s">
        <v>155</v>
      </c>
      <c r="I11" s="180" t="s">
        <v>153</v>
      </c>
      <c r="J11" s="180" t="s">
        <v>38</v>
      </c>
      <c r="K11" s="180" t="s">
        <v>154</v>
      </c>
      <c r="L11" s="96">
        <v>1</v>
      </c>
      <c r="N11" s="96">
        <v>1</v>
      </c>
      <c r="O11" s="96">
        <v>1.3</v>
      </c>
      <c r="P11" s="96">
        <v>1.2</v>
      </c>
      <c r="Q11" s="129">
        <f t="shared" si="0"/>
        <v>1.25</v>
      </c>
      <c r="R11" s="240">
        <v>11.5</v>
      </c>
      <c r="S11" s="240">
        <v>121</v>
      </c>
      <c r="T11" s="105">
        <f t="shared" si="1"/>
        <v>30</v>
      </c>
      <c r="U11" s="245">
        <v>79</v>
      </c>
      <c r="V11" s="236">
        <f t="shared" si="2"/>
        <v>2370</v>
      </c>
      <c r="W11" s="242">
        <v>121</v>
      </c>
      <c r="X11" s="238" t="s">
        <v>46</v>
      </c>
      <c r="Y11" s="246" t="s">
        <v>40</v>
      </c>
      <c r="Z11" s="238" t="s">
        <v>78</v>
      </c>
      <c r="AA11" s="247" t="s">
        <v>69</v>
      </c>
      <c r="AB11" s="55" t="s">
        <v>195</v>
      </c>
      <c r="AE11" s="111" t="s">
        <v>65</v>
      </c>
      <c r="AG11" s="122"/>
      <c r="AH11" s="122"/>
      <c r="AL11" s="34"/>
      <c r="AP11" s="112" t="s">
        <v>104</v>
      </c>
      <c r="AR11" s="119" t="s">
        <v>87</v>
      </c>
      <c r="AV11" s="112" t="s">
        <v>69</v>
      </c>
    </row>
    <row r="12" spans="1:53" x14ac:dyDescent="0.15">
      <c r="A12" s="229" t="s">
        <v>34</v>
      </c>
      <c r="B12" s="229" t="s">
        <v>193</v>
      </c>
      <c r="C12" s="229">
        <v>2018</v>
      </c>
      <c r="D12" s="231" t="s">
        <v>284</v>
      </c>
      <c r="E12" s="230" t="s">
        <v>490</v>
      </c>
      <c r="F12" s="229" t="s">
        <v>549</v>
      </c>
      <c r="G12" s="232" t="s">
        <v>36</v>
      </c>
      <c r="H12" s="180" t="s">
        <v>155</v>
      </c>
      <c r="I12" s="180" t="s">
        <v>153</v>
      </c>
      <c r="J12" s="180" t="s">
        <v>38</v>
      </c>
      <c r="K12" s="180" t="s">
        <v>154</v>
      </c>
      <c r="L12" s="96">
        <v>2</v>
      </c>
      <c r="N12" s="96">
        <v>1</v>
      </c>
      <c r="O12" s="96">
        <v>0.95</v>
      </c>
      <c r="P12" s="96">
        <v>1</v>
      </c>
      <c r="Q12" s="129">
        <f t="shared" si="0"/>
        <v>0.97499999999999998</v>
      </c>
      <c r="R12" s="240">
        <v>13.1</v>
      </c>
      <c r="S12" s="240">
        <v>124</v>
      </c>
      <c r="T12" s="105">
        <f t="shared" si="1"/>
        <v>30</v>
      </c>
      <c r="U12" s="245">
        <v>79</v>
      </c>
      <c r="V12" s="236">
        <f t="shared" si="2"/>
        <v>2370</v>
      </c>
      <c r="W12" s="242">
        <v>124</v>
      </c>
      <c r="X12" s="238" t="s">
        <v>46</v>
      </c>
      <c r="Y12" s="246" t="s">
        <v>40</v>
      </c>
      <c r="Z12" s="238" t="s">
        <v>78</v>
      </c>
      <c r="AA12" s="247" t="s">
        <v>69</v>
      </c>
      <c r="AB12" s="55" t="s">
        <v>195</v>
      </c>
      <c r="AE12" s="111" t="s">
        <v>70</v>
      </c>
      <c r="AG12" s="122"/>
      <c r="AH12" s="122"/>
      <c r="AL12" s="34"/>
      <c r="AP12" s="112" t="s">
        <v>67</v>
      </c>
      <c r="AR12" s="119" t="s">
        <v>124</v>
      </c>
      <c r="AV12" s="112" t="s">
        <v>72</v>
      </c>
    </row>
    <row r="13" spans="1:53" x14ac:dyDescent="0.15">
      <c r="A13" s="229" t="s">
        <v>34</v>
      </c>
      <c r="B13" s="229" t="s">
        <v>193</v>
      </c>
      <c r="C13" s="230">
        <v>2018</v>
      </c>
      <c r="D13" s="231" t="s">
        <v>284</v>
      </c>
      <c r="E13" s="230" t="s">
        <v>490</v>
      </c>
      <c r="F13" s="229" t="s">
        <v>549</v>
      </c>
      <c r="G13" s="232" t="s">
        <v>36</v>
      </c>
      <c r="H13" s="180" t="s">
        <v>155</v>
      </c>
      <c r="I13" s="180" t="s">
        <v>153</v>
      </c>
      <c r="J13" s="180" t="s">
        <v>38</v>
      </c>
      <c r="K13" s="180" t="s">
        <v>154</v>
      </c>
      <c r="L13" s="96">
        <v>3</v>
      </c>
      <c r="N13" s="96">
        <v>1</v>
      </c>
      <c r="O13" s="96">
        <v>0.8</v>
      </c>
      <c r="P13" s="96">
        <v>0.9</v>
      </c>
      <c r="Q13" s="129">
        <f t="shared" si="0"/>
        <v>0.85000000000000009</v>
      </c>
      <c r="R13" s="240">
        <v>12.7</v>
      </c>
      <c r="S13" s="240">
        <v>115</v>
      </c>
      <c r="T13" s="105">
        <f t="shared" si="1"/>
        <v>30</v>
      </c>
      <c r="U13" s="245">
        <v>79</v>
      </c>
      <c r="V13" s="236">
        <f t="shared" si="2"/>
        <v>2370</v>
      </c>
      <c r="W13" s="242">
        <v>115</v>
      </c>
      <c r="X13" s="238" t="s">
        <v>46</v>
      </c>
      <c r="Y13" s="246" t="s">
        <v>40</v>
      </c>
      <c r="Z13" s="238" t="s">
        <v>78</v>
      </c>
      <c r="AA13" s="247" t="s">
        <v>69</v>
      </c>
      <c r="AB13" s="55" t="s">
        <v>195</v>
      </c>
      <c r="AE13" s="111" t="s">
        <v>73</v>
      </c>
      <c r="AG13" s="248"/>
      <c r="AH13" s="248"/>
      <c r="AP13" s="112" t="s">
        <v>71</v>
      </c>
      <c r="AR13" s="119" t="s">
        <v>103</v>
      </c>
      <c r="AV13" s="112" t="s">
        <v>75</v>
      </c>
    </row>
    <row r="14" spans="1:53" x14ac:dyDescent="0.15">
      <c r="A14" s="229" t="s">
        <v>34</v>
      </c>
      <c r="B14" s="229" t="s">
        <v>193</v>
      </c>
      <c r="C14" s="229">
        <v>2018</v>
      </c>
      <c r="D14" s="231" t="s">
        <v>284</v>
      </c>
      <c r="E14" s="230" t="s">
        <v>536</v>
      </c>
      <c r="F14" s="229" t="s">
        <v>565</v>
      </c>
      <c r="G14" s="232" t="s">
        <v>36</v>
      </c>
      <c r="H14" s="180" t="s">
        <v>155</v>
      </c>
      <c r="I14" s="180" t="s">
        <v>153</v>
      </c>
      <c r="J14" s="180" t="s">
        <v>38</v>
      </c>
      <c r="K14" s="180" t="s">
        <v>154</v>
      </c>
      <c r="L14" s="96">
        <v>1</v>
      </c>
      <c r="N14" s="96">
        <v>1</v>
      </c>
      <c r="O14" s="96">
        <v>0.85</v>
      </c>
      <c r="P14" s="96">
        <v>0.95</v>
      </c>
      <c r="Q14" s="129">
        <f t="shared" si="0"/>
        <v>0.89999999999999991</v>
      </c>
      <c r="R14" s="240">
        <v>14.4</v>
      </c>
      <c r="S14" s="240">
        <v>122</v>
      </c>
      <c r="T14" s="105">
        <f t="shared" si="1"/>
        <v>30</v>
      </c>
      <c r="U14" s="245">
        <v>128</v>
      </c>
      <c r="V14" s="236">
        <f t="shared" si="2"/>
        <v>3840</v>
      </c>
      <c r="W14" s="242">
        <v>122</v>
      </c>
      <c r="X14" s="238" t="s">
        <v>46</v>
      </c>
      <c r="Y14" s="246" t="s">
        <v>90</v>
      </c>
      <c r="Z14" s="246" t="s">
        <v>40</v>
      </c>
      <c r="AA14" s="247" t="s">
        <v>84</v>
      </c>
      <c r="AB14" s="55" t="s">
        <v>195</v>
      </c>
      <c r="AC14" s="34"/>
      <c r="AE14" s="111" t="s">
        <v>76</v>
      </c>
      <c r="AG14" s="182"/>
      <c r="AH14" s="182"/>
      <c r="AP14" s="112" t="s">
        <v>74</v>
      </c>
      <c r="AR14" s="119" t="s">
        <v>125</v>
      </c>
      <c r="AV14" s="112" t="s">
        <v>78</v>
      </c>
    </row>
    <row r="15" spans="1:53" x14ac:dyDescent="0.15">
      <c r="A15" s="229" t="s">
        <v>34</v>
      </c>
      <c r="B15" s="229" t="s">
        <v>193</v>
      </c>
      <c r="C15" s="230">
        <v>2018</v>
      </c>
      <c r="D15" s="231" t="s">
        <v>284</v>
      </c>
      <c r="E15" s="230" t="s">
        <v>536</v>
      </c>
      <c r="F15" s="229" t="s">
        <v>565</v>
      </c>
      <c r="G15" s="232" t="s">
        <v>36</v>
      </c>
      <c r="H15" s="180" t="s">
        <v>155</v>
      </c>
      <c r="I15" s="180" t="s">
        <v>153</v>
      </c>
      <c r="J15" s="180" t="s">
        <v>38</v>
      </c>
      <c r="K15" s="180" t="s">
        <v>154</v>
      </c>
      <c r="L15" s="96">
        <v>2</v>
      </c>
      <c r="N15" s="96">
        <v>1</v>
      </c>
      <c r="O15" s="96">
        <v>0.9</v>
      </c>
      <c r="P15" s="96">
        <v>1</v>
      </c>
      <c r="Q15" s="129">
        <f t="shared" si="0"/>
        <v>0.95</v>
      </c>
      <c r="R15" s="240">
        <v>14</v>
      </c>
      <c r="S15" s="240">
        <v>117</v>
      </c>
      <c r="T15" s="105">
        <f t="shared" si="1"/>
        <v>30</v>
      </c>
      <c r="U15" s="245">
        <v>128</v>
      </c>
      <c r="V15" s="236">
        <f t="shared" si="2"/>
        <v>3840</v>
      </c>
      <c r="W15" s="242">
        <v>117</v>
      </c>
      <c r="X15" s="238" t="s">
        <v>46</v>
      </c>
      <c r="Y15" s="246" t="s">
        <v>90</v>
      </c>
      <c r="Z15" s="246" t="s">
        <v>40</v>
      </c>
      <c r="AA15" s="247" t="s">
        <v>84</v>
      </c>
      <c r="AB15" s="55" t="s">
        <v>195</v>
      </c>
      <c r="AC15" s="34"/>
      <c r="AE15" s="111" t="s">
        <v>79</v>
      </c>
      <c r="AP15" s="112" t="s">
        <v>77</v>
      </c>
      <c r="AR15" s="119" t="s">
        <v>94</v>
      </c>
      <c r="AV15" s="112" t="s">
        <v>107</v>
      </c>
    </row>
    <row r="16" spans="1:53" x14ac:dyDescent="0.15">
      <c r="A16" s="229" t="s">
        <v>34</v>
      </c>
      <c r="B16" s="229" t="s">
        <v>193</v>
      </c>
      <c r="C16" s="229">
        <v>2018</v>
      </c>
      <c r="D16" s="231" t="s">
        <v>284</v>
      </c>
      <c r="E16" s="230" t="s">
        <v>536</v>
      </c>
      <c r="F16" s="229" t="s">
        <v>565</v>
      </c>
      <c r="G16" s="232" t="s">
        <v>36</v>
      </c>
      <c r="H16" s="180" t="s">
        <v>155</v>
      </c>
      <c r="I16" s="180" t="s">
        <v>153</v>
      </c>
      <c r="J16" s="180" t="s">
        <v>38</v>
      </c>
      <c r="K16" s="180" t="s">
        <v>154</v>
      </c>
      <c r="L16" s="96">
        <v>3</v>
      </c>
      <c r="N16" s="96">
        <v>1</v>
      </c>
      <c r="O16" s="96">
        <v>0.85</v>
      </c>
      <c r="P16" s="96">
        <v>0.9</v>
      </c>
      <c r="Q16" s="129">
        <f t="shared" si="0"/>
        <v>0.875</v>
      </c>
      <c r="R16" s="240">
        <v>14.1</v>
      </c>
      <c r="S16" s="240">
        <v>119</v>
      </c>
      <c r="T16" s="105">
        <f t="shared" si="1"/>
        <v>30</v>
      </c>
      <c r="U16" s="245">
        <v>128</v>
      </c>
      <c r="V16" s="236">
        <f t="shared" si="2"/>
        <v>3840</v>
      </c>
      <c r="W16" s="242">
        <v>119</v>
      </c>
      <c r="X16" s="238" t="s">
        <v>46</v>
      </c>
      <c r="Y16" s="246" t="s">
        <v>90</v>
      </c>
      <c r="Z16" s="246" t="s">
        <v>40</v>
      </c>
      <c r="AA16" s="247" t="s">
        <v>84</v>
      </c>
      <c r="AB16" s="55" t="s">
        <v>195</v>
      </c>
      <c r="AC16" s="34"/>
      <c r="AE16" s="111" t="s">
        <v>82</v>
      </c>
      <c r="AP16" s="112" t="s">
        <v>80</v>
      </c>
      <c r="AR16" s="122" t="s">
        <v>63</v>
      </c>
      <c r="AV16" s="112" t="s">
        <v>84</v>
      </c>
    </row>
    <row r="17" spans="1:48" x14ac:dyDescent="0.15">
      <c r="A17" s="229" t="s">
        <v>34</v>
      </c>
      <c r="B17" s="229" t="s">
        <v>193</v>
      </c>
      <c r="C17" s="230">
        <v>2018</v>
      </c>
      <c r="D17" s="231" t="s">
        <v>284</v>
      </c>
      <c r="E17" s="230" t="s">
        <v>542</v>
      </c>
      <c r="F17" s="229" t="s">
        <v>543</v>
      </c>
      <c r="G17" s="232" t="s">
        <v>42</v>
      </c>
      <c r="H17" s="180" t="s">
        <v>155</v>
      </c>
      <c r="I17" s="180" t="s">
        <v>153</v>
      </c>
      <c r="J17" s="180" t="s">
        <v>38</v>
      </c>
      <c r="K17" s="180" t="s">
        <v>154</v>
      </c>
      <c r="L17" s="96">
        <v>1</v>
      </c>
      <c r="N17" s="96">
        <v>1</v>
      </c>
      <c r="O17" s="96">
        <v>0.75</v>
      </c>
      <c r="P17" s="96">
        <v>0.8</v>
      </c>
      <c r="Q17" s="129">
        <f t="shared" si="0"/>
        <v>0.77500000000000002</v>
      </c>
      <c r="R17" s="240">
        <v>13.9</v>
      </c>
      <c r="S17" s="240">
        <v>121</v>
      </c>
      <c r="T17" s="105">
        <f t="shared" si="1"/>
        <v>30</v>
      </c>
      <c r="U17" s="245">
        <v>87</v>
      </c>
      <c r="V17" s="236">
        <f t="shared" si="2"/>
        <v>2610</v>
      </c>
      <c r="W17" s="242">
        <v>121</v>
      </c>
      <c r="X17" s="238" t="s">
        <v>46</v>
      </c>
      <c r="Y17" s="246" t="s">
        <v>84</v>
      </c>
      <c r="Z17" s="246" t="s">
        <v>90</v>
      </c>
      <c r="AA17" s="247" t="s">
        <v>69</v>
      </c>
      <c r="AB17" s="55" t="s">
        <v>195</v>
      </c>
      <c r="AC17" s="34"/>
      <c r="AE17" s="111" t="s">
        <v>85</v>
      </c>
      <c r="AP17" s="123" t="s">
        <v>110</v>
      </c>
      <c r="AR17" s="122" t="s">
        <v>96</v>
      </c>
      <c r="AV17" s="112" t="s">
        <v>86</v>
      </c>
    </row>
    <row r="18" spans="1:48" x14ac:dyDescent="0.15">
      <c r="A18" s="229" t="s">
        <v>34</v>
      </c>
      <c r="B18" s="229" t="s">
        <v>193</v>
      </c>
      <c r="C18" s="229">
        <v>2018</v>
      </c>
      <c r="D18" s="231" t="s">
        <v>284</v>
      </c>
      <c r="E18" s="230" t="s">
        <v>542</v>
      </c>
      <c r="F18" s="229" t="s">
        <v>543</v>
      </c>
      <c r="G18" s="232" t="s">
        <v>42</v>
      </c>
      <c r="H18" s="180" t="s">
        <v>155</v>
      </c>
      <c r="I18" s="180" t="s">
        <v>153</v>
      </c>
      <c r="J18" s="180" t="s">
        <v>38</v>
      </c>
      <c r="K18" s="180" t="s">
        <v>154</v>
      </c>
      <c r="L18" s="96">
        <v>2</v>
      </c>
      <c r="N18" s="96">
        <v>1</v>
      </c>
      <c r="O18" s="96">
        <v>0.6</v>
      </c>
      <c r="P18" s="96">
        <v>0.55000000000000004</v>
      </c>
      <c r="Q18" s="129">
        <f t="shared" si="0"/>
        <v>0.57499999999999996</v>
      </c>
      <c r="R18" s="240">
        <v>14.5</v>
      </c>
      <c r="S18" s="240">
        <v>124</v>
      </c>
      <c r="T18" s="105">
        <f t="shared" si="1"/>
        <v>30</v>
      </c>
      <c r="U18" s="245">
        <v>87</v>
      </c>
      <c r="V18" s="236">
        <f t="shared" si="2"/>
        <v>2610</v>
      </c>
      <c r="W18" s="242">
        <v>124</v>
      </c>
      <c r="X18" s="238" t="s">
        <v>46</v>
      </c>
      <c r="Y18" s="246" t="s">
        <v>84</v>
      </c>
      <c r="Z18" s="246" t="s">
        <v>90</v>
      </c>
      <c r="AA18" s="247" t="s">
        <v>69</v>
      </c>
      <c r="AB18" s="55" t="s">
        <v>195</v>
      </c>
      <c r="AC18" s="34"/>
      <c r="AE18" s="111" t="s">
        <v>87</v>
      </c>
      <c r="AP18" s="123" t="s">
        <v>111</v>
      </c>
      <c r="AR18" s="122" t="s">
        <v>101</v>
      </c>
      <c r="AV18" s="112" t="s">
        <v>88</v>
      </c>
    </row>
    <row r="19" spans="1:48" x14ac:dyDescent="0.15">
      <c r="A19" s="229" t="s">
        <v>34</v>
      </c>
      <c r="B19" s="229" t="s">
        <v>193</v>
      </c>
      <c r="C19" s="230">
        <v>2018</v>
      </c>
      <c r="D19" s="231" t="s">
        <v>284</v>
      </c>
      <c r="E19" s="230" t="s">
        <v>542</v>
      </c>
      <c r="F19" s="229" t="s">
        <v>543</v>
      </c>
      <c r="G19" s="232" t="s">
        <v>42</v>
      </c>
      <c r="H19" s="180" t="s">
        <v>155</v>
      </c>
      <c r="I19" s="180" t="s">
        <v>153</v>
      </c>
      <c r="J19" s="180" t="s">
        <v>38</v>
      </c>
      <c r="K19" s="180" t="s">
        <v>154</v>
      </c>
      <c r="L19" s="96">
        <v>3</v>
      </c>
      <c r="N19" s="96">
        <v>1</v>
      </c>
      <c r="O19" s="96">
        <v>0.65</v>
      </c>
      <c r="P19" s="96">
        <v>0.6</v>
      </c>
      <c r="Q19" s="129">
        <f t="shared" si="0"/>
        <v>0.625</v>
      </c>
      <c r="R19" s="240">
        <v>14.4</v>
      </c>
      <c r="S19" s="240">
        <v>124</v>
      </c>
      <c r="T19" s="105">
        <f t="shared" si="1"/>
        <v>30</v>
      </c>
      <c r="U19" s="245">
        <v>87</v>
      </c>
      <c r="V19" s="236">
        <f t="shared" si="2"/>
        <v>2610</v>
      </c>
      <c r="W19" s="242">
        <v>124</v>
      </c>
      <c r="X19" s="238" t="s">
        <v>46</v>
      </c>
      <c r="Y19" s="246" t="s">
        <v>84</v>
      </c>
      <c r="Z19" s="246" t="s">
        <v>90</v>
      </c>
      <c r="AA19" s="247" t="s">
        <v>69</v>
      </c>
      <c r="AB19" s="55" t="s">
        <v>195</v>
      </c>
      <c r="AC19" s="34"/>
      <c r="AE19" s="120" t="s">
        <v>89</v>
      </c>
      <c r="AP19" s="123" t="s">
        <v>112</v>
      </c>
      <c r="AR19" s="119" t="s">
        <v>126</v>
      </c>
      <c r="AV19" s="112" t="s">
        <v>90</v>
      </c>
    </row>
    <row r="20" spans="1:48" x14ac:dyDescent="0.15">
      <c r="A20" s="229" t="s">
        <v>34</v>
      </c>
      <c r="B20" s="229" t="s">
        <v>193</v>
      </c>
      <c r="C20" s="229">
        <v>2018</v>
      </c>
      <c r="D20" s="231" t="s">
        <v>284</v>
      </c>
      <c r="E20" s="230" t="s">
        <v>542</v>
      </c>
      <c r="F20" s="229" t="s">
        <v>543</v>
      </c>
      <c r="G20" s="232" t="s">
        <v>42</v>
      </c>
      <c r="H20" s="180" t="s">
        <v>174</v>
      </c>
      <c r="I20" s="180" t="s">
        <v>153</v>
      </c>
      <c r="J20" s="180" t="s">
        <v>38</v>
      </c>
      <c r="K20" s="180" t="s">
        <v>54</v>
      </c>
      <c r="L20" s="96">
        <v>1</v>
      </c>
      <c r="N20" s="96">
        <v>1</v>
      </c>
      <c r="O20" s="96">
        <v>0.8</v>
      </c>
      <c r="P20" s="96">
        <v>0.7</v>
      </c>
      <c r="Q20" s="129">
        <f t="shared" si="0"/>
        <v>0.75</v>
      </c>
      <c r="R20" s="240">
        <v>12.1</v>
      </c>
      <c r="S20" s="249">
        <v>105</v>
      </c>
      <c r="T20" s="105">
        <f t="shared" si="1"/>
        <v>36</v>
      </c>
      <c r="U20" s="245">
        <v>127</v>
      </c>
      <c r="V20" s="236">
        <f t="shared" si="2"/>
        <v>4572</v>
      </c>
      <c r="W20" s="242">
        <v>105</v>
      </c>
      <c r="X20" s="238" t="s">
        <v>46</v>
      </c>
      <c r="Y20" s="246" t="s">
        <v>84</v>
      </c>
      <c r="Z20" s="246" t="s">
        <v>90</v>
      </c>
      <c r="AA20" s="247" t="s">
        <v>69</v>
      </c>
      <c r="AB20" s="55" t="s">
        <v>195</v>
      </c>
      <c r="AE20" s="120"/>
      <c r="AP20" s="123" t="s">
        <v>113</v>
      </c>
      <c r="AR20" s="122" t="s">
        <v>105</v>
      </c>
      <c r="AV20" s="116" t="s">
        <v>389</v>
      </c>
    </row>
    <row r="21" spans="1:48" x14ac:dyDescent="0.15">
      <c r="A21" s="229" t="s">
        <v>34</v>
      </c>
      <c r="B21" s="229" t="s">
        <v>193</v>
      </c>
      <c r="C21" s="230">
        <v>2018</v>
      </c>
      <c r="D21" s="231" t="s">
        <v>284</v>
      </c>
      <c r="E21" s="230" t="s">
        <v>542</v>
      </c>
      <c r="F21" s="229" t="s">
        <v>543</v>
      </c>
      <c r="G21" s="232" t="s">
        <v>42</v>
      </c>
      <c r="H21" s="180" t="s">
        <v>174</v>
      </c>
      <c r="I21" s="180" t="s">
        <v>153</v>
      </c>
      <c r="J21" s="180" t="s">
        <v>38</v>
      </c>
      <c r="K21" s="180" t="s">
        <v>54</v>
      </c>
      <c r="L21" s="96">
        <v>2</v>
      </c>
      <c r="N21" s="96">
        <v>1</v>
      </c>
      <c r="O21" s="96">
        <v>0.7</v>
      </c>
      <c r="P21" s="96">
        <v>0.75</v>
      </c>
      <c r="Q21" s="129">
        <f t="shared" si="0"/>
        <v>0.72499999999999998</v>
      </c>
      <c r="R21" s="249">
        <v>13.5</v>
      </c>
      <c r="S21" s="240">
        <v>103</v>
      </c>
      <c r="T21" s="105">
        <f t="shared" si="1"/>
        <v>36</v>
      </c>
      <c r="U21" s="245">
        <v>127</v>
      </c>
      <c r="V21" s="236">
        <f t="shared" si="2"/>
        <v>4572</v>
      </c>
      <c r="W21" s="242">
        <v>103</v>
      </c>
      <c r="X21" s="238" t="s">
        <v>46</v>
      </c>
      <c r="Y21" s="246" t="s">
        <v>84</v>
      </c>
      <c r="Z21" s="246" t="s">
        <v>90</v>
      </c>
      <c r="AA21" s="247" t="s">
        <v>69</v>
      </c>
      <c r="AB21" s="55" t="s">
        <v>195</v>
      </c>
      <c r="AE21" s="117"/>
      <c r="AP21" s="123" t="s">
        <v>114</v>
      </c>
      <c r="AR21" s="122" t="s">
        <v>68</v>
      </c>
      <c r="AV21" s="116" t="s">
        <v>522</v>
      </c>
    </row>
    <row r="22" spans="1:48" x14ac:dyDescent="0.15">
      <c r="A22" s="229" t="s">
        <v>34</v>
      </c>
      <c r="B22" s="229" t="s">
        <v>193</v>
      </c>
      <c r="C22" s="229">
        <v>2018</v>
      </c>
      <c r="D22" s="231" t="s">
        <v>284</v>
      </c>
      <c r="E22" s="230" t="s">
        <v>542</v>
      </c>
      <c r="F22" s="229" t="s">
        <v>543</v>
      </c>
      <c r="G22" s="232" t="s">
        <v>42</v>
      </c>
      <c r="H22" s="180" t="s">
        <v>174</v>
      </c>
      <c r="I22" s="180" t="s">
        <v>153</v>
      </c>
      <c r="J22" s="180" t="s">
        <v>38</v>
      </c>
      <c r="K22" s="180" t="s">
        <v>54</v>
      </c>
      <c r="L22" s="96">
        <v>3</v>
      </c>
      <c r="N22" s="96">
        <v>1</v>
      </c>
      <c r="O22" s="96">
        <v>0.7</v>
      </c>
      <c r="P22" s="34">
        <v>0.75</v>
      </c>
      <c r="Q22" s="129">
        <f t="shared" si="0"/>
        <v>0.72499999999999998</v>
      </c>
      <c r="R22" s="240">
        <v>13.1</v>
      </c>
      <c r="S22" s="240">
        <v>106</v>
      </c>
      <c r="T22" s="105">
        <f t="shared" si="1"/>
        <v>36</v>
      </c>
      <c r="U22" s="245">
        <v>127</v>
      </c>
      <c r="V22" s="236">
        <f t="shared" si="2"/>
        <v>4572</v>
      </c>
      <c r="W22" s="242">
        <v>106</v>
      </c>
      <c r="X22" s="238" t="s">
        <v>46</v>
      </c>
      <c r="Y22" s="246" t="s">
        <v>84</v>
      </c>
      <c r="Z22" s="246" t="s">
        <v>90</v>
      </c>
      <c r="AA22" s="247" t="s">
        <v>69</v>
      </c>
      <c r="AB22" s="55" t="s">
        <v>195</v>
      </c>
      <c r="AP22" s="123" t="s">
        <v>115</v>
      </c>
      <c r="AR22" s="122" t="s">
        <v>83</v>
      </c>
      <c r="AV22" s="112"/>
    </row>
    <row r="23" spans="1:48" x14ac:dyDescent="0.15">
      <c r="A23" s="229" t="s">
        <v>34</v>
      </c>
      <c r="B23" s="229" t="s">
        <v>193</v>
      </c>
      <c r="C23" s="230">
        <v>2018</v>
      </c>
      <c r="D23" s="231" t="s">
        <v>284</v>
      </c>
      <c r="E23" s="230" t="s">
        <v>566</v>
      </c>
      <c r="F23" s="229" t="s">
        <v>543</v>
      </c>
      <c r="G23" s="232" t="s">
        <v>42</v>
      </c>
      <c r="H23" s="180" t="s">
        <v>155</v>
      </c>
      <c r="I23" s="180" t="s">
        <v>153</v>
      </c>
      <c r="J23" s="180" t="s">
        <v>38</v>
      </c>
      <c r="K23" s="180" t="s">
        <v>154</v>
      </c>
      <c r="L23" s="96">
        <v>1</v>
      </c>
      <c r="N23" s="96">
        <v>1</v>
      </c>
      <c r="O23" s="96">
        <v>0.8</v>
      </c>
      <c r="P23" s="34">
        <v>0.75</v>
      </c>
      <c r="Q23" s="129">
        <f t="shared" si="0"/>
        <v>0.77500000000000002</v>
      </c>
      <c r="R23" s="240">
        <v>13.9</v>
      </c>
      <c r="S23" s="240">
        <v>142</v>
      </c>
      <c r="T23" s="105">
        <f t="shared" si="1"/>
        <v>30</v>
      </c>
      <c r="U23" s="245">
        <v>139</v>
      </c>
      <c r="V23" s="236">
        <f t="shared" si="2"/>
        <v>4170</v>
      </c>
      <c r="W23" s="242">
        <v>142</v>
      </c>
      <c r="X23" s="238" t="s">
        <v>46</v>
      </c>
      <c r="Y23" s="246" t="s">
        <v>40</v>
      </c>
      <c r="Z23" s="246" t="s">
        <v>78</v>
      </c>
      <c r="AA23" s="247" t="s">
        <v>84</v>
      </c>
      <c r="AB23" s="55" t="s">
        <v>195</v>
      </c>
      <c r="AP23" s="123" t="s">
        <v>394</v>
      </c>
      <c r="AR23" s="122" t="s">
        <v>61</v>
      </c>
      <c r="AV23" s="112"/>
    </row>
    <row r="24" spans="1:48" x14ac:dyDescent="0.15">
      <c r="A24" s="229" t="s">
        <v>34</v>
      </c>
      <c r="B24" s="229" t="s">
        <v>193</v>
      </c>
      <c r="C24" s="229">
        <v>2018</v>
      </c>
      <c r="D24" s="231" t="s">
        <v>284</v>
      </c>
      <c r="E24" s="230" t="s">
        <v>566</v>
      </c>
      <c r="F24" s="229" t="s">
        <v>543</v>
      </c>
      <c r="G24" s="232" t="s">
        <v>42</v>
      </c>
      <c r="H24" s="180" t="s">
        <v>155</v>
      </c>
      <c r="I24" s="180" t="s">
        <v>153</v>
      </c>
      <c r="J24" s="180" t="s">
        <v>38</v>
      </c>
      <c r="K24" s="180" t="s">
        <v>154</v>
      </c>
      <c r="L24" s="96">
        <v>2</v>
      </c>
      <c r="N24" s="96">
        <v>1</v>
      </c>
      <c r="O24" s="96">
        <v>0.9</v>
      </c>
      <c r="P24" s="34">
        <v>1</v>
      </c>
      <c r="Q24" s="129">
        <f t="shared" si="0"/>
        <v>0.95</v>
      </c>
      <c r="R24" s="240">
        <v>14.4</v>
      </c>
      <c r="S24" s="240">
        <v>142</v>
      </c>
      <c r="T24" s="105">
        <f t="shared" si="1"/>
        <v>30</v>
      </c>
      <c r="U24" s="245">
        <v>139</v>
      </c>
      <c r="V24" s="236">
        <f t="shared" si="2"/>
        <v>4170</v>
      </c>
      <c r="W24" s="242">
        <v>142</v>
      </c>
      <c r="X24" s="238" t="s">
        <v>46</v>
      </c>
      <c r="Y24" s="246" t="s">
        <v>40</v>
      </c>
      <c r="Z24" s="246" t="s">
        <v>78</v>
      </c>
      <c r="AA24" s="247" t="s">
        <v>84</v>
      </c>
      <c r="AB24" s="55" t="s">
        <v>195</v>
      </c>
      <c r="AP24" s="123" t="s">
        <v>395</v>
      </c>
      <c r="AR24" s="122" t="s">
        <v>91</v>
      </c>
      <c r="AV24" s="112"/>
    </row>
    <row r="25" spans="1:48" x14ac:dyDescent="0.15">
      <c r="A25" s="229" t="s">
        <v>34</v>
      </c>
      <c r="B25" s="229" t="s">
        <v>193</v>
      </c>
      <c r="C25" s="230">
        <v>2018</v>
      </c>
      <c r="D25" s="231" t="s">
        <v>284</v>
      </c>
      <c r="E25" s="230" t="s">
        <v>566</v>
      </c>
      <c r="F25" s="229" t="s">
        <v>543</v>
      </c>
      <c r="G25" s="232" t="s">
        <v>42</v>
      </c>
      <c r="H25" s="180" t="s">
        <v>155</v>
      </c>
      <c r="I25" s="180" t="s">
        <v>153</v>
      </c>
      <c r="J25" s="180" t="s">
        <v>38</v>
      </c>
      <c r="K25" s="180" t="s">
        <v>154</v>
      </c>
      <c r="L25" s="96">
        <v>3</v>
      </c>
      <c r="N25" s="96">
        <v>1</v>
      </c>
      <c r="O25" s="96">
        <v>1.1000000000000001</v>
      </c>
      <c r="P25" s="34">
        <v>0.95</v>
      </c>
      <c r="Q25" s="129">
        <f t="shared" si="0"/>
        <v>1.0249999999999999</v>
      </c>
      <c r="R25" s="240">
        <v>14.1</v>
      </c>
      <c r="S25" s="240">
        <v>139</v>
      </c>
      <c r="T25" s="105">
        <f t="shared" si="1"/>
        <v>30</v>
      </c>
      <c r="U25" s="245">
        <v>139</v>
      </c>
      <c r="V25" s="236">
        <f t="shared" si="2"/>
        <v>4170</v>
      </c>
      <c r="W25" s="242">
        <v>139</v>
      </c>
      <c r="X25" s="238" t="s">
        <v>46</v>
      </c>
      <c r="Y25" s="246" t="s">
        <v>40</v>
      </c>
      <c r="Z25" s="246" t="s">
        <v>78</v>
      </c>
      <c r="AA25" s="247" t="s">
        <v>84</v>
      </c>
      <c r="AB25" s="55" t="s">
        <v>195</v>
      </c>
      <c r="AP25" s="123" t="s">
        <v>116</v>
      </c>
      <c r="AR25" s="42" t="s">
        <v>92</v>
      </c>
      <c r="AV25" s="112"/>
    </row>
    <row r="26" spans="1:48" x14ac:dyDescent="0.15">
      <c r="A26" s="229" t="s">
        <v>34</v>
      </c>
      <c r="B26" s="229" t="s">
        <v>193</v>
      </c>
      <c r="C26" s="229">
        <v>2018</v>
      </c>
      <c r="D26" s="231" t="s">
        <v>284</v>
      </c>
      <c r="E26" s="230" t="s">
        <v>566</v>
      </c>
      <c r="F26" s="229" t="s">
        <v>543</v>
      </c>
      <c r="G26" s="232" t="s">
        <v>42</v>
      </c>
      <c r="H26" s="180" t="s">
        <v>174</v>
      </c>
      <c r="I26" s="180" t="s">
        <v>153</v>
      </c>
      <c r="J26" s="180" t="s">
        <v>38</v>
      </c>
      <c r="K26" s="180" t="s">
        <v>54</v>
      </c>
      <c r="L26" s="96">
        <v>1</v>
      </c>
      <c r="N26" s="96">
        <v>1</v>
      </c>
      <c r="O26" s="96">
        <v>0.8</v>
      </c>
      <c r="P26" s="121">
        <v>0.75</v>
      </c>
      <c r="Q26" s="129">
        <f t="shared" si="0"/>
        <v>0.77500000000000002</v>
      </c>
      <c r="R26" s="240">
        <v>15.5</v>
      </c>
      <c r="S26" s="240">
        <v>105</v>
      </c>
      <c r="T26" s="105">
        <f t="shared" si="1"/>
        <v>36</v>
      </c>
      <c r="U26" s="245">
        <v>139</v>
      </c>
      <c r="V26" s="236">
        <f t="shared" si="2"/>
        <v>5004</v>
      </c>
      <c r="W26" s="242">
        <v>105</v>
      </c>
      <c r="X26" s="238" t="s">
        <v>46</v>
      </c>
      <c r="Y26" s="247" t="s">
        <v>40</v>
      </c>
      <c r="Z26" s="246" t="s">
        <v>78</v>
      </c>
      <c r="AA26" s="247" t="s">
        <v>84</v>
      </c>
      <c r="AB26" s="55" t="s">
        <v>195</v>
      </c>
      <c r="AP26" s="123" t="s">
        <v>117</v>
      </c>
      <c r="AR26" s="112" t="s">
        <v>178</v>
      </c>
      <c r="AV26" s="116"/>
    </row>
    <row r="27" spans="1:48" x14ac:dyDescent="0.15">
      <c r="A27" s="229" t="s">
        <v>34</v>
      </c>
      <c r="B27" s="229" t="s">
        <v>193</v>
      </c>
      <c r="C27" s="230">
        <v>2018</v>
      </c>
      <c r="D27" s="231" t="s">
        <v>284</v>
      </c>
      <c r="E27" s="230" t="s">
        <v>566</v>
      </c>
      <c r="F27" s="229" t="s">
        <v>543</v>
      </c>
      <c r="G27" s="232" t="s">
        <v>42</v>
      </c>
      <c r="H27" s="180" t="s">
        <v>174</v>
      </c>
      <c r="I27" s="180" t="s">
        <v>153</v>
      </c>
      <c r="J27" s="180" t="s">
        <v>38</v>
      </c>
      <c r="K27" s="180" t="s">
        <v>54</v>
      </c>
      <c r="L27" s="96">
        <v>2</v>
      </c>
      <c r="N27" s="96">
        <v>1</v>
      </c>
      <c r="O27" s="34">
        <v>0.75</v>
      </c>
      <c r="P27" s="121">
        <v>0.7</v>
      </c>
      <c r="Q27" s="129">
        <f t="shared" si="0"/>
        <v>0.72499999999999998</v>
      </c>
      <c r="R27" s="240">
        <v>14.8</v>
      </c>
      <c r="S27" s="240">
        <v>107</v>
      </c>
      <c r="T27" s="105">
        <f t="shared" si="1"/>
        <v>36</v>
      </c>
      <c r="U27" s="245">
        <v>139</v>
      </c>
      <c r="V27" s="236">
        <f t="shared" si="2"/>
        <v>5004</v>
      </c>
      <c r="W27" s="242">
        <v>107</v>
      </c>
      <c r="X27" s="238" t="s">
        <v>46</v>
      </c>
      <c r="Y27" s="247" t="s">
        <v>40</v>
      </c>
      <c r="Z27" s="246" t="s">
        <v>78</v>
      </c>
      <c r="AA27" s="247" t="s">
        <v>84</v>
      </c>
      <c r="AB27" s="55" t="s">
        <v>195</v>
      </c>
      <c r="AP27" s="123" t="s">
        <v>118</v>
      </c>
      <c r="AR27" s="112"/>
    </row>
    <row r="28" spans="1:48" x14ac:dyDescent="0.15">
      <c r="A28" s="229" t="s">
        <v>34</v>
      </c>
      <c r="B28" s="229" t="s">
        <v>193</v>
      </c>
      <c r="C28" s="229">
        <v>2018</v>
      </c>
      <c r="D28" s="231" t="s">
        <v>284</v>
      </c>
      <c r="E28" s="230" t="s">
        <v>566</v>
      </c>
      <c r="F28" s="229" t="s">
        <v>543</v>
      </c>
      <c r="G28" s="232" t="s">
        <v>42</v>
      </c>
      <c r="H28" s="180" t="s">
        <v>174</v>
      </c>
      <c r="I28" s="180" t="s">
        <v>153</v>
      </c>
      <c r="J28" s="180" t="s">
        <v>38</v>
      </c>
      <c r="K28" s="180" t="s">
        <v>54</v>
      </c>
      <c r="L28" s="96">
        <v>3</v>
      </c>
      <c r="N28" s="96">
        <v>1</v>
      </c>
      <c r="O28" s="34">
        <v>0.75</v>
      </c>
      <c r="P28" s="96">
        <v>0.65</v>
      </c>
      <c r="Q28" s="129">
        <f t="shared" si="0"/>
        <v>0.7</v>
      </c>
      <c r="R28" s="240">
        <v>15.6</v>
      </c>
      <c r="S28" s="240">
        <v>102</v>
      </c>
      <c r="T28" s="105">
        <f t="shared" si="1"/>
        <v>36</v>
      </c>
      <c r="U28" s="245">
        <v>139</v>
      </c>
      <c r="V28" s="236">
        <f t="shared" si="2"/>
        <v>5004</v>
      </c>
      <c r="W28" s="242">
        <v>102</v>
      </c>
      <c r="X28" s="238" t="s">
        <v>46</v>
      </c>
      <c r="Y28" s="247" t="s">
        <v>40</v>
      </c>
      <c r="Z28" s="246" t="s">
        <v>78</v>
      </c>
      <c r="AA28" s="247" t="s">
        <v>84</v>
      </c>
      <c r="AB28" s="55" t="s">
        <v>195</v>
      </c>
      <c r="AR28" s="112"/>
    </row>
    <row r="29" spans="1:48" x14ac:dyDescent="0.15">
      <c r="A29" s="229" t="s">
        <v>34</v>
      </c>
      <c r="B29" s="229" t="s">
        <v>193</v>
      </c>
      <c r="C29" s="229">
        <v>2018</v>
      </c>
      <c r="D29" s="231" t="s">
        <v>284</v>
      </c>
      <c r="E29" s="230" t="s">
        <v>542</v>
      </c>
      <c r="F29" s="229" t="s">
        <v>562</v>
      </c>
      <c r="G29" s="232" t="s">
        <v>42</v>
      </c>
      <c r="H29" s="180" t="s">
        <v>155</v>
      </c>
      <c r="I29" s="180" t="s">
        <v>153</v>
      </c>
      <c r="J29" s="180" t="s">
        <v>38</v>
      </c>
      <c r="K29" s="180" t="s">
        <v>154</v>
      </c>
      <c r="L29" s="96">
        <v>1</v>
      </c>
      <c r="N29" s="96">
        <v>1</v>
      </c>
      <c r="O29" s="96">
        <v>0.7</v>
      </c>
      <c r="P29" s="96">
        <v>0.8</v>
      </c>
      <c r="Q29" s="129">
        <f t="shared" si="0"/>
        <v>0.75</v>
      </c>
      <c r="R29" s="240">
        <v>14.3</v>
      </c>
      <c r="S29" s="240">
        <v>119</v>
      </c>
      <c r="T29" s="105">
        <f t="shared" si="1"/>
        <v>30</v>
      </c>
      <c r="U29" s="245">
        <v>87</v>
      </c>
      <c r="V29" s="236">
        <f t="shared" si="2"/>
        <v>2610</v>
      </c>
      <c r="W29" s="242">
        <v>119</v>
      </c>
      <c r="X29" s="238" t="s">
        <v>46</v>
      </c>
      <c r="Y29" s="247" t="s">
        <v>84</v>
      </c>
      <c r="Z29" s="246" t="s">
        <v>40</v>
      </c>
      <c r="AA29" s="247" t="s">
        <v>60</v>
      </c>
      <c r="AB29" s="55" t="s">
        <v>195</v>
      </c>
      <c r="AR29" s="117"/>
    </row>
    <row r="30" spans="1:48" x14ac:dyDescent="0.15">
      <c r="A30" s="229" t="s">
        <v>34</v>
      </c>
      <c r="B30" s="229" t="s">
        <v>193</v>
      </c>
      <c r="C30" s="230">
        <v>2018</v>
      </c>
      <c r="D30" s="231" t="s">
        <v>284</v>
      </c>
      <c r="E30" s="230" t="s">
        <v>542</v>
      </c>
      <c r="F30" s="229" t="s">
        <v>562</v>
      </c>
      <c r="G30" s="232" t="s">
        <v>42</v>
      </c>
      <c r="H30" s="180" t="s">
        <v>155</v>
      </c>
      <c r="I30" s="180" t="s">
        <v>153</v>
      </c>
      <c r="J30" s="180" t="s">
        <v>38</v>
      </c>
      <c r="K30" s="180" t="s">
        <v>154</v>
      </c>
      <c r="L30" s="96">
        <v>2</v>
      </c>
      <c r="N30" s="96">
        <v>1</v>
      </c>
      <c r="O30" s="96">
        <v>0.75</v>
      </c>
      <c r="P30" s="96">
        <v>0.65</v>
      </c>
      <c r="Q30" s="129">
        <f t="shared" si="0"/>
        <v>0.7</v>
      </c>
      <c r="R30" s="240">
        <v>14.4</v>
      </c>
      <c r="S30" s="240">
        <v>118</v>
      </c>
      <c r="T30" s="105">
        <f t="shared" si="1"/>
        <v>30</v>
      </c>
      <c r="U30" s="245">
        <v>87</v>
      </c>
      <c r="V30" s="236">
        <f t="shared" si="2"/>
        <v>2610</v>
      </c>
      <c r="W30" s="242">
        <v>118</v>
      </c>
      <c r="X30" s="238" t="s">
        <v>46</v>
      </c>
      <c r="Y30" s="247" t="s">
        <v>84</v>
      </c>
      <c r="Z30" s="246" t="s">
        <v>40</v>
      </c>
      <c r="AA30" s="247" t="s">
        <v>60</v>
      </c>
      <c r="AB30" s="55" t="s">
        <v>195</v>
      </c>
    </row>
    <row r="31" spans="1:48" x14ac:dyDescent="0.15">
      <c r="A31" s="229" t="s">
        <v>34</v>
      </c>
      <c r="B31" s="229" t="s">
        <v>193</v>
      </c>
      <c r="C31" s="229">
        <v>2018</v>
      </c>
      <c r="D31" s="231" t="s">
        <v>284</v>
      </c>
      <c r="E31" s="230" t="s">
        <v>542</v>
      </c>
      <c r="F31" s="229" t="s">
        <v>562</v>
      </c>
      <c r="G31" s="232" t="s">
        <v>42</v>
      </c>
      <c r="H31" s="180" t="s">
        <v>155</v>
      </c>
      <c r="I31" s="180" t="s">
        <v>153</v>
      </c>
      <c r="J31" s="180" t="s">
        <v>38</v>
      </c>
      <c r="K31" s="180" t="s">
        <v>154</v>
      </c>
      <c r="L31" s="96">
        <v>3</v>
      </c>
      <c r="N31" s="96">
        <v>1</v>
      </c>
      <c r="O31" s="96">
        <v>0.8</v>
      </c>
      <c r="P31" s="96">
        <v>0.7</v>
      </c>
      <c r="Q31" s="129">
        <f t="shared" si="0"/>
        <v>0.75</v>
      </c>
      <c r="R31" s="240">
        <v>13.8</v>
      </c>
      <c r="S31" s="240">
        <v>121</v>
      </c>
      <c r="T31" s="105">
        <f t="shared" si="1"/>
        <v>30</v>
      </c>
      <c r="U31" s="245">
        <v>87</v>
      </c>
      <c r="V31" s="236">
        <f t="shared" si="2"/>
        <v>2610</v>
      </c>
      <c r="W31" s="242">
        <v>121</v>
      </c>
      <c r="X31" s="238" t="s">
        <v>46</v>
      </c>
      <c r="Y31" s="247" t="s">
        <v>84</v>
      </c>
      <c r="Z31" s="246" t="s">
        <v>40</v>
      </c>
      <c r="AA31" s="247" t="s">
        <v>60</v>
      </c>
      <c r="AB31" s="55" t="s">
        <v>195</v>
      </c>
    </row>
    <row r="32" spans="1:48" ht="14.25" customHeight="1" x14ac:dyDescent="0.15">
      <c r="A32" s="229" t="s">
        <v>34</v>
      </c>
      <c r="B32" s="229" t="s">
        <v>193</v>
      </c>
      <c r="C32" s="230">
        <v>2018</v>
      </c>
      <c r="D32" s="231" t="s">
        <v>284</v>
      </c>
      <c r="E32" s="230" t="s">
        <v>542</v>
      </c>
      <c r="F32" s="229" t="s">
        <v>562</v>
      </c>
      <c r="G32" s="232" t="s">
        <v>42</v>
      </c>
      <c r="H32" s="180" t="s">
        <v>174</v>
      </c>
      <c r="I32" s="180" t="s">
        <v>153</v>
      </c>
      <c r="J32" s="180" t="s">
        <v>38</v>
      </c>
      <c r="K32" s="180" t="s">
        <v>54</v>
      </c>
      <c r="L32" s="96">
        <v>1</v>
      </c>
      <c r="N32" s="96">
        <v>1</v>
      </c>
      <c r="O32" s="96">
        <v>0.7</v>
      </c>
      <c r="P32" s="96">
        <v>0.65</v>
      </c>
      <c r="Q32" s="129">
        <f t="shared" si="0"/>
        <v>0.67500000000000004</v>
      </c>
      <c r="R32" s="240">
        <v>11.6</v>
      </c>
      <c r="S32" s="240">
        <v>111</v>
      </c>
      <c r="T32" s="105">
        <f t="shared" si="1"/>
        <v>33</v>
      </c>
      <c r="U32" s="245">
        <v>127</v>
      </c>
      <c r="V32" s="236">
        <f t="shared" si="2"/>
        <v>4191</v>
      </c>
      <c r="W32" s="242">
        <v>111</v>
      </c>
      <c r="X32" s="238" t="s">
        <v>46</v>
      </c>
      <c r="Y32" s="247" t="s">
        <v>84</v>
      </c>
      <c r="Z32" s="246" t="s">
        <v>40</v>
      </c>
      <c r="AA32" s="246" t="s">
        <v>60</v>
      </c>
      <c r="AB32" s="55" t="s">
        <v>195</v>
      </c>
    </row>
    <row r="33" spans="1:28" x14ac:dyDescent="0.15">
      <c r="A33" s="229" t="s">
        <v>34</v>
      </c>
      <c r="B33" s="229" t="s">
        <v>193</v>
      </c>
      <c r="C33" s="229">
        <v>2018</v>
      </c>
      <c r="D33" s="231" t="s">
        <v>284</v>
      </c>
      <c r="E33" s="230" t="s">
        <v>542</v>
      </c>
      <c r="F33" s="229" t="s">
        <v>562</v>
      </c>
      <c r="G33" s="232" t="s">
        <v>42</v>
      </c>
      <c r="H33" s="180" t="s">
        <v>174</v>
      </c>
      <c r="I33" s="180" t="s">
        <v>153</v>
      </c>
      <c r="J33" s="180" t="s">
        <v>38</v>
      </c>
      <c r="K33" s="180" t="s">
        <v>54</v>
      </c>
      <c r="L33" s="96">
        <v>2</v>
      </c>
      <c r="N33" s="96">
        <v>1</v>
      </c>
      <c r="O33" s="96">
        <v>0.65</v>
      </c>
      <c r="P33" s="96">
        <v>0.7</v>
      </c>
      <c r="Q33" s="129">
        <f t="shared" si="0"/>
        <v>0.67500000000000004</v>
      </c>
      <c r="R33" s="240">
        <v>13.4</v>
      </c>
      <c r="S33" s="240">
        <v>106</v>
      </c>
      <c r="T33" s="105">
        <f t="shared" si="1"/>
        <v>36</v>
      </c>
      <c r="U33" s="245">
        <v>127</v>
      </c>
      <c r="V33" s="236">
        <f t="shared" si="2"/>
        <v>4572</v>
      </c>
      <c r="W33" s="242">
        <v>106</v>
      </c>
      <c r="X33" s="238" t="s">
        <v>46</v>
      </c>
      <c r="Y33" s="247" t="s">
        <v>84</v>
      </c>
      <c r="Z33" s="246" t="s">
        <v>40</v>
      </c>
      <c r="AA33" s="246" t="s">
        <v>60</v>
      </c>
      <c r="AB33" s="55" t="s">
        <v>195</v>
      </c>
    </row>
    <row r="34" spans="1:28" x14ac:dyDescent="0.15">
      <c r="A34" s="229" t="s">
        <v>34</v>
      </c>
      <c r="B34" s="229" t="s">
        <v>193</v>
      </c>
      <c r="C34" s="230">
        <v>2018</v>
      </c>
      <c r="D34" s="231" t="s">
        <v>284</v>
      </c>
      <c r="E34" s="230" t="s">
        <v>542</v>
      </c>
      <c r="F34" s="229" t="s">
        <v>562</v>
      </c>
      <c r="G34" s="232" t="s">
        <v>42</v>
      </c>
      <c r="H34" s="180" t="s">
        <v>174</v>
      </c>
      <c r="I34" s="180" t="s">
        <v>153</v>
      </c>
      <c r="J34" s="180" t="s">
        <v>38</v>
      </c>
      <c r="K34" s="180" t="s">
        <v>54</v>
      </c>
      <c r="L34" s="96">
        <v>3</v>
      </c>
      <c r="N34" s="96">
        <v>1</v>
      </c>
      <c r="O34" s="96">
        <v>0.75</v>
      </c>
      <c r="P34" s="34">
        <v>0.7</v>
      </c>
      <c r="Q34" s="129">
        <f t="shared" si="0"/>
        <v>0.72499999999999998</v>
      </c>
      <c r="R34" s="240">
        <v>13.3</v>
      </c>
      <c r="S34" s="240">
        <v>107</v>
      </c>
      <c r="T34" s="105">
        <f t="shared" si="1"/>
        <v>36</v>
      </c>
      <c r="U34" s="245">
        <v>127</v>
      </c>
      <c r="V34" s="236">
        <f t="shared" si="2"/>
        <v>4572</v>
      </c>
      <c r="W34" s="242">
        <v>107</v>
      </c>
      <c r="X34" s="238" t="s">
        <v>46</v>
      </c>
      <c r="Y34" s="247" t="s">
        <v>84</v>
      </c>
      <c r="Z34" s="246" t="s">
        <v>40</v>
      </c>
      <c r="AA34" s="246" t="s">
        <v>60</v>
      </c>
      <c r="AB34" s="55" t="s">
        <v>195</v>
      </c>
    </row>
    <row r="35" spans="1:28" x14ac:dyDescent="0.15">
      <c r="A35" s="229" t="s">
        <v>34</v>
      </c>
      <c r="B35" s="229" t="s">
        <v>193</v>
      </c>
      <c r="C35" s="229">
        <v>2018</v>
      </c>
      <c r="D35" s="231" t="s">
        <v>284</v>
      </c>
      <c r="E35" s="230" t="s">
        <v>139</v>
      </c>
      <c r="F35" s="229" t="s">
        <v>562</v>
      </c>
      <c r="G35" s="232" t="s">
        <v>36</v>
      </c>
      <c r="H35" s="180" t="s">
        <v>155</v>
      </c>
      <c r="I35" s="180" t="s">
        <v>153</v>
      </c>
      <c r="J35" s="180" t="s">
        <v>38</v>
      </c>
      <c r="K35" s="180" t="s">
        <v>154</v>
      </c>
      <c r="L35" s="96">
        <v>1</v>
      </c>
      <c r="N35" s="96">
        <v>1</v>
      </c>
      <c r="O35" s="96">
        <v>0.8</v>
      </c>
      <c r="P35" s="96">
        <v>0.95</v>
      </c>
      <c r="Q35" s="129">
        <f t="shared" si="0"/>
        <v>0.875</v>
      </c>
      <c r="R35" s="240">
        <v>14.3</v>
      </c>
      <c r="S35" s="240">
        <v>111</v>
      </c>
      <c r="T35" s="105">
        <f t="shared" si="1"/>
        <v>33</v>
      </c>
      <c r="U35" s="245">
        <v>129</v>
      </c>
      <c r="V35" s="236">
        <f t="shared" si="2"/>
        <v>4257</v>
      </c>
      <c r="W35" s="242">
        <v>111</v>
      </c>
      <c r="X35" s="238" t="s">
        <v>46</v>
      </c>
      <c r="Y35" s="246" t="s">
        <v>84</v>
      </c>
      <c r="Z35" s="246" t="s">
        <v>90</v>
      </c>
      <c r="AA35" s="246" t="s">
        <v>40</v>
      </c>
      <c r="AB35" s="55" t="s">
        <v>195</v>
      </c>
    </row>
    <row r="36" spans="1:28" x14ac:dyDescent="0.15">
      <c r="A36" s="229" t="s">
        <v>34</v>
      </c>
      <c r="B36" s="229" t="s">
        <v>193</v>
      </c>
      <c r="C36" s="230">
        <v>2018</v>
      </c>
      <c r="D36" s="231" t="s">
        <v>284</v>
      </c>
      <c r="E36" s="230" t="s">
        <v>139</v>
      </c>
      <c r="F36" s="229" t="s">
        <v>562</v>
      </c>
      <c r="G36" s="232" t="s">
        <v>36</v>
      </c>
      <c r="H36" s="180" t="s">
        <v>155</v>
      </c>
      <c r="I36" s="180" t="s">
        <v>153</v>
      </c>
      <c r="J36" s="180" t="s">
        <v>38</v>
      </c>
      <c r="K36" s="180" t="s">
        <v>154</v>
      </c>
      <c r="L36" s="96">
        <v>2</v>
      </c>
      <c r="N36" s="96">
        <v>1</v>
      </c>
      <c r="O36" s="96">
        <v>1</v>
      </c>
      <c r="P36" s="96">
        <v>0.8</v>
      </c>
      <c r="Q36" s="129">
        <f t="shared" si="0"/>
        <v>0.9</v>
      </c>
      <c r="R36" s="240">
        <v>14.7</v>
      </c>
      <c r="S36" s="240">
        <v>105</v>
      </c>
      <c r="T36" s="105">
        <f t="shared" si="1"/>
        <v>33</v>
      </c>
      <c r="U36" s="245">
        <v>129</v>
      </c>
      <c r="V36" s="236">
        <f t="shared" si="2"/>
        <v>4257</v>
      </c>
      <c r="W36" s="242">
        <v>105</v>
      </c>
      <c r="X36" s="238" t="s">
        <v>46</v>
      </c>
      <c r="Y36" s="246" t="s">
        <v>84</v>
      </c>
      <c r="Z36" s="246" t="s">
        <v>90</v>
      </c>
      <c r="AA36" s="246" t="s">
        <v>40</v>
      </c>
      <c r="AB36" s="55" t="s">
        <v>195</v>
      </c>
    </row>
    <row r="37" spans="1:28" x14ac:dyDescent="0.15">
      <c r="A37" s="229" t="s">
        <v>34</v>
      </c>
      <c r="B37" s="229" t="s">
        <v>193</v>
      </c>
      <c r="C37" s="229">
        <v>2018</v>
      </c>
      <c r="D37" s="231" t="s">
        <v>284</v>
      </c>
      <c r="E37" s="230" t="s">
        <v>139</v>
      </c>
      <c r="F37" s="229" t="s">
        <v>562</v>
      </c>
      <c r="G37" s="232" t="s">
        <v>36</v>
      </c>
      <c r="H37" s="180" t="s">
        <v>155</v>
      </c>
      <c r="I37" s="180" t="s">
        <v>153</v>
      </c>
      <c r="J37" s="180" t="s">
        <v>38</v>
      </c>
      <c r="K37" s="180" t="s">
        <v>154</v>
      </c>
      <c r="L37" s="96">
        <v>3</v>
      </c>
      <c r="N37" s="96">
        <v>1</v>
      </c>
      <c r="O37" s="96">
        <v>0.85</v>
      </c>
      <c r="P37" s="96">
        <v>1</v>
      </c>
      <c r="Q37" s="129">
        <f t="shared" si="0"/>
        <v>0.92500000000000004</v>
      </c>
      <c r="R37" s="240">
        <v>14.5</v>
      </c>
      <c r="S37" s="240">
        <v>113</v>
      </c>
      <c r="T37" s="105">
        <f t="shared" si="1"/>
        <v>30</v>
      </c>
      <c r="U37" s="245">
        <v>129</v>
      </c>
      <c r="V37" s="236">
        <f t="shared" si="2"/>
        <v>3870</v>
      </c>
      <c r="W37" s="242">
        <v>113</v>
      </c>
      <c r="X37" s="238" t="s">
        <v>46</v>
      </c>
      <c r="Y37" s="246" t="s">
        <v>84</v>
      </c>
      <c r="Z37" s="246" t="s">
        <v>90</v>
      </c>
      <c r="AA37" s="246" t="s">
        <v>40</v>
      </c>
      <c r="AB37" s="55" t="s">
        <v>195</v>
      </c>
    </row>
    <row r="38" spans="1:28" x14ac:dyDescent="0.15">
      <c r="A38" s="229" t="s">
        <v>34</v>
      </c>
      <c r="B38" s="229" t="s">
        <v>193</v>
      </c>
      <c r="C38" s="230">
        <v>2018</v>
      </c>
      <c r="D38" s="231" t="s">
        <v>284</v>
      </c>
      <c r="E38" s="230" t="s">
        <v>133</v>
      </c>
      <c r="F38" s="229" t="s">
        <v>545</v>
      </c>
      <c r="G38" s="232" t="s">
        <v>36</v>
      </c>
      <c r="H38" s="180" t="s">
        <v>155</v>
      </c>
      <c r="I38" s="180" t="s">
        <v>153</v>
      </c>
      <c r="J38" s="180" t="s">
        <v>38</v>
      </c>
      <c r="K38" s="180" t="s">
        <v>154</v>
      </c>
      <c r="L38" s="96">
        <v>1</v>
      </c>
      <c r="N38" s="96">
        <v>1</v>
      </c>
      <c r="O38" s="96">
        <v>1.2</v>
      </c>
      <c r="P38" s="96">
        <v>0.95</v>
      </c>
      <c r="Q38" s="129">
        <f t="shared" si="0"/>
        <v>1.075</v>
      </c>
      <c r="R38" s="240">
        <v>12.6</v>
      </c>
      <c r="S38" s="240">
        <v>115</v>
      </c>
      <c r="T38" s="105">
        <f t="shared" si="1"/>
        <v>30</v>
      </c>
      <c r="U38" s="245">
        <v>105</v>
      </c>
      <c r="V38" s="236">
        <f t="shared" si="2"/>
        <v>3150</v>
      </c>
      <c r="W38" s="242">
        <v>115</v>
      </c>
      <c r="X38" s="238" t="s">
        <v>46</v>
      </c>
      <c r="Y38" s="246" t="s">
        <v>84</v>
      </c>
      <c r="Z38" s="246" t="s">
        <v>40</v>
      </c>
      <c r="AA38" s="246" t="s">
        <v>90</v>
      </c>
      <c r="AB38" s="55" t="s">
        <v>195</v>
      </c>
    </row>
    <row r="39" spans="1:28" x14ac:dyDescent="0.15">
      <c r="A39" s="229" t="s">
        <v>34</v>
      </c>
      <c r="B39" s="229" t="s">
        <v>193</v>
      </c>
      <c r="C39" s="229">
        <v>2018</v>
      </c>
      <c r="D39" s="231" t="s">
        <v>284</v>
      </c>
      <c r="E39" s="230" t="s">
        <v>133</v>
      </c>
      <c r="F39" s="229" t="s">
        <v>545</v>
      </c>
      <c r="G39" s="232" t="s">
        <v>36</v>
      </c>
      <c r="H39" s="180" t="s">
        <v>155</v>
      </c>
      <c r="I39" s="180" t="s">
        <v>153</v>
      </c>
      <c r="J39" s="180" t="s">
        <v>38</v>
      </c>
      <c r="K39" s="180" t="s">
        <v>154</v>
      </c>
      <c r="L39" s="96">
        <v>2</v>
      </c>
      <c r="N39" s="96">
        <v>1</v>
      </c>
      <c r="O39" s="96">
        <v>0.9</v>
      </c>
      <c r="P39" s="96">
        <v>0.95</v>
      </c>
      <c r="Q39" s="129">
        <f t="shared" si="0"/>
        <v>0.92500000000000004</v>
      </c>
      <c r="R39" s="240">
        <v>11.8</v>
      </c>
      <c r="S39" s="240">
        <v>111</v>
      </c>
      <c r="T39" s="105">
        <f t="shared" si="1"/>
        <v>33</v>
      </c>
      <c r="U39" s="245">
        <v>105</v>
      </c>
      <c r="V39" s="236">
        <f t="shared" si="2"/>
        <v>3465</v>
      </c>
      <c r="W39" s="242">
        <v>111</v>
      </c>
      <c r="X39" s="238" t="s">
        <v>46</v>
      </c>
      <c r="Y39" s="246" t="s">
        <v>84</v>
      </c>
      <c r="Z39" s="246" t="s">
        <v>40</v>
      </c>
      <c r="AA39" s="246" t="s">
        <v>90</v>
      </c>
      <c r="AB39" s="55" t="s">
        <v>195</v>
      </c>
    </row>
    <row r="40" spans="1:28" ht="12.75" customHeight="1" x14ac:dyDescent="0.15">
      <c r="A40" s="229" t="s">
        <v>34</v>
      </c>
      <c r="B40" s="229" t="s">
        <v>193</v>
      </c>
      <c r="C40" s="230">
        <v>2018</v>
      </c>
      <c r="D40" s="231" t="s">
        <v>284</v>
      </c>
      <c r="E40" s="230" t="s">
        <v>133</v>
      </c>
      <c r="F40" s="229" t="s">
        <v>545</v>
      </c>
      <c r="G40" s="232" t="s">
        <v>36</v>
      </c>
      <c r="H40" s="180" t="s">
        <v>155</v>
      </c>
      <c r="I40" s="180" t="s">
        <v>153</v>
      </c>
      <c r="J40" s="180" t="s">
        <v>38</v>
      </c>
      <c r="K40" s="180" t="s">
        <v>154</v>
      </c>
      <c r="L40" s="96">
        <v>3</v>
      </c>
      <c r="N40" s="96">
        <v>1</v>
      </c>
      <c r="O40" s="96">
        <v>0.95</v>
      </c>
      <c r="P40" s="96">
        <v>1.1000000000000001</v>
      </c>
      <c r="Q40" s="129">
        <f t="shared" si="0"/>
        <v>1.0249999999999999</v>
      </c>
      <c r="R40" s="240">
        <v>12.2</v>
      </c>
      <c r="S40" s="240">
        <v>122</v>
      </c>
      <c r="T40" s="105">
        <f t="shared" si="1"/>
        <v>30</v>
      </c>
      <c r="U40" s="245">
        <v>105</v>
      </c>
      <c r="V40" s="236">
        <f t="shared" si="2"/>
        <v>3150</v>
      </c>
      <c r="W40" s="242">
        <v>122</v>
      </c>
      <c r="X40" s="238" t="s">
        <v>46</v>
      </c>
      <c r="Y40" s="246" t="s">
        <v>84</v>
      </c>
      <c r="Z40" s="246" t="s">
        <v>40</v>
      </c>
      <c r="AA40" s="246" t="s">
        <v>90</v>
      </c>
      <c r="AB40" s="55" t="s">
        <v>195</v>
      </c>
    </row>
    <row r="41" spans="1:28" ht="12.75" customHeight="1" x14ac:dyDescent="0.15">
      <c r="A41" s="180" t="s">
        <v>34</v>
      </c>
      <c r="B41" s="229" t="s">
        <v>193</v>
      </c>
      <c r="C41" s="230">
        <v>2018</v>
      </c>
      <c r="D41" s="231" t="s">
        <v>284</v>
      </c>
      <c r="E41" s="230" t="s">
        <v>133</v>
      </c>
      <c r="F41" s="229" t="s">
        <v>545</v>
      </c>
      <c r="G41" s="232" t="s">
        <v>36</v>
      </c>
      <c r="H41" s="180" t="s">
        <v>174</v>
      </c>
      <c r="I41" s="180" t="s">
        <v>153</v>
      </c>
      <c r="J41" s="180" t="s">
        <v>38</v>
      </c>
      <c r="K41" s="180" t="s">
        <v>54</v>
      </c>
      <c r="L41" s="96">
        <v>1</v>
      </c>
      <c r="N41" s="96">
        <v>1</v>
      </c>
      <c r="O41" s="96">
        <v>1</v>
      </c>
      <c r="P41" s="96">
        <v>0.95</v>
      </c>
      <c r="Q41" s="129">
        <f t="shared" si="0"/>
        <v>0.97499999999999998</v>
      </c>
      <c r="R41" s="240">
        <v>14.2</v>
      </c>
      <c r="S41" s="240">
        <v>102</v>
      </c>
      <c r="T41" s="105">
        <f t="shared" si="1"/>
        <v>36</v>
      </c>
      <c r="U41" s="245">
        <v>148</v>
      </c>
      <c r="V41" s="236">
        <f t="shared" si="2"/>
        <v>5328</v>
      </c>
      <c r="W41" s="182">
        <v>102</v>
      </c>
      <c r="X41" s="238" t="s">
        <v>46</v>
      </c>
      <c r="Y41" s="250" t="s">
        <v>84</v>
      </c>
      <c r="Z41" s="250" t="s">
        <v>40</v>
      </c>
      <c r="AA41" s="250" t="s">
        <v>90</v>
      </c>
      <c r="AB41" s="55" t="s">
        <v>195</v>
      </c>
    </row>
    <row r="42" spans="1:28" ht="12.75" customHeight="1" x14ac:dyDescent="0.15">
      <c r="A42" s="180" t="s">
        <v>34</v>
      </c>
      <c r="B42" s="229" t="s">
        <v>193</v>
      </c>
      <c r="C42" s="230">
        <v>2018</v>
      </c>
      <c r="D42" s="231" t="s">
        <v>284</v>
      </c>
      <c r="E42" s="230" t="s">
        <v>133</v>
      </c>
      <c r="F42" s="229" t="s">
        <v>545</v>
      </c>
      <c r="G42" s="232" t="s">
        <v>36</v>
      </c>
      <c r="H42" s="180" t="s">
        <v>174</v>
      </c>
      <c r="I42" s="180" t="s">
        <v>153</v>
      </c>
      <c r="J42" s="180" t="s">
        <v>38</v>
      </c>
      <c r="K42" s="180" t="s">
        <v>54</v>
      </c>
      <c r="L42" s="96">
        <v>2</v>
      </c>
      <c r="N42" s="96">
        <v>1</v>
      </c>
      <c r="O42" s="96">
        <v>0.85</v>
      </c>
      <c r="P42" s="96">
        <v>0.8</v>
      </c>
      <c r="Q42" s="129">
        <f t="shared" si="0"/>
        <v>0.82499999999999996</v>
      </c>
      <c r="R42" s="240">
        <v>14.1</v>
      </c>
      <c r="S42" s="240">
        <v>100</v>
      </c>
      <c r="T42" s="105">
        <f t="shared" si="1"/>
        <v>36</v>
      </c>
      <c r="U42" s="245">
        <v>148</v>
      </c>
      <c r="V42" s="236">
        <f t="shared" si="2"/>
        <v>5328</v>
      </c>
      <c r="W42" s="182">
        <v>100</v>
      </c>
      <c r="X42" s="238" t="s">
        <v>46</v>
      </c>
      <c r="Y42" s="250" t="s">
        <v>84</v>
      </c>
      <c r="Z42" s="250" t="s">
        <v>40</v>
      </c>
      <c r="AA42" s="250" t="s">
        <v>90</v>
      </c>
      <c r="AB42" s="55" t="s">
        <v>195</v>
      </c>
    </row>
    <row r="43" spans="1:28" ht="12.75" customHeight="1" x14ac:dyDescent="0.15">
      <c r="A43" s="180" t="s">
        <v>34</v>
      </c>
      <c r="B43" s="229" t="s">
        <v>193</v>
      </c>
      <c r="C43" s="230">
        <v>2018</v>
      </c>
      <c r="D43" s="231" t="s">
        <v>284</v>
      </c>
      <c r="E43" s="230" t="s">
        <v>133</v>
      </c>
      <c r="F43" s="229" t="s">
        <v>545</v>
      </c>
      <c r="G43" s="232" t="s">
        <v>36</v>
      </c>
      <c r="H43" s="180" t="s">
        <v>174</v>
      </c>
      <c r="I43" s="180" t="s">
        <v>153</v>
      </c>
      <c r="J43" s="180" t="s">
        <v>38</v>
      </c>
      <c r="K43" s="180" t="s">
        <v>54</v>
      </c>
      <c r="L43" s="96">
        <v>3</v>
      </c>
      <c r="N43" s="96">
        <v>1</v>
      </c>
      <c r="O43" s="96">
        <v>0.8</v>
      </c>
      <c r="P43" s="96">
        <v>0.85</v>
      </c>
      <c r="Q43" s="129">
        <f t="shared" si="0"/>
        <v>0.82499999999999996</v>
      </c>
      <c r="R43" s="240">
        <v>14.5</v>
      </c>
      <c r="S43" s="240">
        <v>98</v>
      </c>
      <c r="T43" s="105">
        <f t="shared" si="1"/>
        <v>36</v>
      </c>
      <c r="U43" s="245">
        <v>148</v>
      </c>
      <c r="V43" s="236">
        <f t="shared" si="2"/>
        <v>5328</v>
      </c>
      <c r="W43" s="182">
        <v>98</v>
      </c>
      <c r="X43" s="238" t="s">
        <v>46</v>
      </c>
      <c r="Y43" s="250" t="s">
        <v>84</v>
      </c>
      <c r="Z43" s="250" t="s">
        <v>40</v>
      </c>
      <c r="AA43" s="250" t="s">
        <v>90</v>
      </c>
      <c r="AB43" s="55" t="s">
        <v>195</v>
      </c>
    </row>
    <row r="44" spans="1:28" x14ac:dyDescent="0.15">
      <c r="A44" s="96" t="s">
        <v>34</v>
      </c>
      <c r="B44" s="229" t="s">
        <v>193</v>
      </c>
      <c r="C44" s="230">
        <v>2018</v>
      </c>
      <c r="D44" s="231" t="s">
        <v>284</v>
      </c>
      <c r="E44" s="230" t="s">
        <v>298</v>
      </c>
      <c r="F44" s="229" t="s">
        <v>551</v>
      </c>
      <c r="G44" s="232" t="s">
        <v>36</v>
      </c>
      <c r="H44" s="180" t="s">
        <v>155</v>
      </c>
      <c r="I44" s="180" t="s">
        <v>153</v>
      </c>
      <c r="J44" s="182" t="s">
        <v>38</v>
      </c>
      <c r="K44" s="180" t="s">
        <v>154</v>
      </c>
      <c r="L44" s="96">
        <v>1</v>
      </c>
      <c r="N44" s="96">
        <v>1</v>
      </c>
      <c r="O44" s="96">
        <v>1.25</v>
      </c>
      <c r="P44" s="96">
        <v>1.1499999999999999</v>
      </c>
      <c r="Q44" s="129">
        <f t="shared" si="0"/>
        <v>1.2</v>
      </c>
      <c r="R44" s="240">
        <v>11.9</v>
      </c>
      <c r="S44" s="240">
        <v>124</v>
      </c>
      <c r="T44" s="105">
        <f t="shared" si="1"/>
        <v>30</v>
      </c>
      <c r="U44" s="245">
        <v>98</v>
      </c>
      <c r="V44" s="105">
        <f t="shared" si="2"/>
        <v>2940</v>
      </c>
      <c r="W44" s="96">
        <v>124</v>
      </c>
      <c r="X44" s="238" t="s">
        <v>46</v>
      </c>
      <c r="Y44" s="250" t="s">
        <v>90</v>
      </c>
      <c r="Z44" s="250" t="s">
        <v>40</v>
      </c>
      <c r="AA44" s="250" t="s">
        <v>84</v>
      </c>
      <c r="AB44" s="55" t="s">
        <v>195</v>
      </c>
    </row>
    <row r="45" spans="1:28" x14ac:dyDescent="0.15">
      <c r="A45" s="96" t="s">
        <v>34</v>
      </c>
      <c r="B45" s="229" t="s">
        <v>193</v>
      </c>
      <c r="C45" s="229">
        <v>2018</v>
      </c>
      <c r="D45" s="231" t="s">
        <v>284</v>
      </c>
      <c r="E45" s="230" t="s">
        <v>298</v>
      </c>
      <c r="F45" s="229" t="s">
        <v>551</v>
      </c>
      <c r="G45" s="232" t="s">
        <v>36</v>
      </c>
      <c r="H45" s="180" t="s">
        <v>155</v>
      </c>
      <c r="I45" s="180" t="s">
        <v>153</v>
      </c>
      <c r="J45" s="182" t="s">
        <v>38</v>
      </c>
      <c r="K45" s="180" t="s">
        <v>154</v>
      </c>
      <c r="L45" s="96">
        <v>2</v>
      </c>
      <c r="N45" s="96">
        <v>1</v>
      </c>
      <c r="O45" s="96">
        <v>0.95</v>
      </c>
      <c r="P45" s="96">
        <v>0.9</v>
      </c>
      <c r="Q45" s="129">
        <f t="shared" si="0"/>
        <v>0.92500000000000004</v>
      </c>
      <c r="R45" s="240">
        <v>12.4</v>
      </c>
      <c r="S45" s="240">
        <v>117</v>
      </c>
      <c r="T45" s="105">
        <f t="shared" si="1"/>
        <v>30</v>
      </c>
      <c r="U45" s="245">
        <v>98</v>
      </c>
      <c r="V45" s="105">
        <f t="shared" si="2"/>
        <v>2940</v>
      </c>
      <c r="W45" s="96">
        <v>117</v>
      </c>
      <c r="X45" s="238" t="s">
        <v>46</v>
      </c>
      <c r="Y45" s="250" t="s">
        <v>90</v>
      </c>
      <c r="Z45" s="250" t="s">
        <v>40</v>
      </c>
      <c r="AA45" s="250" t="s">
        <v>84</v>
      </c>
      <c r="AB45" s="55" t="s">
        <v>195</v>
      </c>
    </row>
    <row r="46" spans="1:28" x14ac:dyDescent="0.15">
      <c r="A46" s="96" t="s">
        <v>34</v>
      </c>
      <c r="B46" s="229" t="s">
        <v>193</v>
      </c>
      <c r="C46" s="230">
        <v>2018</v>
      </c>
      <c r="D46" s="231" t="s">
        <v>284</v>
      </c>
      <c r="E46" s="230" t="s">
        <v>298</v>
      </c>
      <c r="F46" s="229" t="s">
        <v>551</v>
      </c>
      <c r="G46" s="232" t="s">
        <v>36</v>
      </c>
      <c r="H46" s="180" t="s">
        <v>155</v>
      </c>
      <c r="I46" s="180" t="s">
        <v>153</v>
      </c>
      <c r="J46" s="182" t="s">
        <v>38</v>
      </c>
      <c r="K46" s="180" t="s">
        <v>154</v>
      </c>
      <c r="L46" s="96">
        <v>3</v>
      </c>
      <c r="N46" s="96">
        <v>1</v>
      </c>
      <c r="O46" s="96">
        <v>1</v>
      </c>
      <c r="P46" s="96">
        <v>0.95</v>
      </c>
      <c r="Q46" s="129">
        <f t="shared" si="0"/>
        <v>0.97499999999999998</v>
      </c>
      <c r="R46" s="240">
        <v>12.2</v>
      </c>
      <c r="S46" s="240">
        <v>116</v>
      </c>
      <c r="T46" s="105">
        <f t="shared" si="1"/>
        <v>30</v>
      </c>
      <c r="U46" s="245">
        <v>98</v>
      </c>
      <c r="V46" s="105">
        <f t="shared" si="2"/>
        <v>2940</v>
      </c>
      <c r="W46" s="96">
        <v>116</v>
      </c>
      <c r="X46" s="238" t="s">
        <v>46</v>
      </c>
      <c r="Y46" s="250" t="s">
        <v>90</v>
      </c>
      <c r="Z46" s="250" t="s">
        <v>40</v>
      </c>
      <c r="AA46" s="250" t="s">
        <v>84</v>
      </c>
      <c r="AB46" s="55" t="s">
        <v>195</v>
      </c>
    </row>
    <row r="47" spans="1:28" x14ac:dyDescent="0.15">
      <c r="B47" s="34"/>
      <c r="D47" s="231"/>
      <c r="F47" s="229"/>
      <c r="G47" s="232"/>
      <c r="H47" s="180"/>
      <c r="I47" s="180"/>
      <c r="J47" s="182"/>
      <c r="K47" s="180"/>
      <c r="Q47" s="129"/>
      <c r="R47" s="240"/>
      <c r="S47" s="240"/>
      <c r="X47" s="238"/>
      <c r="AB47" s="55"/>
    </row>
    <row r="48" spans="1:28" x14ac:dyDescent="0.15">
      <c r="B48" s="34"/>
      <c r="D48" s="231"/>
      <c r="F48" s="229"/>
      <c r="G48" s="232"/>
      <c r="H48" s="180"/>
      <c r="I48" s="180"/>
      <c r="J48" s="182"/>
      <c r="K48" s="180"/>
      <c r="Q48" s="129"/>
      <c r="R48" s="240"/>
      <c r="S48" s="240"/>
      <c r="X48" s="238"/>
      <c r="AB48" s="55"/>
    </row>
    <row r="49" spans="2:28" x14ac:dyDescent="0.15">
      <c r="B49" s="34"/>
      <c r="D49" s="231"/>
      <c r="F49" s="229"/>
      <c r="G49" s="232"/>
      <c r="H49" s="180"/>
      <c r="I49" s="180"/>
      <c r="J49" s="182"/>
      <c r="K49" s="180"/>
      <c r="Q49" s="129"/>
      <c r="R49" s="240"/>
      <c r="S49" s="240"/>
      <c r="X49" s="238"/>
      <c r="AB49" s="55"/>
    </row>
    <row r="50" spans="2:28" x14ac:dyDescent="0.15">
      <c r="D50" s="231"/>
      <c r="F50" s="229"/>
      <c r="G50" s="232"/>
      <c r="H50" s="182"/>
      <c r="I50" s="182"/>
      <c r="J50" s="182"/>
      <c r="K50" s="180"/>
      <c r="Q50" s="129"/>
      <c r="X50" s="238"/>
    </row>
    <row r="51" spans="2:28" x14ac:dyDescent="0.15">
      <c r="D51" s="231"/>
      <c r="F51" s="229"/>
      <c r="G51" s="232"/>
      <c r="H51" s="182"/>
      <c r="I51" s="182"/>
      <c r="J51" s="182"/>
      <c r="K51" s="180"/>
      <c r="Q51" s="129"/>
      <c r="X51" s="238"/>
    </row>
    <row r="52" spans="2:28" x14ac:dyDescent="0.15">
      <c r="D52" s="231"/>
      <c r="F52" s="229"/>
      <c r="G52" s="232"/>
      <c r="H52" s="182"/>
      <c r="I52" s="182"/>
      <c r="J52" s="182"/>
      <c r="K52" s="180"/>
      <c r="Q52" s="129"/>
      <c r="X52" s="238"/>
    </row>
    <row r="53" spans="2:28" x14ac:dyDescent="0.15">
      <c r="D53" s="231"/>
      <c r="F53" s="229"/>
      <c r="G53" s="232"/>
      <c r="H53" s="182"/>
      <c r="I53" s="182"/>
      <c r="J53" s="182"/>
      <c r="K53" s="180"/>
      <c r="Q53" s="129"/>
      <c r="X53" s="238"/>
    </row>
    <row r="54" spans="2:28" x14ac:dyDescent="0.15">
      <c r="D54" s="231"/>
      <c r="F54" s="229"/>
      <c r="G54" s="232"/>
      <c r="H54" s="182"/>
      <c r="I54" s="182"/>
      <c r="J54" s="182"/>
      <c r="K54" s="180"/>
      <c r="Q54" s="129"/>
      <c r="X54" s="238"/>
    </row>
    <row r="55" spans="2:28" x14ac:dyDescent="0.15">
      <c r="D55" s="231"/>
      <c r="F55" s="229"/>
      <c r="G55" s="232"/>
      <c r="H55" s="182"/>
      <c r="I55" s="182"/>
      <c r="J55" s="182"/>
      <c r="K55" s="180"/>
      <c r="Q55" s="129"/>
      <c r="X55" s="238"/>
    </row>
    <row r="56" spans="2:28" x14ac:dyDescent="0.15">
      <c r="D56" s="231"/>
      <c r="F56" s="229"/>
      <c r="G56" s="232"/>
      <c r="H56" s="182"/>
      <c r="I56" s="182"/>
      <c r="J56" s="182"/>
      <c r="K56" s="180"/>
      <c r="Q56" s="129"/>
      <c r="X56" s="238"/>
    </row>
    <row r="57" spans="2:28" x14ac:dyDescent="0.15">
      <c r="D57" s="231"/>
      <c r="F57" s="229"/>
      <c r="G57" s="232"/>
      <c r="H57" s="182"/>
      <c r="I57" s="182"/>
      <c r="J57" s="182"/>
      <c r="K57" s="180"/>
      <c r="Q57" s="129"/>
      <c r="X57" s="238"/>
    </row>
    <row r="58" spans="2:28" x14ac:dyDescent="0.15">
      <c r="D58" s="231"/>
      <c r="F58" s="229"/>
      <c r="G58" s="232"/>
      <c r="H58" s="182"/>
      <c r="I58" s="182"/>
      <c r="J58" s="182"/>
      <c r="K58" s="180"/>
      <c r="Q58" s="129"/>
      <c r="X58" s="238"/>
    </row>
    <row r="59" spans="2:28" x14ac:dyDescent="0.15">
      <c r="D59" s="231"/>
      <c r="F59" s="229"/>
      <c r="G59" s="232"/>
      <c r="H59" s="182"/>
      <c r="I59" s="182"/>
      <c r="J59" s="182"/>
      <c r="K59" s="180"/>
      <c r="Q59" s="129"/>
      <c r="X59" s="238"/>
    </row>
    <row r="60" spans="2:28" x14ac:dyDescent="0.15">
      <c r="D60" s="231"/>
      <c r="F60" s="229"/>
      <c r="G60" s="232"/>
      <c r="H60" s="182"/>
      <c r="I60" s="182"/>
      <c r="J60" s="182"/>
      <c r="K60" s="180"/>
      <c r="Q60" s="129"/>
      <c r="X60" s="238"/>
    </row>
    <row r="61" spans="2:28" x14ac:dyDescent="0.15">
      <c r="D61" s="231"/>
      <c r="F61" s="229"/>
      <c r="G61" s="232"/>
      <c r="H61" s="182"/>
      <c r="I61" s="182"/>
      <c r="J61" s="182"/>
      <c r="K61" s="180"/>
      <c r="Q61" s="129"/>
      <c r="X61" s="238"/>
    </row>
    <row r="62" spans="2:28" x14ac:dyDescent="0.15">
      <c r="D62" s="251"/>
      <c r="F62" s="229"/>
      <c r="G62" s="232"/>
      <c r="H62" s="182"/>
      <c r="I62" s="182"/>
      <c r="J62" s="182"/>
      <c r="K62" s="180"/>
      <c r="Q62" s="129" t="str">
        <f t="shared" si="0"/>
        <v/>
      </c>
      <c r="T62" s="105" t="str">
        <f t="shared" si="1"/>
        <v/>
      </c>
      <c r="V62" s="105" t="str">
        <f t="shared" si="2"/>
        <v/>
      </c>
      <c r="X62" s="238"/>
    </row>
    <row r="63" spans="2:28" x14ac:dyDescent="0.15">
      <c r="D63" s="251"/>
      <c r="F63" s="229"/>
      <c r="G63" s="232"/>
      <c r="H63" s="182"/>
      <c r="I63" s="182"/>
      <c r="J63" s="182"/>
      <c r="K63" s="180"/>
      <c r="Q63" s="129" t="str">
        <f t="shared" si="0"/>
        <v/>
      </c>
      <c r="T63" s="105" t="str">
        <f t="shared" si="1"/>
        <v/>
      </c>
      <c r="V63" s="105" t="str">
        <f t="shared" si="2"/>
        <v/>
      </c>
      <c r="X63" s="238"/>
    </row>
    <row r="64" spans="2:28" x14ac:dyDescent="0.15">
      <c r="D64" s="251"/>
      <c r="F64" s="229"/>
      <c r="G64" s="232"/>
      <c r="H64" s="182"/>
      <c r="I64" s="182"/>
      <c r="J64" s="182"/>
      <c r="K64" s="180"/>
      <c r="Q64" s="129" t="str">
        <f t="shared" si="0"/>
        <v/>
      </c>
      <c r="T64" s="105" t="str">
        <f t="shared" si="1"/>
        <v/>
      </c>
      <c r="V64" s="105" t="str">
        <f t="shared" si="2"/>
        <v/>
      </c>
      <c r="X64" s="238"/>
    </row>
    <row r="65" spans="4:24" x14ac:dyDescent="0.15">
      <c r="D65" s="251"/>
      <c r="F65" s="229"/>
      <c r="G65" s="232"/>
      <c r="H65" s="182"/>
      <c r="I65" s="182"/>
      <c r="J65" s="182"/>
      <c r="K65" s="180"/>
      <c r="Q65" s="129" t="str">
        <f t="shared" si="0"/>
        <v/>
      </c>
      <c r="T65" s="105" t="str">
        <f t="shared" si="1"/>
        <v/>
      </c>
      <c r="V65" s="105" t="str">
        <f t="shared" si="2"/>
        <v/>
      </c>
      <c r="X65" s="238"/>
    </row>
    <row r="66" spans="4:24" x14ac:dyDescent="0.15">
      <c r="D66" s="251"/>
      <c r="F66" s="229"/>
      <c r="G66" s="232"/>
      <c r="H66" s="182"/>
      <c r="I66" s="182"/>
      <c r="J66" s="182"/>
      <c r="K66" s="180"/>
      <c r="Q66" s="129" t="str">
        <f t="shared" ref="Q66:Q91" si="3">IF(OR(O66="",P66=""),"",AVERAGE(O66,P66))</f>
        <v/>
      </c>
      <c r="T66" s="105" t="str">
        <f t="shared" si="1"/>
        <v/>
      </c>
      <c r="V66" s="105" t="str">
        <f t="shared" si="2"/>
        <v/>
      </c>
      <c r="X66" s="238"/>
    </row>
    <row r="67" spans="4:24" x14ac:dyDescent="0.15">
      <c r="D67" s="252"/>
      <c r="F67" s="229"/>
      <c r="G67" s="232"/>
      <c r="H67" s="182"/>
      <c r="I67" s="182"/>
      <c r="J67" s="182"/>
      <c r="K67" s="180"/>
      <c r="Q67" s="129" t="str">
        <f t="shared" si="3"/>
        <v/>
      </c>
      <c r="T67" s="105" t="str">
        <f t="shared" ref="T67:T92" si="4">IF(H67="","",IF(OR(H67="GREEN",H67="GK"),IF(S67&gt;=$AX$2,VLOOKUP(S67,$AX$2:$AY$7,2,1),""),IF(S67&gt;=$AZ$2,VLOOKUP(S67,$AZ$2:$BA$7,2,1),"")))</f>
        <v/>
      </c>
      <c r="V67" s="105" t="str">
        <f t="shared" ref="V67:V92" si="5">IF(OR(N67="",U67="",T67=""),"",U67/N67*T67)</f>
        <v/>
      </c>
      <c r="X67" s="238"/>
    </row>
    <row r="68" spans="4:24" x14ac:dyDescent="0.15">
      <c r="D68" s="252"/>
      <c r="F68" s="229"/>
      <c r="G68" s="232"/>
      <c r="H68" s="182"/>
      <c r="I68" s="182"/>
      <c r="J68" s="182"/>
      <c r="K68" s="180"/>
      <c r="Q68" s="129" t="str">
        <f t="shared" si="3"/>
        <v/>
      </c>
      <c r="T68" s="105" t="str">
        <f t="shared" si="4"/>
        <v/>
      </c>
      <c r="V68" s="105" t="str">
        <f t="shared" si="5"/>
        <v/>
      </c>
      <c r="X68" s="238"/>
    </row>
    <row r="69" spans="4:24" x14ac:dyDescent="0.15">
      <c r="D69" s="252"/>
      <c r="F69" s="229"/>
      <c r="G69" s="232"/>
      <c r="H69" s="182"/>
      <c r="I69" s="182"/>
      <c r="J69" s="182"/>
      <c r="K69" s="180"/>
      <c r="Q69" s="129" t="str">
        <f t="shared" si="3"/>
        <v/>
      </c>
      <c r="T69" s="105" t="str">
        <f t="shared" si="4"/>
        <v/>
      </c>
      <c r="V69" s="105" t="str">
        <f t="shared" si="5"/>
        <v/>
      </c>
      <c r="X69" s="238"/>
    </row>
    <row r="70" spans="4:24" x14ac:dyDescent="0.15">
      <c r="D70" s="252"/>
      <c r="F70" s="229"/>
      <c r="G70" s="232"/>
      <c r="H70" s="182"/>
      <c r="I70" s="182"/>
      <c r="J70" s="182"/>
      <c r="K70" s="180"/>
      <c r="Q70" s="129" t="str">
        <f t="shared" si="3"/>
        <v/>
      </c>
      <c r="T70" s="105" t="str">
        <f t="shared" si="4"/>
        <v/>
      </c>
      <c r="V70" s="105" t="str">
        <f t="shared" si="5"/>
        <v/>
      </c>
      <c r="X70" s="238"/>
    </row>
    <row r="71" spans="4:24" x14ac:dyDescent="0.15">
      <c r="D71" s="252"/>
      <c r="F71" s="229"/>
      <c r="G71" s="232"/>
      <c r="H71" s="182"/>
      <c r="I71" s="182"/>
      <c r="J71" s="182"/>
      <c r="K71" s="180"/>
      <c r="Q71" s="129" t="str">
        <f t="shared" si="3"/>
        <v/>
      </c>
      <c r="T71" s="105" t="str">
        <f t="shared" si="4"/>
        <v/>
      </c>
      <c r="V71" s="105" t="str">
        <f t="shared" si="5"/>
        <v/>
      </c>
      <c r="X71" s="238"/>
    </row>
    <row r="72" spans="4:24" x14ac:dyDescent="0.15">
      <c r="D72" s="252"/>
      <c r="F72" s="229"/>
      <c r="G72" s="232"/>
      <c r="H72" s="182"/>
      <c r="I72" s="182"/>
      <c r="J72" s="182"/>
      <c r="K72" s="180"/>
      <c r="Q72" s="129" t="str">
        <f t="shared" si="3"/>
        <v/>
      </c>
      <c r="T72" s="105" t="str">
        <f t="shared" si="4"/>
        <v/>
      </c>
      <c r="V72" s="105" t="str">
        <f t="shared" si="5"/>
        <v/>
      </c>
      <c r="X72" s="238"/>
    </row>
    <row r="73" spans="4:24" x14ac:dyDescent="0.15">
      <c r="D73" s="252"/>
      <c r="F73" s="229"/>
      <c r="G73" s="232"/>
      <c r="H73" s="182"/>
      <c r="I73" s="182"/>
      <c r="J73" s="182"/>
      <c r="K73" s="180"/>
      <c r="Q73" s="129" t="str">
        <f t="shared" si="3"/>
        <v/>
      </c>
      <c r="T73" s="105" t="str">
        <f t="shared" si="4"/>
        <v/>
      </c>
      <c r="V73" s="105" t="str">
        <f t="shared" si="5"/>
        <v/>
      </c>
      <c r="X73" s="238"/>
    </row>
    <row r="74" spans="4:24" x14ac:dyDescent="0.15">
      <c r="D74" s="252"/>
      <c r="F74" s="229"/>
      <c r="G74" s="232"/>
      <c r="H74" s="182"/>
      <c r="I74" s="182"/>
      <c r="J74" s="182"/>
      <c r="K74" s="180"/>
      <c r="Q74" s="129" t="str">
        <f t="shared" si="3"/>
        <v/>
      </c>
      <c r="T74" s="105" t="str">
        <f t="shared" si="4"/>
        <v/>
      </c>
      <c r="V74" s="105" t="str">
        <f t="shared" si="5"/>
        <v/>
      </c>
      <c r="X74" s="238"/>
    </row>
    <row r="75" spans="4:24" x14ac:dyDescent="0.15">
      <c r="D75" s="252"/>
      <c r="F75" s="229"/>
      <c r="G75" s="232"/>
      <c r="H75" s="182"/>
      <c r="I75" s="182"/>
      <c r="J75" s="182"/>
      <c r="K75" s="180"/>
      <c r="Q75" s="129" t="str">
        <f t="shared" si="3"/>
        <v/>
      </c>
      <c r="T75" s="105" t="str">
        <f t="shared" si="4"/>
        <v/>
      </c>
      <c r="V75" s="105" t="str">
        <f t="shared" si="5"/>
        <v/>
      </c>
      <c r="X75" s="238"/>
    </row>
    <row r="76" spans="4:24" x14ac:dyDescent="0.15">
      <c r="D76" s="252"/>
      <c r="F76" s="229"/>
      <c r="G76" s="232"/>
      <c r="H76" s="182"/>
      <c r="I76" s="182"/>
      <c r="J76" s="182"/>
      <c r="K76" s="180"/>
      <c r="Q76" s="129" t="str">
        <f t="shared" si="3"/>
        <v/>
      </c>
      <c r="T76" s="105" t="str">
        <f t="shared" si="4"/>
        <v/>
      </c>
      <c r="V76" s="105" t="str">
        <f t="shared" si="5"/>
        <v/>
      </c>
      <c r="X76" s="238"/>
    </row>
    <row r="77" spans="4:24" x14ac:dyDescent="0.15">
      <c r="D77" s="252"/>
      <c r="F77" s="229"/>
      <c r="G77" s="232"/>
      <c r="H77" s="182"/>
      <c r="I77" s="182"/>
      <c r="J77" s="182"/>
      <c r="K77" s="180"/>
      <c r="Q77" s="129" t="str">
        <f t="shared" si="3"/>
        <v/>
      </c>
      <c r="T77" s="105" t="str">
        <f t="shared" si="4"/>
        <v/>
      </c>
      <c r="V77" s="105" t="str">
        <f t="shared" si="5"/>
        <v/>
      </c>
      <c r="X77" s="238"/>
    </row>
    <row r="78" spans="4:24" x14ac:dyDescent="0.15">
      <c r="D78" s="252"/>
      <c r="F78" s="229"/>
      <c r="G78" s="232"/>
      <c r="H78" s="182"/>
      <c r="I78" s="182"/>
      <c r="J78" s="182"/>
      <c r="K78" s="180"/>
      <c r="Q78" s="129" t="str">
        <f t="shared" si="3"/>
        <v/>
      </c>
      <c r="T78" s="105" t="str">
        <f t="shared" si="4"/>
        <v/>
      </c>
      <c r="V78" s="105" t="str">
        <f t="shared" si="5"/>
        <v/>
      </c>
      <c r="X78" s="238"/>
    </row>
    <row r="79" spans="4:24" x14ac:dyDescent="0.15">
      <c r="D79" s="252"/>
      <c r="F79" s="229"/>
      <c r="G79" s="232"/>
      <c r="H79" s="182"/>
      <c r="I79" s="182"/>
      <c r="J79" s="182"/>
      <c r="K79" s="180"/>
      <c r="Q79" s="129" t="str">
        <f t="shared" si="3"/>
        <v/>
      </c>
      <c r="T79" s="105" t="str">
        <f t="shared" si="4"/>
        <v/>
      </c>
      <c r="V79" s="105" t="str">
        <f t="shared" si="5"/>
        <v/>
      </c>
      <c r="X79" s="238"/>
    </row>
    <row r="80" spans="4:24" x14ac:dyDescent="0.15">
      <c r="H80" s="182"/>
      <c r="I80" s="182"/>
      <c r="J80" s="182"/>
      <c r="K80" s="180"/>
      <c r="Q80" s="129" t="str">
        <f t="shared" si="3"/>
        <v/>
      </c>
      <c r="T80" s="105" t="str">
        <f t="shared" si="4"/>
        <v/>
      </c>
      <c r="V80" s="105" t="str">
        <f t="shared" si="5"/>
        <v/>
      </c>
    </row>
    <row r="81" spans="8:22" x14ac:dyDescent="0.15">
      <c r="H81" s="182"/>
      <c r="I81" s="182"/>
      <c r="J81" s="182"/>
      <c r="K81" s="180"/>
      <c r="Q81" s="129" t="str">
        <f t="shared" si="3"/>
        <v/>
      </c>
      <c r="T81" s="105" t="str">
        <f t="shared" si="4"/>
        <v/>
      </c>
      <c r="V81" s="105" t="str">
        <f t="shared" si="5"/>
        <v/>
      </c>
    </row>
    <row r="82" spans="8:22" x14ac:dyDescent="0.15">
      <c r="H82" s="182"/>
      <c r="I82" s="182"/>
      <c r="J82" s="182"/>
      <c r="K82" s="180"/>
      <c r="Q82" s="129" t="str">
        <f t="shared" si="3"/>
        <v/>
      </c>
      <c r="T82" s="105" t="str">
        <f t="shared" si="4"/>
        <v/>
      </c>
      <c r="V82" s="105" t="str">
        <f t="shared" si="5"/>
        <v/>
      </c>
    </row>
    <row r="83" spans="8:22" x14ac:dyDescent="0.15">
      <c r="H83" s="182"/>
      <c r="I83" s="182"/>
      <c r="J83" s="182"/>
      <c r="K83" s="180"/>
      <c r="Q83" s="129" t="str">
        <f t="shared" si="3"/>
        <v/>
      </c>
      <c r="T83" s="105" t="str">
        <f t="shared" si="4"/>
        <v/>
      </c>
      <c r="V83" s="105" t="str">
        <f t="shared" si="5"/>
        <v/>
      </c>
    </row>
    <row r="84" spans="8:22" x14ac:dyDescent="0.15">
      <c r="H84" s="182"/>
      <c r="I84" s="182"/>
      <c r="J84" s="182"/>
      <c r="K84" s="180"/>
      <c r="Q84" s="129" t="str">
        <f t="shared" si="3"/>
        <v/>
      </c>
      <c r="T84" s="105" t="str">
        <f t="shared" si="4"/>
        <v/>
      </c>
      <c r="V84" s="105" t="str">
        <f t="shared" si="5"/>
        <v/>
      </c>
    </row>
    <row r="85" spans="8:22" x14ac:dyDescent="0.15">
      <c r="H85" s="182"/>
      <c r="I85" s="182"/>
      <c r="J85" s="182"/>
      <c r="K85" s="180"/>
      <c r="Q85" s="129" t="str">
        <f t="shared" si="3"/>
        <v/>
      </c>
      <c r="T85" s="105" t="str">
        <f t="shared" si="4"/>
        <v/>
      </c>
      <c r="V85" s="105" t="str">
        <f t="shared" si="5"/>
        <v/>
      </c>
    </row>
    <row r="86" spans="8:22" x14ac:dyDescent="0.15">
      <c r="H86" s="182"/>
      <c r="I86" s="182"/>
      <c r="J86" s="182"/>
      <c r="K86" s="180"/>
      <c r="Q86" s="129" t="str">
        <f t="shared" si="3"/>
        <v/>
      </c>
      <c r="T86" s="105" t="str">
        <f t="shared" si="4"/>
        <v/>
      </c>
      <c r="V86" s="105" t="str">
        <f t="shared" si="5"/>
        <v/>
      </c>
    </row>
    <row r="87" spans="8:22" x14ac:dyDescent="0.15">
      <c r="H87" s="182"/>
      <c r="I87" s="182"/>
      <c r="J87" s="182"/>
      <c r="K87" s="180"/>
      <c r="Q87" s="129" t="str">
        <f t="shared" si="3"/>
        <v/>
      </c>
      <c r="T87" s="105" t="str">
        <f t="shared" si="4"/>
        <v/>
      </c>
      <c r="V87" s="105" t="str">
        <f t="shared" si="5"/>
        <v/>
      </c>
    </row>
    <row r="88" spans="8:22" x14ac:dyDescent="0.15">
      <c r="H88" s="182"/>
      <c r="I88" s="182"/>
      <c r="J88" s="182"/>
      <c r="K88" s="180"/>
      <c r="Q88" s="129" t="str">
        <f t="shared" si="3"/>
        <v/>
      </c>
      <c r="T88" s="105" t="str">
        <f t="shared" si="4"/>
        <v/>
      </c>
      <c r="V88" s="105" t="str">
        <f t="shared" si="5"/>
        <v/>
      </c>
    </row>
    <row r="89" spans="8:22" x14ac:dyDescent="0.15">
      <c r="H89" s="182"/>
      <c r="I89" s="182"/>
      <c r="J89" s="182"/>
      <c r="K89" s="180"/>
      <c r="Q89" s="129" t="str">
        <f t="shared" si="3"/>
        <v/>
      </c>
      <c r="T89" s="105" t="str">
        <f t="shared" si="4"/>
        <v/>
      </c>
      <c r="V89" s="105" t="str">
        <f t="shared" si="5"/>
        <v/>
      </c>
    </row>
    <row r="90" spans="8:22" x14ac:dyDescent="0.15">
      <c r="H90" s="182"/>
      <c r="I90" s="182"/>
      <c r="J90" s="182"/>
      <c r="K90" s="180"/>
      <c r="Q90" s="129" t="str">
        <f t="shared" si="3"/>
        <v/>
      </c>
      <c r="T90" s="105" t="str">
        <f t="shared" si="4"/>
        <v/>
      </c>
      <c r="V90" s="105" t="str">
        <f t="shared" si="5"/>
        <v/>
      </c>
    </row>
    <row r="91" spans="8:22" x14ac:dyDescent="0.15">
      <c r="H91" s="182"/>
      <c r="I91" s="182"/>
      <c r="J91" s="182"/>
      <c r="K91" s="180"/>
      <c r="Q91" s="129" t="str">
        <f t="shared" si="3"/>
        <v/>
      </c>
      <c r="T91" s="105" t="str">
        <f t="shared" si="4"/>
        <v/>
      </c>
      <c r="V91" s="105" t="str">
        <f t="shared" si="5"/>
        <v/>
      </c>
    </row>
    <row r="92" spans="8:22" x14ac:dyDescent="0.15">
      <c r="H92" s="182"/>
      <c r="I92" s="182"/>
      <c r="J92" s="182"/>
      <c r="K92" s="180"/>
      <c r="Q92" s="129"/>
    </row>
    <row r="93" spans="8:22" x14ac:dyDescent="0.15">
      <c r="H93" s="182"/>
      <c r="I93" s="182"/>
      <c r="J93" s="182"/>
      <c r="K93" s="180"/>
      <c r="Q93" s="129"/>
    </row>
    <row r="94" spans="8:22" x14ac:dyDescent="0.15">
      <c r="H94" s="182"/>
      <c r="I94" s="182"/>
      <c r="J94" s="182"/>
      <c r="K94" s="180"/>
      <c r="Q94" s="129"/>
    </row>
    <row r="95" spans="8:22" x14ac:dyDescent="0.15">
      <c r="H95" s="182"/>
      <c r="I95" s="182"/>
      <c r="J95" s="182"/>
      <c r="K95" s="180"/>
      <c r="Q95" s="129"/>
    </row>
    <row r="96" spans="8:22" x14ac:dyDescent="0.15">
      <c r="H96" s="182"/>
      <c r="I96" s="182"/>
      <c r="J96" s="182"/>
      <c r="K96" s="180"/>
      <c r="Q96" s="129"/>
    </row>
    <row r="97" spans="8:17" x14ac:dyDescent="0.15">
      <c r="H97" s="182"/>
      <c r="I97" s="182"/>
      <c r="J97" s="182"/>
      <c r="K97" s="180"/>
      <c r="Q97" s="129"/>
    </row>
    <row r="98" spans="8:17" x14ac:dyDescent="0.15">
      <c r="H98" s="182"/>
      <c r="I98" s="182"/>
      <c r="J98" s="182"/>
      <c r="K98" s="180"/>
      <c r="Q98" s="129"/>
    </row>
    <row r="99" spans="8:17" x14ac:dyDescent="0.15">
      <c r="H99" s="182"/>
      <c r="I99" s="182"/>
      <c r="J99" s="182"/>
      <c r="K99" s="180"/>
      <c r="Q99" s="129"/>
    </row>
    <row r="100" spans="8:17" x14ac:dyDescent="0.15">
      <c r="H100" s="182"/>
      <c r="I100" s="182"/>
      <c r="J100" s="182"/>
      <c r="K100" s="180"/>
      <c r="Q100" s="129"/>
    </row>
    <row r="101" spans="8:17" x14ac:dyDescent="0.15">
      <c r="H101" s="182"/>
      <c r="I101" s="182"/>
      <c r="J101" s="182"/>
      <c r="K101" s="180"/>
      <c r="Q101" s="129"/>
    </row>
    <row r="102" spans="8:17" x14ac:dyDescent="0.15">
      <c r="H102" s="182"/>
      <c r="I102" s="182"/>
      <c r="J102" s="182"/>
      <c r="K102" s="180"/>
      <c r="Q102" s="129"/>
    </row>
    <row r="103" spans="8:17" x14ac:dyDescent="0.15">
      <c r="H103" s="182"/>
      <c r="I103" s="182"/>
      <c r="J103" s="182"/>
      <c r="K103" s="180"/>
      <c r="Q103" s="129"/>
    </row>
    <row r="104" spans="8:17" x14ac:dyDescent="0.15">
      <c r="H104" s="182"/>
      <c r="I104" s="182"/>
      <c r="J104" s="182"/>
      <c r="K104" s="180"/>
      <c r="Q104" s="129"/>
    </row>
    <row r="105" spans="8:17" x14ac:dyDescent="0.15">
      <c r="H105" s="182"/>
      <c r="I105" s="182"/>
      <c r="J105" s="182"/>
      <c r="K105" s="180"/>
      <c r="Q105" s="129"/>
    </row>
    <row r="106" spans="8:17" x14ac:dyDescent="0.15">
      <c r="H106" s="182"/>
      <c r="I106" s="182"/>
      <c r="J106" s="182"/>
      <c r="K106" s="180"/>
      <c r="Q106" s="129"/>
    </row>
    <row r="107" spans="8:17" x14ac:dyDescent="0.15">
      <c r="H107" s="182"/>
      <c r="I107" s="182"/>
      <c r="J107" s="182"/>
      <c r="K107" s="180"/>
      <c r="Q107" s="129"/>
    </row>
    <row r="108" spans="8:17" x14ac:dyDescent="0.15">
      <c r="H108" s="182"/>
      <c r="I108" s="182"/>
      <c r="J108" s="182"/>
      <c r="K108" s="180"/>
      <c r="Q108" s="129"/>
    </row>
    <row r="109" spans="8:17" x14ac:dyDescent="0.15">
      <c r="H109" s="182"/>
      <c r="I109" s="182"/>
      <c r="J109" s="182"/>
      <c r="K109" s="180"/>
      <c r="Q109" s="129"/>
    </row>
    <row r="110" spans="8:17" x14ac:dyDescent="0.15">
      <c r="H110" s="182"/>
      <c r="I110" s="182"/>
      <c r="J110" s="182"/>
      <c r="K110" s="180"/>
      <c r="Q110" s="129"/>
    </row>
    <row r="111" spans="8:17" x14ac:dyDescent="0.15">
      <c r="H111" s="182"/>
      <c r="I111" s="182"/>
      <c r="J111" s="182"/>
      <c r="K111" s="180"/>
      <c r="Q111" s="129"/>
    </row>
    <row r="112" spans="8:17" x14ac:dyDescent="0.15">
      <c r="H112" s="182"/>
      <c r="I112" s="182"/>
      <c r="J112" s="182"/>
      <c r="K112" s="180"/>
      <c r="Q112" s="129"/>
    </row>
    <row r="113" spans="8:17" x14ac:dyDescent="0.15">
      <c r="H113" s="182"/>
      <c r="I113" s="182"/>
      <c r="J113" s="182"/>
      <c r="K113" s="180"/>
      <c r="Q113" s="129"/>
    </row>
    <row r="114" spans="8:17" x14ac:dyDescent="0.15">
      <c r="H114" s="182"/>
      <c r="I114" s="182"/>
      <c r="J114" s="182"/>
      <c r="K114" s="180"/>
      <c r="Q114" s="129"/>
    </row>
    <row r="115" spans="8:17" x14ac:dyDescent="0.15">
      <c r="H115" s="182"/>
      <c r="I115" s="182"/>
      <c r="J115" s="182"/>
      <c r="K115" s="180"/>
      <c r="Q115" s="129"/>
    </row>
    <row r="116" spans="8:17" x14ac:dyDescent="0.15">
      <c r="H116" s="182"/>
      <c r="I116" s="182"/>
      <c r="J116" s="182"/>
      <c r="K116" s="180"/>
      <c r="Q116" s="129"/>
    </row>
    <row r="117" spans="8:17" x14ac:dyDescent="0.15">
      <c r="H117" s="182"/>
      <c r="I117" s="182"/>
      <c r="J117" s="182"/>
      <c r="K117" s="180"/>
      <c r="Q117" s="129"/>
    </row>
    <row r="118" spans="8:17" x14ac:dyDescent="0.15">
      <c r="H118" s="182"/>
      <c r="I118" s="182"/>
      <c r="J118" s="182"/>
      <c r="K118" s="180"/>
      <c r="Q118" s="129"/>
    </row>
    <row r="119" spans="8:17" x14ac:dyDescent="0.15">
      <c r="H119" s="182"/>
      <c r="I119" s="182"/>
      <c r="J119" s="182"/>
      <c r="K119" s="180"/>
      <c r="Q119" s="129"/>
    </row>
    <row r="120" spans="8:17" x14ac:dyDescent="0.15">
      <c r="H120" s="182"/>
      <c r="I120" s="182"/>
      <c r="J120" s="182"/>
      <c r="K120" s="180"/>
      <c r="Q120" s="129"/>
    </row>
    <row r="121" spans="8:17" x14ac:dyDescent="0.15">
      <c r="H121" s="182"/>
      <c r="I121" s="182"/>
      <c r="J121" s="182"/>
      <c r="K121" s="180"/>
      <c r="Q121" s="129"/>
    </row>
    <row r="122" spans="8:17" x14ac:dyDescent="0.15">
      <c r="H122" s="182"/>
      <c r="I122" s="182"/>
      <c r="J122" s="182"/>
      <c r="K122" s="180"/>
      <c r="Q122" s="129"/>
    </row>
    <row r="123" spans="8:17" x14ac:dyDescent="0.15">
      <c r="H123" s="182"/>
      <c r="I123" s="182"/>
      <c r="J123" s="182"/>
      <c r="K123" s="180"/>
      <c r="Q123" s="129"/>
    </row>
    <row r="124" spans="8:17" x14ac:dyDescent="0.15">
      <c r="H124" s="182"/>
      <c r="I124" s="182"/>
      <c r="J124" s="182"/>
      <c r="K124" s="180"/>
      <c r="Q124" s="129"/>
    </row>
    <row r="125" spans="8:17" x14ac:dyDescent="0.15">
      <c r="H125" s="182"/>
      <c r="I125" s="182"/>
      <c r="J125" s="182"/>
      <c r="K125" s="180"/>
      <c r="Q125" s="129"/>
    </row>
    <row r="126" spans="8:17" x14ac:dyDescent="0.15">
      <c r="H126" s="182"/>
      <c r="I126" s="182"/>
      <c r="J126" s="182"/>
      <c r="K126" s="180"/>
      <c r="Q126" s="129"/>
    </row>
    <row r="127" spans="8:17" x14ac:dyDescent="0.15">
      <c r="H127" s="182"/>
      <c r="I127" s="182"/>
      <c r="J127" s="182"/>
      <c r="K127" s="180"/>
      <c r="Q127" s="129"/>
    </row>
    <row r="128" spans="8:17" x14ac:dyDescent="0.15">
      <c r="H128" s="182"/>
      <c r="I128" s="182"/>
      <c r="J128" s="182"/>
      <c r="K128" s="180"/>
      <c r="Q128" s="129"/>
    </row>
    <row r="129" spans="8:17" x14ac:dyDescent="0.15">
      <c r="H129" s="182"/>
      <c r="I129" s="182"/>
      <c r="J129" s="182"/>
      <c r="K129" s="180"/>
      <c r="Q129" s="129"/>
    </row>
    <row r="130" spans="8:17" x14ac:dyDescent="0.15">
      <c r="H130" s="182"/>
      <c r="I130" s="182"/>
      <c r="J130" s="182"/>
      <c r="K130" s="180"/>
      <c r="Q130" s="129"/>
    </row>
    <row r="131" spans="8:17" x14ac:dyDescent="0.15">
      <c r="H131" s="182"/>
      <c r="I131" s="182"/>
      <c r="J131" s="182"/>
      <c r="K131" s="180"/>
      <c r="Q131" s="129"/>
    </row>
    <row r="132" spans="8:17" x14ac:dyDescent="0.15">
      <c r="H132" s="182"/>
      <c r="I132" s="182"/>
      <c r="J132" s="182"/>
      <c r="K132" s="180"/>
      <c r="Q132" s="129"/>
    </row>
    <row r="133" spans="8:17" x14ac:dyDescent="0.15">
      <c r="H133" s="182"/>
      <c r="I133" s="182"/>
      <c r="J133" s="182"/>
      <c r="K133" s="180"/>
      <c r="Q133" s="129"/>
    </row>
    <row r="134" spans="8:17" x14ac:dyDescent="0.15">
      <c r="H134" s="182"/>
      <c r="I134" s="182"/>
      <c r="J134" s="182"/>
      <c r="K134" s="180"/>
      <c r="Q134" s="129"/>
    </row>
    <row r="135" spans="8:17" x14ac:dyDescent="0.15">
      <c r="H135" s="182"/>
      <c r="I135" s="182"/>
      <c r="J135" s="182"/>
      <c r="K135" s="180"/>
      <c r="Q135" s="129"/>
    </row>
    <row r="136" spans="8:17" x14ac:dyDescent="0.15">
      <c r="H136" s="182"/>
      <c r="I136" s="182"/>
      <c r="J136" s="182"/>
      <c r="K136" s="180"/>
      <c r="Q136" s="129"/>
    </row>
    <row r="137" spans="8:17" x14ac:dyDescent="0.15">
      <c r="H137" s="182"/>
      <c r="I137" s="182"/>
      <c r="J137" s="182"/>
      <c r="K137" s="180"/>
      <c r="Q137" s="129"/>
    </row>
    <row r="138" spans="8:17" x14ac:dyDescent="0.15">
      <c r="H138" s="182"/>
      <c r="I138" s="182"/>
      <c r="J138" s="182"/>
      <c r="K138" s="180"/>
      <c r="Q138" s="129"/>
    </row>
    <row r="139" spans="8:17" x14ac:dyDescent="0.15">
      <c r="H139" s="182"/>
      <c r="I139" s="182"/>
      <c r="J139" s="182"/>
      <c r="K139" s="180"/>
      <c r="Q139" s="129"/>
    </row>
    <row r="140" spans="8:17" x14ac:dyDescent="0.15">
      <c r="H140" s="182"/>
      <c r="I140" s="182"/>
      <c r="J140" s="182"/>
      <c r="K140" s="180"/>
      <c r="Q140" s="129"/>
    </row>
    <row r="141" spans="8:17" x14ac:dyDescent="0.15">
      <c r="H141" s="182"/>
      <c r="I141" s="182"/>
      <c r="J141" s="182"/>
      <c r="K141" s="180"/>
      <c r="Q141" s="129"/>
    </row>
    <row r="142" spans="8:17" x14ac:dyDescent="0.15">
      <c r="K142" s="180"/>
      <c r="Q142" s="129"/>
    </row>
    <row r="143" spans="8:17" x14ac:dyDescent="0.15">
      <c r="K143" s="180"/>
      <c r="Q143" s="129"/>
    </row>
    <row r="144" spans="8:17" x14ac:dyDescent="0.15">
      <c r="K144" s="180"/>
      <c r="Q144" s="129"/>
    </row>
    <row r="145" spans="11:17" x14ac:dyDescent="0.15">
      <c r="K145" s="180"/>
      <c r="Q145" s="129"/>
    </row>
    <row r="146" spans="11:17" x14ac:dyDescent="0.15">
      <c r="K146" s="180"/>
      <c r="Q146" s="129"/>
    </row>
    <row r="147" spans="11:17" x14ac:dyDescent="0.15">
      <c r="K147" s="180"/>
      <c r="Q147" s="129"/>
    </row>
    <row r="148" spans="11:17" x14ac:dyDescent="0.15">
      <c r="K148" s="180"/>
      <c r="Q148" s="129"/>
    </row>
    <row r="149" spans="11:17" x14ac:dyDescent="0.15">
      <c r="K149" s="180"/>
      <c r="Q149" s="129"/>
    </row>
    <row r="150" spans="11:17" x14ac:dyDescent="0.15">
      <c r="K150" s="180"/>
      <c r="Q150" s="129"/>
    </row>
    <row r="151" spans="11:17" x14ac:dyDescent="0.15">
      <c r="K151" s="180"/>
      <c r="Q151" s="129"/>
    </row>
    <row r="152" spans="11:17" x14ac:dyDescent="0.15">
      <c r="K152" s="180"/>
      <c r="Q152" s="129"/>
    </row>
    <row r="153" spans="11:17" x14ac:dyDescent="0.15">
      <c r="K153" s="180"/>
      <c r="Q153" s="129"/>
    </row>
    <row r="154" spans="11:17" x14ac:dyDescent="0.15">
      <c r="K154" s="180"/>
      <c r="Q154" s="129"/>
    </row>
    <row r="155" spans="11:17" x14ac:dyDescent="0.15">
      <c r="K155" s="180"/>
      <c r="Q155" s="129"/>
    </row>
    <row r="156" spans="11:17" x14ac:dyDescent="0.15">
      <c r="K156" s="180"/>
      <c r="Q156" s="129"/>
    </row>
    <row r="157" spans="11:17" x14ac:dyDescent="0.15">
      <c r="K157" s="180"/>
      <c r="Q157" s="129"/>
    </row>
    <row r="158" spans="11:17" x14ac:dyDescent="0.15">
      <c r="K158" s="180"/>
      <c r="Q158" s="129"/>
    </row>
    <row r="159" spans="11:17" x14ac:dyDescent="0.15">
      <c r="K159" s="180"/>
      <c r="Q159" s="129"/>
    </row>
    <row r="160" spans="11:17" x14ac:dyDescent="0.15">
      <c r="K160" s="180"/>
      <c r="Q160" s="129"/>
    </row>
    <row r="161" spans="11:17" x14ac:dyDescent="0.15">
      <c r="K161" s="180"/>
      <c r="Q161" s="129"/>
    </row>
    <row r="162" spans="11:17" x14ac:dyDescent="0.15">
      <c r="K162" s="180"/>
      <c r="Q162" s="129"/>
    </row>
    <row r="163" spans="11:17" x14ac:dyDescent="0.15">
      <c r="K163" s="180"/>
      <c r="Q163" s="129"/>
    </row>
    <row r="164" spans="11:17" x14ac:dyDescent="0.15">
      <c r="K164" s="180"/>
      <c r="Q164" s="129"/>
    </row>
    <row r="165" spans="11:17" x14ac:dyDescent="0.15">
      <c r="K165" s="180"/>
      <c r="Q165" s="129"/>
    </row>
    <row r="166" spans="11:17" x14ac:dyDescent="0.15">
      <c r="K166" s="180"/>
      <c r="Q166" s="129"/>
    </row>
    <row r="167" spans="11:17" x14ac:dyDescent="0.15">
      <c r="K167" s="180"/>
      <c r="Q167" s="129"/>
    </row>
    <row r="168" spans="11:17" x14ac:dyDescent="0.15">
      <c r="K168" s="180"/>
      <c r="Q168" s="129"/>
    </row>
    <row r="169" spans="11:17" x14ac:dyDescent="0.15">
      <c r="K169" s="180"/>
      <c r="Q169" s="129"/>
    </row>
    <row r="170" spans="11:17" x14ac:dyDescent="0.15">
      <c r="K170" s="180"/>
      <c r="Q170" s="129"/>
    </row>
    <row r="171" spans="11:17" x14ac:dyDescent="0.15">
      <c r="K171" s="180"/>
      <c r="Q171" s="129"/>
    </row>
    <row r="172" spans="11:17" x14ac:dyDescent="0.15">
      <c r="K172" s="180"/>
      <c r="Q172" s="129"/>
    </row>
    <row r="173" spans="11:17" x14ac:dyDescent="0.15">
      <c r="K173" s="180"/>
      <c r="Q173" s="129"/>
    </row>
    <row r="174" spans="11:17" x14ac:dyDescent="0.15">
      <c r="K174" s="180"/>
      <c r="Q174" s="129"/>
    </row>
    <row r="175" spans="11:17" x14ac:dyDescent="0.15">
      <c r="K175" s="180"/>
      <c r="Q175" s="129"/>
    </row>
    <row r="176" spans="11:17" x14ac:dyDescent="0.15">
      <c r="K176" s="180"/>
      <c r="Q176" s="129"/>
    </row>
    <row r="177" spans="11:17" x14ac:dyDescent="0.15">
      <c r="K177" s="180"/>
      <c r="Q177" s="129"/>
    </row>
    <row r="178" spans="11:17" x14ac:dyDescent="0.15">
      <c r="K178" s="180"/>
      <c r="Q178" s="129"/>
    </row>
    <row r="179" spans="11:17" x14ac:dyDescent="0.15">
      <c r="K179" s="180"/>
      <c r="Q179" s="129"/>
    </row>
    <row r="180" spans="11:17" x14ac:dyDescent="0.15">
      <c r="K180" s="180"/>
      <c r="Q180" s="129"/>
    </row>
    <row r="181" spans="11:17" x14ac:dyDescent="0.15">
      <c r="K181" s="180"/>
      <c r="Q181" s="129"/>
    </row>
    <row r="182" spans="11:17" x14ac:dyDescent="0.15">
      <c r="K182" s="180"/>
      <c r="Q182" s="129"/>
    </row>
    <row r="183" spans="11:17" x14ac:dyDescent="0.15">
      <c r="K183" s="180"/>
      <c r="Q183" s="129"/>
    </row>
    <row r="184" spans="11:17" x14ac:dyDescent="0.15">
      <c r="K184" s="180"/>
      <c r="Q184" s="129"/>
    </row>
    <row r="185" spans="11:17" x14ac:dyDescent="0.15">
      <c r="K185" s="180"/>
      <c r="Q185" s="129"/>
    </row>
    <row r="186" spans="11:17" x14ac:dyDescent="0.15">
      <c r="K186" s="180"/>
      <c r="Q186" s="129"/>
    </row>
    <row r="187" spans="11:17" x14ac:dyDescent="0.15">
      <c r="K187" s="180"/>
      <c r="Q187" s="129"/>
    </row>
    <row r="188" spans="11:17" x14ac:dyDescent="0.15">
      <c r="K188" s="180"/>
      <c r="Q188" s="129"/>
    </row>
    <row r="189" spans="11:17" x14ac:dyDescent="0.15">
      <c r="K189" s="180"/>
      <c r="Q189" s="129"/>
    </row>
    <row r="190" spans="11:17" x14ac:dyDescent="0.15">
      <c r="K190" s="180"/>
      <c r="Q190" s="129"/>
    </row>
    <row r="191" spans="11:17" x14ac:dyDescent="0.15">
      <c r="K191" s="180"/>
      <c r="Q191" s="129"/>
    </row>
    <row r="192" spans="11:17" x14ac:dyDescent="0.15">
      <c r="K192" s="180"/>
      <c r="Q192" s="129"/>
    </row>
    <row r="193" spans="11:17" x14ac:dyDescent="0.15">
      <c r="K193" s="180"/>
      <c r="Q193" s="129"/>
    </row>
    <row r="194" spans="11:17" x14ac:dyDescent="0.15">
      <c r="K194" s="180"/>
      <c r="Q194" s="129"/>
    </row>
    <row r="195" spans="11:17" x14ac:dyDescent="0.15">
      <c r="K195" s="180"/>
      <c r="Q195" s="129"/>
    </row>
    <row r="196" spans="11:17" x14ac:dyDescent="0.15">
      <c r="K196" s="180"/>
      <c r="Q196" s="129"/>
    </row>
    <row r="197" spans="11:17" x14ac:dyDescent="0.15">
      <c r="K197" s="180"/>
      <c r="Q197" s="129"/>
    </row>
    <row r="198" spans="11:17" x14ac:dyDescent="0.15">
      <c r="K198" s="180"/>
      <c r="Q198" s="129"/>
    </row>
    <row r="199" spans="11:17" x14ac:dyDescent="0.15">
      <c r="K199" s="180"/>
      <c r="Q199" s="129"/>
    </row>
    <row r="200" spans="11:17" x14ac:dyDescent="0.15">
      <c r="K200" s="180"/>
      <c r="Q200" s="129"/>
    </row>
    <row r="201" spans="11:17" x14ac:dyDescent="0.15">
      <c r="K201" s="180"/>
      <c r="Q201" s="129"/>
    </row>
    <row r="202" spans="11:17" x14ac:dyDescent="0.15">
      <c r="K202" s="180"/>
      <c r="Q202" s="129"/>
    </row>
    <row r="203" spans="11:17" x14ac:dyDescent="0.15">
      <c r="K203" s="180"/>
      <c r="Q203" s="129"/>
    </row>
    <row r="204" spans="11:17" x14ac:dyDescent="0.15">
      <c r="K204" s="180"/>
      <c r="Q204" s="129"/>
    </row>
    <row r="205" spans="11:17" x14ac:dyDescent="0.15">
      <c r="K205" s="180"/>
      <c r="Q205" s="129"/>
    </row>
    <row r="206" spans="11:17" x14ac:dyDescent="0.15">
      <c r="K206" s="180"/>
      <c r="Q206" s="129"/>
    </row>
    <row r="207" spans="11:17" x14ac:dyDescent="0.15">
      <c r="K207" s="180"/>
      <c r="Q207" s="129"/>
    </row>
    <row r="208" spans="11:17" x14ac:dyDescent="0.15">
      <c r="K208" s="180"/>
      <c r="Q208" s="129"/>
    </row>
    <row r="209" spans="11:17" x14ac:dyDescent="0.15">
      <c r="K209" s="180"/>
      <c r="Q209" s="129"/>
    </row>
    <row r="210" spans="11:17" x14ac:dyDescent="0.15">
      <c r="K210" s="180"/>
      <c r="Q210" s="129"/>
    </row>
    <row r="211" spans="11:17" x14ac:dyDescent="0.15">
      <c r="K211" s="180"/>
      <c r="Q211" s="129"/>
    </row>
    <row r="212" spans="11:17" x14ac:dyDescent="0.15">
      <c r="K212" s="180"/>
      <c r="Q212" s="129"/>
    </row>
    <row r="213" spans="11:17" x14ac:dyDescent="0.15">
      <c r="K213" s="180"/>
      <c r="Q213" s="129"/>
    </row>
    <row r="214" spans="11:17" x14ac:dyDescent="0.15">
      <c r="K214" s="180"/>
      <c r="Q214" s="129"/>
    </row>
    <row r="215" spans="11:17" x14ac:dyDescent="0.15">
      <c r="K215" s="180"/>
      <c r="Q215" s="129"/>
    </row>
    <row r="216" spans="11:17" x14ac:dyDescent="0.15">
      <c r="K216" s="180"/>
      <c r="Q216" s="129"/>
    </row>
    <row r="217" spans="11:17" x14ac:dyDescent="0.15">
      <c r="K217" s="180"/>
      <c r="Q217" s="129"/>
    </row>
    <row r="218" spans="11:17" x14ac:dyDescent="0.15">
      <c r="K218" s="180"/>
      <c r="Q218" s="129"/>
    </row>
    <row r="219" spans="11:17" x14ac:dyDescent="0.15">
      <c r="K219" s="180"/>
      <c r="Q219" s="129"/>
    </row>
    <row r="220" spans="11:17" x14ac:dyDescent="0.15">
      <c r="K220" s="180"/>
      <c r="Q220" s="129"/>
    </row>
    <row r="221" spans="11:17" x14ac:dyDescent="0.15">
      <c r="K221" s="180"/>
      <c r="Q221" s="129"/>
    </row>
    <row r="222" spans="11:17" x14ac:dyDescent="0.15">
      <c r="K222" s="180"/>
      <c r="Q222" s="129"/>
    </row>
    <row r="223" spans="11:17" x14ac:dyDescent="0.15">
      <c r="K223" s="180"/>
      <c r="Q223" s="129"/>
    </row>
    <row r="224" spans="11:17" x14ac:dyDescent="0.15">
      <c r="K224" s="180"/>
      <c r="Q224" s="129"/>
    </row>
    <row r="225" spans="11:17" x14ac:dyDescent="0.15">
      <c r="K225" s="180"/>
      <c r="Q225" s="129"/>
    </row>
    <row r="226" spans="11:17" x14ac:dyDescent="0.15">
      <c r="K226" s="180"/>
      <c r="Q226" s="129"/>
    </row>
    <row r="227" spans="11:17" x14ac:dyDescent="0.15">
      <c r="K227" s="180"/>
      <c r="Q227" s="129"/>
    </row>
    <row r="228" spans="11:17" x14ac:dyDescent="0.15">
      <c r="K228" s="180"/>
      <c r="Q228" s="129"/>
    </row>
    <row r="229" spans="11:17" x14ac:dyDescent="0.15">
      <c r="K229" s="180"/>
      <c r="Q229" s="129"/>
    </row>
    <row r="230" spans="11:17" x14ac:dyDescent="0.15">
      <c r="K230" s="180"/>
      <c r="Q230" s="129"/>
    </row>
    <row r="231" spans="11:17" x14ac:dyDescent="0.15">
      <c r="K231" s="180"/>
      <c r="Q231" s="129"/>
    </row>
    <row r="232" spans="11:17" x14ac:dyDescent="0.15">
      <c r="K232" s="180"/>
      <c r="Q232" s="129"/>
    </row>
    <row r="233" spans="11:17" x14ac:dyDescent="0.15">
      <c r="K233" s="180"/>
      <c r="Q233" s="129"/>
    </row>
    <row r="234" spans="11:17" x14ac:dyDescent="0.15">
      <c r="K234" s="180"/>
      <c r="Q234" s="129"/>
    </row>
    <row r="235" spans="11:17" x14ac:dyDescent="0.15">
      <c r="K235" s="180"/>
      <c r="Q235" s="129"/>
    </row>
    <row r="236" spans="11:17" x14ac:dyDescent="0.15">
      <c r="K236" s="180"/>
      <c r="Q236" s="129"/>
    </row>
    <row r="237" spans="11:17" x14ac:dyDescent="0.15">
      <c r="K237" s="180"/>
      <c r="Q237" s="129"/>
    </row>
    <row r="238" spans="11:17" x14ac:dyDescent="0.15">
      <c r="K238" s="180"/>
      <c r="Q238" s="129"/>
    </row>
    <row r="239" spans="11:17" x14ac:dyDescent="0.15">
      <c r="K239" s="180"/>
      <c r="Q239" s="129"/>
    </row>
    <row r="240" spans="11:17" x14ac:dyDescent="0.15">
      <c r="K240" s="180"/>
      <c r="Q240" s="129"/>
    </row>
    <row r="241" spans="11:17" x14ac:dyDescent="0.15">
      <c r="K241" s="180"/>
      <c r="Q241" s="129"/>
    </row>
    <row r="242" spans="11:17" x14ac:dyDescent="0.15">
      <c r="K242" s="180"/>
      <c r="Q242" s="129"/>
    </row>
    <row r="243" spans="11:17" x14ac:dyDescent="0.15">
      <c r="K243" s="180"/>
      <c r="Q243" s="129"/>
    </row>
    <row r="244" spans="11:17" x14ac:dyDescent="0.15">
      <c r="K244" s="180"/>
      <c r="Q244" s="129"/>
    </row>
    <row r="245" spans="11:17" x14ac:dyDescent="0.15">
      <c r="K245" s="180"/>
      <c r="Q245" s="129"/>
    </row>
    <row r="246" spans="11:17" x14ac:dyDescent="0.15">
      <c r="K246" s="180"/>
      <c r="Q246" s="129"/>
    </row>
    <row r="247" spans="11:17" x14ac:dyDescent="0.15">
      <c r="K247" s="180"/>
      <c r="Q247" s="129"/>
    </row>
    <row r="248" spans="11:17" x14ac:dyDescent="0.15">
      <c r="K248" s="180"/>
      <c r="Q248" s="129"/>
    </row>
    <row r="249" spans="11:17" x14ac:dyDescent="0.15">
      <c r="K249" s="180"/>
      <c r="Q249" s="129"/>
    </row>
    <row r="250" spans="11:17" x14ac:dyDescent="0.15">
      <c r="K250" s="180"/>
      <c r="Q250" s="129"/>
    </row>
    <row r="251" spans="11:17" x14ac:dyDescent="0.15">
      <c r="K251" s="180"/>
      <c r="Q251" s="129"/>
    </row>
    <row r="252" spans="11:17" x14ac:dyDescent="0.15">
      <c r="K252" s="180"/>
      <c r="Q252" s="129"/>
    </row>
    <row r="253" spans="11:17" x14ac:dyDescent="0.15">
      <c r="K253" s="180"/>
      <c r="Q253" s="129"/>
    </row>
    <row r="254" spans="11:17" x14ac:dyDescent="0.15">
      <c r="K254" s="180"/>
      <c r="Q254" s="129"/>
    </row>
    <row r="255" spans="11:17" x14ac:dyDescent="0.15">
      <c r="K255" s="180"/>
      <c r="Q255" s="129"/>
    </row>
    <row r="256" spans="11:17" x14ac:dyDescent="0.15">
      <c r="K256" s="180"/>
      <c r="Q256" s="129"/>
    </row>
    <row r="257" spans="11:17" x14ac:dyDescent="0.15">
      <c r="K257" s="180"/>
      <c r="Q257" s="129"/>
    </row>
    <row r="258" spans="11:17" x14ac:dyDescent="0.15">
      <c r="K258" s="180"/>
      <c r="Q258" s="129"/>
    </row>
    <row r="259" spans="11:17" x14ac:dyDescent="0.15">
      <c r="K259" s="180"/>
      <c r="Q259" s="129"/>
    </row>
    <row r="260" spans="11:17" x14ac:dyDescent="0.15">
      <c r="K260" s="180"/>
      <c r="Q260" s="129"/>
    </row>
    <row r="261" spans="11:17" x14ac:dyDescent="0.15">
      <c r="K261" s="180"/>
      <c r="Q261" s="129"/>
    </row>
    <row r="262" spans="11:17" x14ac:dyDescent="0.15">
      <c r="K262" s="180"/>
      <c r="Q262" s="129"/>
    </row>
    <row r="263" spans="11:17" x14ac:dyDescent="0.15">
      <c r="K263" s="180"/>
      <c r="Q263" s="129"/>
    </row>
    <row r="264" spans="11:17" x14ac:dyDescent="0.15">
      <c r="K264" s="180"/>
      <c r="Q264" s="129"/>
    </row>
    <row r="265" spans="11:17" x14ac:dyDescent="0.15">
      <c r="K265" s="180"/>
      <c r="Q265" s="129"/>
    </row>
    <row r="266" spans="11:17" x14ac:dyDescent="0.15">
      <c r="K266" s="180"/>
      <c r="Q266" s="129"/>
    </row>
    <row r="267" spans="11:17" x14ac:dyDescent="0.15">
      <c r="K267" s="180"/>
      <c r="Q267" s="129"/>
    </row>
    <row r="268" spans="11:17" x14ac:dyDescent="0.15">
      <c r="K268" s="180"/>
      <c r="Q268" s="129"/>
    </row>
    <row r="269" spans="11:17" x14ac:dyDescent="0.15">
      <c r="K269" s="180"/>
      <c r="Q269" s="129"/>
    </row>
    <row r="270" spans="11:17" x14ac:dyDescent="0.15">
      <c r="K270" s="180"/>
      <c r="Q270" s="129"/>
    </row>
    <row r="271" spans="11:17" x14ac:dyDescent="0.15">
      <c r="K271" s="180"/>
      <c r="Q271" s="129"/>
    </row>
    <row r="272" spans="11:17" x14ac:dyDescent="0.15">
      <c r="K272" s="180"/>
      <c r="Q272" s="129"/>
    </row>
    <row r="273" spans="11:17" x14ac:dyDescent="0.15">
      <c r="K273" s="180"/>
      <c r="Q273" s="129"/>
    </row>
    <row r="274" spans="11:17" x14ac:dyDescent="0.15">
      <c r="K274" s="180"/>
      <c r="Q274" s="129"/>
    </row>
    <row r="275" spans="11:17" x14ac:dyDescent="0.15">
      <c r="K275" s="180"/>
      <c r="Q275" s="129"/>
    </row>
    <row r="276" spans="11:17" x14ac:dyDescent="0.15">
      <c r="K276" s="180"/>
      <c r="Q276" s="129"/>
    </row>
    <row r="277" spans="11:17" x14ac:dyDescent="0.15">
      <c r="K277" s="180"/>
      <c r="Q277" s="129"/>
    </row>
    <row r="278" spans="11:17" x14ac:dyDescent="0.15">
      <c r="K278" s="180"/>
      <c r="Q278" s="129"/>
    </row>
    <row r="279" spans="11:17" x14ac:dyDescent="0.15">
      <c r="K279" s="180"/>
      <c r="Q279" s="129"/>
    </row>
    <row r="280" spans="11:17" x14ac:dyDescent="0.15">
      <c r="K280" s="180"/>
      <c r="Q280" s="129"/>
    </row>
    <row r="281" spans="11:17" x14ac:dyDescent="0.15">
      <c r="K281" s="180"/>
      <c r="Q281" s="129"/>
    </row>
    <row r="282" spans="11:17" x14ac:dyDescent="0.15">
      <c r="K282" s="180"/>
      <c r="Q282" s="129"/>
    </row>
    <row r="283" spans="11:17" x14ac:dyDescent="0.15">
      <c r="K283" s="180"/>
      <c r="Q283" s="129"/>
    </row>
    <row r="284" spans="11:17" x14ac:dyDescent="0.15">
      <c r="K284" s="180"/>
      <c r="Q284" s="129"/>
    </row>
    <row r="285" spans="11:17" x14ac:dyDescent="0.15">
      <c r="K285" s="180"/>
      <c r="Q285" s="129"/>
    </row>
    <row r="286" spans="11:17" x14ac:dyDescent="0.15">
      <c r="K286" s="180"/>
      <c r="Q286" s="129"/>
    </row>
    <row r="287" spans="11:17" x14ac:dyDescent="0.15">
      <c r="K287" s="180"/>
      <c r="Q287" s="129"/>
    </row>
    <row r="288" spans="11:17" x14ac:dyDescent="0.15">
      <c r="K288" s="180"/>
      <c r="Q288" s="129"/>
    </row>
    <row r="289" spans="11:17" x14ac:dyDescent="0.15">
      <c r="K289" s="180"/>
      <c r="Q289" s="129"/>
    </row>
    <row r="290" spans="11:17" x14ac:dyDescent="0.15">
      <c r="K290" s="180"/>
      <c r="Q290" s="129"/>
    </row>
    <row r="291" spans="11:17" x14ac:dyDescent="0.15">
      <c r="K291" s="180"/>
      <c r="Q291" s="129"/>
    </row>
    <row r="292" spans="11:17" x14ac:dyDescent="0.15">
      <c r="K292" s="180"/>
    </row>
    <row r="293" spans="11:17" x14ac:dyDescent="0.15">
      <c r="K293" s="180"/>
    </row>
    <row r="294" spans="11:17" x14ac:dyDescent="0.15">
      <c r="K294" s="180"/>
    </row>
    <row r="295" spans="11:17" x14ac:dyDescent="0.15">
      <c r="K295" s="180"/>
    </row>
    <row r="296" spans="11:17" x14ac:dyDescent="0.15">
      <c r="K296" s="180"/>
    </row>
    <row r="297" spans="11:17" x14ac:dyDescent="0.15">
      <c r="K297" s="180"/>
    </row>
    <row r="298" spans="11:17" x14ac:dyDescent="0.15">
      <c r="K298" s="180"/>
    </row>
    <row r="299" spans="11:17" x14ac:dyDescent="0.15">
      <c r="K299" s="180"/>
    </row>
    <row r="300" spans="11:17" x14ac:dyDescent="0.15">
      <c r="K300" s="180"/>
    </row>
    <row r="301" spans="11:17" x14ac:dyDescent="0.15">
      <c r="K301" s="180"/>
    </row>
    <row r="302" spans="11:17" x14ac:dyDescent="0.15">
      <c r="K302" s="180"/>
    </row>
    <row r="303" spans="11:17" x14ac:dyDescent="0.15">
      <c r="K303" s="180"/>
    </row>
    <row r="304" spans="11:17" x14ac:dyDescent="0.15">
      <c r="K304" s="180"/>
    </row>
    <row r="305" spans="11:11" x14ac:dyDescent="0.15">
      <c r="K305" s="180"/>
    </row>
    <row r="306" spans="11:11" x14ac:dyDescent="0.15">
      <c r="K306" s="180"/>
    </row>
    <row r="307" spans="11:11" x14ac:dyDescent="0.15">
      <c r="K307" s="180"/>
    </row>
    <row r="308" spans="11:11" x14ac:dyDescent="0.15">
      <c r="K308" s="180"/>
    </row>
    <row r="309" spans="11:11" x14ac:dyDescent="0.15">
      <c r="K309" s="180"/>
    </row>
    <row r="310" spans="11:11" x14ac:dyDescent="0.15">
      <c r="K310" s="180"/>
    </row>
    <row r="311" spans="11:11" x14ac:dyDescent="0.15">
      <c r="K311" s="180"/>
    </row>
    <row r="312" spans="11:11" x14ac:dyDescent="0.15">
      <c r="K312" s="180"/>
    </row>
    <row r="313" spans="11:11" x14ac:dyDescent="0.15">
      <c r="K313" s="180"/>
    </row>
    <row r="314" spans="11:11" x14ac:dyDescent="0.15">
      <c r="K314" s="180"/>
    </row>
    <row r="315" spans="11:11" x14ac:dyDescent="0.15">
      <c r="K315" s="180"/>
    </row>
    <row r="316" spans="11:11" x14ac:dyDescent="0.15">
      <c r="K316" s="180"/>
    </row>
    <row r="317" spans="11:11" x14ac:dyDescent="0.15">
      <c r="K317" s="180"/>
    </row>
    <row r="318" spans="11:11" x14ac:dyDescent="0.15">
      <c r="K318" s="180"/>
    </row>
    <row r="319" spans="11:11" x14ac:dyDescent="0.15">
      <c r="K319" s="180"/>
    </row>
    <row r="320" spans="11:11" x14ac:dyDescent="0.15">
      <c r="K320" s="180"/>
    </row>
    <row r="321" spans="11:11" x14ac:dyDescent="0.15">
      <c r="K321" s="180"/>
    </row>
    <row r="322" spans="11:11" x14ac:dyDescent="0.15">
      <c r="K322" s="180"/>
    </row>
    <row r="323" spans="11:11" x14ac:dyDescent="0.15">
      <c r="K323" s="180"/>
    </row>
    <row r="324" spans="11:11" x14ac:dyDescent="0.15">
      <c r="K324" s="180"/>
    </row>
    <row r="325" spans="11:11" x14ac:dyDescent="0.15">
      <c r="K325" s="180"/>
    </row>
    <row r="326" spans="11:11" x14ac:dyDescent="0.15">
      <c r="K326" s="180"/>
    </row>
    <row r="327" spans="11:11" x14ac:dyDescent="0.15">
      <c r="K327" s="180"/>
    </row>
    <row r="328" spans="11:11" x14ac:dyDescent="0.15">
      <c r="K328" s="180"/>
    </row>
    <row r="329" spans="11:11" x14ac:dyDescent="0.15">
      <c r="K329" s="180"/>
    </row>
    <row r="330" spans="11:11" x14ac:dyDescent="0.15">
      <c r="K330" s="180"/>
    </row>
    <row r="331" spans="11:11" x14ac:dyDescent="0.15">
      <c r="K331" s="180"/>
    </row>
    <row r="332" spans="11:11" x14ac:dyDescent="0.15">
      <c r="K332" s="180"/>
    </row>
    <row r="333" spans="11:11" x14ac:dyDescent="0.15">
      <c r="K333" s="180"/>
    </row>
    <row r="334" spans="11:11" x14ac:dyDescent="0.15">
      <c r="K334" s="180"/>
    </row>
    <row r="335" spans="11:11" x14ac:dyDescent="0.15">
      <c r="K335" s="180"/>
    </row>
    <row r="336" spans="11:11" x14ac:dyDescent="0.15">
      <c r="K336" s="180"/>
    </row>
    <row r="337" spans="11:11" x14ac:dyDescent="0.15">
      <c r="K337" s="180"/>
    </row>
    <row r="338" spans="11:11" x14ac:dyDescent="0.15">
      <c r="K338" s="180"/>
    </row>
    <row r="339" spans="11:11" x14ac:dyDescent="0.15">
      <c r="K339" s="180"/>
    </row>
    <row r="340" spans="11:11" x14ac:dyDescent="0.15">
      <c r="K340" s="180"/>
    </row>
    <row r="341" spans="11:11" x14ac:dyDescent="0.15">
      <c r="K341" s="180"/>
    </row>
    <row r="342" spans="11:11" x14ac:dyDescent="0.15">
      <c r="K342" s="180"/>
    </row>
    <row r="343" spans="11:11" x14ac:dyDescent="0.15">
      <c r="K343" s="180"/>
    </row>
    <row r="344" spans="11:11" x14ac:dyDescent="0.15">
      <c r="K344" s="180"/>
    </row>
    <row r="345" spans="11:11" x14ac:dyDescent="0.15">
      <c r="K345" s="180"/>
    </row>
    <row r="346" spans="11:11" x14ac:dyDescent="0.15">
      <c r="K346" s="180"/>
    </row>
    <row r="347" spans="11:11" x14ac:dyDescent="0.15">
      <c r="K347" s="180"/>
    </row>
    <row r="348" spans="11:11" x14ac:dyDescent="0.15">
      <c r="K348" s="180"/>
    </row>
    <row r="349" spans="11:11" x14ac:dyDescent="0.15">
      <c r="K349" s="180"/>
    </row>
    <row r="350" spans="11:11" x14ac:dyDescent="0.15">
      <c r="K350" s="180"/>
    </row>
    <row r="351" spans="11:11" x14ac:dyDescent="0.15">
      <c r="K351" s="180"/>
    </row>
    <row r="352" spans="11:11" x14ac:dyDescent="0.15">
      <c r="K352" s="180"/>
    </row>
    <row r="353" spans="11:11" x14ac:dyDescent="0.15">
      <c r="K353" s="180"/>
    </row>
    <row r="354" spans="11:11" x14ac:dyDescent="0.15">
      <c r="K354" s="180"/>
    </row>
    <row r="355" spans="11:11" x14ac:dyDescent="0.15">
      <c r="K355" s="180"/>
    </row>
    <row r="356" spans="11:11" x14ac:dyDescent="0.15">
      <c r="K356" s="180"/>
    </row>
    <row r="357" spans="11:11" x14ac:dyDescent="0.15">
      <c r="K357" s="180"/>
    </row>
    <row r="358" spans="11:11" x14ac:dyDescent="0.15">
      <c r="K358" s="180"/>
    </row>
    <row r="359" spans="11:11" x14ac:dyDescent="0.15">
      <c r="K359" s="180"/>
    </row>
    <row r="360" spans="11:11" x14ac:dyDescent="0.15">
      <c r="K360" s="180"/>
    </row>
    <row r="361" spans="11:11" x14ac:dyDescent="0.15">
      <c r="K361" s="180"/>
    </row>
    <row r="362" spans="11:11" x14ac:dyDescent="0.15">
      <c r="K362" s="180"/>
    </row>
    <row r="363" spans="11:11" x14ac:dyDescent="0.15">
      <c r="K363" s="180"/>
    </row>
    <row r="364" spans="11:11" x14ac:dyDescent="0.15">
      <c r="K364" s="180"/>
    </row>
    <row r="365" spans="11:11" x14ac:dyDescent="0.15">
      <c r="K365" s="180"/>
    </row>
    <row r="366" spans="11:11" x14ac:dyDescent="0.15">
      <c r="K366" s="180"/>
    </row>
    <row r="367" spans="11:11" x14ac:dyDescent="0.15">
      <c r="K367" s="180"/>
    </row>
    <row r="368" spans="11:11" x14ac:dyDescent="0.15">
      <c r="K368" s="180"/>
    </row>
    <row r="369" spans="11:11" x14ac:dyDescent="0.15">
      <c r="K369" s="180"/>
    </row>
    <row r="370" spans="11:11" x14ac:dyDescent="0.15">
      <c r="K370" s="180"/>
    </row>
    <row r="371" spans="11:11" x14ac:dyDescent="0.15">
      <c r="K371" s="180"/>
    </row>
    <row r="372" spans="11:11" x14ac:dyDescent="0.15">
      <c r="K372" s="180"/>
    </row>
    <row r="373" spans="11:11" x14ac:dyDescent="0.15">
      <c r="K373" s="180"/>
    </row>
    <row r="374" spans="11:11" x14ac:dyDescent="0.15">
      <c r="K374" s="180"/>
    </row>
    <row r="375" spans="11:11" x14ac:dyDescent="0.15">
      <c r="K375" s="180"/>
    </row>
    <row r="376" spans="11:11" x14ac:dyDescent="0.15">
      <c r="K376" s="180"/>
    </row>
    <row r="377" spans="11:11" x14ac:dyDescent="0.15">
      <c r="K377" s="180"/>
    </row>
    <row r="378" spans="11:11" x14ac:dyDescent="0.15">
      <c r="K378" s="180"/>
    </row>
    <row r="379" spans="11:11" x14ac:dyDescent="0.15">
      <c r="K379" s="180"/>
    </row>
    <row r="380" spans="11:11" x14ac:dyDescent="0.15">
      <c r="K380" s="180"/>
    </row>
    <row r="381" spans="11:11" x14ac:dyDescent="0.15">
      <c r="K381" s="180"/>
    </row>
    <row r="382" spans="11:11" x14ac:dyDescent="0.15">
      <c r="K382" s="180"/>
    </row>
    <row r="383" spans="11:11" x14ac:dyDescent="0.15">
      <c r="K383" s="180"/>
    </row>
    <row r="384" spans="11:11" x14ac:dyDescent="0.15">
      <c r="K384" s="180"/>
    </row>
    <row r="385" spans="11:11" x14ac:dyDescent="0.15">
      <c r="K385" s="180"/>
    </row>
    <row r="386" spans="11:11" x14ac:dyDescent="0.15">
      <c r="K386" s="180"/>
    </row>
    <row r="387" spans="11:11" x14ac:dyDescent="0.15">
      <c r="K387" s="180"/>
    </row>
    <row r="388" spans="11:11" x14ac:dyDescent="0.15">
      <c r="K388" s="180"/>
    </row>
    <row r="389" spans="11:11" x14ac:dyDescent="0.15">
      <c r="K389" s="180"/>
    </row>
    <row r="390" spans="11:11" x14ac:dyDescent="0.15">
      <c r="K390" s="180"/>
    </row>
    <row r="391" spans="11:11" x14ac:dyDescent="0.15">
      <c r="K391" s="180"/>
    </row>
    <row r="392" spans="11:11" x14ac:dyDescent="0.15">
      <c r="K392" s="180"/>
    </row>
    <row r="393" spans="11:11" x14ac:dyDescent="0.15">
      <c r="K393" s="180"/>
    </row>
    <row r="394" spans="11:11" x14ac:dyDescent="0.15">
      <c r="K394" s="180"/>
    </row>
    <row r="395" spans="11:11" x14ac:dyDescent="0.15">
      <c r="K395" s="180"/>
    </row>
    <row r="396" spans="11:11" x14ac:dyDescent="0.15">
      <c r="K396" s="180"/>
    </row>
    <row r="397" spans="11:11" x14ac:dyDescent="0.15">
      <c r="K397" s="180"/>
    </row>
    <row r="398" spans="11:11" x14ac:dyDescent="0.15">
      <c r="K398" s="180"/>
    </row>
    <row r="399" spans="11:11" x14ac:dyDescent="0.15">
      <c r="K399" s="180"/>
    </row>
    <row r="400" spans="11:11" x14ac:dyDescent="0.15">
      <c r="K400" s="180"/>
    </row>
    <row r="401" spans="11:11" x14ac:dyDescent="0.15">
      <c r="K401" s="180"/>
    </row>
    <row r="402" spans="11:11" x14ac:dyDescent="0.15">
      <c r="K402" s="180"/>
    </row>
    <row r="403" spans="11:11" x14ac:dyDescent="0.15">
      <c r="K403" s="180"/>
    </row>
    <row r="404" spans="11:11" x14ac:dyDescent="0.15">
      <c r="K404" s="180"/>
    </row>
    <row r="405" spans="11:11" x14ac:dyDescent="0.15">
      <c r="K405" s="180"/>
    </row>
    <row r="406" spans="11:11" x14ac:dyDescent="0.15">
      <c r="K406" s="180"/>
    </row>
    <row r="407" spans="11:11" x14ac:dyDescent="0.15">
      <c r="K407" s="180"/>
    </row>
    <row r="408" spans="11:11" x14ac:dyDescent="0.15">
      <c r="K408" s="180"/>
    </row>
    <row r="409" spans="11:11" x14ac:dyDescent="0.15">
      <c r="K409" s="180"/>
    </row>
    <row r="410" spans="11:11" x14ac:dyDescent="0.15">
      <c r="K410" s="180"/>
    </row>
    <row r="411" spans="11:11" x14ac:dyDescent="0.15">
      <c r="K411" s="180"/>
    </row>
    <row r="412" spans="11:11" x14ac:dyDescent="0.15">
      <c r="K412" s="180"/>
    </row>
    <row r="413" spans="11:11" x14ac:dyDescent="0.15">
      <c r="K413" s="180"/>
    </row>
    <row r="414" spans="11:11" x14ac:dyDescent="0.15">
      <c r="K414" s="180"/>
    </row>
    <row r="415" spans="11:11" x14ac:dyDescent="0.15">
      <c r="K415" s="180"/>
    </row>
    <row r="416" spans="11:11" x14ac:dyDescent="0.15">
      <c r="K416" s="180"/>
    </row>
    <row r="417" spans="11:11" x14ac:dyDescent="0.15">
      <c r="K417" s="180"/>
    </row>
    <row r="418" spans="11:11" x14ac:dyDescent="0.15">
      <c r="K418" s="180"/>
    </row>
    <row r="419" spans="11:11" x14ac:dyDescent="0.15">
      <c r="K419" s="180"/>
    </row>
    <row r="420" spans="11:11" x14ac:dyDescent="0.15">
      <c r="K420" s="180"/>
    </row>
    <row r="421" spans="11:11" x14ac:dyDescent="0.15">
      <c r="K421" s="180"/>
    </row>
    <row r="422" spans="11:11" x14ac:dyDescent="0.15">
      <c r="K422" s="180"/>
    </row>
    <row r="423" spans="11:11" x14ac:dyDescent="0.15">
      <c r="K423" s="180"/>
    </row>
    <row r="424" spans="11:11" x14ac:dyDescent="0.15">
      <c r="K424" s="180"/>
    </row>
    <row r="425" spans="11:11" x14ac:dyDescent="0.15">
      <c r="K425" s="180"/>
    </row>
    <row r="426" spans="11:11" x14ac:dyDescent="0.15">
      <c r="K426" s="180"/>
    </row>
    <row r="427" spans="11:11" x14ac:dyDescent="0.15">
      <c r="K427" s="180"/>
    </row>
    <row r="428" spans="11:11" x14ac:dyDescent="0.15">
      <c r="K428" s="180"/>
    </row>
    <row r="429" spans="11:11" x14ac:dyDescent="0.15">
      <c r="K429" s="180"/>
    </row>
    <row r="430" spans="11:11" x14ac:dyDescent="0.15">
      <c r="K430" s="180"/>
    </row>
    <row r="431" spans="11:11" x14ac:dyDescent="0.15">
      <c r="K431" s="180"/>
    </row>
    <row r="432" spans="11:11" x14ac:dyDescent="0.15">
      <c r="K432" s="180"/>
    </row>
    <row r="433" spans="11:11" x14ac:dyDescent="0.15">
      <c r="K433" s="180"/>
    </row>
    <row r="434" spans="11:11" x14ac:dyDescent="0.15">
      <c r="K434" s="180"/>
    </row>
    <row r="435" spans="11:11" x14ac:dyDescent="0.15">
      <c r="K435" s="180"/>
    </row>
    <row r="436" spans="11:11" x14ac:dyDescent="0.15">
      <c r="K436" s="180"/>
    </row>
    <row r="437" spans="11:11" x14ac:dyDescent="0.15">
      <c r="K437" s="180"/>
    </row>
    <row r="438" spans="11:11" x14ac:dyDescent="0.15">
      <c r="K438" s="180"/>
    </row>
    <row r="439" spans="11:11" x14ac:dyDescent="0.15">
      <c r="K439" s="180"/>
    </row>
    <row r="440" spans="11:11" x14ac:dyDescent="0.15">
      <c r="K440" s="180"/>
    </row>
    <row r="441" spans="11:11" x14ac:dyDescent="0.15">
      <c r="K441" s="180"/>
    </row>
    <row r="442" spans="11:11" x14ac:dyDescent="0.15">
      <c r="K442" s="180"/>
    </row>
    <row r="443" spans="11:11" x14ac:dyDescent="0.15">
      <c r="K443" s="180"/>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BA752"/>
  <sheetViews>
    <sheetView topLeftCell="A10" zoomScale="70" zoomScaleNormal="70" workbookViewId="0">
      <selection activeCell="H62" sqref="H62"/>
    </sheetView>
  </sheetViews>
  <sheetFormatPr defaultRowHeight="13.5" x14ac:dyDescent="0.15"/>
  <cols>
    <col min="1" max="3" width="9" style="96"/>
    <col min="4" max="4" width="10.5" style="96" bestFit="1" customWidth="1"/>
    <col min="5" max="5" width="10.875" style="96" bestFit="1" customWidth="1"/>
    <col min="6" max="6" width="18.875" style="96" bestFit="1" customWidth="1"/>
    <col min="7" max="9" width="9" style="96"/>
    <col min="10" max="10" width="9.25" style="96" customWidth="1"/>
    <col min="11" max="16" width="9" style="96"/>
    <col min="17" max="17" width="9" style="105"/>
    <col min="18" max="19" width="9" style="96"/>
    <col min="20" max="20" width="9" style="105"/>
    <col min="21" max="21" width="9" style="96"/>
    <col min="22" max="22" width="14.25" style="105" customWidth="1"/>
    <col min="23" max="23" width="9" style="96"/>
    <col min="24" max="24" width="9.625" style="96" customWidth="1"/>
    <col min="25" max="26" width="9" style="96"/>
    <col min="27" max="27" width="12.125" style="96" customWidth="1"/>
    <col min="28" max="32" width="9" style="96"/>
    <col min="33" max="33" width="15.125" style="96" bestFit="1" customWidth="1"/>
    <col min="34" max="34" width="19.625" style="96" bestFit="1" customWidth="1"/>
    <col min="35" max="16384" width="9" style="96"/>
  </cols>
  <sheetData>
    <row r="1" spans="1:53" ht="45" x14ac:dyDescent="0.15">
      <c r="A1" s="124" t="s">
        <v>0</v>
      </c>
      <c r="B1" s="90" t="s">
        <v>1</v>
      </c>
      <c r="C1" s="90" t="s">
        <v>475</v>
      </c>
      <c r="D1" s="91" t="s">
        <v>3</v>
      </c>
      <c r="E1" s="125" t="s">
        <v>4</v>
      </c>
      <c r="F1" s="125" t="s">
        <v>5</v>
      </c>
      <c r="G1" s="125" t="s">
        <v>6</v>
      </c>
      <c r="H1" s="125" t="s">
        <v>7</v>
      </c>
      <c r="I1" s="125" t="s">
        <v>8</v>
      </c>
      <c r="J1" s="125" t="s">
        <v>9</v>
      </c>
      <c r="K1" s="125" t="s">
        <v>10</v>
      </c>
      <c r="L1" s="91" t="s">
        <v>476</v>
      </c>
      <c r="M1" s="91" t="s">
        <v>12</v>
      </c>
      <c r="N1" s="91" t="s">
        <v>13</v>
      </c>
      <c r="O1" s="91" t="s">
        <v>477</v>
      </c>
      <c r="P1" s="91" t="s">
        <v>478</v>
      </c>
      <c r="Q1" s="92" t="s">
        <v>16</v>
      </c>
      <c r="R1" s="91" t="s">
        <v>479</v>
      </c>
      <c r="S1" s="91" t="s">
        <v>480</v>
      </c>
      <c r="T1" s="92" t="s">
        <v>19</v>
      </c>
      <c r="U1" s="93" t="s">
        <v>481</v>
      </c>
      <c r="V1" s="94" t="s">
        <v>20</v>
      </c>
      <c r="W1" s="91" t="s">
        <v>21</v>
      </c>
      <c r="X1" s="125" t="s">
        <v>22</v>
      </c>
      <c r="Y1" s="125" t="s">
        <v>23</v>
      </c>
      <c r="Z1" s="125" t="s">
        <v>482</v>
      </c>
      <c r="AA1" s="126" t="s">
        <v>25</v>
      </c>
      <c r="AB1" s="95" t="s">
        <v>483</v>
      </c>
      <c r="AE1" s="97" t="s">
        <v>0</v>
      </c>
      <c r="AF1" s="98"/>
      <c r="AG1" s="206" t="s">
        <v>4</v>
      </c>
      <c r="AH1" s="97" t="s">
        <v>5</v>
      </c>
      <c r="AI1" s="98"/>
      <c r="AJ1" s="97" t="s">
        <v>6</v>
      </c>
      <c r="AK1" s="98"/>
      <c r="AL1" s="99" t="s">
        <v>7</v>
      </c>
      <c r="AM1" s="98"/>
      <c r="AN1" s="99" t="s">
        <v>8</v>
      </c>
      <c r="AO1" s="98"/>
      <c r="AP1" s="99" t="s">
        <v>27</v>
      </c>
      <c r="AQ1" s="98"/>
      <c r="AR1" s="99" t="s">
        <v>10</v>
      </c>
      <c r="AS1" s="98"/>
      <c r="AT1" s="100" t="s">
        <v>28</v>
      </c>
      <c r="AU1" s="98"/>
      <c r="AV1" s="99" t="s">
        <v>29</v>
      </c>
      <c r="AX1" s="101" t="s">
        <v>484</v>
      </c>
      <c r="AY1" s="102" t="s">
        <v>485</v>
      </c>
      <c r="AZ1" s="102" t="s">
        <v>486</v>
      </c>
      <c r="BA1" s="103" t="s">
        <v>487</v>
      </c>
    </row>
    <row r="2" spans="1:53" s="104" customFormat="1" x14ac:dyDescent="0.15">
      <c r="A2" s="104" t="s">
        <v>34</v>
      </c>
      <c r="B2" s="96" t="s">
        <v>193</v>
      </c>
      <c r="C2" s="96">
        <v>2018</v>
      </c>
      <c r="D2" s="207" t="s">
        <v>488</v>
      </c>
      <c r="E2" s="121" t="s">
        <v>298</v>
      </c>
      <c r="F2" s="121" t="s">
        <v>489</v>
      </c>
      <c r="G2" s="104" t="s">
        <v>36</v>
      </c>
      <c r="H2" s="96" t="s">
        <v>155</v>
      </c>
      <c r="I2" s="104" t="s">
        <v>153</v>
      </c>
      <c r="J2" s="104" t="s">
        <v>38</v>
      </c>
      <c r="K2" s="104" t="s">
        <v>154</v>
      </c>
      <c r="L2" s="104">
        <v>1</v>
      </c>
      <c r="N2" s="104">
        <v>1</v>
      </c>
      <c r="O2" s="104">
        <v>0.95</v>
      </c>
      <c r="P2" s="104">
        <v>0.8</v>
      </c>
      <c r="Q2" s="129">
        <f t="shared" ref="Q2:Q82" si="0">IF(OR(O2="",P2=""),"",AVERAGE(O2,P2))</f>
        <v>0.875</v>
      </c>
      <c r="R2" s="104">
        <v>10.199999999999999</v>
      </c>
      <c r="S2" s="104">
        <v>115</v>
      </c>
      <c r="T2" s="105">
        <f t="shared" ref="T2:T97" si="1">IF(H2="","",IF(OR(H2="GREEN",H2="GK"),IF(S2&gt;=$AX$2,VLOOKUP(S2,$AX$2:$AY$9,2,1),""),IF(S2&gt;=$AZ$2,VLOOKUP(S2,$AZ$2:$BA$9,2,1),"")))</f>
        <v>30</v>
      </c>
      <c r="U2" s="104">
        <v>105</v>
      </c>
      <c r="V2" s="105">
        <f t="shared" ref="V2:V97" si="2">IF(OR(N2="",U2="",T2=""),"",U2/N2*T2)</f>
        <v>3150</v>
      </c>
      <c r="W2" s="104">
        <v>2</v>
      </c>
      <c r="X2" s="104" t="s">
        <v>46</v>
      </c>
      <c r="Y2" s="104" t="s">
        <v>84</v>
      </c>
      <c r="Z2" s="104" t="s">
        <v>90</v>
      </c>
      <c r="AA2" s="104" t="s">
        <v>69</v>
      </c>
      <c r="AB2" s="104" t="s">
        <v>195</v>
      </c>
      <c r="AE2" s="106" t="s">
        <v>35</v>
      </c>
      <c r="AG2" s="208" t="s">
        <v>490</v>
      </c>
      <c r="AH2" s="127" t="s">
        <v>491</v>
      </c>
      <c r="AJ2" s="107" t="s">
        <v>36</v>
      </c>
      <c r="AL2" s="107" t="s">
        <v>127</v>
      </c>
      <c r="AN2" s="107" t="s">
        <v>37</v>
      </c>
      <c r="AP2" s="107" t="s">
        <v>38</v>
      </c>
      <c r="AR2" s="107" t="s">
        <v>492</v>
      </c>
      <c r="AT2" s="107" t="s">
        <v>39</v>
      </c>
      <c r="AV2" s="199" t="s">
        <v>40</v>
      </c>
      <c r="AX2" s="108">
        <v>1</v>
      </c>
      <c r="AY2" s="109">
        <v>50</v>
      </c>
      <c r="AZ2" s="109">
        <v>1</v>
      </c>
      <c r="BA2" s="110">
        <v>50</v>
      </c>
    </row>
    <row r="3" spans="1:53" x14ac:dyDescent="0.15">
      <c r="A3" s="104" t="s">
        <v>34</v>
      </c>
      <c r="B3" s="96" t="s">
        <v>193</v>
      </c>
      <c r="C3" s="96">
        <v>2018</v>
      </c>
      <c r="D3" s="207" t="s">
        <v>488</v>
      </c>
      <c r="E3" s="121" t="s">
        <v>298</v>
      </c>
      <c r="F3" s="121" t="s">
        <v>489</v>
      </c>
      <c r="G3" s="104" t="s">
        <v>36</v>
      </c>
      <c r="H3" s="96" t="s">
        <v>155</v>
      </c>
      <c r="I3" s="104" t="s">
        <v>153</v>
      </c>
      <c r="J3" s="104" t="s">
        <v>38</v>
      </c>
      <c r="K3" s="104" t="s">
        <v>154</v>
      </c>
      <c r="L3" s="96">
        <v>2</v>
      </c>
      <c r="N3" s="96">
        <v>1</v>
      </c>
      <c r="O3" s="96">
        <v>0.75</v>
      </c>
      <c r="P3" s="96">
        <v>0.85</v>
      </c>
      <c r="Q3" s="129">
        <f t="shared" si="0"/>
        <v>0.8</v>
      </c>
      <c r="R3" s="96">
        <v>14.3</v>
      </c>
      <c r="S3" s="96">
        <v>121</v>
      </c>
      <c r="T3" s="105">
        <f t="shared" si="1"/>
        <v>30</v>
      </c>
      <c r="U3" s="96">
        <v>105</v>
      </c>
      <c r="V3" s="105">
        <f t="shared" si="2"/>
        <v>3150</v>
      </c>
      <c r="W3" s="104">
        <v>2</v>
      </c>
      <c r="X3" s="104" t="s">
        <v>46</v>
      </c>
      <c r="Y3" s="104" t="s">
        <v>84</v>
      </c>
      <c r="Z3" s="104" t="s">
        <v>90</v>
      </c>
      <c r="AA3" s="104" t="s">
        <v>69</v>
      </c>
      <c r="AB3" s="104" t="s">
        <v>195</v>
      </c>
      <c r="AC3" s="104"/>
      <c r="AE3" s="111" t="s">
        <v>41</v>
      </c>
      <c r="AG3" s="209" t="s">
        <v>493</v>
      </c>
      <c r="AH3" s="127" t="s">
        <v>494</v>
      </c>
      <c r="AJ3" s="112" t="s">
        <v>42</v>
      </c>
      <c r="AL3" s="112" t="s">
        <v>128</v>
      </c>
      <c r="AN3" s="112" t="s">
        <v>43</v>
      </c>
      <c r="AP3" s="112" t="s">
        <v>44</v>
      </c>
      <c r="AR3" s="122" t="s">
        <v>45</v>
      </c>
      <c r="AT3" s="112" t="s">
        <v>46</v>
      </c>
      <c r="AV3" s="112" t="s">
        <v>47</v>
      </c>
      <c r="AX3" s="113">
        <v>72</v>
      </c>
      <c r="AY3" s="114">
        <v>46</v>
      </c>
      <c r="AZ3" s="114">
        <v>71</v>
      </c>
      <c r="BA3" s="115">
        <v>42</v>
      </c>
    </row>
    <row r="4" spans="1:53" x14ac:dyDescent="0.15">
      <c r="A4" s="104" t="s">
        <v>34</v>
      </c>
      <c r="B4" s="96" t="s">
        <v>193</v>
      </c>
      <c r="C4" s="96">
        <v>2018</v>
      </c>
      <c r="D4" s="207" t="s">
        <v>488</v>
      </c>
      <c r="E4" s="121" t="s">
        <v>298</v>
      </c>
      <c r="F4" s="121" t="s">
        <v>489</v>
      </c>
      <c r="G4" s="104" t="s">
        <v>36</v>
      </c>
      <c r="H4" s="96" t="s">
        <v>155</v>
      </c>
      <c r="I4" s="104" t="s">
        <v>153</v>
      </c>
      <c r="J4" s="104" t="s">
        <v>38</v>
      </c>
      <c r="K4" s="104" t="s">
        <v>154</v>
      </c>
      <c r="L4" s="96">
        <v>3</v>
      </c>
      <c r="N4" s="96">
        <v>1</v>
      </c>
      <c r="O4" s="96">
        <v>0.75</v>
      </c>
      <c r="P4" s="96">
        <v>0.7</v>
      </c>
      <c r="Q4" s="129">
        <f t="shared" si="0"/>
        <v>0.72499999999999998</v>
      </c>
      <c r="R4" s="96">
        <v>13.7</v>
      </c>
      <c r="S4" s="96">
        <v>116</v>
      </c>
      <c r="T4" s="105">
        <f t="shared" si="1"/>
        <v>30</v>
      </c>
      <c r="U4" s="96">
        <v>105</v>
      </c>
      <c r="V4" s="105">
        <f t="shared" si="2"/>
        <v>3150</v>
      </c>
      <c r="W4" s="96">
        <v>2</v>
      </c>
      <c r="X4" s="104" t="s">
        <v>46</v>
      </c>
      <c r="Y4" s="104" t="s">
        <v>84</v>
      </c>
      <c r="Z4" s="104" t="s">
        <v>90</v>
      </c>
      <c r="AA4" s="104" t="s">
        <v>69</v>
      </c>
      <c r="AB4" s="104" t="s">
        <v>195</v>
      </c>
      <c r="AC4" s="104"/>
      <c r="AE4" s="111" t="s">
        <v>34</v>
      </c>
      <c r="AG4" s="209" t="s">
        <v>495</v>
      </c>
      <c r="AH4" s="127" t="s">
        <v>496</v>
      </c>
      <c r="AJ4" s="116" t="s">
        <v>48</v>
      </c>
      <c r="AL4" s="116" t="s">
        <v>129</v>
      </c>
      <c r="AN4" s="117" t="s">
        <v>49</v>
      </c>
      <c r="AP4" s="112" t="s">
        <v>497</v>
      </c>
      <c r="AR4" s="122" t="s">
        <v>498</v>
      </c>
      <c r="AT4" s="117"/>
      <c r="AV4" s="112" t="s">
        <v>50</v>
      </c>
      <c r="AX4" s="113">
        <v>75</v>
      </c>
      <c r="AY4" s="114">
        <v>42</v>
      </c>
      <c r="AZ4" s="114">
        <v>76</v>
      </c>
      <c r="BA4" s="115">
        <v>39</v>
      </c>
    </row>
    <row r="5" spans="1:53" x14ac:dyDescent="0.15">
      <c r="A5" s="104" t="s">
        <v>34</v>
      </c>
      <c r="B5" s="96" t="s">
        <v>193</v>
      </c>
      <c r="C5" s="96">
        <v>2018</v>
      </c>
      <c r="D5" s="207" t="s">
        <v>488</v>
      </c>
      <c r="E5" s="121" t="s">
        <v>298</v>
      </c>
      <c r="F5" s="121" t="s">
        <v>489</v>
      </c>
      <c r="G5" s="104" t="s">
        <v>36</v>
      </c>
      <c r="H5" s="96" t="s">
        <v>155</v>
      </c>
      <c r="I5" s="104" t="s">
        <v>153</v>
      </c>
      <c r="J5" s="104" t="s">
        <v>38</v>
      </c>
      <c r="K5" s="104" t="s">
        <v>154</v>
      </c>
      <c r="L5" s="104">
        <v>1</v>
      </c>
      <c r="N5" s="96">
        <v>5</v>
      </c>
      <c r="O5" s="96">
        <v>0.65</v>
      </c>
      <c r="P5" s="96">
        <v>0.55000000000000004</v>
      </c>
      <c r="Q5" s="129">
        <f t="shared" si="0"/>
        <v>0.60000000000000009</v>
      </c>
      <c r="R5" s="96">
        <v>14.4</v>
      </c>
      <c r="S5" s="96">
        <v>77</v>
      </c>
      <c r="T5" s="105">
        <f t="shared" si="1"/>
        <v>39</v>
      </c>
      <c r="U5" s="96">
        <v>429</v>
      </c>
      <c r="V5" s="105">
        <f t="shared" si="2"/>
        <v>3346.2</v>
      </c>
      <c r="W5" s="96">
        <v>2</v>
      </c>
      <c r="X5" s="104" t="s">
        <v>46</v>
      </c>
      <c r="Y5" s="104" t="s">
        <v>84</v>
      </c>
      <c r="Z5" s="104" t="s">
        <v>90</v>
      </c>
      <c r="AA5" s="104" t="s">
        <v>69</v>
      </c>
      <c r="AB5" s="104" t="s">
        <v>195</v>
      </c>
      <c r="AE5" s="111" t="s">
        <v>51</v>
      </c>
      <c r="AG5" s="209" t="s">
        <v>499</v>
      </c>
      <c r="AH5" s="127" t="s">
        <v>489</v>
      </c>
      <c r="AJ5" s="117"/>
      <c r="AL5" s="118" t="s">
        <v>500</v>
      </c>
      <c r="AN5" s="118" t="s">
        <v>501</v>
      </c>
      <c r="AP5" s="112" t="s">
        <v>502</v>
      </c>
      <c r="AR5" s="122" t="s">
        <v>54</v>
      </c>
      <c r="AV5" s="112" t="s">
        <v>55</v>
      </c>
      <c r="AX5" s="113">
        <v>84</v>
      </c>
      <c r="AY5" s="114">
        <v>39</v>
      </c>
      <c r="AZ5" s="114">
        <v>84</v>
      </c>
      <c r="BA5" s="115">
        <v>36</v>
      </c>
    </row>
    <row r="6" spans="1:53" x14ac:dyDescent="0.15">
      <c r="A6" s="104" t="s">
        <v>34</v>
      </c>
      <c r="B6" s="96" t="s">
        <v>193</v>
      </c>
      <c r="C6" s="96">
        <v>2018</v>
      </c>
      <c r="D6" s="207" t="s">
        <v>488</v>
      </c>
      <c r="E6" s="121" t="s">
        <v>298</v>
      </c>
      <c r="F6" s="121" t="s">
        <v>489</v>
      </c>
      <c r="G6" s="104" t="s">
        <v>36</v>
      </c>
      <c r="H6" s="96" t="s">
        <v>155</v>
      </c>
      <c r="I6" s="104" t="s">
        <v>153</v>
      </c>
      <c r="J6" s="104" t="s">
        <v>38</v>
      </c>
      <c r="K6" s="104" t="s">
        <v>154</v>
      </c>
      <c r="L6" s="96">
        <v>2</v>
      </c>
      <c r="N6" s="96">
        <v>5</v>
      </c>
      <c r="O6" s="96">
        <v>0.65</v>
      </c>
      <c r="P6" s="96">
        <v>0.55000000000000004</v>
      </c>
      <c r="Q6" s="129">
        <f t="shared" si="0"/>
        <v>0.60000000000000009</v>
      </c>
      <c r="R6" s="96">
        <v>13.4</v>
      </c>
      <c r="S6" s="96">
        <v>75</v>
      </c>
      <c r="T6" s="105">
        <f t="shared" si="1"/>
        <v>42</v>
      </c>
      <c r="U6" s="96">
        <v>429</v>
      </c>
      <c r="V6" s="105">
        <f t="shared" si="2"/>
        <v>3603.6</v>
      </c>
      <c r="W6" s="96">
        <v>2</v>
      </c>
      <c r="X6" s="104" t="s">
        <v>46</v>
      </c>
      <c r="Y6" s="104" t="s">
        <v>84</v>
      </c>
      <c r="Z6" s="104" t="s">
        <v>90</v>
      </c>
      <c r="AA6" s="104" t="s">
        <v>69</v>
      </c>
      <c r="AB6" s="104" t="s">
        <v>195</v>
      </c>
      <c r="AE6" s="111" t="s">
        <v>56</v>
      </c>
      <c r="AG6" s="209" t="s">
        <v>503</v>
      </c>
      <c r="AH6" s="127" t="s">
        <v>504</v>
      </c>
      <c r="AL6" s="118" t="s">
        <v>505</v>
      </c>
      <c r="AN6" s="118" t="s">
        <v>506</v>
      </c>
      <c r="AP6" s="112" t="s">
        <v>53</v>
      </c>
      <c r="AR6" s="122" t="s">
        <v>59</v>
      </c>
      <c r="AV6" s="112" t="s">
        <v>60</v>
      </c>
      <c r="AX6" s="113">
        <v>97</v>
      </c>
      <c r="AY6" s="114">
        <v>36</v>
      </c>
      <c r="AZ6" s="114">
        <v>99</v>
      </c>
      <c r="BA6" s="115">
        <v>33</v>
      </c>
    </row>
    <row r="7" spans="1:53" x14ac:dyDescent="0.15">
      <c r="A7" s="104" t="s">
        <v>34</v>
      </c>
      <c r="B7" s="96" t="s">
        <v>193</v>
      </c>
      <c r="C7" s="96">
        <v>2018</v>
      </c>
      <c r="D7" s="207" t="s">
        <v>488</v>
      </c>
      <c r="E7" s="121" t="s">
        <v>298</v>
      </c>
      <c r="F7" s="121" t="s">
        <v>489</v>
      </c>
      <c r="G7" s="104" t="s">
        <v>36</v>
      </c>
      <c r="H7" s="96" t="s">
        <v>155</v>
      </c>
      <c r="I7" s="104" t="s">
        <v>153</v>
      </c>
      <c r="J7" s="104" t="s">
        <v>38</v>
      </c>
      <c r="K7" s="104" t="s">
        <v>154</v>
      </c>
      <c r="L7" s="96">
        <v>3</v>
      </c>
      <c r="N7" s="96">
        <v>5</v>
      </c>
      <c r="O7" s="96">
        <v>0.45</v>
      </c>
      <c r="P7" s="96">
        <v>0.6</v>
      </c>
      <c r="Q7" s="129">
        <f t="shared" si="0"/>
        <v>0.52500000000000002</v>
      </c>
      <c r="R7" s="96">
        <v>14.4</v>
      </c>
      <c r="S7" s="96">
        <v>76</v>
      </c>
      <c r="T7" s="105">
        <f t="shared" si="1"/>
        <v>39</v>
      </c>
      <c r="U7" s="96">
        <v>429</v>
      </c>
      <c r="V7" s="105">
        <f t="shared" si="2"/>
        <v>3346.2</v>
      </c>
      <c r="W7" s="96">
        <v>2</v>
      </c>
      <c r="X7" s="104" t="s">
        <v>46</v>
      </c>
      <c r="Y7" s="104" t="s">
        <v>84</v>
      </c>
      <c r="Z7" s="104" t="s">
        <v>90</v>
      </c>
      <c r="AA7" s="104" t="s">
        <v>69</v>
      </c>
      <c r="AB7" s="104" t="s">
        <v>195</v>
      </c>
      <c r="AE7" s="111" t="s">
        <v>61</v>
      </c>
      <c r="AG7" s="209" t="s">
        <v>298</v>
      </c>
      <c r="AH7" s="127" t="s">
        <v>507</v>
      </c>
      <c r="AL7" s="34" t="s">
        <v>508</v>
      </c>
      <c r="AP7" s="112" t="s">
        <v>58</v>
      </c>
      <c r="AR7" s="119" t="s">
        <v>122</v>
      </c>
      <c r="AV7" s="112" t="s">
        <v>64</v>
      </c>
      <c r="AX7" s="113">
        <v>109</v>
      </c>
      <c r="AY7" s="114">
        <v>33</v>
      </c>
      <c r="AZ7" s="114">
        <v>113</v>
      </c>
      <c r="BA7" s="115">
        <v>30</v>
      </c>
    </row>
    <row r="8" spans="1:53" x14ac:dyDescent="0.15">
      <c r="A8" s="104" t="s">
        <v>34</v>
      </c>
      <c r="B8" s="96" t="s">
        <v>193</v>
      </c>
      <c r="C8" s="96">
        <v>2018</v>
      </c>
      <c r="D8" s="207" t="s">
        <v>509</v>
      </c>
      <c r="E8" s="121" t="s">
        <v>298</v>
      </c>
      <c r="F8" s="121" t="s">
        <v>489</v>
      </c>
      <c r="G8" s="104" t="s">
        <v>36</v>
      </c>
      <c r="H8" s="96" t="s">
        <v>174</v>
      </c>
      <c r="I8" s="104" t="s">
        <v>153</v>
      </c>
      <c r="J8" s="104" t="s">
        <v>38</v>
      </c>
      <c r="K8" s="104" t="s">
        <v>54</v>
      </c>
      <c r="L8" s="104">
        <v>1</v>
      </c>
      <c r="N8" s="96">
        <v>2</v>
      </c>
      <c r="O8" s="96">
        <v>0.5</v>
      </c>
      <c r="P8" s="96">
        <v>0.6</v>
      </c>
      <c r="Q8" s="129">
        <f t="shared" si="0"/>
        <v>0.55000000000000004</v>
      </c>
      <c r="R8" s="96">
        <v>16.5</v>
      </c>
      <c r="S8" s="96">
        <v>103</v>
      </c>
      <c r="T8" s="105">
        <f t="shared" si="1"/>
        <v>36</v>
      </c>
      <c r="U8" s="96">
        <v>410</v>
      </c>
      <c r="V8" s="105">
        <f t="shared" si="2"/>
        <v>7380</v>
      </c>
      <c r="W8" s="96">
        <v>1</v>
      </c>
      <c r="X8" s="104" t="s">
        <v>46</v>
      </c>
      <c r="Y8" s="104" t="s">
        <v>84</v>
      </c>
      <c r="Z8" s="104" t="s">
        <v>90</v>
      </c>
      <c r="AA8" s="104" t="s">
        <v>69</v>
      </c>
      <c r="AB8" s="104" t="s">
        <v>195</v>
      </c>
      <c r="AE8" s="111" t="s">
        <v>59</v>
      </c>
      <c r="AG8" s="209" t="s">
        <v>510</v>
      </c>
      <c r="AH8" s="127" t="s">
        <v>511</v>
      </c>
      <c r="AL8" s="34" t="s">
        <v>362</v>
      </c>
      <c r="AP8" s="112" t="s">
        <v>62</v>
      </c>
      <c r="AR8" s="122" t="s">
        <v>81</v>
      </c>
      <c r="AV8" s="112" t="s">
        <v>97</v>
      </c>
      <c r="AX8" s="113">
        <v>151</v>
      </c>
      <c r="AY8" s="114">
        <v>22</v>
      </c>
      <c r="AZ8" s="114">
        <v>152</v>
      </c>
      <c r="BA8" s="115">
        <v>18</v>
      </c>
    </row>
    <row r="9" spans="1:53" x14ac:dyDescent="0.15">
      <c r="A9" s="104" t="s">
        <v>34</v>
      </c>
      <c r="B9" s="96" t="s">
        <v>193</v>
      </c>
      <c r="C9" s="96">
        <v>2018</v>
      </c>
      <c r="D9" s="207" t="s">
        <v>509</v>
      </c>
      <c r="E9" s="121" t="s">
        <v>298</v>
      </c>
      <c r="F9" s="121" t="s">
        <v>489</v>
      </c>
      <c r="G9" s="104" t="s">
        <v>36</v>
      </c>
      <c r="H9" s="96" t="s">
        <v>174</v>
      </c>
      <c r="I9" s="104" t="s">
        <v>153</v>
      </c>
      <c r="J9" s="104" t="s">
        <v>38</v>
      </c>
      <c r="K9" s="104" t="s">
        <v>54</v>
      </c>
      <c r="L9" s="96">
        <v>2</v>
      </c>
      <c r="N9" s="96">
        <v>2</v>
      </c>
      <c r="O9" s="96">
        <v>0.65</v>
      </c>
      <c r="P9" s="96">
        <v>0.75</v>
      </c>
      <c r="Q9" s="129">
        <f t="shared" si="0"/>
        <v>0.7</v>
      </c>
      <c r="R9" s="96">
        <v>14.5</v>
      </c>
      <c r="S9" s="96">
        <v>107</v>
      </c>
      <c r="T9" s="105">
        <f t="shared" si="1"/>
        <v>36</v>
      </c>
      <c r="U9" s="96">
        <v>410</v>
      </c>
      <c r="V9" s="105">
        <f t="shared" si="2"/>
        <v>7380</v>
      </c>
      <c r="W9" s="96">
        <v>1</v>
      </c>
      <c r="X9" s="104" t="s">
        <v>46</v>
      </c>
      <c r="Y9" s="104" t="s">
        <v>84</v>
      </c>
      <c r="Z9" s="104" t="s">
        <v>90</v>
      </c>
      <c r="AA9" s="104" t="s">
        <v>69</v>
      </c>
      <c r="AB9" s="104" t="s">
        <v>195</v>
      </c>
      <c r="AE9" s="111" t="s">
        <v>98</v>
      </c>
      <c r="AG9" s="209" t="s">
        <v>512</v>
      </c>
      <c r="AH9" s="127" t="s">
        <v>513</v>
      </c>
      <c r="AL9" s="118"/>
      <c r="AP9" s="112" t="s">
        <v>95</v>
      </c>
      <c r="AR9" s="119" t="s">
        <v>89</v>
      </c>
      <c r="AV9" s="112" t="s">
        <v>102</v>
      </c>
      <c r="AX9" s="31">
        <v>180</v>
      </c>
      <c r="AY9" s="32">
        <v>18</v>
      </c>
      <c r="AZ9" s="32">
        <v>181</v>
      </c>
      <c r="BA9" s="33">
        <v>16</v>
      </c>
    </row>
    <row r="10" spans="1:53" x14ac:dyDescent="0.15">
      <c r="A10" s="104" t="s">
        <v>34</v>
      </c>
      <c r="B10" s="96" t="s">
        <v>193</v>
      </c>
      <c r="C10" s="96">
        <v>2018</v>
      </c>
      <c r="D10" s="207" t="s">
        <v>514</v>
      </c>
      <c r="E10" s="121" t="s">
        <v>298</v>
      </c>
      <c r="F10" s="121" t="s">
        <v>489</v>
      </c>
      <c r="G10" s="104" t="s">
        <v>36</v>
      </c>
      <c r="H10" s="96" t="s">
        <v>174</v>
      </c>
      <c r="I10" s="104" t="s">
        <v>153</v>
      </c>
      <c r="J10" s="104" t="s">
        <v>38</v>
      </c>
      <c r="K10" s="104" t="s">
        <v>54</v>
      </c>
      <c r="L10" s="96">
        <v>3</v>
      </c>
      <c r="N10" s="96">
        <v>2</v>
      </c>
      <c r="O10" s="96">
        <v>0.65</v>
      </c>
      <c r="P10" s="96">
        <v>0.75</v>
      </c>
      <c r="Q10" s="129">
        <f t="shared" si="0"/>
        <v>0.7</v>
      </c>
      <c r="R10" s="96">
        <v>15.3</v>
      </c>
      <c r="S10" s="96">
        <v>102</v>
      </c>
      <c r="T10" s="105">
        <f t="shared" si="1"/>
        <v>36</v>
      </c>
      <c r="U10" s="96">
        <v>410</v>
      </c>
      <c r="V10" s="105">
        <f t="shared" si="2"/>
        <v>7380</v>
      </c>
      <c r="W10" s="96">
        <v>1</v>
      </c>
      <c r="X10" s="104" t="s">
        <v>46</v>
      </c>
      <c r="Y10" s="104" t="s">
        <v>84</v>
      </c>
      <c r="Z10" s="104" t="s">
        <v>90</v>
      </c>
      <c r="AA10" s="104" t="s">
        <v>69</v>
      </c>
      <c r="AB10" s="104" t="s">
        <v>195</v>
      </c>
      <c r="AE10" s="111" t="s">
        <v>103</v>
      </c>
      <c r="AG10" s="209" t="s">
        <v>515</v>
      </c>
      <c r="AH10" s="127" t="s">
        <v>516</v>
      </c>
      <c r="AL10" s="34"/>
      <c r="AP10" s="112" t="s">
        <v>100</v>
      </c>
      <c r="AR10" s="119" t="s">
        <v>123</v>
      </c>
      <c r="AV10" s="112" t="s">
        <v>106</v>
      </c>
    </row>
    <row r="11" spans="1:53" x14ac:dyDescent="0.15">
      <c r="A11" s="104" t="s">
        <v>34</v>
      </c>
      <c r="B11" s="96" t="s">
        <v>193</v>
      </c>
      <c r="C11" s="96">
        <v>2018</v>
      </c>
      <c r="D11" s="207" t="s">
        <v>514</v>
      </c>
      <c r="E11" s="121" t="s">
        <v>298</v>
      </c>
      <c r="F11" s="121" t="s">
        <v>489</v>
      </c>
      <c r="G11" s="104" t="s">
        <v>36</v>
      </c>
      <c r="H11" s="96" t="s">
        <v>128</v>
      </c>
      <c r="I11" s="104" t="s">
        <v>153</v>
      </c>
      <c r="J11" s="104" t="s">
        <v>80</v>
      </c>
      <c r="K11" s="104" t="s">
        <v>63</v>
      </c>
      <c r="L11" s="104">
        <v>1</v>
      </c>
      <c r="N11" s="96">
        <v>4</v>
      </c>
      <c r="O11" s="96">
        <v>0.75</v>
      </c>
      <c r="P11" s="96">
        <v>0.45</v>
      </c>
      <c r="Q11" s="129">
        <f t="shared" si="0"/>
        <v>0.6</v>
      </c>
      <c r="R11" s="96">
        <v>11.8</v>
      </c>
      <c r="S11" s="96">
        <v>104</v>
      </c>
      <c r="T11" s="105">
        <f t="shared" si="1"/>
        <v>33</v>
      </c>
      <c r="U11" s="96">
        <v>429</v>
      </c>
      <c r="V11" s="105">
        <f t="shared" si="2"/>
        <v>3539.25</v>
      </c>
      <c r="W11" s="96">
        <v>1</v>
      </c>
      <c r="X11" s="104" t="s">
        <v>46</v>
      </c>
      <c r="Y11" s="104" t="s">
        <v>84</v>
      </c>
      <c r="Z11" s="104" t="s">
        <v>90</v>
      </c>
      <c r="AA11" s="104" t="s">
        <v>69</v>
      </c>
      <c r="AB11" s="104" t="s">
        <v>195</v>
      </c>
      <c r="AE11" s="111" t="s">
        <v>65</v>
      </c>
      <c r="AG11" s="209" t="s">
        <v>167</v>
      </c>
      <c r="AH11" s="127" t="s">
        <v>517</v>
      </c>
      <c r="AL11" s="34"/>
      <c r="AP11" s="112" t="s">
        <v>104</v>
      </c>
      <c r="AR11" s="119" t="s">
        <v>87</v>
      </c>
      <c r="AV11" s="112" t="s">
        <v>69</v>
      </c>
    </row>
    <row r="12" spans="1:53" x14ac:dyDescent="0.15">
      <c r="A12" s="104" t="s">
        <v>34</v>
      </c>
      <c r="B12" s="96" t="s">
        <v>193</v>
      </c>
      <c r="C12" s="96">
        <v>2018</v>
      </c>
      <c r="D12" s="207" t="s">
        <v>518</v>
      </c>
      <c r="E12" s="121" t="s">
        <v>298</v>
      </c>
      <c r="F12" s="121" t="s">
        <v>489</v>
      </c>
      <c r="G12" s="104" t="s">
        <v>36</v>
      </c>
      <c r="H12" s="96" t="s">
        <v>128</v>
      </c>
      <c r="I12" s="104" t="s">
        <v>153</v>
      </c>
      <c r="J12" s="104" t="s">
        <v>80</v>
      </c>
      <c r="K12" s="104" t="s">
        <v>63</v>
      </c>
      <c r="L12" s="96">
        <v>2</v>
      </c>
      <c r="N12" s="96">
        <v>4</v>
      </c>
      <c r="O12" s="96">
        <v>0.75</v>
      </c>
      <c r="P12" s="96">
        <v>1</v>
      </c>
      <c r="Q12" s="129">
        <f t="shared" si="0"/>
        <v>0.875</v>
      </c>
      <c r="R12" s="96">
        <v>9.5</v>
      </c>
      <c r="S12" s="96">
        <v>104</v>
      </c>
      <c r="T12" s="105">
        <f t="shared" si="1"/>
        <v>33</v>
      </c>
      <c r="U12" s="96">
        <v>429</v>
      </c>
      <c r="V12" s="105">
        <f t="shared" si="2"/>
        <v>3539.25</v>
      </c>
      <c r="W12" s="96">
        <v>1</v>
      </c>
      <c r="X12" s="104" t="s">
        <v>46</v>
      </c>
      <c r="Y12" s="104" t="s">
        <v>84</v>
      </c>
      <c r="Z12" s="104" t="s">
        <v>90</v>
      </c>
      <c r="AA12" s="104" t="s">
        <v>69</v>
      </c>
      <c r="AB12" s="104" t="s">
        <v>195</v>
      </c>
      <c r="AE12" s="111" t="s">
        <v>70</v>
      </c>
      <c r="AG12" s="128"/>
      <c r="AH12" s="112"/>
      <c r="AL12" s="34"/>
      <c r="AP12" s="112" t="s">
        <v>67</v>
      </c>
      <c r="AR12" s="119" t="s">
        <v>124</v>
      </c>
      <c r="AV12" s="112" t="s">
        <v>72</v>
      </c>
    </row>
    <row r="13" spans="1:53" x14ac:dyDescent="0.15">
      <c r="A13" s="104" t="s">
        <v>34</v>
      </c>
      <c r="B13" s="96" t="s">
        <v>193</v>
      </c>
      <c r="C13" s="96">
        <v>2018</v>
      </c>
      <c r="D13" s="207" t="s">
        <v>519</v>
      </c>
      <c r="E13" s="121" t="s">
        <v>298</v>
      </c>
      <c r="F13" s="121" t="s">
        <v>489</v>
      </c>
      <c r="G13" s="104" t="s">
        <v>36</v>
      </c>
      <c r="H13" s="96" t="s">
        <v>128</v>
      </c>
      <c r="I13" s="104" t="s">
        <v>153</v>
      </c>
      <c r="J13" s="104" t="s">
        <v>80</v>
      </c>
      <c r="K13" s="104" t="s">
        <v>63</v>
      </c>
      <c r="L13" s="96">
        <v>3</v>
      </c>
      <c r="N13" s="96">
        <v>4</v>
      </c>
      <c r="O13" s="96">
        <v>0.2</v>
      </c>
      <c r="P13" s="96">
        <v>0.8</v>
      </c>
      <c r="Q13" s="129">
        <f t="shared" si="0"/>
        <v>0.5</v>
      </c>
      <c r="R13" s="96">
        <v>9.1</v>
      </c>
      <c r="S13" s="96">
        <v>106</v>
      </c>
      <c r="T13" s="105">
        <f t="shared" si="1"/>
        <v>33</v>
      </c>
      <c r="U13" s="96">
        <v>429</v>
      </c>
      <c r="V13" s="105">
        <f t="shared" si="2"/>
        <v>3539.25</v>
      </c>
      <c r="W13" s="96">
        <v>1</v>
      </c>
      <c r="X13" s="104" t="s">
        <v>46</v>
      </c>
      <c r="Y13" s="104" t="s">
        <v>84</v>
      </c>
      <c r="Z13" s="104" t="s">
        <v>90</v>
      </c>
      <c r="AA13" s="104" t="s">
        <v>69</v>
      </c>
      <c r="AB13" s="104" t="s">
        <v>195</v>
      </c>
      <c r="AE13" s="111" t="s">
        <v>73</v>
      </c>
      <c r="AG13" s="130"/>
      <c r="AH13" s="117"/>
      <c r="AP13" s="112" t="s">
        <v>71</v>
      </c>
      <c r="AR13" s="119" t="s">
        <v>103</v>
      </c>
      <c r="AV13" s="112" t="s">
        <v>75</v>
      </c>
    </row>
    <row r="14" spans="1:53" x14ac:dyDescent="0.15">
      <c r="A14" s="104" t="s">
        <v>34</v>
      </c>
      <c r="B14" s="96" t="s">
        <v>193</v>
      </c>
      <c r="C14" s="96">
        <v>2018</v>
      </c>
      <c r="D14" s="207" t="s">
        <v>520</v>
      </c>
      <c r="E14" s="121" t="s">
        <v>512</v>
      </c>
      <c r="F14" s="121" t="s">
        <v>513</v>
      </c>
      <c r="G14" s="104" t="s">
        <v>36</v>
      </c>
      <c r="H14" s="96" t="s">
        <v>155</v>
      </c>
      <c r="I14" s="104" t="s">
        <v>153</v>
      </c>
      <c r="J14" s="104" t="s">
        <v>38</v>
      </c>
      <c r="K14" s="104" t="s">
        <v>154</v>
      </c>
      <c r="L14" s="104">
        <v>1</v>
      </c>
      <c r="N14" s="96">
        <v>1</v>
      </c>
      <c r="O14" s="96">
        <v>0.8</v>
      </c>
      <c r="P14" s="96">
        <v>0.8</v>
      </c>
      <c r="Q14" s="129">
        <f t="shared" si="0"/>
        <v>0.8</v>
      </c>
      <c r="R14" s="96">
        <v>11.5</v>
      </c>
      <c r="S14" s="96">
        <v>181</v>
      </c>
      <c r="T14" s="105">
        <f t="shared" si="1"/>
        <v>16</v>
      </c>
      <c r="U14" s="96">
        <v>95</v>
      </c>
      <c r="V14" s="105">
        <f t="shared" si="2"/>
        <v>1520</v>
      </c>
      <c r="W14" s="96">
        <v>4</v>
      </c>
      <c r="X14" s="104" t="s">
        <v>39</v>
      </c>
      <c r="Y14" s="104" t="s">
        <v>90</v>
      </c>
      <c r="Z14" s="104" t="s">
        <v>84</v>
      </c>
      <c r="AA14" s="104" t="s">
        <v>69</v>
      </c>
      <c r="AB14" s="104" t="s">
        <v>195</v>
      </c>
      <c r="AE14" s="111" t="s">
        <v>76</v>
      </c>
      <c r="AG14" s="210"/>
      <c r="AL14" s="182"/>
      <c r="AP14" s="112" t="s">
        <v>74</v>
      </c>
      <c r="AR14" s="119" t="s">
        <v>125</v>
      </c>
      <c r="AV14" s="112" t="s">
        <v>78</v>
      </c>
    </row>
    <row r="15" spans="1:53" x14ac:dyDescent="0.15">
      <c r="A15" s="104" t="s">
        <v>34</v>
      </c>
      <c r="B15" s="96" t="s">
        <v>193</v>
      </c>
      <c r="C15" s="96">
        <v>2018</v>
      </c>
      <c r="D15" s="207" t="s">
        <v>520</v>
      </c>
      <c r="E15" s="121" t="s">
        <v>512</v>
      </c>
      <c r="F15" s="121" t="s">
        <v>513</v>
      </c>
      <c r="G15" s="104" t="s">
        <v>36</v>
      </c>
      <c r="H15" s="96" t="s">
        <v>155</v>
      </c>
      <c r="I15" s="104" t="s">
        <v>153</v>
      </c>
      <c r="J15" s="104" t="s">
        <v>38</v>
      </c>
      <c r="K15" s="104" t="s">
        <v>154</v>
      </c>
      <c r="L15" s="96">
        <v>2</v>
      </c>
      <c r="N15" s="96">
        <v>1</v>
      </c>
      <c r="O15" s="96">
        <v>0.85</v>
      </c>
      <c r="P15" s="96">
        <v>0.85</v>
      </c>
      <c r="Q15" s="129">
        <f t="shared" si="0"/>
        <v>0.85</v>
      </c>
      <c r="R15" s="96">
        <v>13.7</v>
      </c>
      <c r="S15" s="96">
        <v>205</v>
      </c>
      <c r="T15" s="105">
        <f t="shared" si="1"/>
        <v>16</v>
      </c>
      <c r="U15" s="96">
        <v>95</v>
      </c>
      <c r="V15" s="105">
        <f t="shared" si="2"/>
        <v>1520</v>
      </c>
      <c r="W15" s="96">
        <v>4</v>
      </c>
      <c r="X15" s="104" t="s">
        <v>39</v>
      </c>
      <c r="Y15" s="104" t="s">
        <v>90</v>
      </c>
      <c r="Z15" s="104" t="s">
        <v>84</v>
      </c>
      <c r="AA15" s="104" t="s">
        <v>69</v>
      </c>
      <c r="AB15" s="104" t="s">
        <v>195</v>
      </c>
      <c r="AE15" s="111" t="s">
        <v>79</v>
      </c>
      <c r="AL15" s="211"/>
      <c r="AP15" s="112" t="s">
        <v>77</v>
      </c>
      <c r="AR15" s="119" t="s">
        <v>94</v>
      </c>
      <c r="AV15" s="112" t="s">
        <v>107</v>
      </c>
    </row>
    <row r="16" spans="1:53" x14ac:dyDescent="0.15">
      <c r="A16" s="104" t="s">
        <v>34</v>
      </c>
      <c r="B16" s="96" t="s">
        <v>193</v>
      </c>
      <c r="C16" s="96">
        <v>2018</v>
      </c>
      <c r="D16" s="207" t="s">
        <v>521</v>
      </c>
      <c r="E16" s="121" t="s">
        <v>512</v>
      </c>
      <c r="F16" s="121" t="s">
        <v>513</v>
      </c>
      <c r="G16" s="104" t="s">
        <v>36</v>
      </c>
      <c r="H16" s="96" t="s">
        <v>155</v>
      </c>
      <c r="I16" s="104" t="s">
        <v>153</v>
      </c>
      <c r="J16" s="104" t="s">
        <v>38</v>
      </c>
      <c r="K16" s="104" t="s">
        <v>154</v>
      </c>
      <c r="L16" s="96">
        <v>3</v>
      </c>
      <c r="N16" s="96">
        <v>1</v>
      </c>
      <c r="O16" s="96">
        <v>0.5</v>
      </c>
      <c r="P16" s="96">
        <v>0.65</v>
      </c>
      <c r="Q16" s="129">
        <f t="shared" si="0"/>
        <v>0.57499999999999996</v>
      </c>
      <c r="R16" s="96">
        <v>13.3</v>
      </c>
      <c r="S16" s="96">
        <v>111</v>
      </c>
      <c r="T16" s="105">
        <f t="shared" si="1"/>
        <v>33</v>
      </c>
      <c r="U16" s="96">
        <v>95</v>
      </c>
      <c r="V16" s="105">
        <f t="shared" si="2"/>
        <v>3135</v>
      </c>
      <c r="W16" s="96">
        <v>4</v>
      </c>
      <c r="X16" s="104" t="s">
        <v>39</v>
      </c>
      <c r="Y16" s="104" t="s">
        <v>90</v>
      </c>
      <c r="Z16" s="104" t="s">
        <v>84</v>
      </c>
      <c r="AA16" s="104" t="s">
        <v>69</v>
      </c>
      <c r="AB16" s="104" t="s">
        <v>195</v>
      </c>
      <c r="AE16" s="111" t="s">
        <v>82</v>
      </c>
      <c r="AL16" s="211"/>
      <c r="AP16" s="112" t="s">
        <v>80</v>
      </c>
      <c r="AR16" s="122" t="s">
        <v>63</v>
      </c>
      <c r="AV16" s="112" t="s">
        <v>84</v>
      </c>
    </row>
    <row r="17" spans="1:48" x14ac:dyDescent="0.15">
      <c r="A17" s="104" t="s">
        <v>34</v>
      </c>
      <c r="B17" s="96" t="s">
        <v>193</v>
      </c>
      <c r="C17" s="96">
        <v>2018</v>
      </c>
      <c r="D17" s="207" t="s">
        <v>521</v>
      </c>
      <c r="E17" s="121" t="s">
        <v>512</v>
      </c>
      <c r="F17" s="121" t="s">
        <v>513</v>
      </c>
      <c r="G17" s="104" t="s">
        <v>36</v>
      </c>
      <c r="H17" s="96" t="s">
        <v>155</v>
      </c>
      <c r="I17" s="104" t="s">
        <v>153</v>
      </c>
      <c r="J17" s="104" t="s">
        <v>38</v>
      </c>
      <c r="K17" s="104" t="s">
        <v>154</v>
      </c>
      <c r="L17" s="104">
        <v>1</v>
      </c>
      <c r="N17" s="96">
        <v>4</v>
      </c>
      <c r="O17" s="96">
        <v>0.6</v>
      </c>
      <c r="P17" s="96">
        <v>0.75</v>
      </c>
      <c r="Q17" s="129">
        <f t="shared" si="0"/>
        <v>0.67500000000000004</v>
      </c>
      <c r="R17" s="96">
        <v>13.6</v>
      </c>
      <c r="S17" s="96">
        <v>97</v>
      </c>
      <c r="T17" s="105">
        <f t="shared" si="1"/>
        <v>36</v>
      </c>
      <c r="U17" s="96">
        <v>321</v>
      </c>
      <c r="V17" s="105">
        <f t="shared" si="2"/>
        <v>2889</v>
      </c>
      <c r="W17" s="96">
        <v>4</v>
      </c>
      <c r="X17" s="104" t="s">
        <v>39</v>
      </c>
      <c r="Y17" s="104" t="s">
        <v>90</v>
      </c>
      <c r="Z17" s="104" t="s">
        <v>84</v>
      </c>
      <c r="AA17" s="104" t="s">
        <v>69</v>
      </c>
      <c r="AB17" s="104" t="s">
        <v>195</v>
      </c>
      <c r="AE17" s="111" t="s">
        <v>85</v>
      </c>
      <c r="AL17" s="211"/>
      <c r="AP17" s="123" t="s">
        <v>110</v>
      </c>
      <c r="AR17" s="122" t="s">
        <v>96</v>
      </c>
      <c r="AV17" s="112" t="s">
        <v>86</v>
      </c>
    </row>
    <row r="18" spans="1:48" x14ac:dyDescent="0.15">
      <c r="A18" s="104" t="s">
        <v>34</v>
      </c>
      <c r="B18" s="96" t="s">
        <v>193</v>
      </c>
      <c r="C18" s="96">
        <v>2018</v>
      </c>
      <c r="D18" s="207" t="s">
        <v>521</v>
      </c>
      <c r="E18" s="121" t="s">
        <v>512</v>
      </c>
      <c r="F18" s="121" t="s">
        <v>513</v>
      </c>
      <c r="G18" s="104" t="s">
        <v>36</v>
      </c>
      <c r="H18" s="96" t="s">
        <v>155</v>
      </c>
      <c r="I18" s="104" t="s">
        <v>153</v>
      </c>
      <c r="J18" s="104" t="s">
        <v>38</v>
      </c>
      <c r="K18" s="104" t="s">
        <v>154</v>
      </c>
      <c r="L18" s="96">
        <v>2</v>
      </c>
      <c r="N18" s="96">
        <v>4</v>
      </c>
      <c r="O18" s="96">
        <v>0.7</v>
      </c>
      <c r="P18" s="96">
        <v>0.75</v>
      </c>
      <c r="Q18" s="129">
        <f t="shared" si="0"/>
        <v>0.72499999999999998</v>
      </c>
      <c r="R18" s="96">
        <v>9.4</v>
      </c>
      <c r="S18" s="96">
        <v>101</v>
      </c>
      <c r="T18" s="105">
        <f t="shared" si="1"/>
        <v>33</v>
      </c>
      <c r="U18" s="96">
        <v>321</v>
      </c>
      <c r="V18" s="105">
        <f t="shared" si="2"/>
        <v>2648.25</v>
      </c>
      <c r="W18" s="96">
        <v>4</v>
      </c>
      <c r="X18" s="104" t="s">
        <v>39</v>
      </c>
      <c r="Y18" s="104" t="s">
        <v>90</v>
      </c>
      <c r="Z18" s="104" t="s">
        <v>84</v>
      </c>
      <c r="AA18" s="104" t="s">
        <v>69</v>
      </c>
      <c r="AB18" s="104" t="s">
        <v>195</v>
      </c>
      <c r="AE18" s="111" t="s">
        <v>87</v>
      </c>
      <c r="AL18" s="104"/>
      <c r="AP18" s="123" t="s">
        <v>111</v>
      </c>
      <c r="AR18" s="122" t="s">
        <v>101</v>
      </c>
      <c r="AV18" s="112" t="s">
        <v>88</v>
      </c>
    </row>
    <row r="19" spans="1:48" x14ac:dyDescent="0.15">
      <c r="A19" s="104" t="s">
        <v>34</v>
      </c>
      <c r="B19" s="96" t="s">
        <v>193</v>
      </c>
      <c r="C19" s="96">
        <v>2018</v>
      </c>
      <c r="D19" s="207" t="s">
        <v>518</v>
      </c>
      <c r="E19" s="121" t="s">
        <v>512</v>
      </c>
      <c r="F19" s="121" t="s">
        <v>513</v>
      </c>
      <c r="G19" s="104" t="s">
        <v>36</v>
      </c>
      <c r="H19" s="96" t="s">
        <v>155</v>
      </c>
      <c r="I19" s="104" t="s">
        <v>153</v>
      </c>
      <c r="J19" s="104" t="s">
        <v>38</v>
      </c>
      <c r="K19" s="104" t="s">
        <v>154</v>
      </c>
      <c r="L19" s="96">
        <v>3</v>
      </c>
      <c r="N19" s="96">
        <v>4</v>
      </c>
      <c r="O19" s="96">
        <v>0.6</v>
      </c>
      <c r="P19" s="96">
        <v>0.65</v>
      </c>
      <c r="Q19" s="129">
        <f t="shared" si="0"/>
        <v>0.625</v>
      </c>
      <c r="R19" s="96">
        <v>11.8</v>
      </c>
      <c r="S19" s="96">
        <v>101</v>
      </c>
      <c r="T19" s="105">
        <f t="shared" si="1"/>
        <v>33</v>
      </c>
      <c r="U19" s="96">
        <v>321</v>
      </c>
      <c r="V19" s="105">
        <f t="shared" si="2"/>
        <v>2648.25</v>
      </c>
      <c r="W19" s="96">
        <v>4</v>
      </c>
      <c r="X19" s="104" t="s">
        <v>39</v>
      </c>
      <c r="Y19" s="104" t="s">
        <v>90</v>
      </c>
      <c r="Z19" s="104" t="s">
        <v>84</v>
      </c>
      <c r="AA19" s="104" t="s">
        <v>69</v>
      </c>
      <c r="AB19" s="104" t="s">
        <v>195</v>
      </c>
      <c r="AE19" s="120" t="s">
        <v>89</v>
      </c>
      <c r="AP19" s="123" t="s">
        <v>112</v>
      </c>
      <c r="AR19" s="119" t="s">
        <v>126</v>
      </c>
      <c r="AV19" s="112" t="s">
        <v>90</v>
      </c>
    </row>
    <row r="20" spans="1:48" x14ac:dyDescent="0.15">
      <c r="A20" s="104" t="s">
        <v>34</v>
      </c>
      <c r="B20" s="96" t="s">
        <v>193</v>
      </c>
      <c r="C20" s="96">
        <v>2018</v>
      </c>
      <c r="D20" s="207" t="s">
        <v>518</v>
      </c>
      <c r="E20" s="121" t="s">
        <v>512</v>
      </c>
      <c r="F20" s="121" t="s">
        <v>513</v>
      </c>
      <c r="G20" s="104" t="s">
        <v>36</v>
      </c>
      <c r="H20" s="96" t="s">
        <v>163</v>
      </c>
      <c r="I20" s="104" t="s">
        <v>153</v>
      </c>
      <c r="J20" s="104" t="s">
        <v>38</v>
      </c>
      <c r="K20" s="104" t="s">
        <v>178</v>
      </c>
      <c r="L20" s="104">
        <v>1</v>
      </c>
      <c r="N20" s="96">
        <v>4</v>
      </c>
      <c r="O20" s="96">
        <v>0.6</v>
      </c>
      <c r="P20" s="96">
        <v>0.55000000000000004</v>
      </c>
      <c r="Q20" s="129">
        <f t="shared" si="0"/>
        <v>0.57499999999999996</v>
      </c>
      <c r="R20" s="96">
        <v>17</v>
      </c>
      <c r="S20" s="96">
        <v>93</v>
      </c>
      <c r="T20" s="105">
        <f t="shared" si="1"/>
        <v>36</v>
      </c>
      <c r="U20" s="96">
        <v>537</v>
      </c>
      <c r="V20" s="105">
        <f t="shared" si="2"/>
        <v>4833</v>
      </c>
      <c r="W20" s="96">
        <v>1</v>
      </c>
      <c r="X20" s="104" t="s">
        <v>39</v>
      </c>
      <c r="Y20" s="104" t="s">
        <v>90</v>
      </c>
      <c r="Z20" s="104" t="s">
        <v>84</v>
      </c>
      <c r="AA20" s="104" t="s">
        <v>69</v>
      </c>
      <c r="AB20" s="104" t="s">
        <v>195</v>
      </c>
      <c r="AP20" s="123" t="s">
        <v>113</v>
      </c>
      <c r="AR20" s="122" t="s">
        <v>105</v>
      </c>
      <c r="AV20" s="116" t="s">
        <v>389</v>
      </c>
    </row>
    <row r="21" spans="1:48" x14ac:dyDescent="0.15">
      <c r="A21" s="104" t="s">
        <v>34</v>
      </c>
      <c r="B21" s="96" t="s">
        <v>193</v>
      </c>
      <c r="C21" s="96">
        <v>2018</v>
      </c>
      <c r="D21" s="207" t="s">
        <v>518</v>
      </c>
      <c r="E21" s="121" t="s">
        <v>512</v>
      </c>
      <c r="F21" s="121" t="s">
        <v>513</v>
      </c>
      <c r="G21" s="104" t="s">
        <v>36</v>
      </c>
      <c r="H21" s="96" t="s">
        <v>163</v>
      </c>
      <c r="I21" s="104" t="s">
        <v>153</v>
      </c>
      <c r="J21" s="104" t="s">
        <v>38</v>
      </c>
      <c r="K21" s="104" t="s">
        <v>178</v>
      </c>
      <c r="L21" s="96">
        <v>2</v>
      </c>
      <c r="N21" s="96">
        <v>4</v>
      </c>
      <c r="O21" s="96">
        <v>0.6</v>
      </c>
      <c r="P21" s="96">
        <v>0.5</v>
      </c>
      <c r="Q21" s="129">
        <f t="shared" si="0"/>
        <v>0.55000000000000004</v>
      </c>
      <c r="R21" s="96">
        <v>17.3</v>
      </c>
      <c r="S21" s="96">
        <v>103</v>
      </c>
      <c r="T21" s="105">
        <f t="shared" si="1"/>
        <v>33</v>
      </c>
      <c r="U21" s="96">
        <v>537</v>
      </c>
      <c r="V21" s="105">
        <f t="shared" si="2"/>
        <v>4430.25</v>
      </c>
      <c r="W21" s="96">
        <v>1</v>
      </c>
      <c r="X21" s="104" t="s">
        <v>39</v>
      </c>
      <c r="Y21" s="104" t="s">
        <v>90</v>
      </c>
      <c r="Z21" s="104" t="s">
        <v>84</v>
      </c>
      <c r="AA21" s="104" t="s">
        <v>69</v>
      </c>
      <c r="AB21" s="104" t="s">
        <v>195</v>
      </c>
      <c r="AP21" s="123" t="s">
        <v>114</v>
      </c>
      <c r="AR21" s="122" t="s">
        <v>68</v>
      </c>
      <c r="AV21" s="116" t="s">
        <v>522</v>
      </c>
    </row>
    <row r="22" spans="1:48" x14ac:dyDescent="0.15">
      <c r="A22" s="104" t="s">
        <v>34</v>
      </c>
      <c r="B22" s="96" t="s">
        <v>193</v>
      </c>
      <c r="C22" s="96">
        <v>2018</v>
      </c>
      <c r="D22" s="207" t="s">
        <v>518</v>
      </c>
      <c r="E22" s="121" t="s">
        <v>512</v>
      </c>
      <c r="F22" s="121" t="s">
        <v>513</v>
      </c>
      <c r="G22" s="104" t="s">
        <v>36</v>
      </c>
      <c r="H22" s="96" t="s">
        <v>163</v>
      </c>
      <c r="I22" s="104" t="s">
        <v>153</v>
      </c>
      <c r="J22" s="104" t="s">
        <v>38</v>
      </c>
      <c r="K22" s="104" t="s">
        <v>178</v>
      </c>
      <c r="L22" s="96">
        <v>3</v>
      </c>
      <c r="N22" s="96">
        <v>4</v>
      </c>
      <c r="O22" s="96">
        <v>0.55000000000000004</v>
      </c>
      <c r="P22" s="96">
        <v>0.65</v>
      </c>
      <c r="Q22" s="129">
        <f t="shared" si="0"/>
        <v>0.60000000000000009</v>
      </c>
      <c r="R22" s="96">
        <v>15.6</v>
      </c>
      <c r="S22" s="96">
        <v>90</v>
      </c>
      <c r="T22" s="105">
        <f t="shared" si="1"/>
        <v>36</v>
      </c>
      <c r="U22" s="96">
        <v>537</v>
      </c>
      <c r="V22" s="105">
        <f t="shared" si="2"/>
        <v>4833</v>
      </c>
      <c r="W22" s="96">
        <v>1</v>
      </c>
      <c r="X22" s="104" t="s">
        <v>39</v>
      </c>
      <c r="Y22" s="104" t="s">
        <v>90</v>
      </c>
      <c r="Z22" s="104" t="s">
        <v>84</v>
      </c>
      <c r="AA22" s="104" t="s">
        <v>69</v>
      </c>
      <c r="AB22" s="104" t="s">
        <v>195</v>
      </c>
      <c r="AP22" s="123" t="s">
        <v>115</v>
      </c>
      <c r="AR22" s="122" t="s">
        <v>83</v>
      </c>
      <c r="AV22" s="116"/>
    </row>
    <row r="23" spans="1:48" x14ac:dyDescent="0.15">
      <c r="A23" s="104" t="s">
        <v>34</v>
      </c>
      <c r="B23" s="96" t="s">
        <v>193</v>
      </c>
      <c r="C23" s="96">
        <v>2018</v>
      </c>
      <c r="D23" s="207" t="s">
        <v>518</v>
      </c>
      <c r="E23" s="121" t="s">
        <v>512</v>
      </c>
      <c r="F23" s="121" t="s">
        <v>513</v>
      </c>
      <c r="G23" s="104" t="s">
        <v>36</v>
      </c>
      <c r="H23" s="96" t="s">
        <v>128</v>
      </c>
      <c r="I23" s="104" t="s">
        <v>153</v>
      </c>
      <c r="J23" s="104" t="s">
        <v>112</v>
      </c>
      <c r="K23" s="104" t="s">
        <v>105</v>
      </c>
      <c r="L23" s="104">
        <v>1</v>
      </c>
      <c r="N23" s="96">
        <v>1</v>
      </c>
      <c r="O23" s="96">
        <v>0.2</v>
      </c>
      <c r="P23" s="96">
        <v>0.2</v>
      </c>
      <c r="Q23" s="129">
        <f t="shared" si="0"/>
        <v>0.2</v>
      </c>
      <c r="R23" s="96">
        <v>15</v>
      </c>
      <c r="S23" s="96">
        <v>148</v>
      </c>
      <c r="T23" s="105">
        <f t="shared" si="1"/>
        <v>30</v>
      </c>
      <c r="U23" s="96">
        <v>170</v>
      </c>
      <c r="V23" s="105">
        <f t="shared" si="2"/>
        <v>5100</v>
      </c>
      <c r="W23" s="96">
        <v>1</v>
      </c>
      <c r="X23" s="104" t="s">
        <v>39</v>
      </c>
      <c r="Y23" s="104" t="s">
        <v>90</v>
      </c>
      <c r="Z23" s="104" t="s">
        <v>84</v>
      </c>
      <c r="AA23" s="104" t="s">
        <v>69</v>
      </c>
      <c r="AB23" s="104" t="s">
        <v>195</v>
      </c>
      <c r="AP23" s="123" t="s">
        <v>117</v>
      </c>
      <c r="AR23" s="122" t="s">
        <v>178</v>
      </c>
    </row>
    <row r="24" spans="1:48" x14ac:dyDescent="0.15">
      <c r="A24" s="104" t="s">
        <v>34</v>
      </c>
      <c r="B24" s="96" t="s">
        <v>193</v>
      </c>
      <c r="C24" s="96">
        <v>2018</v>
      </c>
      <c r="D24" s="207" t="s">
        <v>518</v>
      </c>
      <c r="E24" s="121" t="s">
        <v>512</v>
      </c>
      <c r="F24" s="121" t="s">
        <v>513</v>
      </c>
      <c r="G24" s="104" t="s">
        <v>36</v>
      </c>
      <c r="H24" s="96" t="s">
        <v>128</v>
      </c>
      <c r="I24" s="104" t="s">
        <v>153</v>
      </c>
      <c r="J24" s="104" t="s">
        <v>112</v>
      </c>
      <c r="K24" s="104" t="s">
        <v>105</v>
      </c>
      <c r="L24" s="96">
        <v>2</v>
      </c>
      <c r="N24" s="96">
        <v>1</v>
      </c>
      <c r="O24" s="96">
        <v>0.2</v>
      </c>
      <c r="P24" s="96">
        <v>0.2</v>
      </c>
      <c r="Q24" s="129">
        <f t="shared" si="0"/>
        <v>0.2</v>
      </c>
      <c r="R24" s="96">
        <v>14.4</v>
      </c>
      <c r="S24" s="96">
        <v>150</v>
      </c>
      <c r="T24" s="105">
        <f t="shared" si="1"/>
        <v>30</v>
      </c>
      <c r="U24" s="96">
        <v>170</v>
      </c>
      <c r="V24" s="105">
        <f t="shared" si="2"/>
        <v>5100</v>
      </c>
      <c r="W24" s="96">
        <v>1</v>
      </c>
      <c r="X24" s="104" t="s">
        <v>39</v>
      </c>
      <c r="Y24" s="104" t="s">
        <v>90</v>
      </c>
      <c r="Z24" s="104" t="s">
        <v>84</v>
      </c>
      <c r="AA24" s="104" t="s">
        <v>69</v>
      </c>
      <c r="AB24" s="104" t="s">
        <v>195</v>
      </c>
      <c r="AP24" s="123" t="s">
        <v>118</v>
      </c>
    </row>
    <row r="25" spans="1:48" x14ac:dyDescent="0.15">
      <c r="A25" s="104" t="s">
        <v>34</v>
      </c>
      <c r="B25" s="96" t="s">
        <v>193</v>
      </c>
      <c r="C25" s="96">
        <v>2018</v>
      </c>
      <c r="D25" s="207" t="s">
        <v>518</v>
      </c>
      <c r="E25" s="121" t="s">
        <v>512</v>
      </c>
      <c r="F25" s="121" t="s">
        <v>513</v>
      </c>
      <c r="G25" s="104" t="s">
        <v>36</v>
      </c>
      <c r="H25" s="96" t="s">
        <v>128</v>
      </c>
      <c r="I25" s="104" t="s">
        <v>153</v>
      </c>
      <c r="J25" s="104" t="s">
        <v>112</v>
      </c>
      <c r="K25" s="104" t="s">
        <v>105</v>
      </c>
      <c r="L25" s="96">
        <v>3</v>
      </c>
      <c r="N25" s="96">
        <v>1</v>
      </c>
      <c r="O25" s="96">
        <v>0.55000000000000004</v>
      </c>
      <c r="P25" s="96">
        <v>0.5</v>
      </c>
      <c r="Q25" s="129">
        <f t="shared" si="0"/>
        <v>0.52500000000000002</v>
      </c>
      <c r="R25" s="96">
        <v>14</v>
      </c>
      <c r="S25" s="96">
        <v>150</v>
      </c>
      <c r="T25" s="105">
        <f t="shared" si="1"/>
        <v>30</v>
      </c>
      <c r="U25" s="96">
        <v>170</v>
      </c>
      <c r="V25" s="105">
        <f t="shared" si="2"/>
        <v>5100</v>
      </c>
      <c r="W25" s="96">
        <v>1</v>
      </c>
      <c r="X25" s="104" t="s">
        <v>39</v>
      </c>
      <c r="Y25" s="104" t="s">
        <v>90</v>
      </c>
      <c r="Z25" s="104" t="s">
        <v>84</v>
      </c>
      <c r="AA25" s="104" t="s">
        <v>69</v>
      </c>
      <c r="AB25" s="104" t="s">
        <v>195</v>
      </c>
    </row>
    <row r="26" spans="1:48" x14ac:dyDescent="0.15">
      <c r="A26" s="104" t="s">
        <v>34</v>
      </c>
      <c r="B26" s="96" t="s">
        <v>193</v>
      </c>
      <c r="C26" s="96">
        <v>2018</v>
      </c>
      <c r="D26" s="207" t="s">
        <v>518</v>
      </c>
      <c r="E26" s="121" t="s">
        <v>515</v>
      </c>
      <c r="F26" s="121" t="s">
        <v>516</v>
      </c>
      <c r="G26" s="104" t="s">
        <v>36</v>
      </c>
      <c r="H26" s="96" t="s">
        <v>155</v>
      </c>
      <c r="I26" s="104" t="s">
        <v>153</v>
      </c>
      <c r="J26" s="104" t="s">
        <v>38</v>
      </c>
      <c r="K26" s="104" t="s">
        <v>154</v>
      </c>
      <c r="L26" s="104">
        <v>1</v>
      </c>
      <c r="N26" s="96">
        <v>1</v>
      </c>
      <c r="O26" s="96">
        <v>0.7</v>
      </c>
      <c r="P26" s="96">
        <v>0.75</v>
      </c>
      <c r="Q26" s="129">
        <f t="shared" si="0"/>
        <v>0.72499999999999998</v>
      </c>
      <c r="R26" s="96">
        <v>13.4</v>
      </c>
      <c r="S26" s="96">
        <v>139</v>
      </c>
      <c r="T26" s="105">
        <f t="shared" si="1"/>
        <v>30</v>
      </c>
      <c r="U26" s="96">
        <v>92</v>
      </c>
      <c r="V26" s="105">
        <f t="shared" si="2"/>
        <v>2760</v>
      </c>
      <c r="W26" s="96">
        <v>2</v>
      </c>
      <c r="X26" s="104" t="s">
        <v>46</v>
      </c>
      <c r="Y26" s="104" t="s">
        <v>84</v>
      </c>
      <c r="Z26" s="104" t="s">
        <v>90</v>
      </c>
      <c r="AA26" s="104" t="s">
        <v>69</v>
      </c>
      <c r="AB26" s="104" t="s">
        <v>195</v>
      </c>
    </row>
    <row r="27" spans="1:48" x14ac:dyDescent="0.15">
      <c r="A27" s="104" t="s">
        <v>34</v>
      </c>
      <c r="B27" s="96" t="s">
        <v>193</v>
      </c>
      <c r="C27" s="96">
        <v>2018</v>
      </c>
      <c r="D27" s="207" t="s">
        <v>518</v>
      </c>
      <c r="E27" s="121" t="s">
        <v>515</v>
      </c>
      <c r="F27" s="121" t="s">
        <v>516</v>
      </c>
      <c r="G27" s="104" t="s">
        <v>36</v>
      </c>
      <c r="H27" s="96" t="s">
        <v>155</v>
      </c>
      <c r="I27" s="104" t="s">
        <v>153</v>
      </c>
      <c r="J27" s="104" t="s">
        <v>38</v>
      </c>
      <c r="K27" s="104" t="s">
        <v>154</v>
      </c>
      <c r="L27" s="96">
        <v>2</v>
      </c>
      <c r="N27" s="96">
        <v>1</v>
      </c>
      <c r="O27" s="96">
        <v>0.2</v>
      </c>
      <c r="P27" s="96">
        <v>0.6</v>
      </c>
      <c r="Q27" s="129">
        <f t="shared" si="0"/>
        <v>0.4</v>
      </c>
      <c r="R27" s="96">
        <v>13.4</v>
      </c>
      <c r="S27" s="96">
        <v>137</v>
      </c>
      <c r="T27" s="105">
        <f t="shared" si="1"/>
        <v>30</v>
      </c>
      <c r="U27" s="96">
        <v>92</v>
      </c>
      <c r="V27" s="105">
        <f t="shared" si="2"/>
        <v>2760</v>
      </c>
      <c r="W27" s="96">
        <v>2</v>
      </c>
      <c r="X27" s="104" t="s">
        <v>46</v>
      </c>
      <c r="Y27" s="104" t="s">
        <v>84</v>
      </c>
      <c r="Z27" s="104" t="s">
        <v>90</v>
      </c>
      <c r="AA27" s="104" t="s">
        <v>69</v>
      </c>
      <c r="AB27" s="104" t="s">
        <v>195</v>
      </c>
    </row>
    <row r="28" spans="1:48" x14ac:dyDescent="0.15">
      <c r="A28" s="104" t="s">
        <v>34</v>
      </c>
      <c r="B28" s="96" t="s">
        <v>193</v>
      </c>
      <c r="C28" s="96">
        <v>2018</v>
      </c>
      <c r="D28" s="207" t="s">
        <v>518</v>
      </c>
      <c r="E28" s="121" t="s">
        <v>515</v>
      </c>
      <c r="F28" s="121" t="s">
        <v>516</v>
      </c>
      <c r="G28" s="104" t="s">
        <v>36</v>
      </c>
      <c r="H28" s="96" t="s">
        <v>155</v>
      </c>
      <c r="I28" s="104" t="s">
        <v>153</v>
      </c>
      <c r="J28" s="104" t="s">
        <v>38</v>
      </c>
      <c r="K28" s="104" t="s">
        <v>154</v>
      </c>
      <c r="L28" s="96">
        <v>3</v>
      </c>
      <c r="N28" s="96">
        <v>1</v>
      </c>
      <c r="O28" s="96">
        <v>0.55000000000000004</v>
      </c>
      <c r="P28" s="96">
        <v>0.65</v>
      </c>
      <c r="Q28" s="129">
        <f t="shared" si="0"/>
        <v>0.60000000000000009</v>
      </c>
      <c r="R28" s="96">
        <v>13.7</v>
      </c>
      <c r="S28" s="96">
        <v>145</v>
      </c>
      <c r="T28" s="105">
        <f t="shared" si="1"/>
        <v>30</v>
      </c>
      <c r="U28" s="96">
        <v>92</v>
      </c>
      <c r="V28" s="105">
        <f t="shared" si="2"/>
        <v>2760</v>
      </c>
      <c r="W28" s="96">
        <v>2</v>
      </c>
      <c r="X28" s="104" t="s">
        <v>46</v>
      </c>
      <c r="Y28" s="104" t="s">
        <v>84</v>
      </c>
      <c r="Z28" s="104" t="s">
        <v>90</v>
      </c>
      <c r="AA28" s="104" t="s">
        <v>69</v>
      </c>
      <c r="AB28" s="104" t="s">
        <v>195</v>
      </c>
    </row>
    <row r="29" spans="1:48" x14ac:dyDescent="0.15">
      <c r="A29" s="104" t="s">
        <v>34</v>
      </c>
      <c r="B29" s="96" t="s">
        <v>193</v>
      </c>
      <c r="C29" s="96">
        <v>2018</v>
      </c>
      <c r="D29" s="207" t="s">
        <v>518</v>
      </c>
      <c r="E29" s="121" t="s">
        <v>515</v>
      </c>
      <c r="F29" s="121" t="s">
        <v>516</v>
      </c>
      <c r="G29" s="104" t="s">
        <v>36</v>
      </c>
      <c r="H29" s="96" t="s">
        <v>155</v>
      </c>
      <c r="I29" s="104" t="s">
        <v>153</v>
      </c>
      <c r="J29" s="104" t="s">
        <v>38</v>
      </c>
      <c r="K29" s="104" t="s">
        <v>154</v>
      </c>
      <c r="L29" s="104">
        <v>1</v>
      </c>
      <c r="N29" s="96">
        <v>5</v>
      </c>
      <c r="O29" s="96">
        <v>0.75</v>
      </c>
      <c r="P29" s="96">
        <v>0.8</v>
      </c>
      <c r="Q29" s="129">
        <f t="shared" si="0"/>
        <v>0.77500000000000002</v>
      </c>
      <c r="R29" s="96">
        <v>13.9</v>
      </c>
      <c r="S29" s="96">
        <v>86</v>
      </c>
      <c r="T29" s="105">
        <f t="shared" si="1"/>
        <v>36</v>
      </c>
      <c r="U29" s="96">
        <v>373</v>
      </c>
      <c r="V29" s="105">
        <f t="shared" si="2"/>
        <v>2685.6</v>
      </c>
      <c r="W29" s="96">
        <v>2</v>
      </c>
      <c r="X29" s="104" t="s">
        <v>46</v>
      </c>
      <c r="Y29" s="104" t="s">
        <v>84</v>
      </c>
      <c r="Z29" s="104" t="s">
        <v>90</v>
      </c>
      <c r="AA29" s="104" t="s">
        <v>69</v>
      </c>
      <c r="AB29" s="104" t="s">
        <v>195</v>
      </c>
    </row>
    <row r="30" spans="1:48" x14ac:dyDescent="0.15">
      <c r="A30" s="104" t="s">
        <v>34</v>
      </c>
      <c r="B30" s="96" t="s">
        <v>193</v>
      </c>
      <c r="C30" s="96">
        <v>2018</v>
      </c>
      <c r="D30" s="207" t="s">
        <v>518</v>
      </c>
      <c r="E30" s="121" t="s">
        <v>515</v>
      </c>
      <c r="F30" s="121" t="s">
        <v>516</v>
      </c>
      <c r="G30" s="104" t="s">
        <v>36</v>
      </c>
      <c r="H30" s="96" t="s">
        <v>155</v>
      </c>
      <c r="I30" s="104" t="s">
        <v>153</v>
      </c>
      <c r="J30" s="104" t="s">
        <v>38</v>
      </c>
      <c r="K30" s="104" t="s">
        <v>154</v>
      </c>
      <c r="L30" s="96">
        <v>2</v>
      </c>
      <c r="N30" s="96">
        <v>5</v>
      </c>
      <c r="O30" s="96">
        <v>0.7</v>
      </c>
      <c r="P30" s="96">
        <v>0.9</v>
      </c>
      <c r="Q30" s="129">
        <f t="shared" si="0"/>
        <v>0.8</v>
      </c>
      <c r="R30" s="96">
        <v>10.1</v>
      </c>
      <c r="S30" s="96">
        <v>90</v>
      </c>
      <c r="T30" s="105">
        <f t="shared" si="1"/>
        <v>36</v>
      </c>
      <c r="U30" s="96">
        <v>373</v>
      </c>
      <c r="V30" s="105">
        <f t="shared" si="2"/>
        <v>2685.6</v>
      </c>
      <c r="W30" s="96">
        <v>2</v>
      </c>
      <c r="X30" s="104" t="s">
        <v>46</v>
      </c>
      <c r="Y30" s="104" t="s">
        <v>84</v>
      </c>
      <c r="Z30" s="104" t="s">
        <v>90</v>
      </c>
      <c r="AA30" s="104" t="s">
        <v>69</v>
      </c>
      <c r="AB30" s="104" t="s">
        <v>195</v>
      </c>
    </row>
    <row r="31" spans="1:48" x14ac:dyDescent="0.15">
      <c r="A31" s="104" t="s">
        <v>34</v>
      </c>
      <c r="B31" s="96" t="s">
        <v>193</v>
      </c>
      <c r="C31" s="96">
        <v>2018</v>
      </c>
      <c r="D31" s="207" t="s">
        <v>518</v>
      </c>
      <c r="E31" s="121" t="s">
        <v>515</v>
      </c>
      <c r="F31" s="121" t="s">
        <v>516</v>
      </c>
      <c r="G31" s="104" t="s">
        <v>36</v>
      </c>
      <c r="H31" s="96" t="s">
        <v>155</v>
      </c>
      <c r="I31" s="104" t="s">
        <v>153</v>
      </c>
      <c r="J31" s="104" t="s">
        <v>38</v>
      </c>
      <c r="K31" s="104" t="s">
        <v>154</v>
      </c>
      <c r="L31" s="96">
        <v>3</v>
      </c>
      <c r="N31" s="96">
        <v>5</v>
      </c>
      <c r="O31" s="96">
        <v>1.1499999999999999</v>
      </c>
      <c r="P31" s="96">
        <v>1.05</v>
      </c>
      <c r="Q31" s="129">
        <f t="shared" si="0"/>
        <v>1.1000000000000001</v>
      </c>
      <c r="R31" s="96">
        <v>13.7</v>
      </c>
      <c r="S31" s="96">
        <v>92</v>
      </c>
      <c r="T31" s="105">
        <f t="shared" si="1"/>
        <v>36</v>
      </c>
      <c r="U31" s="96">
        <v>373</v>
      </c>
      <c r="V31" s="105">
        <f t="shared" si="2"/>
        <v>2685.6</v>
      </c>
      <c r="W31" s="96">
        <v>2</v>
      </c>
      <c r="X31" s="104" t="s">
        <v>46</v>
      </c>
      <c r="Y31" s="104" t="s">
        <v>84</v>
      </c>
      <c r="Z31" s="104" t="s">
        <v>90</v>
      </c>
      <c r="AA31" s="104" t="s">
        <v>69</v>
      </c>
      <c r="AB31" s="104" t="s">
        <v>195</v>
      </c>
    </row>
    <row r="32" spans="1:48" x14ac:dyDescent="0.15">
      <c r="A32" s="104" t="s">
        <v>34</v>
      </c>
      <c r="B32" s="96" t="s">
        <v>193</v>
      </c>
      <c r="C32" s="96">
        <v>2018</v>
      </c>
      <c r="D32" s="207" t="s">
        <v>518</v>
      </c>
      <c r="E32" s="121" t="s">
        <v>510</v>
      </c>
      <c r="F32" s="121" t="s">
        <v>511</v>
      </c>
      <c r="G32" s="104" t="s">
        <v>36</v>
      </c>
      <c r="H32" s="96" t="s">
        <v>155</v>
      </c>
      <c r="I32" s="104" t="s">
        <v>153</v>
      </c>
      <c r="J32" s="104" t="s">
        <v>38</v>
      </c>
      <c r="K32" s="104" t="s">
        <v>154</v>
      </c>
      <c r="L32" s="104">
        <v>1</v>
      </c>
      <c r="N32" s="96">
        <v>1</v>
      </c>
      <c r="O32" s="96">
        <v>0.65</v>
      </c>
      <c r="P32" s="96">
        <v>0.6</v>
      </c>
      <c r="Q32" s="129">
        <f t="shared" si="0"/>
        <v>0.625</v>
      </c>
      <c r="R32" s="96">
        <v>13.6</v>
      </c>
      <c r="S32" s="96">
        <v>129</v>
      </c>
      <c r="T32" s="105">
        <f t="shared" si="1"/>
        <v>30</v>
      </c>
      <c r="U32" s="96">
        <v>105</v>
      </c>
      <c r="V32" s="105">
        <f t="shared" si="2"/>
        <v>3150</v>
      </c>
      <c r="W32" s="96">
        <v>1</v>
      </c>
      <c r="X32" s="104" t="s">
        <v>39</v>
      </c>
      <c r="Y32" s="104" t="s">
        <v>84</v>
      </c>
      <c r="Z32" s="104" t="s">
        <v>69</v>
      </c>
      <c r="AA32" s="104" t="s">
        <v>55</v>
      </c>
      <c r="AB32" s="104" t="s">
        <v>195</v>
      </c>
    </row>
    <row r="33" spans="1:28" x14ac:dyDescent="0.15">
      <c r="A33" s="104" t="s">
        <v>34</v>
      </c>
      <c r="B33" s="96" t="s">
        <v>193</v>
      </c>
      <c r="C33" s="96">
        <v>2018</v>
      </c>
      <c r="D33" s="207" t="s">
        <v>518</v>
      </c>
      <c r="E33" s="121" t="s">
        <v>510</v>
      </c>
      <c r="F33" s="121" t="s">
        <v>511</v>
      </c>
      <c r="G33" s="104" t="s">
        <v>36</v>
      </c>
      <c r="H33" s="96" t="s">
        <v>155</v>
      </c>
      <c r="I33" s="104" t="s">
        <v>153</v>
      </c>
      <c r="J33" s="104" t="s">
        <v>38</v>
      </c>
      <c r="K33" s="104" t="s">
        <v>154</v>
      </c>
      <c r="L33" s="96">
        <v>2</v>
      </c>
      <c r="N33" s="96">
        <v>1</v>
      </c>
      <c r="O33" s="96">
        <v>0.9</v>
      </c>
      <c r="P33" s="96">
        <v>0.6</v>
      </c>
      <c r="Q33" s="129">
        <f t="shared" si="0"/>
        <v>0.75</v>
      </c>
      <c r="R33" s="96">
        <v>13.8</v>
      </c>
      <c r="S33" s="96">
        <v>124</v>
      </c>
      <c r="T33" s="105">
        <f t="shared" si="1"/>
        <v>30</v>
      </c>
      <c r="U33" s="96">
        <v>105</v>
      </c>
      <c r="V33" s="105">
        <f t="shared" si="2"/>
        <v>3150</v>
      </c>
      <c r="W33" s="96">
        <v>1</v>
      </c>
      <c r="X33" s="104" t="s">
        <v>39</v>
      </c>
      <c r="Y33" s="104" t="s">
        <v>84</v>
      </c>
      <c r="Z33" s="104" t="s">
        <v>69</v>
      </c>
      <c r="AA33" s="104" t="s">
        <v>55</v>
      </c>
      <c r="AB33" s="104" t="s">
        <v>195</v>
      </c>
    </row>
    <row r="34" spans="1:28" x14ac:dyDescent="0.15">
      <c r="A34" s="104" t="s">
        <v>34</v>
      </c>
      <c r="B34" s="96" t="s">
        <v>193</v>
      </c>
      <c r="C34" s="96">
        <v>2018</v>
      </c>
      <c r="D34" s="207" t="s">
        <v>518</v>
      </c>
      <c r="E34" s="121" t="s">
        <v>510</v>
      </c>
      <c r="F34" s="121" t="s">
        <v>511</v>
      </c>
      <c r="G34" s="104" t="s">
        <v>36</v>
      </c>
      <c r="H34" s="96" t="s">
        <v>155</v>
      </c>
      <c r="I34" s="104" t="s">
        <v>153</v>
      </c>
      <c r="J34" s="104" t="s">
        <v>38</v>
      </c>
      <c r="K34" s="104" t="s">
        <v>154</v>
      </c>
      <c r="L34" s="96">
        <v>3</v>
      </c>
      <c r="N34" s="96">
        <v>1</v>
      </c>
      <c r="O34" s="96">
        <v>0.65</v>
      </c>
      <c r="P34" s="96">
        <v>0.6</v>
      </c>
      <c r="Q34" s="129">
        <f>IF(OR(O34="",P34=""),"",AVERAGE(O34,P34))</f>
        <v>0.625</v>
      </c>
      <c r="R34" s="96">
        <v>11.1</v>
      </c>
      <c r="S34" s="96">
        <v>123</v>
      </c>
      <c r="T34" s="105">
        <f t="shared" si="1"/>
        <v>30</v>
      </c>
      <c r="U34" s="96">
        <v>105</v>
      </c>
      <c r="V34" s="105">
        <f t="shared" si="2"/>
        <v>3150</v>
      </c>
      <c r="W34" s="96">
        <v>1</v>
      </c>
      <c r="X34" s="104" t="s">
        <v>39</v>
      </c>
      <c r="Y34" s="104" t="s">
        <v>84</v>
      </c>
      <c r="Z34" s="104" t="s">
        <v>69</v>
      </c>
      <c r="AA34" s="104" t="s">
        <v>55</v>
      </c>
      <c r="AB34" s="104" t="s">
        <v>195</v>
      </c>
    </row>
    <row r="35" spans="1:28" x14ac:dyDescent="0.15">
      <c r="A35" s="104" t="s">
        <v>34</v>
      </c>
      <c r="B35" s="96" t="s">
        <v>193</v>
      </c>
      <c r="C35" s="96">
        <v>2018</v>
      </c>
      <c r="D35" s="207" t="s">
        <v>518</v>
      </c>
      <c r="E35" s="121" t="s">
        <v>510</v>
      </c>
      <c r="F35" s="121" t="s">
        <v>511</v>
      </c>
      <c r="G35" s="104" t="s">
        <v>36</v>
      </c>
      <c r="H35" s="96" t="s">
        <v>174</v>
      </c>
      <c r="I35" s="104" t="s">
        <v>153</v>
      </c>
      <c r="J35" s="104" t="s">
        <v>38</v>
      </c>
      <c r="K35" s="104" t="s">
        <v>154</v>
      </c>
      <c r="L35" s="104">
        <v>1</v>
      </c>
      <c r="N35" s="96">
        <v>1</v>
      </c>
      <c r="O35" s="96">
        <v>0.45</v>
      </c>
      <c r="P35" s="96">
        <v>0.55000000000000004</v>
      </c>
      <c r="Q35" s="129">
        <f t="shared" ref="Q35:Q36" si="3">IF(OR(O35="",P35=""),"",AVERAGE(O35,P35))</f>
        <v>0.5</v>
      </c>
      <c r="R35" s="96">
        <v>15.3</v>
      </c>
      <c r="S35" s="96">
        <v>95</v>
      </c>
      <c r="T35" s="105">
        <f t="shared" si="1"/>
        <v>39</v>
      </c>
      <c r="U35" s="96">
        <v>105</v>
      </c>
      <c r="V35" s="105">
        <f t="shared" si="2"/>
        <v>4095</v>
      </c>
      <c r="W35" s="96">
        <v>3</v>
      </c>
      <c r="X35" s="104" t="s">
        <v>39</v>
      </c>
      <c r="Y35" s="104" t="s">
        <v>84</v>
      </c>
      <c r="Z35" s="104" t="s">
        <v>69</v>
      </c>
      <c r="AA35" s="104" t="s">
        <v>55</v>
      </c>
      <c r="AB35" s="104" t="s">
        <v>195</v>
      </c>
    </row>
    <row r="36" spans="1:28" x14ac:dyDescent="0.15">
      <c r="A36" s="104" t="s">
        <v>34</v>
      </c>
      <c r="B36" s="96" t="s">
        <v>193</v>
      </c>
      <c r="C36" s="96">
        <v>2018</v>
      </c>
      <c r="D36" s="207" t="s">
        <v>518</v>
      </c>
      <c r="E36" s="121" t="s">
        <v>510</v>
      </c>
      <c r="F36" s="121" t="s">
        <v>511</v>
      </c>
      <c r="G36" s="104" t="s">
        <v>36</v>
      </c>
      <c r="H36" s="96" t="s">
        <v>174</v>
      </c>
      <c r="I36" s="104" t="s">
        <v>153</v>
      </c>
      <c r="J36" s="104" t="s">
        <v>38</v>
      </c>
      <c r="K36" s="104" t="s">
        <v>154</v>
      </c>
      <c r="L36" s="96">
        <v>2</v>
      </c>
      <c r="N36" s="96">
        <v>1</v>
      </c>
      <c r="O36" s="96">
        <v>0.7</v>
      </c>
      <c r="P36" s="96">
        <v>0.55000000000000004</v>
      </c>
      <c r="Q36" s="129">
        <f t="shared" si="3"/>
        <v>0.625</v>
      </c>
      <c r="R36" s="96">
        <v>13.9</v>
      </c>
      <c r="S36" s="96">
        <v>89</v>
      </c>
      <c r="T36" s="105">
        <f t="shared" si="1"/>
        <v>39</v>
      </c>
      <c r="U36" s="96">
        <v>105</v>
      </c>
      <c r="V36" s="105">
        <f t="shared" si="2"/>
        <v>4095</v>
      </c>
      <c r="W36" s="96">
        <v>3</v>
      </c>
      <c r="X36" s="104" t="s">
        <v>39</v>
      </c>
      <c r="Y36" s="104" t="s">
        <v>84</v>
      </c>
      <c r="Z36" s="104" t="s">
        <v>69</v>
      </c>
      <c r="AA36" s="104" t="s">
        <v>55</v>
      </c>
      <c r="AB36" s="104" t="s">
        <v>195</v>
      </c>
    </row>
    <row r="37" spans="1:28" x14ac:dyDescent="0.15">
      <c r="A37" s="104" t="s">
        <v>34</v>
      </c>
      <c r="B37" s="96" t="s">
        <v>193</v>
      </c>
      <c r="C37" s="96">
        <v>2018</v>
      </c>
      <c r="D37" s="207" t="s">
        <v>518</v>
      </c>
      <c r="E37" s="121" t="s">
        <v>510</v>
      </c>
      <c r="F37" s="121" t="s">
        <v>511</v>
      </c>
      <c r="G37" s="104" t="s">
        <v>36</v>
      </c>
      <c r="H37" s="96" t="s">
        <v>174</v>
      </c>
      <c r="I37" s="104" t="s">
        <v>153</v>
      </c>
      <c r="J37" s="104" t="s">
        <v>38</v>
      </c>
      <c r="K37" s="104" t="s">
        <v>154</v>
      </c>
      <c r="L37" s="96">
        <v>3</v>
      </c>
      <c r="N37" s="96">
        <v>1</v>
      </c>
      <c r="O37" s="96">
        <v>0.5</v>
      </c>
      <c r="P37" s="96">
        <v>1.05</v>
      </c>
      <c r="Q37" s="129">
        <f>IF(OR(O37="",P37=""),"",AVERAGE(O37,P37))</f>
        <v>0.77500000000000002</v>
      </c>
      <c r="R37" s="96">
        <v>16.100000000000001</v>
      </c>
      <c r="S37" s="96">
        <v>90</v>
      </c>
      <c r="T37" s="105">
        <f t="shared" si="1"/>
        <v>39</v>
      </c>
      <c r="U37" s="96">
        <v>105</v>
      </c>
      <c r="V37" s="105">
        <f t="shared" si="2"/>
        <v>4095</v>
      </c>
      <c r="W37" s="96">
        <v>3</v>
      </c>
      <c r="X37" s="104" t="s">
        <v>39</v>
      </c>
      <c r="Y37" s="104" t="s">
        <v>84</v>
      </c>
      <c r="Z37" s="104" t="s">
        <v>69</v>
      </c>
      <c r="AA37" s="104" t="s">
        <v>55</v>
      </c>
      <c r="AB37" s="104" t="s">
        <v>195</v>
      </c>
    </row>
    <row r="38" spans="1:28" x14ac:dyDescent="0.15">
      <c r="A38" s="104" t="s">
        <v>34</v>
      </c>
      <c r="B38" s="96" t="s">
        <v>193</v>
      </c>
      <c r="C38" s="96">
        <v>2018</v>
      </c>
      <c r="D38" s="207" t="s">
        <v>518</v>
      </c>
      <c r="E38" s="121" t="s">
        <v>510</v>
      </c>
      <c r="F38" s="121" t="s">
        <v>511</v>
      </c>
      <c r="G38" s="104" t="s">
        <v>36</v>
      </c>
      <c r="H38" s="96" t="s">
        <v>174</v>
      </c>
      <c r="I38" s="104" t="s">
        <v>153</v>
      </c>
      <c r="J38" s="104" t="s">
        <v>38</v>
      </c>
      <c r="K38" s="104" t="s">
        <v>154</v>
      </c>
      <c r="L38" s="104">
        <v>1</v>
      </c>
      <c r="N38" s="96">
        <v>4</v>
      </c>
      <c r="O38" s="96">
        <v>0.45</v>
      </c>
      <c r="P38" s="96">
        <v>0.5</v>
      </c>
      <c r="Q38" s="129">
        <f t="shared" ref="Q38:Q39" si="4">IF(OR(O38="",P38=""),"",AVERAGE(O38,P38))</f>
        <v>0.47499999999999998</v>
      </c>
      <c r="R38" s="96">
        <v>13.4</v>
      </c>
      <c r="S38" s="96">
        <v>78</v>
      </c>
      <c r="T38" s="105">
        <f t="shared" si="1"/>
        <v>42</v>
      </c>
      <c r="U38" s="96">
        <v>429</v>
      </c>
      <c r="V38" s="105">
        <f t="shared" si="2"/>
        <v>4504.5</v>
      </c>
      <c r="W38" s="96">
        <v>3</v>
      </c>
      <c r="X38" s="104" t="s">
        <v>46</v>
      </c>
      <c r="Y38" s="104" t="s">
        <v>84</v>
      </c>
      <c r="Z38" s="104" t="s">
        <v>69</v>
      </c>
      <c r="AA38" s="104" t="s">
        <v>55</v>
      </c>
      <c r="AB38" s="104" t="s">
        <v>195</v>
      </c>
    </row>
    <row r="39" spans="1:28" x14ac:dyDescent="0.15">
      <c r="A39" s="104" t="s">
        <v>34</v>
      </c>
      <c r="B39" s="96" t="s">
        <v>193</v>
      </c>
      <c r="C39" s="96">
        <v>2018</v>
      </c>
      <c r="D39" s="207" t="s">
        <v>518</v>
      </c>
      <c r="E39" s="121" t="s">
        <v>510</v>
      </c>
      <c r="F39" s="121" t="s">
        <v>511</v>
      </c>
      <c r="G39" s="104" t="s">
        <v>36</v>
      </c>
      <c r="H39" s="96" t="s">
        <v>174</v>
      </c>
      <c r="I39" s="104" t="s">
        <v>153</v>
      </c>
      <c r="J39" s="104" t="s">
        <v>38</v>
      </c>
      <c r="K39" s="104" t="s">
        <v>154</v>
      </c>
      <c r="L39" s="96">
        <v>2</v>
      </c>
      <c r="N39" s="96">
        <v>4</v>
      </c>
      <c r="O39" s="96">
        <v>0.2</v>
      </c>
      <c r="P39" s="96">
        <v>0.7</v>
      </c>
      <c r="Q39" s="129">
        <f t="shared" si="4"/>
        <v>0.44999999999999996</v>
      </c>
      <c r="R39" s="96">
        <v>13.1</v>
      </c>
      <c r="S39" s="96">
        <v>73</v>
      </c>
      <c r="T39" s="105">
        <f t="shared" si="1"/>
        <v>46</v>
      </c>
      <c r="U39" s="96">
        <v>429</v>
      </c>
      <c r="V39" s="105">
        <f t="shared" si="2"/>
        <v>4933.5</v>
      </c>
      <c r="W39" s="96">
        <v>3</v>
      </c>
      <c r="X39" s="104" t="s">
        <v>46</v>
      </c>
      <c r="Y39" s="104" t="s">
        <v>84</v>
      </c>
      <c r="Z39" s="104" t="s">
        <v>69</v>
      </c>
      <c r="AA39" s="104" t="s">
        <v>55</v>
      </c>
      <c r="AB39" s="104" t="s">
        <v>195</v>
      </c>
    </row>
    <row r="40" spans="1:28" x14ac:dyDescent="0.15">
      <c r="A40" s="104" t="s">
        <v>34</v>
      </c>
      <c r="B40" s="96" t="s">
        <v>193</v>
      </c>
      <c r="C40" s="96">
        <v>2018</v>
      </c>
      <c r="D40" s="207" t="s">
        <v>518</v>
      </c>
      <c r="E40" s="121" t="s">
        <v>510</v>
      </c>
      <c r="F40" s="121" t="s">
        <v>511</v>
      </c>
      <c r="G40" s="104" t="s">
        <v>36</v>
      </c>
      <c r="H40" s="96" t="s">
        <v>174</v>
      </c>
      <c r="I40" s="104" t="s">
        <v>153</v>
      </c>
      <c r="J40" s="104" t="s">
        <v>38</v>
      </c>
      <c r="K40" s="104" t="s">
        <v>154</v>
      </c>
      <c r="L40" s="96">
        <v>3</v>
      </c>
      <c r="N40" s="96">
        <v>4</v>
      </c>
      <c r="O40" s="96">
        <v>0.5</v>
      </c>
      <c r="P40" s="96">
        <v>0.55000000000000004</v>
      </c>
      <c r="Q40" s="129">
        <f>IF(OR(O40="",P40=""),"",AVERAGE(O40,P40))</f>
        <v>0.52500000000000002</v>
      </c>
      <c r="R40" s="96">
        <v>13.7</v>
      </c>
      <c r="S40" s="96">
        <v>72</v>
      </c>
      <c r="T40" s="105">
        <f t="shared" si="1"/>
        <v>46</v>
      </c>
      <c r="U40" s="96">
        <v>429</v>
      </c>
      <c r="V40" s="105">
        <f t="shared" si="2"/>
        <v>4933.5</v>
      </c>
      <c r="W40" s="96">
        <v>3</v>
      </c>
      <c r="X40" s="104" t="s">
        <v>46</v>
      </c>
      <c r="Y40" s="104" t="s">
        <v>84</v>
      </c>
      <c r="Z40" s="104" t="s">
        <v>69</v>
      </c>
      <c r="AA40" s="104" t="s">
        <v>55</v>
      </c>
      <c r="AB40" s="104" t="s">
        <v>195</v>
      </c>
    </row>
    <row r="41" spans="1:28" x14ac:dyDescent="0.15">
      <c r="A41" s="104" t="s">
        <v>34</v>
      </c>
      <c r="B41" s="96" t="s">
        <v>193</v>
      </c>
      <c r="C41" s="96">
        <v>2018</v>
      </c>
      <c r="D41" s="207" t="s">
        <v>518</v>
      </c>
      <c r="E41" s="121" t="s">
        <v>510</v>
      </c>
      <c r="F41" s="121" t="s">
        <v>511</v>
      </c>
      <c r="G41" s="104" t="s">
        <v>36</v>
      </c>
      <c r="H41" s="96" t="s">
        <v>127</v>
      </c>
      <c r="I41" s="104" t="s">
        <v>153</v>
      </c>
      <c r="J41" s="104" t="s">
        <v>111</v>
      </c>
      <c r="K41" s="104" t="s">
        <v>126</v>
      </c>
      <c r="L41" s="104">
        <v>1</v>
      </c>
      <c r="N41" s="96">
        <v>5</v>
      </c>
      <c r="O41" s="96">
        <v>0.2</v>
      </c>
      <c r="P41" s="96">
        <v>0.2</v>
      </c>
      <c r="Q41" s="129">
        <f t="shared" si="0"/>
        <v>0.2</v>
      </c>
      <c r="R41" s="96">
        <v>14.2</v>
      </c>
      <c r="S41" s="96">
        <v>83</v>
      </c>
      <c r="T41" s="105">
        <f t="shared" si="1"/>
        <v>39</v>
      </c>
      <c r="U41" s="96">
        <v>213</v>
      </c>
      <c r="V41" s="105">
        <f t="shared" si="2"/>
        <v>1661.4</v>
      </c>
      <c r="W41" s="96">
        <v>2</v>
      </c>
      <c r="X41" s="104" t="s">
        <v>46</v>
      </c>
      <c r="Y41" s="104" t="s">
        <v>84</v>
      </c>
      <c r="Z41" s="104" t="s">
        <v>69</v>
      </c>
      <c r="AA41" s="104" t="s">
        <v>55</v>
      </c>
      <c r="AB41" s="104" t="s">
        <v>195</v>
      </c>
    </row>
    <row r="42" spans="1:28" x14ac:dyDescent="0.15">
      <c r="A42" s="104" t="s">
        <v>34</v>
      </c>
      <c r="B42" s="96" t="s">
        <v>193</v>
      </c>
      <c r="C42" s="96">
        <v>2018</v>
      </c>
      <c r="D42" s="207" t="s">
        <v>518</v>
      </c>
      <c r="E42" s="121" t="s">
        <v>510</v>
      </c>
      <c r="F42" s="121" t="s">
        <v>511</v>
      </c>
      <c r="G42" s="104" t="s">
        <v>36</v>
      </c>
      <c r="H42" s="96" t="s">
        <v>127</v>
      </c>
      <c r="I42" s="104" t="s">
        <v>153</v>
      </c>
      <c r="J42" s="104" t="s">
        <v>111</v>
      </c>
      <c r="K42" s="104" t="s">
        <v>126</v>
      </c>
      <c r="L42" s="96">
        <v>2</v>
      </c>
      <c r="N42" s="96">
        <v>5</v>
      </c>
      <c r="O42" s="96">
        <v>0.5</v>
      </c>
      <c r="P42" s="96">
        <v>0.45</v>
      </c>
      <c r="Q42" s="129">
        <f t="shared" si="0"/>
        <v>0.47499999999999998</v>
      </c>
      <c r="R42" s="96">
        <v>14</v>
      </c>
      <c r="S42" s="96">
        <v>90</v>
      </c>
      <c r="T42" s="105">
        <f t="shared" si="1"/>
        <v>36</v>
      </c>
      <c r="U42" s="96">
        <v>213</v>
      </c>
      <c r="V42" s="105">
        <f t="shared" si="2"/>
        <v>1533.6000000000001</v>
      </c>
      <c r="W42" s="96">
        <v>2</v>
      </c>
      <c r="X42" s="104" t="s">
        <v>46</v>
      </c>
      <c r="Y42" s="104" t="s">
        <v>84</v>
      </c>
      <c r="Z42" s="104" t="s">
        <v>69</v>
      </c>
      <c r="AA42" s="104" t="s">
        <v>55</v>
      </c>
      <c r="AB42" s="104" t="s">
        <v>195</v>
      </c>
    </row>
    <row r="43" spans="1:28" x14ac:dyDescent="0.15">
      <c r="A43" s="104" t="s">
        <v>34</v>
      </c>
      <c r="B43" s="96" t="s">
        <v>193</v>
      </c>
      <c r="C43" s="96">
        <v>2018</v>
      </c>
      <c r="D43" s="207" t="s">
        <v>518</v>
      </c>
      <c r="E43" s="121" t="s">
        <v>510</v>
      </c>
      <c r="F43" s="121" t="s">
        <v>511</v>
      </c>
      <c r="G43" s="104" t="s">
        <v>36</v>
      </c>
      <c r="H43" s="96" t="s">
        <v>127</v>
      </c>
      <c r="I43" s="104" t="s">
        <v>153</v>
      </c>
      <c r="J43" s="104" t="s">
        <v>111</v>
      </c>
      <c r="K43" s="104" t="s">
        <v>126</v>
      </c>
      <c r="L43" s="96">
        <v>3</v>
      </c>
      <c r="N43" s="96">
        <v>5</v>
      </c>
      <c r="O43" s="96">
        <v>0.5</v>
      </c>
      <c r="P43" s="96">
        <v>0.2</v>
      </c>
      <c r="Q43" s="129">
        <f t="shared" si="0"/>
        <v>0.35</v>
      </c>
      <c r="R43" s="96">
        <v>14.1</v>
      </c>
      <c r="S43" s="96">
        <v>87</v>
      </c>
      <c r="T43" s="105">
        <f t="shared" si="1"/>
        <v>36</v>
      </c>
      <c r="U43" s="96">
        <v>213</v>
      </c>
      <c r="V43" s="105">
        <f t="shared" si="2"/>
        <v>1533.6000000000001</v>
      </c>
      <c r="W43" s="96">
        <v>2</v>
      </c>
      <c r="X43" s="104" t="s">
        <v>46</v>
      </c>
      <c r="Y43" s="104" t="s">
        <v>84</v>
      </c>
      <c r="Z43" s="104" t="s">
        <v>69</v>
      </c>
      <c r="AA43" s="104" t="s">
        <v>55</v>
      </c>
      <c r="AB43" s="104" t="s">
        <v>195</v>
      </c>
    </row>
    <row r="44" spans="1:28" x14ac:dyDescent="0.15">
      <c r="A44" s="104" t="s">
        <v>34</v>
      </c>
      <c r="B44" s="96" t="s">
        <v>193</v>
      </c>
      <c r="C44" s="96">
        <v>2018</v>
      </c>
      <c r="D44" s="207" t="s">
        <v>518</v>
      </c>
      <c r="E44" s="121" t="s">
        <v>167</v>
      </c>
      <c r="F44" s="121" t="s">
        <v>517</v>
      </c>
      <c r="G44" s="104" t="s">
        <v>36</v>
      </c>
      <c r="H44" s="96" t="s">
        <v>155</v>
      </c>
      <c r="I44" s="104" t="s">
        <v>153</v>
      </c>
      <c r="J44" s="104" t="s">
        <v>38</v>
      </c>
      <c r="K44" s="104" t="s">
        <v>154</v>
      </c>
      <c r="L44" s="104">
        <v>1</v>
      </c>
      <c r="N44" s="96">
        <v>1</v>
      </c>
      <c r="O44" s="96">
        <v>0.55000000000000004</v>
      </c>
      <c r="P44" s="96">
        <v>0.6</v>
      </c>
      <c r="Q44" s="129">
        <f t="shared" si="0"/>
        <v>0.57499999999999996</v>
      </c>
      <c r="R44" s="96">
        <v>13.9</v>
      </c>
      <c r="S44" s="96">
        <v>122</v>
      </c>
      <c r="T44" s="105">
        <f t="shared" si="1"/>
        <v>30</v>
      </c>
      <c r="U44" s="96">
        <v>93</v>
      </c>
      <c r="V44" s="105">
        <f t="shared" si="2"/>
        <v>2790</v>
      </c>
      <c r="W44" s="96">
        <v>3</v>
      </c>
      <c r="X44" s="104" t="s">
        <v>46</v>
      </c>
      <c r="Y44" s="104" t="s">
        <v>84</v>
      </c>
      <c r="Z44" s="104" t="s">
        <v>69</v>
      </c>
      <c r="AA44" s="104" t="s">
        <v>90</v>
      </c>
      <c r="AB44" s="104" t="s">
        <v>195</v>
      </c>
    </row>
    <row r="45" spans="1:28" x14ac:dyDescent="0.15">
      <c r="A45" s="104" t="s">
        <v>34</v>
      </c>
      <c r="B45" s="96" t="s">
        <v>193</v>
      </c>
      <c r="C45" s="96">
        <v>2018</v>
      </c>
      <c r="D45" s="207" t="s">
        <v>518</v>
      </c>
      <c r="E45" s="121" t="s">
        <v>167</v>
      </c>
      <c r="F45" s="121" t="s">
        <v>517</v>
      </c>
      <c r="G45" s="104" t="s">
        <v>36</v>
      </c>
      <c r="H45" s="96" t="s">
        <v>155</v>
      </c>
      <c r="I45" s="104" t="s">
        <v>153</v>
      </c>
      <c r="J45" s="104" t="s">
        <v>38</v>
      </c>
      <c r="K45" s="104" t="s">
        <v>154</v>
      </c>
      <c r="L45" s="96">
        <v>2</v>
      </c>
      <c r="N45" s="96">
        <v>1</v>
      </c>
      <c r="O45" s="96">
        <v>0.75</v>
      </c>
      <c r="P45" s="96">
        <v>0.65</v>
      </c>
      <c r="Q45" s="129">
        <f t="shared" si="0"/>
        <v>0.7</v>
      </c>
      <c r="R45" s="96">
        <v>13.9</v>
      </c>
      <c r="S45" s="96">
        <v>117</v>
      </c>
      <c r="T45" s="105">
        <f t="shared" si="1"/>
        <v>30</v>
      </c>
      <c r="U45" s="96">
        <v>93</v>
      </c>
      <c r="V45" s="105">
        <f t="shared" si="2"/>
        <v>2790</v>
      </c>
      <c r="W45" s="96">
        <v>3</v>
      </c>
      <c r="X45" s="104" t="s">
        <v>46</v>
      </c>
      <c r="Y45" s="104" t="s">
        <v>84</v>
      </c>
      <c r="Z45" s="104" t="s">
        <v>69</v>
      </c>
      <c r="AA45" s="104" t="s">
        <v>90</v>
      </c>
      <c r="AB45" s="104" t="s">
        <v>195</v>
      </c>
    </row>
    <row r="46" spans="1:28" x14ac:dyDescent="0.15">
      <c r="A46" s="104" t="s">
        <v>34</v>
      </c>
      <c r="B46" s="96" t="s">
        <v>193</v>
      </c>
      <c r="C46" s="96">
        <v>2018</v>
      </c>
      <c r="D46" s="207" t="s">
        <v>518</v>
      </c>
      <c r="E46" s="121" t="s">
        <v>167</v>
      </c>
      <c r="F46" s="121" t="s">
        <v>517</v>
      </c>
      <c r="G46" s="104" t="s">
        <v>36</v>
      </c>
      <c r="H46" s="96" t="s">
        <v>155</v>
      </c>
      <c r="I46" s="104" t="s">
        <v>153</v>
      </c>
      <c r="J46" s="104" t="s">
        <v>38</v>
      </c>
      <c r="K46" s="104" t="s">
        <v>154</v>
      </c>
      <c r="L46" s="96">
        <v>3</v>
      </c>
      <c r="N46" s="96">
        <v>1</v>
      </c>
      <c r="O46" s="96">
        <v>0.8</v>
      </c>
      <c r="P46" s="96">
        <v>0.65</v>
      </c>
      <c r="Q46" s="129">
        <f t="shared" si="0"/>
        <v>0.72500000000000009</v>
      </c>
      <c r="R46" s="96">
        <v>14</v>
      </c>
      <c r="S46" s="96">
        <v>122</v>
      </c>
      <c r="T46" s="105">
        <f t="shared" si="1"/>
        <v>30</v>
      </c>
      <c r="U46" s="96">
        <v>93</v>
      </c>
      <c r="V46" s="105">
        <f t="shared" si="2"/>
        <v>2790</v>
      </c>
      <c r="W46" s="96">
        <v>3</v>
      </c>
      <c r="X46" s="104" t="s">
        <v>46</v>
      </c>
      <c r="Y46" s="104" t="s">
        <v>84</v>
      </c>
      <c r="Z46" s="104" t="s">
        <v>69</v>
      </c>
      <c r="AA46" s="104" t="s">
        <v>90</v>
      </c>
      <c r="AB46" s="104" t="s">
        <v>195</v>
      </c>
    </row>
    <row r="47" spans="1:28" x14ac:dyDescent="0.15">
      <c r="A47" s="104" t="s">
        <v>34</v>
      </c>
      <c r="B47" s="96" t="s">
        <v>193</v>
      </c>
      <c r="C47" s="96">
        <v>2018</v>
      </c>
      <c r="D47" s="207" t="s">
        <v>518</v>
      </c>
      <c r="E47" s="121" t="s">
        <v>167</v>
      </c>
      <c r="F47" s="121" t="s">
        <v>517</v>
      </c>
      <c r="G47" s="104" t="s">
        <v>36</v>
      </c>
      <c r="H47" s="96" t="s">
        <v>155</v>
      </c>
      <c r="I47" s="104" t="s">
        <v>153</v>
      </c>
      <c r="J47" s="104" t="s">
        <v>38</v>
      </c>
      <c r="K47" s="104" t="s">
        <v>154</v>
      </c>
      <c r="L47" s="104">
        <v>1</v>
      </c>
      <c r="N47" s="96">
        <v>4</v>
      </c>
      <c r="O47" s="96">
        <v>0.2</v>
      </c>
      <c r="P47" s="96">
        <v>0.5</v>
      </c>
      <c r="Q47" s="129">
        <f t="shared" si="0"/>
        <v>0.35</v>
      </c>
      <c r="R47" s="96">
        <v>13.5</v>
      </c>
      <c r="S47" s="96">
        <v>134</v>
      </c>
      <c r="T47" s="105">
        <f t="shared" si="1"/>
        <v>30</v>
      </c>
      <c r="U47" s="96">
        <v>428</v>
      </c>
      <c r="V47" s="105">
        <f t="shared" si="2"/>
        <v>3210</v>
      </c>
      <c r="W47" s="96">
        <v>3</v>
      </c>
      <c r="X47" s="104" t="s">
        <v>46</v>
      </c>
      <c r="Y47" s="104" t="s">
        <v>84</v>
      </c>
      <c r="Z47" s="104" t="s">
        <v>69</v>
      </c>
      <c r="AA47" s="104" t="s">
        <v>90</v>
      </c>
      <c r="AB47" s="104" t="s">
        <v>195</v>
      </c>
    </row>
    <row r="48" spans="1:28" x14ac:dyDescent="0.15">
      <c r="A48" s="104" t="s">
        <v>34</v>
      </c>
      <c r="B48" s="96" t="s">
        <v>193</v>
      </c>
      <c r="C48" s="96">
        <v>2018</v>
      </c>
      <c r="D48" s="207" t="s">
        <v>518</v>
      </c>
      <c r="E48" s="121" t="s">
        <v>167</v>
      </c>
      <c r="F48" s="121" t="s">
        <v>517</v>
      </c>
      <c r="G48" s="104" t="s">
        <v>36</v>
      </c>
      <c r="H48" s="96" t="s">
        <v>155</v>
      </c>
      <c r="I48" s="104" t="s">
        <v>153</v>
      </c>
      <c r="J48" s="104" t="s">
        <v>38</v>
      </c>
      <c r="K48" s="104" t="s">
        <v>154</v>
      </c>
      <c r="L48" s="96">
        <v>2</v>
      </c>
      <c r="N48" s="96">
        <v>4</v>
      </c>
      <c r="O48" s="96">
        <v>0.55000000000000004</v>
      </c>
      <c r="P48" s="96">
        <v>0.6</v>
      </c>
      <c r="Q48" s="129">
        <f t="shared" si="0"/>
        <v>0.57499999999999996</v>
      </c>
      <c r="R48" s="96">
        <v>14</v>
      </c>
      <c r="S48" s="96">
        <v>134</v>
      </c>
      <c r="T48" s="105">
        <f t="shared" si="1"/>
        <v>30</v>
      </c>
      <c r="U48" s="96">
        <v>428</v>
      </c>
      <c r="V48" s="105">
        <f t="shared" si="2"/>
        <v>3210</v>
      </c>
      <c r="W48" s="96">
        <v>3</v>
      </c>
      <c r="X48" s="104" t="s">
        <v>46</v>
      </c>
      <c r="Y48" s="104" t="s">
        <v>84</v>
      </c>
      <c r="Z48" s="104" t="s">
        <v>69</v>
      </c>
      <c r="AA48" s="104" t="s">
        <v>90</v>
      </c>
      <c r="AB48" s="104" t="s">
        <v>195</v>
      </c>
    </row>
    <row r="49" spans="1:28" x14ac:dyDescent="0.15">
      <c r="A49" s="104" t="s">
        <v>34</v>
      </c>
      <c r="B49" s="96" t="s">
        <v>193</v>
      </c>
      <c r="C49" s="96">
        <v>2018</v>
      </c>
      <c r="D49" s="207" t="s">
        <v>518</v>
      </c>
      <c r="E49" s="121" t="s">
        <v>167</v>
      </c>
      <c r="F49" s="121" t="s">
        <v>517</v>
      </c>
      <c r="G49" s="104" t="s">
        <v>36</v>
      </c>
      <c r="H49" s="96" t="s">
        <v>155</v>
      </c>
      <c r="I49" s="104" t="s">
        <v>153</v>
      </c>
      <c r="J49" s="104" t="s">
        <v>38</v>
      </c>
      <c r="K49" s="104" t="s">
        <v>154</v>
      </c>
      <c r="L49" s="96">
        <v>3</v>
      </c>
      <c r="N49" s="96">
        <v>4</v>
      </c>
      <c r="O49" s="96">
        <v>0.2</v>
      </c>
      <c r="P49" s="96">
        <v>0.45</v>
      </c>
      <c r="Q49" s="129">
        <f t="shared" si="0"/>
        <v>0.32500000000000001</v>
      </c>
      <c r="R49" s="96">
        <v>14.2</v>
      </c>
      <c r="S49" s="96">
        <v>139</v>
      </c>
      <c r="T49" s="105">
        <f t="shared" si="1"/>
        <v>30</v>
      </c>
      <c r="U49" s="96">
        <v>428</v>
      </c>
      <c r="V49" s="105">
        <f t="shared" si="2"/>
        <v>3210</v>
      </c>
      <c r="W49" s="96">
        <v>3</v>
      </c>
      <c r="X49" s="104" t="s">
        <v>46</v>
      </c>
      <c r="Y49" s="104" t="s">
        <v>84</v>
      </c>
      <c r="Z49" s="104" t="s">
        <v>69</v>
      </c>
      <c r="AA49" s="104" t="s">
        <v>90</v>
      </c>
      <c r="AB49" s="104" t="s">
        <v>195</v>
      </c>
    </row>
    <row r="50" spans="1:28" x14ac:dyDescent="0.15">
      <c r="A50" s="104" t="s">
        <v>34</v>
      </c>
      <c r="B50" s="96" t="s">
        <v>193</v>
      </c>
      <c r="C50" s="96">
        <v>2018</v>
      </c>
      <c r="D50" s="207" t="s">
        <v>518</v>
      </c>
      <c r="E50" s="121" t="s">
        <v>167</v>
      </c>
      <c r="F50" s="121" t="s">
        <v>517</v>
      </c>
      <c r="G50" s="104" t="s">
        <v>36</v>
      </c>
      <c r="H50" s="96" t="s">
        <v>128</v>
      </c>
      <c r="I50" s="104" t="s">
        <v>153</v>
      </c>
      <c r="J50" s="104" t="s">
        <v>80</v>
      </c>
      <c r="K50" s="104" t="s">
        <v>45</v>
      </c>
      <c r="L50" s="104">
        <v>1</v>
      </c>
      <c r="N50" s="96">
        <v>6</v>
      </c>
      <c r="O50" s="96">
        <v>0.95</v>
      </c>
      <c r="P50" s="96">
        <v>1</v>
      </c>
      <c r="Q50" s="129">
        <f t="shared" si="0"/>
        <v>0.97499999999999998</v>
      </c>
      <c r="R50" s="96">
        <v>14.1</v>
      </c>
      <c r="S50" s="96">
        <v>72</v>
      </c>
      <c r="T50" s="105">
        <f t="shared" si="1"/>
        <v>42</v>
      </c>
      <c r="U50" s="96">
        <v>536</v>
      </c>
      <c r="V50" s="105">
        <f t="shared" si="2"/>
        <v>3752</v>
      </c>
      <c r="W50" s="96">
        <v>1</v>
      </c>
      <c r="X50" s="104" t="s">
        <v>46</v>
      </c>
      <c r="Y50" s="104" t="s">
        <v>84</v>
      </c>
      <c r="Z50" s="104" t="s">
        <v>69</v>
      </c>
      <c r="AA50" s="104" t="s">
        <v>90</v>
      </c>
      <c r="AB50" s="104" t="s">
        <v>195</v>
      </c>
    </row>
    <row r="51" spans="1:28" x14ac:dyDescent="0.15">
      <c r="A51" s="104" t="s">
        <v>34</v>
      </c>
      <c r="B51" s="96" t="s">
        <v>193</v>
      </c>
      <c r="C51" s="96">
        <v>2018</v>
      </c>
      <c r="D51" s="207" t="s">
        <v>518</v>
      </c>
      <c r="E51" s="121" t="s">
        <v>167</v>
      </c>
      <c r="F51" s="121" t="s">
        <v>517</v>
      </c>
      <c r="G51" s="104" t="s">
        <v>36</v>
      </c>
      <c r="H51" s="96" t="s">
        <v>128</v>
      </c>
      <c r="I51" s="104" t="s">
        <v>153</v>
      </c>
      <c r="J51" s="104" t="s">
        <v>80</v>
      </c>
      <c r="K51" s="104" t="s">
        <v>45</v>
      </c>
      <c r="L51" s="96">
        <v>2</v>
      </c>
      <c r="N51" s="96">
        <v>6</v>
      </c>
      <c r="O51" s="96">
        <v>0.65</v>
      </c>
      <c r="P51" s="96">
        <v>0.55000000000000004</v>
      </c>
      <c r="Q51" s="129">
        <f t="shared" si="0"/>
        <v>0.60000000000000009</v>
      </c>
      <c r="R51" s="96">
        <v>14.3</v>
      </c>
      <c r="S51" s="96">
        <v>73</v>
      </c>
      <c r="T51" s="105">
        <f t="shared" si="1"/>
        <v>42</v>
      </c>
      <c r="U51" s="96">
        <v>536</v>
      </c>
      <c r="V51" s="105">
        <f t="shared" si="2"/>
        <v>3752</v>
      </c>
      <c r="W51" s="96">
        <v>1</v>
      </c>
      <c r="X51" s="104" t="s">
        <v>46</v>
      </c>
      <c r="Y51" s="104" t="s">
        <v>84</v>
      </c>
      <c r="Z51" s="104" t="s">
        <v>69</v>
      </c>
      <c r="AA51" s="104" t="s">
        <v>90</v>
      </c>
      <c r="AB51" s="104" t="s">
        <v>195</v>
      </c>
    </row>
    <row r="52" spans="1:28" x14ac:dyDescent="0.15">
      <c r="A52" s="104" t="s">
        <v>34</v>
      </c>
      <c r="B52" s="96" t="s">
        <v>193</v>
      </c>
      <c r="C52" s="96">
        <v>2018</v>
      </c>
      <c r="D52" s="207" t="s">
        <v>518</v>
      </c>
      <c r="E52" s="121" t="s">
        <v>167</v>
      </c>
      <c r="F52" s="121" t="s">
        <v>517</v>
      </c>
      <c r="G52" s="104" t="s">
        <v>36</v>
      </c>
      <c r="H52" s="96" t="s">
        <v>128</v>
      </c>
      <c r="I52" s="104" t="s">
        <v>153</v>
      </c>
      <c r="J52" s="104" t="s">
        <v>80</v>
      </c>
      <c r="K52" s="104" t="s">
        <v>45</v>
      </c>
      <c r="L52" s="96">
        <v>3</v>
      </c>
      <c r="N52" s="96">
        <v>6</v>
      </c>
      <c r="O52" s="96">
        <v>0.45</v>
      </c>
      <c r="P52" s="96">
        <v>0.5</v>
      </c>
      <c r="Q52" s="129">
        <f t="shared" si="0"/>
        <v>0.47499999999999998</v>
      </c>
      <c r="R52" s="96">
        <v>13.9</v>
      </c>
      <c r="S52" s="96">
        <v>74</v>
      </c>
      <c r="T52" s="105">
        <f t="shared" si="1"/>
        <v>42</v>
      </c>
      <c r="U52" s="96">
        <v>536</v>
      </c>
      <c r="V52" s="105">
        <f t="shared" si="2"/>
        <v>3752</v>
      </c>
      <c r="W52" s="96">
        <v>1</v>
      </c>
      <c r="X52" s="104" t="s">
        <v>46</v>
      </c>
      <c r="Y52" s="104" t="s">
        <v>84</v>
      </c>
      <c r="Z52" s="104" t="s">
        <v>69</v>
      </c>
      <c r="AA52" s="104" t="s">
        <v>90</v>
      </c>
      <c r="AB52" s="104" t="s">
        <v>195</v>
      </c>
    </row>
    <row r="53" spans="1:28" x14ac:dyDescent="0.15">
      <c r="A53" s="104" t="s">
        <v>34</v>
      </c>
      <c r="B53" s="96" t="s">
        <v>193</v>
      </c>
      <c r="C53" s="96">
        <v>2018</v>
      </c>
      <c r="D53" s="207" t="s">
        <v>518</v>
      </c>
      <c r="E53" s="121" t="s">
        <v>490</v>
      </c>
      <c r="F53" s="121" t="s">
        <v>491</v>
      </c>
      <c r="G53" s="104" t="s">
        <v>36</v>
      </c>
      <c r="H53" s="96" t="s">
        <v>155</v>
      </c>
      <c r="I53" s="104" t="s">
        <v>153</v>
      </c>
      <c r="J53" s="104" t="s">
        <v>38</v>
      </c>
      <c r="K53" s="104" t="s">
        <v>154</v>
      </c>
      <c r="L53" s="104">
        <v>1</v>
      </c>
      <c r="N53" s="96">
        <v>1</v>
      </c>
      <c r="O53" s="96">
        <v>0.75</v>
      </c>
      <c r="P53" s="96">
        <v>0.75</v>
      </c>
      <c r="Q53" s="129">
        <f t="shared" si="0"/>
        <v>0.75</v>
      </c>
      <c r="R53" s="96">
        <v>14.2</v>
      </c>
      <c r="S53" s="96">
        <v>118</v>
      </c>
      <c r="T53" s="105">
        <f t="shared" si="1"/>
        <v>30</v>
      </c>
      <c r="U53" s="96">
        <v>85</v>
      </c>
      <c r="V53" s="105">
        <f t="shared" si="2"/>
        <v>2550</v>
      </c>
      <c r="W53" s="96">
        <v>2</v>
      </c>
      <c r="X53" s="104" t="s">
        <v>46</v>
      </c>
      <c r="Y53" s="104" t="s">
        <v>84</v>
      </c>
      <c r="Z53" s="104" t="s">
        <v>90</v>
      </c>
      <c r="AA53" s="104" t="s">
        <v>69</v>
      </c>
      <c r="AB53" s="104" t="s">
        <v>195</v>
      </c>
    </row>
    <row r="54" spans="1:28" x14ac:dyDescent="0.15">
      <c r="A54" s="104" t="s">
        <v>34</v>
      </c>
      <c r="B54" s="96" t="s">
        <v>193</v>
      </c>
      <c r="C54" s="96">
        <v>2018</v>
      </c>
      <c r="D54" s="207" t="s">
        <v>518</v>
      </c>
      <c r="E54" s="121" t="s">
        <v>490</v>
      </c>
      <c r="F54" s="121" t="s">
        <v>491</v>
      </c>
      <c r="G54" s="104" t="s">
        <v>36</v>
      </c>
      <c r="H54" s="96" t="s">
        <v>155</v>
      </c>
      <c r="I54" s="104" t="s">
        <v>153</v>
      </c>
      <c r="J54" s="104" t="s">
        <v>38</v>
      </c>
      <c r="K54" s="104" t="s">
        <v>154</v>
      </c>
      <c r="L54" s="96">
        <v>2</v>
      </c>
      <c r="N54" s="96">
        <v>1</v>
      </c>
      <c r="O54" s="96">
        <v>0.85</v>
      </c>
      <c r="P54" s="96">
        <v>1.05</v>
      </c>
      <c r="Q54" s="129">
        <f t="shared" si="0"/>
        <v>0.95</v>
      </c>
      <c r="R54" s="96">
        <v>13.3</v>
      </c>
      <c r="S54" s="96">
        <v>121</v>
      </c>
      <c r="T54" s="105">
        <f t="shared" si="1"/>
        <v>30</v>
      </c>
      <c r="U54" s="96">
        <v>85</v>
      </c>
      <c r="V54" s="105">
        <f t="shared" si="2"/>
        <v>2550</v>
      </c>
      <c r="W54" s="96">
        <v>2</v>
      </c>
      <c r="X54" s="104" t="s">
        <v>46</v>
      </c>
      <c r="Y54" s="104" t="s">
        <v>84</v>
      </c>
      <c r="Z54" s="104" t="s">
        <v>90</v>
      </c>
      <c r="AA54" s="104" t="s">
        <v>69</v>
      </c>
      <c r="AB54" s="104" t="s">
        <v>195</v>
      </c>
    </row>
    <row r="55" spans="1:28" x14ac:dyDescent="0.15">
      <c r="A55" s="104" t="s">
        <v>34</v>
      </c>
      <c r="B55" s="96" t="s">
        <v>193</v>
      </c>
      <c r="C55" s="96">
        <v>2018</v>
      </c>
      <c r="D55" s="207" t="s">
        <v>518</v>
      </c>
      <c r="E55" s="121" t="s">
        <v>490</v>
      </c>
      <c r="F55" s="121" t="s">
        <v>491</v>
      </c>
      <c r="G55" s="104" t="s">
        <v>36</v>
      </c>
      <c r="H55" s="96" t="s">
        <v>155</v>
      </c>
      <c r="I55" s="104" t="s">
        <v>153</v>
      </c>
      <c r="J55" s="104" t="s">
        <v>38</v>
      </c>
      <c r="K55" s="104" t="s">
        <v>154</v>
      </c>
      <c r="L55" s="96">
        <v>3</v>
      </c>
      <c r="N55" s="96">
        <v>1</v>
      </c>
      <c r="O55" s="96">
        <v>1.85</v>
      </c>
      <c r="P55" s="96">
        <v>0.7</v>
      </c>
      <c r="Q55" s="129">
        <f t="shared" si="0"/>
        <v>1.2749999999999999</v>
      </c>
      <c r="R55" s="96">
        <v>14.3</v>
      </c>
      <c r="S55" s="96">
        <v>118</v>
      </c>
      <c r="T55" s="105">
        <f t="shared" si="1"/>
        <v>30</v>
      </c>
      <c r="U55" s="96">
        <v>85</v>
      </c>
      <c r="V55" s="105">
        <f t="shared" si="2"/>
        <v>2550</v>
      </c>
      <c r="W55" s="96">
        <v>2</v>
      </c>
      <c r="X55" s="104" t="s">
        <v>46</v>
      </c>
      <c r="Y55" s="104" t="s">
        <v>84</v>
      </c>
      <c r="Z55" s="104" t="s">
        <v>90</v>
      </c>
      <c r="AA55" s="104" t="s">
        <v>69</v>
      </c>
      <c r="AB55" s="104" t="s">
        <v>195</v>
      </c>
    </row>
    <row r="56" spans="1:28" x14ac:dyDescent="0.15">
      <c r="A56" s="104" t="s">
        <v>34</v>
      </c>
      <c r="B56" s="96" t="s">
        <v>193</v>
      </c>
      <c r="C56" s="96">
        <v>2018</v>
      </c>
      <c r="D56" s="207" t="s">
        <v>518</v>
      </c>
      <c r="E56" s="121" t="s">
        <v>490</v>
      </c>
      <c r="F56" s="121" t="s">
        <v>491</v>
      </c>
      <c r="G56" s="104" t="s">
        <v>36</v>
      </c>
      <c r="H56" s="96" t="s">
        <v>128</v>
      </c>
      <c r="I56" s="104" t="s">
        <v>153</v>
      </c>
      <c r="J56" s="104" t="s">
        <v>80</v>
      </c>
      <c r="K56" s="104" t="s">
        <v>63</v>
      </c>
      <c r="L56" s="104">
        <v>1</v>
      </c>
      <c r="N56" s="96">
        <v>1</v>
      </c>
      <c r="O56" s="96">
        <v>0.6</v>
      </c>
      <c r="P56" s="96">
        <v>0.55000000000000004</v>
      </c>
      <c r="Q56" s="129">
        <f t="shared" si="0"/>
        <v>0.57499999999999996</v>
      </c>
      <c r="R56" s="96">
        <v>13.9</v>
      </c>
      <c r="S56" s="96">
        <v>87</v>
      </c>
      <c r="T56" s="105">
        <f t="shared" si="1"/>
        <v>36</v>
      </c>
      <c r="U56" s="96">
        <v>85</v>
      </c>
      <c r="V56" s="105">
        <f t="shared" si="2"/>
        <v>3060</v>
      </c>
      <c r="W56" s="96">
        <v>2</v>
      </c>
      <c r="X56" s="104" t="s">
        <v>46</v>
      </c>
      <c r="Y56" s="104" t="s">
        <v>84</v>
      </c>
      <c r="Z56" s="104" t="s">
        <v>90</v>
      </c>
      <c r="AA56" s="104" t="s">
        <v>69</v>
      </c>
      <c r="AB56" s="104" t="s">
        <v>195</v>
      </c>
    </row>
    <row r="57" spans="1:28" x14ac:dyDescent="0.15">
      <c r="A57" s="104" t="s">
        <v>34</v>
      </c>
      <c r="B57" s="96" t="s">
        <v>193</v>
      </c>
      <c r="C57" s="96">
        <v>2018</v>
      </c>
      <c r="D57" s="207" t="s">
        <v>518</v>
      </c>
      <c r="E57" s="121" t="s">
        <v>490</v>
      </c>
      <c r="F57" s="121" t="s">
        <v>491</v>
      </c>
      <c r="G57" s="104" t="s">
        <v>36</v>
      </c>
      <c r="H57" s="96" t="s">
        <v>128</v>
      </c>
      <c r="I57" s="104" t="s">
        <v>153</v>
      </c>
      <c r="J57" s="104" t="s">
        <v>80</v>
      </c>
      <c r="K57" s="104" t="s">
        <v>63</v>
      </c>
      <c r="L57" s="96">
        <v>2</v>
      </c>
      <c r="N57" s="96">
        <v>1</v>
      </c>
      <c r="O57" s="96">
        <v>0.6</v>
      </c>
      <c r="P57" s="96">
        <v>0.55000000000000004</v>
      </c>
      <c r="Q57" s="129">
        <f t="shared" si="0"/>
        <v>0.57499999999999996</v>
      </c>
      <c r="R57" s="96">
        <v>14.5</v>
      </c>
      <c r="S57" s="96">
        <v>85</v>
      </c>
      <c r="T57" s="105">
        <f t="shared" si="1"/>
        <v>36</v>
      </c>
      <c r="U57" s="96">
        <v>85</v>
      </c>
      <c r="V57" s="105">
        <f t="shared" si="2"/>
        <v>3060</v>
      </c>
      <c r="W57" s="96">
        <v>2</v>
      </c>
      <c r="X57" s="104" t="s">
        <v>46</v>
      </c>
      <c r="Y57" s="104" t="s">
        <v>84</v>
      </c>
      <c r="Z57" s="104" t="s">
        <v>90</v>
      </c>
      <c r="AA57" s="104" t="s">
        <v>69</v>
      </c>
      <c r="AB57" s="104" t="s">
        <v>195</v>
      </c>
    </row>
    <row r="58" spans="1:28" x14ac:dyDescent="0.15">
      <c r="A58" s="104" t="s">
        <v>34</v>
      </c>
      <c r="B58" s="96" t="s">
        <v>193</v>
      </c>
      <c r="C58" s="96">
        <v>2018</v>
      </c>
      <c r="D58" s="207" t="s">
        <v>518</v>
      </c>
      <c r="E58" s="121" t="s">
        <v>490</v>
      </c>
      <c r="F58" s="121" t="s">
        <v>491</v>
      </c>
      <c r="G58" s="104" t="s">
        <v>36</v>
      </c>
      <c r="H58" s="96" t="s">
        <v>128</v>
      </c>
      <c r="I58" s="104" t="s">
        <v>153</v>
      </c>
      <c r="J58" s="104" t="s">
        <v>80</v>
      </c>
      <c r="K58" s="104" t="s">
        <v>63</v>
      </c>
      <c r="L58" s="96">
        <v>3</v>
      </c>
      <c r="N58" s="96">
        <v>1</v>
      </c>
      <c r="O58" s="96">
        <v>0.6</v>
      </c>
      <c r="P58" s="96">
        <v>0.65</v>
      </c>
      <c r="Q58" s="129">
        <f t="shared" si="0"/>
        <v>0.625</v>
      </c>
      <c r="R58" s="96">
        <v>14.1</v>
      </c>
      <c r="S58" s="96">
        <v>85</v>
      </c>
      <c r="T58" s="105">
        <f t="shared" si="1"/>
        <v>36</v>
      </c>
      <c r="U58" s="96">
        <v>85</v>
      </c>
      <c r="V58" s="105">
        <f t="shared" si="2"/>
        <v>3060</v>
      </c>
      <c r="W58" s="96">
        <v>2</v>
      </c>
      <c r="X58" s="104" t="s">
        <v>46</v>
      </c>
      <c r="Y58" s="104" t="s">
        <v>84</v>
      </c>
      <c r="Z58" s="104" t="s">
        <v>90</v>
      </c>
      <c r="AA58" s="104" t="s">
        <v>69</v>
      </c>
      <c r="AB58" s="104" t="s">
        <v>195</v>
      </c>
    </row>
    <row r="59" spans="1:28" x14ac:dyDescent="0.15">
      <c r="A59" s="104" t="s">
        <v>34</v>
      </c>
      <c r="B59" s="96" t="s">
        <v>193</v>
      </c>
      <c r="C59" s="96">
        <v>2018</v>
      </c>
      <c r="D59" s="207" t="s">
        <v>518</v>
      </c>
      <c r="E59" s="121" t="s">
        <v>490</v>
      </c>
      <c r="F59" s="121" t="s">
        <v>491</v>
      </c>
      <c r="G59" s="104" t="s">
        <v>36</v>
      </c>
      <c r="H59" s="96" t="s">
        <v>163</v>
      </c>
      <c r="I59" s="104" t="s">
        <v>153</v>
      </c>
      <c r="J59" s="104" t="s">
        <v>38</v>
      </c>
      <c r="K59" s="104" t="s">
        <v>178</v>
      </c>
      <c r="L59" s="104">
        <v>1</v>
      </c>
      <c r="N59" s="96">
        <v>4</v>
      </c>
      <c r="O59" s="96">
        <v>0.5</v>
      </c>
      <c r="P59" s="96">
        <v>0.6</v>
      </c>
      <c r="Q59" s="129">
        <f t="shared" si="0"/>
        <v>0.55000000000000004</v>
      </c>
      <c r="R59" s="96">
        <v>17</v>
      </c>
      <c r="S59" s="96">
        <v>92</v>
      </c>
      <c r="T59" s="105">
        <f t="shared" si="1"/>
        <v>36</v>
      </c>
      <c r="U59" s="96">
        <v>429</v>
      </c>
      <c r="V59" s="105">
        <f t="shared" si="2"/>
        <v>3861</v>
      </c>
      <c r="W59" s="96">
        <v>1</v>
      </c>
      <c r="X59" s="104" t="s">
        <v>39</v>
      </c>
      <c r="Y59" s="104" t="s">
        <v>84</v>
      </c>
      <c r="Z59" s="104" t="s">
        <v>90</v>
      </c>
      <c r="AA59" s="104" t="s">
        <v>69</v>
      </c>
      <c r="AB59" s="104" t="s">
        <v>195</v>
      </c>
    </row>
    <row r="60" spans="1:28" x14ac:dyDescent="0.15">
      <c r="A60" s="104" t="s">
        <v>34</v>
      </c>
      <c r="B60" s="96" t="s">
        <v>193</v>
      </c>
      <c r="C60" s="96">
        <v>2018</v>
      </c>
      <c r="D60" s="207" t="s">
        <v>518</v>
      </c>
      <c r="E60" s="121" t="s">
        <v>490</v>
      </c>
      <c r="F60" s="121" t="s">
        <v>491</v>
      </c>
      <c r="G60" s="104" t="s">
        <v>36</v>
      </c>
      <c r="H60" s="96" t="s">
        <v>163</v>
      </c>
      <c r="I60" s="104" t="s">
        <v>153</v>
      </c>
      <c r="J60" s="104" t="s">
        <v>38</v>
      </c>
      <c r="K60" s="104" t="s">
        <v>178</v>
      </c>
      <c r="L60" s="96">
        <v>2</v>
      </c>
      <c r="N60" s="96">
        <v>4</v>
      </c>
      <c r="O60" s="96">
        <v>0.2</v>
      </c>
      <c r="P60" s="96">
        <v>0.2</v>
      </c>
      <c r="Q60" s="129">
        <f t="shared" si="0"/>
        <v>0.2</v>
      </c>
      <c r="R60" s="96">
        <v>13.9</v>
      </c>
      <c r="S60" s="96">
        <v>98</v>
      </c>
      <c r="T60" s="105">
        <f t="shared" si="1"/>
        <v>36</v>
      </c>
      <c r="U60" s="96">
        <v>429</v>
      </c>
      <c r="V60" s="105">
        <f t="shared" si="2"/>
        <v>3861</v>
      </c>
      <c r="W60" s="96">
        <v>1</v>
      </c>
      <c r="X60" s="104" t="s">
        <v>39</v>
      </c>
      <c r="Y60" s="104" t="s">
        <v>84</v>
      </c>
      <c r="Z60" s="104" t="s">
        <v>90</v>
      </c>
      <c r="AA60" s="104" t="s">
        <v>69</v>
      </c>
      <c r="AB60" s="104" t="s">
        <v>195</v>
      </c>
    </row>
    <row r="61" spans="1:28" x14ac:dyDescent="0.15">
      <c r="A61" s="104" t="s">
        <v>34</v>
      </c>
      <c r="B61" s="96" t="s">
        <v>193</v>
      </c>
      <c r="C61" s="96">
        <v>2018</v>
      </c>
      <c r="D61" s="207" t="s">
        <v>518</v>
      </c>
      <c r="E61" s="121" t="s">
        <v>490</v>
      </c>
      <c r="F61" s="121" t="s">
        <v>491</v>
      </c>
      <c r="G61" s="104" t="s">
        <v>36</v>
      </c>
      <c r="H61" s="96" t="s">
        <v>163</v>
      </c>
      <c r="I61" s="104" t="s">
        <v>153</v>
      </c>
      <c r="J61" s="104" t="s">
        <v>38</v>
      </c>
      <c r="K61" s="104" t="s">
        <v>178</v>
      </c>
      <c r="L61" s="96">
        <v>3</v>
      </c>
      <c r="N61" s="96">
        <v>4</v>
      </c>
      <c r="O61" s="96">
        <v>0.2</v>
      </c>
      <c r="P61" s="96">
        <v>0.2</v>
      </c>
      <c r="Q61" s="129">
        <f t="shared" si="0"/>
        <v>0.2</v>
      </c>
      <c r="R61" s="96">
        <v>14.9</v>
      </c>
      <c r="S61" s="96">
        <v>98</v>
      </c>
      <c r="T61" s="105">
        <f t="shared" si="1"/>
        <v>36</v>
      </c>
      <c r="U61" s="96">
        <v>429</v>
      </c>
      <c r="V61" s="105">
        <f t="shared" si="2"/>
        <v>3861</v>
      </c>
      <c r="W61" s="96">
        <v>1</v>
      </c>
      <c r="X61" s="104" t="s">
        <v>39</v>
      </c>
      <c r="Y61" s="104" t="s">
        <v>84</v>
      </c>
      <c r="Z61" s="104" t="s">
        <v>90</v>
      </c>
      <c r="AA61" s="104" t="s">
        <v>69</v>
      </c>
      <c r="AB61" s="104" t="s">
        <v>195</v>
      </c>
    </row>
    <row r="62" spans="1:28" x14ac:dyDescent="0.15">
      <c r="A62" s="104" t="s">
        <v>34</v>
      </c>
      <c r="B62" s="96" t="s">
        <v>193</v>
      </c>
      <c r="C62" s="96">
        <v>2018</v>
      </c>
      <c r="D62" s="207" t="s">
        <v>518</v>
      </c>
      <c r="E62" s="121" t="s">
        <v>490</v>
      </c>
      <c r="F62" s="121" t="s">
        <v>491</v>
      </c>
      <c r="G62" s="104" t="s">
        <v>36</v>
      </c>
      <c r="H62" s="96" t="s">
        <v>127</v>
      </c>
      <c r="I62" s="104" t="s">
        <v>153</v>
      </c>
      <c r="J62" s="104" t="s">
        <v>80</v>
      </c>
      <c r="K62" s="104" t="s">
        <v>45</v>
      </c>
      <c r="L62" s="104">
        <v>1</v>
      </c>
      <c r="N62" s="96">
        <v>5</v>
      </c>
      <c r="O62" s="96">
        <v>1.2</v>
      </c>
      <c r="P62" s="96">
        <v>1.35</v>
      </c>
      <c r="Q62" s="129">
        <f t="shared" si="0"/>
        <v>1.2749999999999999</v>
      </c>
      <c r="R62" s="96">
        <v>14.7</v>
      </c>
      <c r="S62" s="96">
        <v>94</v>
      </c>
      <c r="T62" s="105">
        <f t="shared" si="1"/>
        <v>36</v>
      </c>
      <c r="U62" s="96">
        <v>321</v>
      </c>
      <c r="V62" s="105">
        <f t="shared" si="2"/>
        <v>2311.2000000000003</v>
      </c>
      <c r="W62" s="96">
        <v>2</v>
      </c>
      <c r="X62" s="104" t="s">
        <v>39</v>
      </c>
      <c r="Y62" s="104" t="s">
        <v>84</v>
      </c>
      <c r="Z62" s="104" t="s">
        <v>90</v>
      </c>
      <c r="AA62" s="104" t="s">
        <v>69</v>
      </c>
      <c r="AB62" s="104" t="s">
        <v>195</v>
      </c>
    </row>
    <row r="63" spans="1:28" x14ac:dyDescent="0.15">
      <c r="A63" s="104" t="s">
        <v>34</v>
      </c>
      <c r="B63" s="96" t="s">
        <v>193</v>
      </c>
      <c r="C63" s="96">
        <v>2018</v>
      </c>
      <c r="D63" s="207" t="s">
        <v>518</v>
      </c>
      <c r="E63" s="121" t="s">
        <v>490</v>
      </c>
      <c r="F63" s="121" t="s">
        <v>491</v>
      </c>
      <c r="G63" s="104" t="s">
        <v>36</v>
      </c>
      <c r="H63" s="96" t="s">
        <v>127</v>
      </c>
      <c r="I63" s="104" t="s">
        <v>153</v>
      </c>
      <c r="J63" s="104" t="s">
        <v>80</v>
      </c>
      <c r="K63" s="104" t="s">
        <v>45</v>
      </c>
      <c r="L63" s="96">
        <v>2</v>
      </c>
      <c r="N63" s="96">
        <v>5</v>
      </c>
      <c r="O63" s="96">
        <v>1.5</v>
      </c>
      <c r="P63" s="96">
        <v>1.35</v>
      </c>
      <c r="Q63" s="129">
        <f t="shared" si="0"/>
        <v>1.425</v>
      </c>
      <c r="R63" s="96">
        <v>14.3</v>
      </c>
      <c r="S63" s="96">
        <v>85</v>
      </c>
      <c r="T63" s="105">
        <f t="shared" si="1"/>
        <v>36</v>
      </c>
      <c r="U63" s="96">
        <v>321</v>
      </c>
      <c r="V63" s="105">
        <f t="shared" si="2"/>
        <v>2311.2000000000003</v>
      </c>
      <c r="W63" s="96">
        <v>2</v>
      </c>
      <c r="X63" s="104" t="s">
        <v>39</v>
      </c>
      <c r="Y63" s="104" t="s">
        <v>84</v>
      </c>
      <c r="Z63" s="104" t="s">
        <v>90</v>
      </c>
      <c r="AA63" s="104" t="s">
        <v>69</v>
      </c>
      <c r="AB63" s="104" t="s">
        <v>195</v>
      </c>
    </row>
    <row r="64" spans="1:28" x14ac:dyDescent="0.15">
      <c r="A64" s="104" t="s">
        <v>34</v>
      </c>
      <c r="B64" s="96" t="s">
        <v>193</v>
      </c>
      <c r="C64" s="96">
        <v>2018</v>
      </c>
      <c r="D64" s="207" t="s">
        <v>518</v>
      </c>
      <c r="E64" s="121" t="s">
        <v>490</v>
      </c>
      <c r="F64" s="121" t="s">
        <v>491</v>
      </c>
      <c r="G64" s="104" t="s">
        <v>36</v>
      </c>
      <c r="H64" s="96" t="s">
        <v>127</v>
      </c>
      <c r="I64" s="104" t="s">
        <v>153</v>
      </c>
      <c r="J64" s="104" t="s">
        <v>80</v>
      </c>
      <c r="K64" s="104" t="s">
        <v>45</v>
      </c>
      <c r="L64" s="96">
        <v>3</v>
      </c>
      <c r="N64" s="96">
        <v>5</v>
      </c>
      <c r="O64" s="96">
        <v>1.1499999999999999</v>
      </c>
      <c r="P64" s="96">
        <v>1.1499999999999999</v>
      </c>
      <c r="Q64" s="129">
        <f t="shared" si="0"/>
        <v>1.1499999999999999</v>
      </c>
      <c r="R64" s="96">
        <v>14.3</v>
      </c>
      <c r="S64" s="96">
        <v>85</v>
      </c>
      <c r="T64" s="105">
        <f t="shared" si="1"/>
        <v>36</v>
      </c>
      <c r="U64" s="96">
        <v>321</v>
      </c>
      <c r="V64" s="105">
        <f t="shared" si="2"/>
        <v>2311.2000000000003</v>
      </c>
      <c r="W64" s="96">
        <v>2</v>
      </c>
      <c r="X64" s="104" t="s">
        <v>39</v>
      </c>
      <c r="Y64" s="104" t="s">
        <v>84</v>
      </c>
      <c r="Z64" s="104" t="s">
        <v>90</v>
      </c>
      <c r="AA64" s="104" t="s">
        <v>69</v>
      </c>
      <c r="AB64" s="104" t="s">
        <v>195</v>
      </c>
    </row>
    <row r="65" spans="1:28" x14ac:dyDescent="0.15">
      <c r="A65" s="104" t="s">
        <v>34</v>
      </c>
      <c r="B65" s="96" t="s">
        <v>193</v>
      </c>
      <c r="C65" s="96">
        <v>2018</v>
      </c>
      <c r="D65" s="207" t="s">
        <v>518</v>
      </c>
      <c r="E65" s="121" t="s">
        <v>493</v>
      </c>
      <c r="F65" s="121" t="s">
        <v>494</v>
      </c>
      <c r="G65" s="104" t="s">
        <v>36</v>
      </c>
      <c r="H65" s="96" t="s">
        <v>155</v>
      </c>
      <c r="I65" s="104" t="s">
        <v>153</v>
      </c>
      <c r="J65" s="104" t="s">
        <v>38</v>
      </c>
      <c r="K65" s="104" t="s">
        <v>154</v>
      </c>
      <c r="L65" s="104">
        <v>1</v>
      </c>
      <c r="N65" s="96">
        <v>1</v>
      </c>
      <c r="O65" s="96">
        <v>0.9</v>
      </c>
      <c r="P65" s="96">
        <v>0.85</v>
      </c>
      <c r="Q65" s="129">
        <f t="shared" si="0"/>
        <v>0.875</v>
      </c>
      <c r="R65" s="96">
        <v>14.2</v>
      </c>
      <c r="S65" s="96">
        <v>122</v>
      </c>
      <c r="T65" s="105">
        <f t="shared" si="1"/>
        <v>30</v>
      </c>
      <c r="U65" s="96">
        <v>138</v>
      </c>
      <c r="V65" s="105">
        <f t="shared" si="2"/>
        <v>4140</v>
      </c>
      <c r="W65" s="96">
        <v>3</v>
      </c>
      <c r="X65" s="104" t="s">
        <v>46</v>
      </c>
      <c r="Y65" s="104" t="s">
        <v>84</v>
      </c>
      <c r="Z65" s="104" t="s">
        <v>90</v>
      </c>
      <c r="AA65" s="104" t="s">
        <v>69</v>
      </c>
      <c r="AB65" s="104" t="s">
        <v>195</v>
      </c>
    </row>
    <row r="66" spans="1:28" x14ac:dyDescent="0.15">
      <c r="A66" s="104" t="s">
        <v>34</v>
      </c>
      <c r="B66" s="96" t="s">
        <v>193</v>
      </c>
      <c r="C66" s="96">
        <v>2018</v>
      </c>
      <c r="D66" s="207" t="s">
        <v>518</v>
      </c>
      <c r="E66" s="121" t="s">
        <v>493</v>
      </c>
      <c r="F66" s="121" t="s">
        <v>494</v>
      </c>
      <c r="G66" s="104" t="s">
        <v>36</v>
      </c>
      <c r="H66" s="96" t="s">
        <v>155</v>
      </c>
      <c r="I66" s="104" t="s">
        <v>153</v>
      </c>
      <c r="J66" s="104" t="s">
        <v>38</v>
      </c>
      <c r="K66" s="104" t="s">
        <v>154</v>
      </c>
      <c r="L66" s="96">
        <v>2</v>
      </c>
      <c r="N66" s="96">
        <v>1</v>
      </c>
      <c r="O66" s="96">
        <v>1.2</v>
      </c>
      <c r="P66" s="96">
        <v>1.3</v>
      </c>
      <c r="Q66" s="129">
        <f>IF(OR(O66="",P66=""),"",AVERAGE(O66,P66))</f>
        <v>1.25</v>
      </c>
      <c r="R66" s="96">
        <v>13.3</v>
      </c>
      <c r="S66" s="96">
        <v>123</v>
      </c>
      <c r="T66" s="105">
        <f t="shared" si="1"/>
        <v>30</v>
      </c>
      <c r="U66" s="96">
        <v>138</v>
      </c>
      <c r="V66" s="105">
        <f t="shared" si="2"/>
        <v>4140</v>
      </c>
      <c r="W66" s="96">
        <v>3</v>
      </c>
      <c r="X66" s="104" t="s">
        <v>46</v>
      </c>
      <c r="Y66" s="104" t="s">
        <v>84</v>
      </c>
      <c r="Z66" s="104" t="s">
        <v>90</v>
      </c>
      <c r="AA66" s="104" t="s">
        <v>69</v>
      </c>
      <c r="AB66" s="104" t="s">
        <v>195</v>
      </c>
    </row>
    <row r="67" spans="1:28" x14ac:dyDescent="0.15">
      <c r="A67" s="104" t="s">
        <v>34</v>
      </c>
      <c r="B67" s="96" t="s">
        <v>193</v>
      </c>
      <c r="C67" s="96">
        <v>2018</v>
      </c>
      <c r="D67" s="207" t="s">
        <v>518</v>
      </c>
      <c r="E67" s="121" t="s">
        <v>493</v>
      </c>
      <c r="F67" s="121" t="s">
        <v>494</v>
      </c>
      <c r="G67" s="104" t="s">
        <v>36</v>
      </c>
      <c r="H67" s="96" t="s">
        <v>155</v>
      </c>
      <c r="I67" s="104" t="s">
        <v>153</v>
      </c>
      <c r="J67" s="104" t="s">
        <v>38</v>
      </c>
      <c r="K67" s="104" t="s">
        <v>154</v>
      </c>
      <c r="L67" s="96">
        <v>3</v>
      </c>
      <c r="N67" s="96">
        <v>1</v>
      </c>
      <c r="O67" s="96">
        <v>0.95</v>
      </c>
      <c r="P67" s="96">
        <v>0.95</v>
      </c>
      <c r="Q67" s="129">
        <f t="shared" si="0"/>
        <v>0.95</v>
      </c>
      <c r="R67" s="96">
        <v>13.6</v>
      </c>
      <c r="S67" s="96">
        <v>122</v>
      </c>
      <c r="T67" s="105">
        <f t="shared" si="1"/>
        <v>30</v>
      </c>
      <c r="U67" s="96">
        <v>138</v>
      </c>
      <c r="V67" s="105">
        <f t="shared" si="2"/>
        <v>4140</v>
      </c>
      <c r="W67" s="96">
        <v>3</v>
      </c>
      <c r="X67" s="104" t="s">
        <v>46</v>
      </c>
      <c r="Y67" s="104" t="s">
        <v>84</v>
      </c>
      <c r="Z67" s="104" t="s">
        <v>90</v>
      </c>
      <c r="AA67" s="104" t="s">
        <v>69</v>
      </c>
      <c r="AB67" s="104" t="s">
        <v>195</v>
      </c>
    </row>
    <row r="68" spans="1:28" x14ac:dyDescent="0.15">
      <c r="A68" s="104" t="s">
        <v>34</v>
      </c>
      <c r="B68" s="96" t="s">
        <v>193</v>
      </c>
      <c r="C68" s="96">
        <v>2018</v>
      </c>
      <c r="D68" s="207" t="s">
        <v>518</v>
      </c>
      <c r="E68" s="121" t="s">
        <v>493</v>
      </c>
      <c r="F68" s="121" t="s">
        <v>494</v>
      </c>
      <c r="G68" s="104" t="s">
        <v>36</v>
      </c>
      <c r="H68" s="96" t="s">
        <v>155</v>
      </c>
      <c r="I68" s="104" t="s">
        <v>153</v>
      </c>
      <c r="J68" s="104" t="s">
        <v>38</v>
      </c>
      <c r="K68" s="104" t="s">
        <v>154</v>
      </c>
      <c r="L68" s="104">
        <v>1</v>
      </c>
      <c r="N68" s="96">
        <v>8</v>
      </c>
      <c r="O68" s="96">
        <v>0.7</v>
      </c>
      <c r="P68" s="96">
        <v>0.8</v>
      </c>
      <c r="Q68" s="129">
        <f t="shared" si="0"/>
        <v>0.75</v>
      </c>
      <c r="R68" s="96">
        <v>14</v>
      </c>
      <c r="S68" s="96">
        <v>91</v>
      </c>
      <c r="T68" s="105">
        <f t="shared" si="1"/>
        <v>36</v>
      </c>
      <c r="U68" s="96">
        <v>430</v>
      </c>
      <c r="V68" s="105">
        <f t="shared" si="2"/>
        <v>1935</v>
      </c>
      <c r="W68" s="96">
        <v>3</v>
      </c>
      <c r="X68" s="104" t="s">
        <v>46</v>
      </c>
      <c r="Y68" s="104" t="s">
        <v>84</v>
      </c>
      <c r="Z68" s="104" t="s">
        <v>90</v>
      </c>
      <c r="AA68" s="104" t="s">
        <v>69</v>
      </c>
      <c r="AB68" s="104" t="s">
        <v>195</v>
      </c>
    </row>
    <row r="69" spans="1:28" x14ac:dyDescent="0.15">
      <c r="A69" s="104" t="s">
        <v>34</v>
      </c>
      <c r="B69" s="96" t="s">
        <v>193</v>
      </c>
      <c r="C69" s="96">
        <v>2018</v>
      </c>
      <c r="D69" s="207" t="s">
        <v>518</v>
      </c>
      <c r="E69" s="121" t="s">
        <v>493</v>
      </c>
      <c r="F69" s="121" t="s">
        <v>494</v>
      </c>
      <c r="G69" s="104" t="s">
        <v>36</v>
      </c>
      <c r="H69" s="96" t="s">
        <v>155</v>
      </c>
      <c r="I69" s="104" t="s">
        <v>153</v>
      </c>
      <c r="J69" s="104" t="s">
        <v>38</v>
      </c>
      <c r="K69" s="104" t="s">
        <v>154</v>
      </c>
      <c r="L69" s="96">
        <v>2</v>
      </c>
      <c r="N69" s="96">
        <v>8</v>
      </c>
      <c r="O69" s="96">
        <v>0.9</v>
      </c>
      <c r="P69" s="96">
        <v>0.95</v>
      </c>
      <c r="Q69" s="129">
        <f t="shared" si="0"/>
        <v>0.92500000000000004</v>
      </c>
      <c r="R69" s="96">
        <v>13.4</v>
      </c>
      <c r="S69" s="96">
        <v>88</v>
      </c>
      <c r="T69" s="105">
        <f t="shared" si="1"/>
        <v>36</v>
      </c>
      <c r="U69" s="96">
        <v>430</v>
      </c>
      <c r="V69" s="105">
        <f t="shared" si="2"/>
        <v>1935</v>
      </c>
      <c r="W69" s="96">
        <v>3</v>
      </c>
      <c r="X69" s="104" t="s">
        <v>46</v>
      </c>
      <c r="Y69" s="104" t="s">
        <v>84</v>
      </c>
      <c r="Z69" s="104" t="s">
        <v>90</v>
      </c>
      <c r="AA69" s="104" t="s">
        <v>69</v>
      </c>
      <c r="AB69" s="104" t="s">
        <v>195</v>
      </c>
    </row>
    <row r="70" spans="1:28" x14ac:dyDescent="0.15">
      <c r="A70" s="104" t="s">
        <v>34</v>
      </c>
      <c r="B70" s="96" t="s">
        <v>193</v>
      </c>
      <c r="C70" s="96">
        <v>2018</v>
      </c>
      <c r="D70" s="207" t="s">
        <v>518</v>
      </c>
      <c r="E70" s="121" t="s">
        <v>493</v>
      </c>
      <c r="F70" s="121" t="s">
        <v>494</v>
      </c>
      <c r="G70" s="104" t="s">
        <v>36</v>
      </c>
      <c r="H70" s="96" t="s">
        <v>155</v>
      </c>
      <c r="I70" s="104" t="s">
        <v>153</v>
      </c>
      <c r="J70" s="104" t="s">
        <v>38</v>
      </c>
      <c r="K70" s="104" t="s">
        <v>154</v>
      </c>
      <c r="L70" s="96">
        <v>3</v>
      </c>
      <c r="N70" s="96">
        <v>8</v>
      </c>
      <c r="O70" s="96">
        <v>0.9</v>
      </c>
      <c r="P70" s="96">
        <v>0.9</v>
      </c>
      <c r="Q70" s="129">
        <f t="shared" si="0"/>
        <v>0.9</v>
      </c>
      <c r="R70" s="96">
        <v>13.3</v>
      </c>
      <c r="S70" s="96">
        <v>86</v>
      </c>
      <c r="T70" s="105">
        <f t="shared" si="1"/>
        <v>36</v>
      </c>
      <c r="U70" s="96">
        <v>430</v>
      </c>
      <c r="V70" s="105">
        <f t="shared" si="2"/>
        <v>1935</v>
      </c>
      <c r="W70" s="96">
        <v>3</v>
      </c>
      <c r="X70" s="104" t="s">
        <v>46</v>
      </c>
      <c r="Y70" s="104" t="s">
        <v>84</v>
      </c>
      <c r="Z70" s="104" t="s">
        <v>90</v>
      </c>
      <c r="AA70" s="104" t="s">
        <v>69</v>
      </c>
      <c r="AB70" s="104" t="s">
        <v>195</v>
      </c>
    </row>
    <row r="71" spans="1:28" x14ac:dyDescent="0.15">
      <c r="A71" s="104" t="s">
        <v>34</v>
      </c>
      <c r="B71" s="96" t="s">
        <v>193</v>
      </c>
      <c r="C71" s="96">
        <v>2018</v>
      </c>
      <c r="D71" s="207" t="s">
        <v>518</v>
      </c>
      <c r="E71" s="121" t="s">
        <v>493</v>
      </c>
      <c r="F71" s="121" t="s">
        <v>494</v>
      </c>
      <c r="G71" s="104" t="s">
        <v>36</v>
      </c>
      <c r="H71" s="96" t="s">
        <v>128</v>
      </c>
      <c r="I71" s="104" t="s">
        <v>153</v>
      </c>
      <c r="J71" s="104" t="s">
        <v>80</v>
      </c>
      <c r="K71" s="104" t="s">
        <v>63</v>
      </c>
      <c r="L71" s="104">
        <v>1</v>
      </c>
      <c r="N71" s="96">
        <v>4</v>
      </c>
      <c r="O71" s="96">
        <v>0.65</v>
      </c>
      <c r="P71" s="96">
        <v>0.65</v>
      </c>
      <c r="Q71" s="129">
        <f t="shared" si="0"/>
        <v>0.65</v>
      </c>
      <c r="R71" s="96">
        <v>14.2</v>
      </c>
      <c r="S71" s="96">
        <v>86</v>
      </c>
      <c r="T71" s="105">
        <f t="shared" si="1"/>
        <v>36</v>
      </c>
      <c r="U71" s="96">
        <v>538</v>
      </c>
      <c r="V71" s="105">
        <f t="shared" si="2"/>
        <v>4842</v>
      </c>
      <c r="W71" s="96">
        <v>2</v>
      </c>
      <c r="X71" s="104" t="s">
        <v>46</v>
      </c>
      <c r="Y71" s="104" t="s">
        <v>84</v>
      </c>
      <c r="Z71" s="104" t="s">
        <v>90</v>
      </c>
      <c r="AA71" s="104" t="s">
        <v>69</v>
      </c>
      <c r="AB71" s="104" t="s">
        <v>195</v>
      </c>
    </row>
    <row r="72" spans="1:28" x14ac:dyDescent="0.15">
      <c r="A72" s="104" t="s">
        <v>34</v>
      </c>
      <c r="B72" s="96" t="s">
        <v>193</v>
      </c>
      <c r="C72" s="96">
        <v>2018</v>
      </c>
      <c r="D72" s="207" t="s">
        <v>518</v>
      </c>
      <c r="E72" s="121" t="s">
        <v>493</v>
      </c>
      <c r="F72" s="121" t="s">
        <v>494</v>
      </c>
      <c r="G72" s="104" t="s">
        <v>36</v>
      </c>
      <c r="H72" s="96" t="s">
        <v>128</v>
      </c>
      <c r="I72" s="104" t="s">
        <v>153</v>
      </c>
      <c r="J72" s="104" t="s">
        <v>80</v>
      </c>
      <c r="K72" s="104" t="s">
        <v>63</v>
      </c>
      <c r="L72" s="96">
        <v>2</v>
      </c>
      <c r="N72" s="96">
        <v>4</v>
      </c>
      <c r="O72" s="96">
        <v>0.2</v>
      </c>
      <c r="P72" s="96">
        <v>0.2</v>
      </c>
      <c r="Q72" s="129">
        <f t="shared" si="0"/>
        <v>0.2</v>
      </c>
      <c r="R72" s="96">
        <v>14.1</v>
      </c>
      <c r="S72" s="96">
        <v>86</v>
      </c>
      <c r="T72" s="105">
        <f t="shared" si="1"/>
        <v>36</v>
      </c>
      <c r="U72" s="96">
        <v>538</v>
      </c>
      <c r="V72" s="105">
        <f t="shared" si="2"/>
        <v>4842</v>
      </c>
      <c r="W72" s="96">
        <v>2</v>
      </c>
      <c r="X72" s="104" t="s">
        <v>46</v>
      </c>
      <c r="Y72" s="104" t="s">
        <v>84</v>
      </c>
      <c r="Z72" s="104" t="s">
        <v>90</v>
      </c>
      <c r="AA72" s="104" t="s">
        <v>69</v>
      </c>
      <c r="AB72" s="104" t="s">
        <v>195</v>
      </c>
    </row>
    <row r="73" spans="1:28" x14ac:dyDescent="0.15">
      <c r="A73" s="104" t="s">
        <v>34</v>
      </c>
      <c r="B73" s="96" t="s">
        <v>193</v>
      </c>
      <c r="C73" s="96">
        <v>2018</v>
      </c>
      <c r="D73" s="207" t="s">
        <v>518</v>
      </c>
      <c r="E73" s="121" t="s">
        <v>493</v>
      </c>
      <c r="F73" s="121" t="s">
        <v>494</v>
      </c>
      <c r="G73" s="104" t="s">
        <v>36</v>
      </c>
      <c r="H73" s="96" t="s">
        <v>128</v>
      </c>
      <c r="I73" s="104" t="s">
        <v>153</v>
      </c>
      <c r="J73" s="104" t="s">
        <v>80</v>
      </c>
      <c r="K73" s="104" t="s">
        <v>63</v>
      </c>
      <c r="L73" s="96">
        <v>3</v>
      </c>
      <c r="N73" s="96">
        <v>4</v>
      </c>
      <c r="O73" s="96">
        <v>0.65</v>
      </c>
      <c r="P73" s="96">
        <v>0.55000000000000004</v>
      </c>
      <c r="Q73" s="129">
        <f t="shared" si="0"/>
        <v>0.60000000000000009</v>
      </c>
      <c r="R73" s="96">
        <v>14.4</v>
      </c>
      <c r="S73" s="96">
        <v>85</v>
      </c>
      <c r="T73" s="105">
        <f t="shared" si="1"/>
        <v>36</v>
      </c>
      <c r="U73" s="96">
        <v>538</v>
      </c>
      <c r="V73" s="105">
        <f t="shared" si="2"/>
        <v>4842</v>
      </c>
      <c r="W73" s="96">
        <v>2</v>
      </c>
      <c r="X73" s="104" t="s">
        <v>46</v>
      </c>
      <c r="Y73" s="104" t="s">
        <v>84</v>
      </c>
      <c r="Z73" s="104" t="s">
        <v>90</v>
      </c>
      <c r="AA73" s="104" t="s">
        <v>69</v>
      </c>
      <c r="AB73" s="104" t="s">
        <v>195</v>
      </c>
    </row>
    <row r="74" spans="1:28" x14ac:dyDescent="0.15">
      <c r="A74" s="104" t="s">
        <v>34</v>
      </c>
      <c r="B74" s="96" t="s">
        <v>193</v>
      </c>
      <c r="C74" s="96">
        <v>2018</v>
      </c>
      <c r="D74" s="207" t="s">
        <v>518</v>
      </c>
      <c r="E74" s="121" t="s">
        <v>495</v>
      </c>
      <c r="F74" s="121" t="s">
        <v>496</v>
      </c>
      <c r="G74" s="104" t="s">
        <v>36</v>
      </c>
      <c r="H74" s="96" t="s">
        <v>127</v>
      </c>
      <c r="I74" s="104" t="s">
        <v>153</v>
      </c>
      <c r="J74" s="104" t="s">
        <v>80</v>
      </c>
      <c r="K74" s="104" t="s">
        <v>94</v>
      </c>
      <c r="L74" s="104">
        <v>1</v>
      </c>
      <c r="N74" s="96">
        <v>1</v>
      </c>
      <c r="O74" s="96">
        <v>1.1000000000000001</v>
      </c>
      <c r="P74" s="96">
        <v>1.1499999999999999</v>
      </c>
      <c r="Q74" s="129">
        <f t="shared" si="0"/>
        <v>1.125</v>
      </c>
      <c r="R74" s="96">
        <v>11.7</v>
      </c>
      <c r="S74" s="96">
        <v>134</v>
      </c>
      <c r="T74" s="105">
        <f t="shared" si="1"/>
        <v>30</v>
      </c>
      <c r="U74" s="96">
        <v>108</v>
      </c>
      <c r="V74" s="105">
        <f t="shared" si="2"/>
        <v>3240</v>
      </c>
      <c r="W74" s="96">
        <v>4</v>
      </c>
      <c r="X74" s="104" t="s">
        <v>46</v>
      </c>
      <c r="Y74" s="104" t="s">
        <v>84</v>
      </c>
      <c r="Z74" s="104" t="s">
        <v>69</v>
      </c>
      <c r="AA74" s="104" t="s">
        <v>40</v>
      </c>
      <c r="AB74" s="104" t="s">
        <v>195</v>
      </c>
    </row>
    <row r="75" spans="1:28" x14ac:dyDescent="0.15">
      <c r="A75" s="104" t="s">
        <v>34</v>
      </c>
      <c r="B75" s="96" t="s">
        <v>193</v>
      </c>
      <c r="C75" s="96">
        <v>2018</v>
      </c>
      <c r="D75" s="207" t="s">
        <v>518</v>
      </c>
      <c r="E75" s="121" t="s">
        <v>495</v>
      </c>
      <c r="F75" s="121" t="s">
        <v>496</v>
      </c>
      <c r="G75" s="104" t="s">
        <v>36</v>
      </c>
      <c r="H75" s="96" t="s">
        <v>127</v>
      </c>
      <c r="I75" s="104" t="s">
        <v>153</v>
      </c>
      <c r="J75" s="104" t="s">
        <v>80</v>
      </c>
      <c r="K75" s="104" t="s">
        <v>94</v>
      </c>
      <c r="L75" s="96">
        <v>2</v>
      </c>
      <c r="N75" s="96">
        <v>1</v>
      </c>
      <c r="O75" s="96">
        <v>2.2000000000000002</v>
      </c>
      <c r="P75" s="96">
        <v>1.65</v>
      </c>
      <c r="Q75" s="129">
        <f t="shared" si="0"/>
        <v>1.925</v>
      </c>
      <c r="R75" s="96">
        <v>10.7</v>
      </c>
      <c r="S75" s="96">
        <v>135</v>
      </c>
      <c r="T75" s="105">
        <f t="shared" si="1"/>
        <v>30</v>
      </c>
      <c r="U75" s="96">
        <v>108</v>
      </c>
      <c r="V75" s="105">
        <f t="shared" si="2"/>
        <v>3240</v>
      </c>
      <c r="W75" s="96">
        <v>4</v>
      </c>
      <c r="X75" s="104" t="s">
        <v>46</v>
      </c>
      <c r="Y75" s="104" t="s">
        <v>84</v>
      </c>
      <c r="Z75" s="104" t="s">
        <v>69</v>
      </c>
      <c r="AA75" s="104" t="s">
        <v>40</v>
      </c>
      <c r="AB75" s="104" t="s">
        <v>195</v>
      </c>
    </row>
    <row r="76" spans="1:28" x14ac:dyDescent="0.15">
      <c r="A76" s="104" t="s">
        <v>34</v>
      </c>
      <c r="B76" s="96" t="s">
        <v>193</v>
      </c>
      <c r="C76" s="96">
        <v>2018</v>
      </c>
      <c r="D76" s="207" t="s">
        <v>518</v>
      </c>
      <c r="E76" s="121" t="s">
        <v>495</v>
      </c>
      <c r="F76" s="121" t="s">
        <v>496</v>
      </c>
      <c r="G76" s="104" t="s">
        <v>36</v>
      </c>
      <c r="H76" s="96" t="s">
        <v>127</v>
      </c>
      <c r="I76" s="104" t="s">
        <v>153</v>
      </c>
      <c r="J76" s="104" t="s">
        <v>80</v>
      </c>
      <c r="K76" s="104" t="s">
        <v>94</v>
      </c>
      <c r="L76" s="96">
        <v>3</v>
      </c>
      <c r="N76" s="96">
        <v>1</v>
      </c>
      <c r="O76" s="96">
        <v>1.6</v>
      </c>
      <c r="P76" s="96">
        <v>1.65</v>
      </c>
      <c r="Q76" s="129">
        <f t="shared" si="0"/>
        <v>1.625</v>
      </c>
      <c r="R76" s="96">
        <v>9.6</v>
      </c>
      <c r="S76" s="96">
        <v>129</v>
      </c>
      <c r="T76" s="105">
        <f t="shared" si="1"/>
        <v>30</v>
      </c>
      <c r="U76" s="96">
        <v>108</v>
      </c>
      <c r="V76" s="105">
        <f t="shared" si="2"/>
        <v>3240</v>
      </c>
      <c r="W76" s="96">
        <v>4</v>
      </c>
      <c r="X76" s="104" t="s">
        <v>46</v>
      </c>
      <c r="Y76" s="104" t="s">
        <v>84</v>
      </c>
      <c r="Z76" s="104" t="s">
        <v>69</v>
      </c>
      <c r="AA76" s="104" t="s">
        <v>40</v>
      </c>
      <c r="AB76" s="104" t="s">
        <v>195</v>
      </c>
    </row>
    <row r="77" spans="1:28" x14ac:dyDescent="0.15">
      <c r="A77" s="104" t="s">
        <v>34</v>
      </c>
      <c r="B77" s="96" t="s">
        <v>193</v>
      </c>
      <c r="C77" s="96">
        <v>2018</v>
      </c>
      <c r="D77" s="207" t="s">
        <v>518</v>
      </c>
      <c r="E77" s="121" t="s">
        <v>495</v>
      </c>
      <c r="F77" s="121" t="s">
        <v>496</v>
      </c>
      <c r="G77" s="104" t="s">
        <v>36</v>
      </c>
      <c r="H77" s="96" t="s">
        <v>127</v>
      </c>
      <c r="I77" s="104" t="s">
        <v>153</v>
      </c>
      <c r="J77" s="104" t="s">
        <v>80</v>
      </c>
      <c r="K77" s="104" t="s">
        <v>94</v>
      </c>
      <c r="L77" s="104">
        <v>1</v>
      </c>
      <c r="N77" s="96">
        <v>5</v>
      </c>
      <c r="O77" s="96">
        <v>0.7</v>
      </c>
      <c r="P77" s="96">
        <v>0.75</v>
      </c>
      <c r="Q77" s="129">
        <f t="shared" si="0"/>
        <v>0.72499999999999998</v>
      </c>
      <c r="R77" s="96">
        <v>10.7</v>
      </c>
      <c r="S77" s="96">
        <v>104</v>
      </c>
      <c r="T77" s="105">
        <f t="shared" si="1"/>
        <v>33</v>
      </c>
      <c r="U77" s="96">
        <v>321</v>
      </c>
      <c r="V77" s="105">
        <f t="shared" si="2"/>
        <v>2118.6</v>
      </c>
      <c r="W77" s="96">
        <v>4</v>
      </c>
      <c r="X77" s="104" t="s">
        <v>46</v>
      </c>
      <c r="Y77" s="104" t="s">
        <v>84</v>
      </c>
      <c r="Z77" s="104" t="s">
        <v>69</v>
      </c>
      <c r="AA77" s="104" t="s">
        <v>40</v>
      </c>
      <c r="AB77" s="104" t="s">
        <v>195</v>
      </c>
    </row>
    <row r="78" spans="1:28" x14ac:dyDescent="0.15">
      <c r="A78" s="104" t="s">
        <v>34</v>
      </c>
      <c r="B78" s="96" t="s">
        <v>193</v>
      </c>
      <c r="C78" s="96">
        <v>2018</v>
      </c>
      <c r="D78" s="207" t="s">
        <v>518</v>
      </c>
      <c r="E78" s="121" t="s">
        <v>495</v>
      </c>
      <c r="F78" s="121" t="s">
        <v>496</v>
      </c>
      <c r="G78" s="104" t="s">
        <v>36</v>
      </c>
      <c r="H78" s="96" t="s">
        <v>127</v>
      </c>
      <c r="I78" s="104" t="s">
        <v>153</v>
      </c>
      <c r="J78" s="104" t="s">
        <v>80</v>
      </c>
      <c r="K78" s="104" t="s">
        <v>94</v>
      </c>
      <c r="L78" s="96">
        <v>2</v>
      </c>
      <c r="N78" s="96">
        <v>5</v>
      </c>
      <c r="O78" s="96">
        <v>1.1499999999999999</v>
      </c>
      <c r="P78" s="96">
        <v>1.05</v>
      </c>
      <c r="Q78" s="129">
        <f t="shared" si="0"/>
        <v>1.1000000000000001</v>
      </c>
      <c r="R78" s="96">
        <v>12.7</v>
      </c>
      <c r="S78" s="96">
        <v>88</v>
      </c>
      <c r="T78" s="105">
        <f t="shared" si="1"/>
        <v>36</v>
      </c>
      <c r="U78" s="96">
        <v>321</v>
      </c>
      <c r="V78" s="105">
        <f t="shared" si="2"/>
        <v>2311.2000000000003</v>
      </c>
      <c r="W78" s="96">
        <v>4</v>
      </c>
      <c r="X78" s="104" t="s">
        <v>46</v>
      </c>
      <c r="Y78" s="104" t="s">
        <v>84</v>
      </c>
      <c r="Z78" s="104" t="s">
        <v>69</v>
      </c>
      <c r="AA78" s="104" t="s">
        <v>40</v>
      </c>
      <c r="AB78" s="104" t="s">
        <v>195</v>
      </c>
    </row>
    <row r="79" spans="1:28" x14ac:dyDescent="0.15">
      <c r="A79" s="104" t="s">
        <v>34</v>
      </c>
      <c r="B79" s="96" t="s">
        <v>193</v>
      </c>
      <c r="C79" s="96">
        <v>2018</v>
      </c>
      <c r="D79" s="207" t="s">
        <v>518</v>
      </c>
      <c r="E79" s="121" t="s">
        <v>495</v>
      </c>
      <c r="F79" s="121" t="s">
        <v>496</v>
      </c>
      <c r="G79" s="104" t="s">
        <v>36</v>
      </c>
      <c r="H79" s="96" t="s">
        <v>127</v>
      </c>
      <c r="I79" s="104" t="s">
        <v>153</v>
      </c>
      <c r="J79" s="104" t="s">
        <v>80</v>
      </c>
      <c r="K79" s="104" t="s">
        <v>94</v>
      </c>
      <c r="L79" s="96">
        <v>3</v>
      </c>
      <c r="N79" s="96">
        <v>5</v>
      </c>
      <c r="O79" s="96">
        <v>0.95</v>
      </c>
      <c r="P79" s="96">
        <v>1.1000000000000001</v>
      </c>
      <c r="Q79" s="129">
        <f t="shared" si="0"/>
        <v>1.0249999999999999</v>
      </c>
      <c r="R79" s="96">
        <v>13.2</v>
      </c>
      <c r="S79" s="96">
        <v>87</v>
      </c>
      <c r="T79" s="105">
        <f t="shared" si="1"/>
        <v>36</v>
      </c>
      <c r="U79" s="96">
        <v>321</v>
      </c>
      <c r="V79" s="105">
        <f t="shared" si="2"/>
        <v>2311.2000000000003</v>
      </c>
      <c r="W79" s="96">
        <v>4</v>
      </c>
      <c r="X79" s="104" t="s">
        <v>46</v>
      </c>
      <c r="Y79" s="104" t="s">
        <v>84</v>
      </c>
      <c r="Z79" s="104" t="s">
        <v>69</v>
      </c>
      <c r="AA79" s="104" t="s">
        <v>40</v>
      </c>
      <c r="AB79" s="104" t="s">
        <v>195</v>
      </c>
    </row>
    <row r="80" spans="1:28" x14ac:dyDescent="0.15">
      <c r="A80" s="104" t="s">
        <v>34</v>
      </c>
      <c r="B80" s="96" t="s">
        <v>193</v>
      </c>
      <c r="C80" s="96">
        <v>2018</v>
      </c>
      <c r="D80" s="207" t="s">
        <v>518</v>
      </c>
      <c r="E80" s="121" t="s">
        <v>499</v>
      </c>
      <c r="F80" s="121" t="s">
        <v>489</v>
      </c>
      <c r="G80" s="104" t="s">
        <v>36</v>
      </c>
      <c r="H80" s="96" t="s">
        <v>155</v>
      </c>
      <c r="I80" s="104" t="s">
        <v>153</v>
      </c>
      <c r="J80" s="104" t="s">
        <v>38</v>
      </c>
      <c r="K80" s="104" t="s">
        <v>154</v>
      </c>
      <c r="L80" s="104">
        <v>1</v>
      </c>
      <c r="N80" s="96">
        <v>1</v>
      </c>
      <c r="O80" s="96">
        <v>0.2</v>
      </c>
      <c r="P80" s="96">
        <v>0.2</v>
      </c>
      <c r="Q80" s="129">
        <f t="shared" si="0"/>
        <v>0.2</v>
      </c>
      <c r="R80" s="96">
        <v>14.6</v>
      </c>
      <c r="S80" s="96">
        <v>108</v>
      </c>
      <c r="T80" s="105">
        <f t="shared" si="1"/>
        <v>33</v>
      </c>
      <c r="U80" s="96">
        <v>106</v>
      </c>
      <c r="V80" s="105">
        <f t="shared" si="2"/>
        <v>3498</v>
      </c>
      <c r="W80" s="96">
        <v>3</v>
      </c>
      <c r="X80" s="104" t="s">
        <v>39</v>
      </c>
      <c r="Y80" s="104" t="s">
        <v>84</v>
      </c>
      <c r="Z80" s="104" t="s">
        <v>90</v>
      </c>
      <c r="AA80" s="96" t="s">
        <v>69</v>
      </c>
      <c r="AB80" s="104" t="s">
        <v>195</v>
      </c>
    </row>
    <row r="81" spans="1:28" x14ac:dyDescent="0.15">
      <c r="A81" s="104" t="s">
        <v>34</v>
      </c>
      <c r="B81" s="96" t="s">
        <v>193</v>
      </c>
      <c r="C81" s="96">
        <v>2018</v>
      </c>
      <c r="D81" s="207" t="s">
        <v>518</v>
      </c>
      <c r="E81" s="121" t="s">
        <v>499</v>
      </c>
      <c r="F81" s="121" t="s">
        <v>489</v>
      </c>
      <c r="G81" s="104" t="s">
        <v>36</v>
      </c>
      <c r="H81" s="96" t="s">
        <v>155</v>
      </c>
      <c r="I81" s="104" t="s">
        <v>153</v>
      </c>
      <c r="J81" s="104" t="s">
        <v>38</v>
      </c>
      <c r="K81" s="104" t="s">
        <v>154</v>
      </c>
      <c r="L81" s="96">
        <v>2</v>
      </c>
      <c r="N81" s="96">
        <v>1</v>
      </c>
      <c r="O81" s="96">
        <v>0.8</v>
      </c>
      <c r="P81" s="96">
        <v>0.8</v>
      </c>
      <c r="Q81" s="129">
        <f t="shared" si="0"/>
        <v>0.8</v>
      </c>
      <c r="R81" s="96">
        <v>14.5</v>
      </c>
      <c r="S81" s="96">
        <v>116</v>
      </c>
      <c r="T81" s="105">
        <f t="shared" si="1"/>
        <v>30</v>
      </c>
      <c r="U81" s="96">
        <v>106</v>
      </c>
      <c r="V81" s="105">
        <f t="shared" si="2"/>
        <v>3180</v>
      </c>
      <c r="W81" s="96">
        <v>3</v>
      </c>
      <c r="X81" s="104" t="s">
        <v>39</v>
      </c>
      <c r="Y81" s="104" t="s">
        <v>84</v>
      </c>
      <c r="Z81" s="104" t="s">
        <v>90</v>
      </c>
      <c r="AA81" s="96" t="s">
        <v>69</v>
      </c>
      <c r="AB81" s="104" t="s">
        <v>195</v>
      </c>
    </row>
    <row r="82" spans="1:28" x14ac:dyDescent="0.15">
      <c r="A82" s="104" t="s">
        <v>34</v>
      </c>
      <c r="B82" s="96" t="s">
        <v>193</v>
      </c>
      <c r="C82" s="96">
        <v>2018</v>
      </c>
      <c r="D82" s="207" t="s">
        <v>518</v>
      </c>
      <c r="E82" s="121" t="s">
        <v>499</v>
      </c>
      <c r="F82" s="121" t="s">
        <v>489</v>
      </c>
      <c r="G82" s="104" t="s">
        <v>36</v>
      </c>
      <c r="H82" s="96" t="s">
        <v>155</v>
      </c>
      <c r="I82" s="104" t="s">
        <v>153</v>
      </c>
      <c r="J82" s="104" t="s">
        <v>38</v>
      </c>
      <c r="K82" s="104" t="s">
        <v>154</v>
      </c>
      <c r="L82" s="96">
        <v>3</v>
      </c>
      <c r="N82" s="96">
        <v>1</v>
      </c>
      <c r="O82" s="96">
        <v>0.75</v>
      </c>
      <c r="P82" s="96">
        <v>0.75</v>
      </c>
      <c r="Q82" s="129">
        <f t="shared" si="0"/>
        <v>0.75</v>
      </c>
      <c r="R82" s="96">
        <v>14.1</v>
      </c>
      <c r="S82" s="96">
        <v>117</v>
      </c>
      <c r="T82" s="105">
        <f t="shared" si="1"/>
        <v>30</v>
      </c>
      <c r="U82" s="96">
        <v>106</v>
      </c>
      <c r="V82" s="105">
        <f t="shared" si="2"/>
        <v>3180</v>
      </c>
      <c r="W82" s="96">
        <v>3</v>
      </c>
      <c r="X82" s="104" t="s">
        <v>39</v>
      </c>
      <c r="Y82" s="104" t="s">
        <v>84</v>
      </c>
      <c r="Z82" s="104" t="s">
        <v>90</v>
      </c>
      <c r="AA82" s="96" t="s">
        <v>69</v>
      </c>
      <c r="AB82" s="104" t="s">
        <v>195</v>
      </c>
    </row>
    <row r="83" spans="1:28" x14ac:dyDescent="0.15">
      <c r="A83" s="104" t="s">
        <v>34</v>
      </c>
      <c r="B83" s="96" t="s">
        <v>193</v>
      </c>
      <c r="C83" s="96">
        <v>2018</v>
      </c>
      <c r="D83" s="207" t="s">
        <v>518</v>
      </c>
      <c r="E83" s="121" t="s">
        <v>499</v>
      </c>
      <c r="F83" s="121" t="s">
        <v>489</v>
      </c>
      <c r="G83" s="104" t="s">
        <v>36</v>
      </c>
      <c r="H83" s="96" t="s">
        <v>155</v>
      </c>
      <c r="I83" s="104" t="s">
        <v>153</v>
      </c>
      <c r="J83" s="104" t="s">
        <v>38</v>
      </c>
      <c r="K83" s="104" t="s">
        <v>154</v>
      </c>
      <c r="L83" s="104">
        <v>1</v>
      </c>
      <c r="N83" s="96">
        <v>8</v>
      </c>
      <c r="O83" s="96">
        <v>0.9</v>
      </c>
      <c r="P83" s="96">
        <v>0.9</v>
      </c>
      <c r="Q83" s="129">
        <f t="shared" ref="Q83:Q97" si="5">IF(OR(O83="",P83=""),"",AVERAGE(O83,P83))</f>
        <v>0.9</v>
      </c>
      <c r="R83" s="96">
        <v>13.7</v>
      </c>
      <c r="S83" s="96">
        <v>105</v>
      </c>
      <c r="T83" s="105">
        <f t="shared" si="1"/>
        <v>33</v>
      </c>
      <c r="U83" s="96">
        <v>430</v>
      </c>
      <c r="V83" s="105">
        <f t="shared" si="2"/>
        <v>1773.75</v>
      </c>
      <c r="W83" s="96">
        <v>3</v>
      </c>
      <c r="X83" s="104" t="s">
        <v>46</v>
      </c>
      <c r="Y83" s="104" t="s">
        <v>84</v>
      </c>
      <c r="Z83" s="104" t="s">
        <v>90</v>
      </c>
      <c r="AA83" s="96" t="s">
        <v>69</v>
      </c>
      <c r="AB83" s="104" t="s">
        <v>195</v>
      </c>
    </row>
    <row r="84" spans="1:28" x14ac:dyDescent="0.15">
      <c r="A84" s="104" t="s">
        <v>34</v>
      </c>
      <c r="B84" s="96" t="s">
        <v>193</v>
      </c>
      <c r="C84" s="96">
        <v>2018</v>
      </c>
      <c r="D84" s="207" t="s">
        <v>518</v>
      </c>
      <c r="E84" s="121" t="s">
        <v>499</v>
      </c>
      <c r="F84" s="121" t="s">
        <v>489</v>
      </c>
      <c r="G84" s="104" t="s">
        <v>36</v>
      </c>
      <c r="H84" s="96" t="s">
        <v>155</v>
      </c>
      <c r="I84" s="104" t="s">
        <v>153</v>
      </c>
      <c r="J84" s="104" t="s">
        <v>38</v>
      </c>
      <c r="K84" s="104" t="s">
        <v>154</v>
      </c>
      <c r="L84" s="96">
        <v>2</v>
      </c>
      <c r="N84" s="96">
        <v>8</v>
      </c>
      <c r="O84" s="96">
        <v>0.8</v>
      </c>
      <c r="P84" s="96">
        <v>0.8</v>
      </c>
      <c r="Q84" s="129">
        <f t="shared" si="5"/>
        <v>0.8</v>
      </c>
      <c r="R84" s="96">
        <v>12.3</v>
      </c>
      <c r="S84" s="96">
        <v>104</v>
      </c>
      <c r="T84" s="105">
        <f t="shared" si="1"/>
        <v>33</v>
      </c>
      <c r="U84" s="96">
        <v>430</v>
      </c>
      <c r="V84" s="105">
        <f t="shared" si="2"/>
        <v>1773.75</v>
      </c>
      <c r="W84" s="96">
        <v>3</v>
      </c>
      <c r="X84" s="104" t="s">
        <v>46</v>
      </c>
      <c r="Y84" s="104" t="s">
        <v>84</v>
      </c>
      <c r="Z84" s="104" t="s">
        <v>90</v>
      </c>
      <c r="AA84" s="96" t="s">
        <v>69</v>
      </c>
      <c r="AB84" s="104" t="s">
        <v>195</v>
      </c>
    </row>
    <row r="85" spans="1:28" x14ac:dyDescent="0.15">
      <c r="A85" s="104" t="s">
        <v>34</v>
      </c>
      <c r="B85" s="96" t="s">
        <v>193</v>
      </c>
      <c r="C85" s="96">
        <v>2018</v>
      </c>
      <c r="D85" s="207" t="s">
        <v>518</v>
      </c>
      <c r="E85" s="121" t="s">
        <v>499</v>
      </c>
      <c r="F85" s="121" t="s">
        <v>489</v>
      </c>
      <c r="G85" s="104" t="s">
        <v>36</v>
      </c>
      <c r="H85" s="96" t="s">
        <v>155</v>
      </c>
      <c r="I85" s="104" t="s">
        <v>153</v>
      </c>
      <c r="J85" s="104" t="s">
        <v>38</v>
      </c>
      <c r="K85" s="104" t="s">
        <v>154</v>
      </c>
      <c r="L85" s="96">
        <v>3</v>
      </c>
      <c r="N85" s="96">
        <v>8</v>
      </c>
      <c r="O85" s="96">
        <v>0.8</v>
      </c>
      <c r="P85" s="96">
        <v>0.8</v>
      </c>
      <c r="Q85" s="105">
        <f t="shared" si="5"/>
        <v>0.8</v>
      </c>
      <c r="R85" s="96">
        <v>13.3</v>
      </c>
      <c r="S85" s="96">
        <v>102</v>
      </c>
      <c r="T85" s="105">
        <f t="shared" si="1"/>
        <v>33</v>
      </c>
      <c r="U85" s="96">
        <v>430</v>
      </c>
      <c r="V85" s="105">
        <f t="shared" si="2"/>
        <v>1773.75</v>
      </c>
      <c r="W85" s="96">
        <v>3</v>
      </c>
      <c r="X85" s="104" t="s">
        <v>46</v>
      </c>
      <c r="Y85" s="104" t="s">
        <v>84</v>
      </c>
      <c r="Z85" s="104" t="s">
        <v>90</v>
      </c>
      <c r="AA85" s="96" t="s">
        <v>69</v>
      </c>
      <c r="AB85" s="104" t="s">
        <v>195</v>
      </c>
    </row>
    <row r="86" spans="1:28" x14ac:dyDescent="0.15">
      <c r="A86" s="104" t="s">
        <v>34</v>
      </c>
      <c r="B86" s="96" t="s">
        <v>193</v>
      </c>
      <c r="C86" s="96">
        <v>2018</v>
      </c>
      <c r="D86" s="207" t="s">
        <v>518</v>
      </c>
      <c r="E86" s="121" t="s">
        <v>499</v>
      </c>
      <c r="F86" s="121" t="s">
        <v>489</v>
      </c>
      <c r="G86" s="104" t="s">
        <v>36</v>
      </c>
      <c r="H86" s="96" t="s">
        <v>163</v>
      </c>
      <c r="I86" s="104" t="s">
        <v>153</v>
      </c>
      <c r="J86" s="104" t="s">
        <v>38</v>
      </c>
      <c r="K86" s="104" t="s">
        <v>178</v>
      </c>
      <c r="L86" s="104">
        <v>1</v>
      </c>
      <c r="N86" s="96">
        <v>4</v>
      </c>
      <c r="O86" s="96">
        <v>0.5</v>
      </c>
      <c r="P86" s="96">
        <v>0.5</v>
      </c>
      <c r="Q86" s="105">
        <f t="shared" si="5"/>
        <v>0.5</v>
      </c>
      <c r="R86" s="96">
        <v>14.2</v>
      </c>
      <c r="S86" s="96">
        <v>81</v>
      </c>
      <c r="T86" s="105">
        <f t="shared" si="1"/>
        <v>39</v>
      </c>
      <c r="U86" s="96">
        <v>537</v>
      </c>
      <c r="V86" s="105">
        <f t="shared" si="2"/>
        <v>5235.75</v>
      </c>
      <c r="W86" s="96">
        <v>1</v>
      </c>
      <c r="X86" s="104" t="s">
        <v>39</v>
      </c>
      <c r="Y86" s="104" t="s">
        <v>84</v>
      </c>
      <c r="Z86" s="104" t="s">
        <v>90</v>
      </c>
      <c r="AA86" s="96" t="s">
        <v>69</v>
      </c>
      <c r="AB86" s="104" t="s">
        <v>195</v>
      </c>
    </row>
    <row r="87" spans="1:28" x14ac:dyDescent="0.15">
      <c r="A87" s="104" t="s">
        <v>34</v>
      </c>
      <c r="B87" s="96" t="s">
        <v>193</v>
      </c>
      <c r="C87" s="96">
        <v>2018</v>
      </c>
      <c r="D87" s="207" t="s">
        <v>518</v>
      </c>
      <c r="E87" s="121" t="s">
        <v>499</v>
      </c>
      <c r="F87" s="121" t="s">
        <v>489</v>
      </c>
      <c r="G87" s="104" t="s">
        <v>36</v>
      </c>
      <c r="H87" s="96" t="s">
        <v>163</v>
      </c>
      <c r="I87" s="104" t="s">
        <v>153</v>
      </c>
      <c r="J87" s="104" t="s">
        <v>38</v>
      </c>
      <c r="K87" s="104" t="s">
        <v>178</v>
      </c>
      <c r="L87" s="96">
        <v>2</v>
      </c>
      <c r="N87" s="96">
        <v>4</v>
      </c>
      <c r="O87" s="96">
        <v>0.2</v>
      </c>
      <c r="P87" s="96">
        <v>0.2</v>
      </c>
      <c r="Q87" s="105">
        <f t="shared" si="5"/>
        <v>0.2</v>
      </c>
      <c r="R87" s="96">
        <v>16</v>
      </c>
      <c r="S87" s="96">
        <v>80</v>
      </c>
      <c r="T87" s="105">
        <f t="shared" si="1"/>
        <v>39</v>
      </c>
      <c r="U87" s="96">
        <v>537</v>
      </c>
      <c r="V87" s="105">
        <f t="shared" si="2"/>
        <v>5235.75</v>
      </c>
      <c r="W87" s="96">
        <v>1</v>
      </c>
      <c r="X87" s="104" t="s">
        <v>39</v>
      </c>
      <c r="Y87" s="104" t="s">
        <v>84</v>
      </c>
      <c r="Z87" s="104" t="s">
        <v>90</v>
      </c>
      <c r="AA87" s="96" t="s">
        <v>69</v>
      </c>
      <c r="AB87" s="104" t="s">
        <v>195</v>
      </c>
    </row>
    <row r="88" spans="1:28" x14ac:dyDescent="0.15">
      <c r="A88" s="104" t="s">
        <v>34</v>
      </c>
      <c r="B88" s="96" t="s">
        <v>193</v>
      </c>
      <c r="C88" s="96">
        <v>2018</v>
      </c>
      <c r="D88" s="207" t="s">
        <v>518</v>
      </c>
      <c r="E88" s="121" t="s">
        <v>499</v>
      </c>
      <c r="F88" s="121" t="s">
        <v>489</v>
      </c>
      <c r="G88" s="104" t="s">
        <v>36</v>
      </c>
      <c r="H88" s="96" t="s">
        <v>163</v>
      </c>
      <c r="I88" s="104" t="s">
        <v>153</v>
      </c>
      <c r="J88" s="104" t="s">
        <v>38</v>
      </c>
      <c r="K88" s="104" t="s">
        <v>178</v>
      </c>
      <c r="L88" s="96">
        <v>3</v>
      </c>
      <c r="N88" s="96">
        <v>4</v>
      </c>
      <c r="O88" s="96">
        <v>0.45</v>
      </c>
      <c r="P88" s="96">
        <v>0.45</v>
      </c>
      <c r="Q88" s="105">
        <f t="shared" si="5"/>
        <v>0.45</v>
      </c>
      <c r="R88" s="96">
        <v>16.5</v>
      </c>
      <c r="S88" s="96">
        <v>83</v>
      </c>
      <c r="T88" s="105">
        <f t="shared" si="1"/>
        <v>39</v>
      </c>
      <c r="U88" s="96">
        <v>537</v>
      </c>
      <c r="V88" s="105">
        <f t="shared" si="2"/>
        <v>5235.75</v>
      </c>
      <c r="W88" s="96">
        <v>1</v>
      </c>
      <c r="X88" s="104" t="s">
        <v>39</v>
      </c>
      <c r="Y88" s="104" t="s">
        <v>84</v>
      </c>
      <c r="Z88" s="104" t="s">
        <v>90</v>
      </c>
      <c r="AA88" s="96" t="s">
        <v>69</v>
      </c>
      <c r="AB88" s="104" t="s">
        <v>195</v>
      </c>
    </row>
    <row r="89" spans="1:28" x14ac:dyDescent="0.15">
      <c r="A89" s="104" t="s">
        <v>34</v>
      </c>
      <c r="B89" s="96" t="s">
        <v>193</v>
      </c>
      <c r="C89" s="96">
        <v>2018</v>
      </c>
      <c r="D89" s="207" t="s">
        <v>518</v>
      </c>
      <c r="E89" s="121" t="s">
        <v>503</v>
      </c>
      <c r="F89" s="121" t="s">
        <v>504</v>
      </c>
      <c r="G89" s="104" t="s">
        <v>36</v>
      </c>
      <c r="H89" s="96" t="s">
        <v>155</v>
      </c>
      <c r="I89" s="104" t="s">
        <v>153</v>
      </c>
      <c r="J89" s="104" t="s">
        <v>38</v>
      </c>
      <c r="K89" s="104" t="s">
        <v>154</v>
      </c>
      <c r="L89" s="104">
        <v>1</v>
      </c>
      <c r="N89" s="96">
        <v>1</v>
      </c>
      <c r="O89" s="96">
        <v>0.9</v>
      </c>
      <c r="P89" s="96">
        <v>0.9</v>
      </c>
      <c r="Q89" s="105">
        <f t="shared" si="5"/>
        <v>0.9</v>
      </c>
      <c r="R89" s="96">
        <v>13.7</v>
      </c>
      <c r="S89" s="96">
        <v>114</v>
      </c>
      <c r="T89" s="105">
        <f t="shared" si="1"/>
        <v>30</v>
      </c>
      <c r="U89" s="96">
        <v>149</v>
      </c>
      <c r="V89" s="105">
        <f t="shared" si="2"/>
        <v>4470</v>
      </c>
      <c r="W89" s="96">
        <v>3</v>
      </c>
      <c r="X89" s="104" t="s">
        <v>46</v>
      </c>
      <c r="Y89" s="104" t="s">
        <v>84</v>
      </c>
      <c r="Z89" s="104" t="s">
        <v>90</v>
      </c>
      <c r="AA89" s="96" t="s">
        <v>69</v>
      </c>
      <c r="AB89" s="104" t="s">
        <v>195</v>
      </c>
    </row>
    <row r="90" spans="1:28" x14ac:dyDescent="0.15">
      <c r="A90" s="104" t="s">
        <v>34</v>
      </c>
      <c r="B90" s="96" t="s">
        <v>193</v>
      </c>
      <c r="C90" s="96">
        <v>2018</v>
      </c>
      <c r="D90" s="207" t="s">
        <v>518</v>
      </c>
      <c r="E90" s="121" t="s">
        <v>503</v>
      </c>
      <c r="F90" s="121" t="s">
        <v>504</v>
      </c>
      <c r="G90" s="104" t="s">
        <v>36</v>
      </c>
      <c r="H90" s="96" t="s">
        <v>155</v>
      </c>
      <c r="I90" s="104" t="s">
        <v>153</v>
      </c>
      <c r="J90" s="104" t="s">
        <v>38</v>
      </c>
      <c r="K90" s="104" t="s">
        <v>154</v>
      </c>
      <c r="L90" s="96">
        <v>2</v>
      </c>
      <c r="N90" s="96">
        <v>1</v>
      </c>
      <c r="O90" s="96">
        <v>0.75</v>
      </c>
      <c r="P90" s="96">
        <v>0.75</v>
      </c>
      <c r="Q90" s="105">
        <f t="shared" si="5"/>
        <v>0.75</v>
      </c>
      <c r="R90" s="96">
        <v>11</v>
      </c>
      <c r="S90" s="96">
        <v>112</v>
      </c>
      <c r="T90" s="105">
        <f t="shared" si="1"/>
        <v>33</v>
      </c>
      <c r="U90" s="96">
        <v>149</v>
      </c>
      <c r="V90" s="105">
        <f t="shared" si="2"/>
        <v>4917</v>
      </c>
      <c r="W90" s="96">
        <v>3</v>
      </c>
      <c r="X90" s="104" t="s">
        <v>46</v>
      </c>
      <c r="Y90" s="104" t="s">
        <v>84</v>
      </c>
      <c r="Z90" s="104" t="s">
        <v>90</v>
      </c>
      <c r="AA90" s="96" t="s">
        <v>69</v>
      </c>
      <c r="AB90" s="104" t="s">
        <v>195</v>
      </c>
    </row>
    <row r="91" spans="1:28" x14ac:dyDescent="0.15">
      <c r="A91" s="104" t="s">
        <v>34</v>
      </c>
      <c r="B91" s="96" t="s">
        <v>193</v>
      </c>
      <c r="C91" s="96">
        <v>2018</v>
      </c>
      <c r="D91" s="207" t="s">
        <v>518</v>
      </c>
      <c r="E91" s="121" t="s">
        <v>503</v>
      </c>
      <c r="F91" s="121" t="s">
        <v>504</v>
      </c>
      <c r="G91" s="104" t="s">
        <v>36</v>
      </c>
      <c r="H91" s="96" t="s">
        <v>155</v>
      </c>
      <c r="I91" s="104" t="s">
        <v>153</v>
      </c>
      <c r="J91" s="104" t="s">
        <v>38</v>
      </c>
      <c r="K91" s="104" t="s">
        <v>154</v>
      </c>
      <c r="L91" s="96">
        <v>3</v>
      </c>
      <c r="N91" s="96">
        <v>1</v>
      </c>
      <c r="O91" s="96">
        <v>0.85</v>
      </c>
      <c r="P91" s="96">
        <v>0.85</v>
      </c>
      <c r="Q91" s="105">
        <f t="shared" si="5"/>
        <v>0.85</v>
      </c>
      <c r="R91" s="96">
        <v>13.2</v>
      </c>
      <c r="S91" s="96">
        <v>114</v>
      </c>
      <c r="T91" s="105">
        <f t="shared" si="1"/>
        <v>30</v>
      </c>
      <c r="U91" s="96">
        <v>149</v>
      </c>
      <c r="V91" s="105">
        <f t="shared" si="2"/>
        <v>4470</v>
      </c>
      <c r="W91" s="96">
        <v>3</v>
      </c>
      <c r="X91" s="104" t="s">
        <v>46</v>
      </c>
      <c r="Y91" s="104" t="s">
        <v>84</v>
      </c>
      <c r="Z91" s="104" t="s">
        <v>90</v>
      </c>
      <c r="AA91" s="96" t="s">
        <v>69</v>
      </c>
      <c r="AB91" s="104" t="s">
        <v>195</v>
      </c>
    </row>
    <row r="92" spans="1:28" x14ac:dyDescent="0.15">
      <c r="A92" s="104" t="s">
        <v>34</v>
      </c>
      <c r="B92" s="96" t="s">
        <v>193</v>
      </c>
      <c r="C92" s="96">
        <v>2018</v>
      </c>
      <c r="D92" s="207" t="s">
        <v>518</v>
      </c>
      <c r="E92" s="121" t="s">
        <v>503</v>
      </c>
      <c r="F92" s="121" t="s">
        <v>504</v>
      </c>
      <c r="G92" s="104" t="s">
        <v>36</v>
      </c>
      <c r="H92" s="96" t="s">
        <v>174</v>
      </c>
      <c r="I92" s="104" t="s">
        <v>153</v>
      </c>
      <c r="J92" s="104" t="s">
        <v>38</v>
      </c>
      <c r="K92" s="104" t="s">
        <v>54</v>
      </c>
      <c r="L92" s="104">
        <v>1</v>
      </c>
      <c r="N92" s="96">
        <v>4</v>
      </c>
      <c r="O92" s="96">
        <v>0.7</v>
      </c>
      <c r="P92" s="96">
        <v>0.7</v>
      </c>
      <c r="Q92" s="105">
        <f t="shared" si="5"/>
        <v>0.7</v>
      </c>
      <c r="R92" s="96">
        <v>13.6</v>
      </c>
      <c r="S92" s="96">
        <v>85</v>
      </c>
      <c r="T92" s="105">
        <f t="shared" si="1"/>
        <v>39</v>
      </c>
      <c r="U92" s="96">
        <v>645</v>
      </c>
      <c r="V92" s="105">
        <f t="shared" si="2"/>
        <v>6288.75</v>
      </c>
      <c r="W92" s="96">
        <v>1</v>
      </c>
      <c r="X92" s="104" t="s">
        <v>46</v>
      </c>
      <c r="Y92" s="104" t="s">
        <v>84</v>
      </c>
      <c r="Z92" s="104" t="s">
        <v>90</v>
      </c>
      <c r="AA92" s="96" t="s">
        <v>69</v>
      </c>
      <c r="AB92" s="104" t="s">
        <v>195</v>
      </c>
    </row>
    <row r="93" spans="1:28" x14ac:dyDescent="0.15">
      <c r="A93" s="104" t="s">
        <v>34</v>
      </c>
      <c r="B93" s="96" t="s">
        <v>193</v>
      </c>
      <c r="C93" s="96">
        <v>2018</v>
      </c>
      <c r="D93" s="207" t="s">
        <v>518</v>
      </c>
      <c r="E93" s="121" t="s">
        <v>503</v>
      </c>
      <c r="F93" s="121" t="s">
        <v>504</v>
      </c>
      <c r="G93" s="104" t="s">
        <v>36</v>
      </c>
      <c r="H93" s="96" t="s">
        <v>174</v>
      </c>
      <c r="I93" s="104" t="s">
        <v>153</v>
      </c>
      <c r="J93" s="104" t="s">
        <v>38</v>
      </c>
      <c r="K93" s="104" t="s">
        <v>54</v>
      </c>
      <c r="L93" s="96">
        <v>2</v>
      </c>
      <c r="N93" s="96">
        <v>4</v>
      </c>
      <c r="O93" s="96">
        <v>0.7</v>
      </c>
      <c r="P93" s="96">
        <v>0.7</v>
      </c>
      <c r="Q93" s="105">
        <f t="shared" si="5"/>
        <v>0.7</v>
      </c>
      <c r="R93" s="96">
        <v>13.6</v>
      </c>
      <c r="S93" s="96">
        <v>82</v>
      </c>
      <c r="T93" s="105">
        <f t="shared" si="1"/>
        <v>42</v>
      </c>
      <c r="U93" s="96">
        <v>645</v>
      </c>
      <c r="V93" s="105">
        <f t="shared" si="2"/>
        <v>6772.5</v>
      </c>
      <c r="W93" s="96">
        <v>1</v>
      </c>
      <c r="X93" s="104" t="s">
        <v>46</v>
      </c>
      <c r="Y93" s="104" t="s">
        <v>84</v>
      </c>
      <c r="Z93" s="104" t="s">
        <v>90</v>
      </c>
      <c r="AA93" s="96" t="s">
        <v>69</v>
      </c>
      <c r="AB93" s="104" t="s">
        <v>195</v>
      </c>
    </row>
    <row r="94" spans="1:28" x14ac:dyDescent="0.15">
      <c r="A94" s="104" t="s">
        <v>34</v>
      </c>
      <c r="B94" s="96" t="s">
        <v>193</v>
      </c>
      <c r="C94" s="96">
        <v>2018</v>
      </c>
      <c r="D94" s="207" t="s">
        <v>518</v>
      </c>
      <c r="E94" s="121" t="s">
        <v>503</v>
      </c>
      <c r="F94" s="121" t="s">
        <v>504</v>
      </c>
      <c r="G94" s="104" t="s">
        <v>36</v>
      </c>
      <c r="H94" s="96" t="s">
        <v>174</v>
      </c>
      <c r="I94" s="104" t="s">
        <v>153</v>
      </c>
      <c r="J94" s="104" t="s">
        <v>38</v>
      </c>
      <c r="K94" s="104" t="s">
        <v>54</v>
      </c>
      <c r="L94" s="96">
        <v>3</v>
      </c>
      <c r="N94" s="96">
        <v>4</v>
      </c>
      <c r="O94" s="96">
        <v>0.7</v>
      </c>
      <c r="P94" s="96">
        <v>0.7</v>
      </c>
      <c r="Q94" s="105">
        <f t="shared" si="5"/>
        <v>0.7</v>
      </c>
      <c r="R94" s="96">
        <v>16.2</v>
      </c>
      <c r="S94" s="96">
        <v>81</v>
      </c>
      <c r="T94" s="105">
        <f t="shared" si="1"/>
        <v>42</v>
      </c>
      <c r="U94" s="96">
        <v>645</v>
      </c>
      <c r="V94" s="105">
        <f t="shared" si="2"/>
        <v>6772.5</v>
      </c>
      <c r="W94" s="96">
        <v>1</v>
      </c>
      <c r="X94" s="104" t="s">
        <v>46</v>
      </c>
      <c r="Y94" s="104" t="s">
        <v>84</v>
      </c>
      <c r="Z94" s="104" t="s">
        <v>90</v>
      </c>
      <c r="AA94" s="96" t="s">
        <v>69</v>
      </c>
      <c r="AB94" s="104" t="s">
        <v>195</v>
      </c>
    </row>
    <row r="95" spans="1:28" x14ac:dyDescent="0.15">
      <c r="A95" s="104" t="s">
        <v>34</v>
      </c>
      <c r="B95" s="96" t="s">
        <v>193</v>
      </c>
      <c r="C95" s="96">
        <v>2018</v>
      </c>
      <c r="D95" s="207" t="s">
        <v>518</v>
      </c>
      <c r="E95" s="121" t="s">
        <v>503</v>
      </c>
      <c r="F95" s="121" t="s">
        <v>504</v>
      </c>
      <c r="G95" s="104" t="s">
        <v>36</v>
      </c>
      <c r="H95" s="96" t="s">
        <v>128</v>
      </c>
      <c r="I95" s="104" t="s">
        <v>153</v>
      </c>
      <c r="J95" s="104" t="s">
        <v>80</v>
      </c>
      <c r="K95" s="104" t="s">
        <v>63</v>
      </c>
      <c r="L95" s="104">
        <v>1</v>
      </c>
      <c r="N95" s="96">
        <v>4</v>
      </c>
      <c r="O95" s="96">
        <v>0.45</v>
      </c>
      <c r="P95" s="96">
        <v>0.45</v>
      </c>
      <c r="Q95" s="105">
        <f t="shared" si="5"/>
        <v>0.45</v>
      </c>
      <c r="R95" s="96">
        <v>16.100000000000001</v>
      </c>
      <c r="S95" s="96">
        <v>84</v>
      </c>
      <c r="T95" s="105">
        <f t="shared" si="1"/>
        <v>36</v>
      </c>
      <c r="U95" s="96">
        <v>429</v>
      </c>
      <c r="V95" s="105">
        <f t="shared" si="2"/>
        <v>3861</v>
      </c>
      <c r="W95" s="96">
        <v>1</v>
      </c>
      <c r="X95" s="104" t="s">
        <v>46</v>
      </c>
      <c r="Y95" s="104" t="s">
        <v>84</v>
      </c>
      <c r="Z95" s="104" t="s">
        <v>90</v>
      </c>
      <c r="AA95" s="96" t="s">
        <v>69</v>
      </c>
      <c r="AB95" s="104" t="s">
        <v>195</v>
      </c>
    </row>
    <row r="96" spans="1:28" x14ac:dyDescent="0.15">
      <c r="A96" s="104" t="s">
        <v>34</v>
      </c>
      <c r="B96" s="96" t="s">
        <v>193</v>
      </c>
      <c r="C96" s="96">
        <v>2018</v>
      </c>
      <c r="D96" s="207" t="s">
        <v>518</v>
      </c>
      <c r="E96" s="121" t="s">
        <v>503</v>
      </c>
      <c r="F96" s="121" t="s">
        <v>504</v>
      </c>
      <c r="G96" s="104" t="s">
        <v>36</v>
      </c>
      <c r="H96" s="96" t="s">
        <v>128</v>
      </c>
      <c r="I96" s="104" t="s">
        <v>153</v>
      </c>
      <c r="J96" s="104" t="s">
        <v>80</v>
      </c>
      <c r="K96" s="104" t="s">
        <v>63</v>
      </c>
      <c r="L96" s="96">
        <v>2</v>
      </c>
      <c r="N96" s="96">
        <v>4</v>
      </c>
      <c r="O96" s="96">
        <v>0.5</v>
      </c>
      <c r="P96" s="96">
        <v>0.5</v>
      </c>
      <c r="Q96" s="105">
        <f t="shared" si="5"/>
        <v>0.5</v>
      </c>
      <c r="R96" s="96">
        <v>14.5</v>
      </c>
      <c r="S96" s="96">
        <v>82</v>
      </c>
      <c r="T96" s="105">
        <f t="shared" si="1"/>
        <v>39</v>
      </c>
      <c r="U96" s="96">
        <v>429</v>
      </c>
      <c r="V96" s="105">
        <f t="shared" si="2"/>
        <v>4182.75</v>
      </c>
      <c r="W96" s="96">
        <v>1</v>
      </c>
      <c r="X96" s="104" t="s">
        <v>46</v>
      </c>
      <c r="Y96" s="104" t="s">
        <v>84</v>
      </c>
      <c r="Z96" s="104" t="s">
        <v>90</v>
      </c>
      <c r="AA96" s="96" t="s">
        <v>69</v>
      </c>
      <c r="AB96" s="104" t="s">
        <v>195</v>
      </c>
    </row>
    <row r="97" spans="1:28" x14ac:dyDescent="0.15">
      <c r="A97" s="104" t="s">
        <v>34</v>
      </c>
      <c r="B97" s="96" t="s">
        <v>193</v>
      </c>
      <c r="C97" s="96">
        <v>2018</v>
      </c>
      <c r="D97" s="207" t="s">
        <v>518</v>
      </c>
      <c r="E97" s="121" t="s">
        <v>503</v>
      </c>
      <c r="F97" s="121" t="s">
        <v>504</v>
      </c>
      <c r="G97" s="104" t="s">
        <v>36</v>
      </c>
      <c r="H97" s="96" t="s">
        <v>128</v>
      </c>
      <c r="I97" s="104" t="s">
        <v>153</v>
      </c>
      <c r="J97" s="104" t="s">
        <v>80</v>
      </c>
      <c r="K97" s="104" t="s">
        <v>63</v>
      </c>
      <c r="L97" s="96">
        <v>3</v>
      </c>
      <c r="N97" s="96">
        <v>4</v>
      </c>
      <c r="O97" s="96">
        <v>0.55000000000000004</v>
      </c>
      <c r="P97" s="96">
        <v>0.55000000000000004</v>
      </c>
      <c r="Q97" s="105">
        <f t="shared" si="5"/>
        <v>0.55000000000000004</v>
      </c>
      <c r="R97" s="96">
        <v>14.9</v>
      </c>
      <c r="S97" s="96">
        <v>81</v>
      </c>
      <c r="T97" s="105">
        <f t="shared" si="1"/>
        <v>39</v>
      </c>
      <c r="U97" s="96">
        <v>429</v>
      </c>
      <c r="V97" s="105">
        <f t="shared" si="2"/>
        <v>4182.75</v>
      </c>
      <c r="W97" s="96">
        <v>1</v>
      </c>
      <c r="X97" s="104" t="s">
        <v>46</v>
      </c>
      <c r="Y97" s="104" t="s">
        <v>84</v>
      </c>
      <c r="Z97" s="104" t="s">
        <v>90</v>
      </c>
      <c r="AA97" s="96" t="s">
        <v>69</v>
      </c>
      <c r="AB97" s="104" t="s">
        <v>195</v>
      </c>
    </row>
    <row r="98" spans="1:28" x14ac:dyDescent="0.15">
      <c r="K98" s="104"/>
    </row>
    <row r="99" spans="1:28" x14ac:dyDescent="0.15">
      <c r="K99" s="104"/>
    </row>
    <row r="100" spans="1:28" x14ac:dyDescent="0.15">
      <c r="K100" s="104"/>
    </row>
    <row r="101" spans="1:28" x14ac:dyDescent="0.15">
      <c r="K101" s="104"/>
    </row>
    <row r="102" spans="1:28" x14ac:dyDescent="0.15">
      <c r="K102" s="104"/>
    </row>
    <row r="103" spans="1:28" x14ac:dyDescent="0.15">
      <c r="K103" s="104"/>
    </row>
    <row r="104" spans="1:28" x14ac:dyDescent="0.15">
      <c r="K104" s="104"/>
    </row>
    <row r="105" spans="1:28" x14ac:dyDescent="0.15">
      <c r="K105" s="104"/>
    </row>
    <row r="106" spans="1:28" x14ac:dyDescent="0.15">
      <c r="K106" s="104"/>
    </row>
    <row r="107" spans="1:28" x14ac:dyDescent="0.15">
      <c r="K107" s="104"/>
    </row>
    <row r="108" spans="1:28" x14ac:dyDescent="0.15">
      <c r="K108" s="104"/>
    </row>
    <row r="109" spans="1:28" x14ac:dyDescent="0.15">
      <c r="K109" s="104"/>
    </row>
    <row r="110" spans="1:28" x14ac:dyDescent="0.15">
      <c r="K110" s="104"/>
    </row>
    <row r="111" spans="1:28" x14ac:dyDescent="0.15">
      <c r="K111" s="104"/>
    </row>
    <row r="112" spans="1:28" x14ac:dyDescent="0.15">
      <c r="K112" s="104"/>
    </row>
    <row r="113" spans="11:11" x14ac:dyDescent="0.15">
      <c r="K113" s="104"/>
    </row>
    <row r="114" spans="11:11" x14ac:dyDescent="0.15">
      <c r="K114" s="104"/>
    </row>
    <row r="115" spans="11:11" x14ac:dyDescent="0.15">
      <c r="K115" s="104"/>
    </row>
    <row r="116" spans="11:11" x14ac:dyDescent="0.15">
      <c r="K116" s="104"/>
    </row>
    <row r="117" spans="11:11" x14ac:dyDescent="0.15">
      <c r="K117" s="104"/>
    </row>
    <row r="118" spans="11:11" x14ac:dyDescent="0.15">
      <c r="K118" s="104"/>
    </row>
    <row r="119" spans="11:11" x14ac:dyDescent="0.15">
      <c r="K119" s="104"/>
    </row>
    <row r="120" spans="11:11" x14ac:dyDescent="0.15">
      <c r="K120" s="104"/>
    </row>
    <row r="121" spans="11:11" x14ac:dyDescent="0.15">
      <c r="K121" s="104"/>
    </row>
    <row r="122" spans="11:11" x14ac:dyDescent="0.15">
      <c r="K122" s="104"/>
    </row>
    <row r="123" spans="11:11" x14ac:dyDescent="0.15">
      <c r="K123" s="104"/>
    </row>
    <row r="124" spans="11:11" x14ac:dyDescent="0.15">
      <c r="K124" s="104"/>
    </row>
    <row r="125" spans="11:11" x14ac:dyDescent="0.15">
      <c r="K125" s="104"/>
    </row>
    <row r="126" spans="11:11" x14ac:dyDescent="0.15">
      <c r="K126" s="104"/>
    </row>
    <row r="127" spans="11:11" x14ac:dyDescent="0.15">
      <c r="K127" s="104"/>
    </row>
    <row r="128" spans="11:11" x14ac:dyDescent="0.15">
      <c r="K128" s="104"/>
    </row>
    <row r="129" spans="11:11" x14ac:dyDescent="0.15">
      <c r="K129" s="104"/>
    </row>
    <row r="130" spans="11:11" x14ac:dyDescent="0.15">
      <c r="K130" s="104"/>
    </row>
    <row r="131" spans="11:11" x14ac:dyDescent="0.15">
      <c r="K131" s="104"/>
    </row>
    <row r="132" spans="11:11" x14ac:dyDescent="0.15">
      <c r="K132" s="104"/>
    </row>
    <row r="133" spans="11:11" x14ac:dyDescent="0.15">
      <c r="K133" s="104"/>
    </row>
    <row r="134" spans="11:11" x14ac:dyDescent="0.15">
      <c r="K134" s="104"/>
    </row>
    <row r="135" spans="11:11" x14ac:dyDescent="0.15">
      <c r="K135" s="104"/>
    </row>
    <row r="136" spans="11:11" x14ac:dyDescent="0.15">
      <c r="K136" s="104"/>
    </row>
    <row r="137" spans="11:11" x14ac:dyDescent="0.15">
      <c r="K137" s="104"/>
    </row>
    <row r="138" spans="11:11" x14ac:dyDescent="0.15">
      <c r="K138" s="104"/>
    </row>
    <row r="139" spans="11:11" x14ac:dyDescent="0.15">
      <c r="K139" s="104"/>
    </row>
    <row r="140" spans="11:11" x14ac:dyDescent="0.15">
      <c r="K140" s="104"/>
    </row>
    <row r="141" spans="11:11" x14ac:dyDescent="0.15">
      <c r="K141" s="104"/>
    </row>
    <row r="142" spans="11:11" x14ac:dyDescent="0.15">
      <c r="K142" s="104"/>
    </row>
    <row r="143" spans="11:11" x14ac:dyDescent="0.15">
      <c r="K143" s="104"/>
    </row>
    <row r="144" spans="11:11" x14ac:dyDescent="0.15">
      <c r="K144" s="104"/>
    </row>
    <row r="145" spans="11:11" x14ac:dyDescent="0.15">
      <c r="K145" s="104"/>
    </row>
    <row r="146" spans="11:11" x14ac:dyDescent="0.15">
      <c r="K146" s="104"/>
    </row>
    <row r="147" spans="11:11" x14ac:dyDescent="0.15">
      <c r="K147" s="104"/>
    </row>
    <row r="148" spans="11:11" x14ac:dyDescent="0.15">
      <c r="K148" s="104"/>
    </row>
    <row r="149" spans="11:11" x14ac:dyDescent="0.15">
      <c r="K149" s="104"/>
    </row>
    <row r="150" spans="11:11" x14ac:dyDescent="0.15">
      <c r="K150" s="104"/>
    </row>
    <row r="151" spans="11:11" x14ac:dyDescent="0.15">
      <c r="K151" s="104"/>
    </row>
    <row r="152" spans="11:11" x14ac:dyDescent="0.15">
      <c r="K152" s="104"/>
    </row>
    <row r="153" spans="11:11" x14ac:dyDescent="0.15">
      <c r="K153" s="104"/>
    </row>
    <row r="154" spans="11:11" x14ac:dyDescent="0.15">
      <c r="K154" s="104"/>
    </row>
    <row r="155" spans="11:11" x14ac:dyDescent="0.15">
      <c r="K155" s="104"/>
    </row>
    <row r="156" spans="11:11" x14ac:dyDescent="0.15">
      <c r="K156" s="104"/>
    </row>
    <row r="157" spans="11:11" x14ac:dyDescent="0.15">
      <c r="K157" s="104"/>
    </row>
    <row r="158" spans="11:11" x14ac:dyDescent="0.15">
      <c r="K158" s="104"/>
    </row>
    <row r="159" spans="11:11" x14ac:dyDescent="0.15">
      <c r="K159" s="104"/>
    </row>
    <row r="160" spans="11:11" x14ac:dyDescent="0.15">
      <c r="K160" s="104"/>
    </row>
    <row r="161" spans="11:11" x14ac:dyDescent="0.15">
      <c r="K161" s="104"/>
    </row>
    <row r="162" spans="11:11" x14ac:dyDescent="0.15">
      <c r="K162" s="104"/>
    </row>
    <row r="163" spans="11:11" x14ac:dyDescent="0.15">
      <c r="K163" s="104"/>
    </row>
    <row r="164" spans="11:11" x14ac:dyDescent="0.15">
      <c r="K164" s="104"/>
    </row>
    <row r="165" spans="11:11" x14ac:dyDescent="0.15">
      <c r="K165" s="104"/>
    </row>
    <row r="166" spans="11:11" x14ac:dyDescent="0.15">
      <c r="K166" s="104"/>
    </row>
    <row r="167" spans="11:11" x14ac:dyDescent="0.15">
      <c r="K167" s="104"/>
    </row>
    <row r="168" spans="11:11" x14ac:dyDescent="0.15">
      <c r="K168" s="104"/>
    </row>
    <row r="169" spans="11:11" x14ac:dyDescent="0.15">
      <c r="K169" s="104"/>
    </row>
    <row r="170" spans="11:11" x14ac:dyDescent="0.15">
      <c r="K170" s="104"/>
    </row>
    <row r="171" spans="11:11" x14ac:dyDescent="0.15">
      <c r="K171" s="104"/>
    </row>
    <row r="172" spans="11:11" x14ac:dyDescent="0.15">
      <c r="K172" s="104"/>
    </row>
    <row r="173" spans="11:11" x14ac:dyDescent="0.15">
      <c r="K173" s="104"/>
    </row>
    <row r="174" spans="11:11" x14ac:dyDescent="0.15">
      <c r="K174" s="104"/>
    </row>
    <row r="175" spans="11:11" x14ac:dyDescent="0.15">
      <c r="K175" s="104"/>
    </row>
    <row r="176" spans="11:11" x14ac:dyDescent="0.15">
      <c r="K176" s="104"/>
    </row>
    <row r="177" spans="11:11" x14ac:dyDescent="0.15">
      <c r="K177" s="104"/>
    </row>
    <row r="178" spans="11:11" x14ac:dyDescent="0.15">
      <c r="K178" s="104"/>
    </row>
    <row r="179" spans="11:11" x14ac:dyDescent="0.15">
      <c r="K179" s="104"/>
    </row>
    <row r="180" spans="11:11" x14ac:dyDescent="0.15">
      <c r="K180" s="104"/>
    </row>
    <row r="181" spans="11:11" x14ac:dyDescent="0.15">
      <c r="K181" s="104"/>
    </row>
    <row r="182" spans="11:11" x14ac:dyDescent="0.15">
      <c r="K182" s="104"/>
    </row>
    <row r="183" spans="11:11" x14ac:dyDescent="0.15">
      <c r="K183" s="104"/>
    </row>
    <row r="184" spans="11:11" x14ac:dyDescent="0.15">
      <c r="K184" s="104"/>
    </row>
    <row r="185" spans="11:11" x14ac:dyDescent="0.15">
      <c r="K185" s="104"/>
    </row>
    <row r="186" spans="11:11" x14ac:dyDescent="0.15">
      <c r="K186" s="104"/>
    </row>
    <row r="187" spans="11:11" x14ac:dyDescent="0.15">
      <c r="K187" s="104"/>
    </row>
    <row r="188" spans="11:11" x14ac:dyDescent="0.15">
      <c r="K188" s="104"/>
    </row>
    <row r="189" spans="11:11" x14ac:dyDescent="0.15">
      <c r="K189" s="104"/>
    </row>
    <row r="190" spans="11:11" x14ac:dyDescent="0.15">
      <c r="K190" s="104"/>
    </row>
    <row r="191" spans="11:11" x14ac:dyDescent="0.15">
      <c r="K191" s="104"/>
    </row>
    <row r="192" spans="11:11" x14ac:dyDescent="0.15">
      <c r="K192" s="104"/>
    </row>
    <row r="193" spans="11:11" x14ac:dyDescent="0.15">
      <c r="K193" s="104"/>
    </row>
    <row r="194" spans="11:11" x14ac:dyDescent="0.15">
      <c r="K194" s="104"/>
    </row>
    <row r="195" spans="11:11" x14ac:dyDescent="0.15">
      <c r="K195" s="104"/>
    </row>
    <row r="196" spans="11:11" x14ac:dyDescent="0.15">
      <c r="K196" s="104"/>
    </row>
    <row r="197" spans="11:11" x14ac:dyDescent="0.15">
      <c r="K197" s="104"/>
    </row>
    <row r="198" spans="11:11" x14ac:dyDescent="0.15">
      <c r="K198" s="104"/>
    </row>
    <row r="199" spans="11:11" x14ac:dyDescent="0.15">
      <c r="K199" s="104"/>
    </row>
    <row r="200" spans="11:11" x14ac:dyDescent="0.15">
      <c r="K200" s="104"/>
    </row>
    <row r="201" spans="11:11" x14ac:dyDescent="0.15">
      <c r="K201" s="104"/>
    </row>
    <row r="202" spans="11:11" x14ac:dyDescent="0.15">
      <c r="K202" s="104"/>
    </row>
    <row r="203" spans="11:11" x14ac:dyDescent="0.15">
      <c r="K203" s="104"/>
    </row>
    <row r="204" spans="11:11" x14ac:dyDescent="0.15">
      <c r="K204" s="104"/>
    </row>
    <row r="205" spans="11:11" x14ac:dyDescent="0.15">
      <c r="K205" s="104"/>
    </row>
    <row r="206" spans="11:11" x14ac:dyDescent="0.15">
      <c r="K206" s="104"/>
    </row>
    <row r="207" spans="11:11" x14ac:dyDescent="0.15">
      <c r="K207" s="104"/>
    </row>
    <row r="208" spans="11:11" x14ac:dyDescent="0.15">
      <c r="K208" s="104"/>
    </row>
    <row r="209" spans="11:11" x14ac:dyDescent="0.15">
      <c r="K209" s="104"/>
    </row>
    <row r="210" spans="11:11" x14ac:dyDescent="0.15">
      <c r="K210" s="104"/>
    </row>
    <row r="211" spans="11:11" x14ac:dyDescent="0.15">
      <c r="K211" s="104"/>
    </row>
    <row r="212" spans="11:11" x14ac:dyDescent="0.15">
      <c r="K212" s="104"/>
    </row>
    <row r="213" spans="11:11" x14ac:dyDescent="0.15">
      <c r="K213" s="104"/>
    </row>
    <row r="214" spans="11:11" x14ac:dyDescent="0.15">
      <c r="K214" s="104"/>
    </row>
    <row r="215" spans="11:11" x14ac:dyDescent="0.15">
      <c r="K215" s="104"/>
    </row>
    <row r="216" spans="11:11" x14ac:dyDescent="0.15">
      <c r="K216" s="104"/>
    </row>
    <row r="217" spans="11:11" x14ac:dyDescent="0.15">
      <c r="K217" s="104"/>
    </row>
    <row r="218" spans="11:11" x14ac:dyDescent="0.15">
      <c r="K218" s="104"/>
    </row>
    <row r="219" spans="11:11" x14ac:dyDescent="0.15">
      <c r="K219" s="104"/>
    </row>
    <row r="220" spans="11:11" x14ac:dyDescent="0.15">
      <c r="K220" s="104"/>
    </row>
    <row r="221" spans="11:11" x14ac:dyDescent="0.15">
      <c r="K221" s="104"/>
    </row>
    <row r="222" spans="11:11" x14ac:dyDescent="0.15">
      <c r="K222" s="104"/>
    </row>
    <row r="223" spans="11:11" x14ac:dyDescent="0.15">
      <c r="K223" s="104"/>
    </row>
    <row r="224" spans="11:11" x14ac:dyDescent="0.15">
      <c r="K224" s="104"/>
    </row>
    <row r="225" spans="11:11" x14ac:dyDescent="0.15">
      <c r="K225" s="104"/>
    </row>
    <row r="226" spans="11:11" x14ac:dyDescent="0.15">
      <c r="K226" s="104"/>
    </row>
    <row r="227" spans="11:11" x14ac:dyDescent="0.15">
      <c r="K227" s="104"/>
    </row>
    <row r="228" spans="11:11" x14ac:dyDescent="0.15">
      <c r="K228" s="104"/>
    </row>
    <row r="229" spans="11:11" x14ac:dyDescent="0.15">
      <c r="K229" s="104"/>
    </row>
    <row r="230" spans="11:11" x14ac:dyDescent="0.15">
      <c r="K230" s="104"/>
    </row>
    <row r="231" spans="11:11" x14ac:dyDescent="0.15">
      <c r="K231" s="104"/>
    </row>
    <row r="232" spans="11:11" x14ac:dyDescent="0.15">
      <c r="K232" s="104"/>
    </row>
    <row r="233" spans="11:11" x14ac:dyDescent="0.15">
      <c r="K233" s="104"/>
    </row>
    <row r="234" spans="11:11" x14ac:dyDescent="0.15">
      <c r="K234" s="104"/>
    </row>
    <row r="235" spans="11:11" x14ac:dyDescent="0.15">
      <c r="K235" s="104"/>
    </row>
    <row r="236" spans="11:11" x14ac:dyDescent="0.15">
      <c r="K236" s="104"/>
    </row>
    <row r="237" spans="11:11" x14ac:dyDescent="0.15">
      <c r="K237" s="104"/>
    </row>
    <row r="238" spans="11:11" x14ac:dyDescent="0.15">
      <c r="K238" s="104"/>
    </row>
    <row r="239" spans="11:11" x14ac:dyDescent="0.15">
      <c r="K239" s="104"/>
    </row>
    <row r="240" spans="11:11" x14ac:dyDescent="0.15">
      <c r="K240" s="104"/>
    </row>
    <row r="241" spans="11:11" x14ac:dyDescent="0.15">
      <c r="K241" s="104"/>
    </row>
    <row r="242" spans="11:11" x14ac:dyDescent="0.15">
      <c r="K242" s="104"/>
    </row>
    <row r="243" spans="11:11" x14ac:dyDescent="0.15">
      <c r="K243" s="104"/>
    </row>
    <row r="244" spans="11:11" x14ac:dyDescent="0.15">
      <c r="K244" s="104"/>
    </row>
    <row r="245" spans="11:11" x14ac:dyDescent="0.15">
      <c r="K245" s="104"/>
    </row>
    <row r="246" spans="11:11" x14ac:dyDescent="0.15">
      <c r="K246" s="104"/>
    </row>
    <row r="247" spans="11:11" x14ac:dyDescent="0.15">
      <c r="K247" s="104"/>
    </row>
    <row r="248" spans="11:11" x14ac:dyDescent="0.15">
      <c r="K248" s="104"/>
    </row>
    <row r="249" spans="11:11" x14ac:dyDescent="0.15">
      <c r="K249" s="104"/>
    </row>
    <row r="250" spans="11:11" x14ac:dyDescent="0.15">
      <c r="K250" s="104"/>
    </row>
    <row r="251" spans="11:11" x14ac:dyDescent="0.15">
      <c r="K251" s="104"/>
    </row>
    <row r="252" spans="11:11" x14ac:dyDescent="0.15">
      <c r="K252" s="104"/>
    </row>
    <row r="253" spans="11:11" x14ac:dyDescent="0.15">
      <c r="K253" s="104"/>
    </row>
    <row r="254" spans="11:11" x14ac:dyDescent="0.15">
      <c r="K254" s="104"/>
    </row>
    <row r="255" spans="11:11" x14ac:dyDescent="0.15">
      <c r="K255" s="104"/>
    </row>
    <row r="256" spans="11:11" x14ac:dyDescent="0.15">
      <c r="K256" s="104"/>
    </row>
    <row r="257" spans="11:11" x14ac:dyDescent="0.15">
      <c r="K257" s="104"/>
    </row>
    <row r="258" spans="11:11" x14ac:dyDescent="0.15">
      <c r="K258" s="104"/>
    </row>
    <row r="259" spans="11:11" x14ac:dyDescent="0.15">
      <c r="K259" s="104"/>
    </row>
    <row r="260" spans="11:11" x14ac:dyDescent="0.15">
      <c r="K260" s="104"/>
    </row>
    <row r="261" spans="11:11" x14ac:dyDescent="0.15">
      <c r="K261" s="104"/>
    </row>
    <row r="262" spans="11:11" x14ac:dyDescent="0.15">
      <c r="K262" s="104"/>
    </row>
    <row r="263" spans="11:11" x14ac:dyDescent="0.15">
      <c r="K263" s="104"/>
    </row>
    <row r="264" spans="11:11" x14ac:dyDescent="0.15">
      <c r="K264" s="104"/>
    </row>
    <row r="265" spans="11:11" x14ac:dyDescent="0.15">
      <c r="K265" s="104"/>
    </row>
    <row r="266" spans="11:11" x14ac:dyDescent="0.15">
      <c r="K266" s="104"/>
    </row>
    <row r="267" spans="11:11" x14ac:dyDescent="0.15">
      <c r="K267" s="104"/>
    </row>
    <row r="268" spans="11:11" x14ac:dyDescent="0.15">
      <c r="K268" s="104"/>
    </row>
    <row r="269" spans="11:11" x14ac:dyDescent="0.15">
      <c r="K269" s="104"/>
    </row>
    <row r="270" spans="11:11" x14ac:dyDescent="0.15">
      <c r="K270" s="104"/>
    </row>
    <row r="271" spans="11:11" x14ac:dyDescent="0.15">
      <c r="K271" s="104"/>
    </row>
    <row r="272" spans="11:11" x14ac:dyDescent="0.15">
      <c r="K272" s="104"/>
    </row>
    <row r="273" spans="11:11" x14ac:dyDescent="0.15">
      <c r="K273" s="104"/>
    </row>
    <row r="274" spans="11:11" x14ac:dyDescent="0.15">
      <c r="K274" s="104"/>
    </row>
    <row r="275" spans="11:11" x14ac:dyDescent="0.15">
      <c r="K275" s="104"/>
    </row>
    <row r="276" spans="11:11" x14ac:dyDescent="0.15">
      <c r="K276" s="104"/>
    </row>
    <row r="277" spans="11:11" x14ac:dyDescent="0.15">
      <c r="K277" s="104"/>
    </row>
    <row r="278" spans="11:11" x14ac:dyDescent="0.15">
      <c r="K278" s="104"/>
    </row>
    <row r="279" spans="11:11" x14ac:dyDescent="0.15">
      <c r="K279" s="104"/>
    </row>
    <row r="280" spans="11:11" x14ac:dyDescent="0.15">
      <c r="K280" s="104"/>
    </row>
    <row r="281" spans="11:11" x14ac:dyDescent="0.15">
      <c r="K281" s="104"/>
    </row>
    <row r="282" spans="11:11" x14ac:dyDescent="0.15">
      <c r="K282" s="104"/>
    </row>
    <row r="283" spans="11:11" x14ac:dyDescent="0.15">
      <c r="K283" s="104"/>
    </row>
    <row r="284" spans="11:11" x14ac:dyDescent="0.15">
      <c r="K284" s="104"/>
    </row>
    <row r="285" spans="11:11" x14ac:dyDescent="0.15">
      <c r="K285" s="104"/>
    </row>
    <row r="286" spans="11:11" x14ac:dyDescent="0.15">
      <c r="K286" s="104"/>
    </row>
    <row r="287" spans="11:11" x14ac:dyDescent="0.15">
      <c r="K287" s="104"/>
    </row>
    <row r="288" spans="11:11" x14ac:dyDescent="0.15">
      <c r="K288" s="104"/>
    </row>
    <row r="289" spans="11:11" x14ac:dyDescent="0.15">
      <c r="K289" s="104"/>
    </row>
    <row r="290" spans="11:11" x14ac:dyDescent="0.15">
      <c r="K290" s="104"/>
    </row>
    <row r="291" spans="11:11" x14ac:dyDescent="0.15">
      <c r="K291" s="104"/>
    </row>
    <row r="292" spans="11:11" x14ac:dyDescent="0.15">
      <c r="K292" s="104"/>
    </row>
    <row r="293" spans="11:11" x14ac:dyDescent="0.15">
      <c r="K293" s="104"/>
    </row>
    <row r="294" spans="11:11" x14ac:dyDescent="0.15">
      <c r="K294" s="104"/>
    </row>
    <row r="295" spans="11:11" x14ac:dyDescent="0.15">
      <c r="K295" s="104"/>
    </row>
    <row r="296" spans="11:11" x14ac:dyDescent="0.15">
      <c r="K296" s="104"/>
    </row>
    <row r="297" spans="11:11" x14ac:dyDescent="0.15">
      <c r="K297" s="104"/>
    </row>
    <row r="298" spans="11:11" x14ac:dyDescent="0.15">
      <c r="K298" s="104"/>
    </row>
    <row r="299" spans="11:11" x14ac:dyDescent="0.15">
      <c r="K299" s="104"/>
    </row>
    <row r="300" spans="11:11" x14ac:dyDescent="0.15">
      <c r="K300" s="104"/>
    </row>
    <row r="301" spans="11:11" x14ac:dyDescent="0.15">
      <c r="K301" s="104"/>
    </row>
    <row r="302" spans="11:11" x14ac:dyDescent="0.15">
      <c r="K302" s="104"/>
    </row>
    <row r="303" spans="11:11" x14ac:dyDescent="0.15">
      <c r="K303" s="104"/>
    </row>
    <row r="304" spans="11:11" x14ac:dyDescent="0.15">
      <c r="K304" s="104"/>
    </row>
    <row r="305" spans="11:11" x14ac:dyDescent="0.15">
      <c r="K305" s="104"/>
    </row>
    <row r="306" spans="11:11" x14ac:dyDescent="0.15">
      <c r="K306" s="104"/>
    </row>
    <row r="307" spans="11:11" x14ac:dyDescent="0.15">
      <c r="K307" s="104"/>
    </row>
    <row r="308" spans="11:11" x14ac:dyDescent="0.15">
      <c r="K308" s="104"/>
    </row>
    <row r="309" spans="11:11" x14ac:dyDescent="0.15">
      <c r="K309" s="104"/>
    </row>
    <row r="310" spans="11:11" x14ac:dyDescent="0.15">
      <c r="K310" s="104"/>
    </row>
    <row r="311" spans="11:11" x14ac:dyDescent="0.15">
      <c r="K311" s="104"/>
    </row>
    <row r="312" spans="11:11" x14ac:dyDescent="0.15">
      <c r="K312" s="104"/>
    </row>
    <row r="313" spans="11:11" x14ac:dyDescent="0.15">
      <c r="K313" s="104"/>
    </row>
    <row r="314" spans="11:11" x14ac:dyDescent="0.15">
      <c r="K314" s="104"/>
    </row>
    <row r="315" spans="11:11" x14ac:dyDescent="0.15">
      <c r="K315" s="104"/>
    </row>
    <row r="316" spans="11:11" x14ac:dyDescent="0.15">
      <c r="K316" s="104"/>
    </row>
    <row r="317" spans="11:11" x14ac:dyDescent="0.15">
      <c r="K317" s="104"/>
    </row>
    <row r="318" spans="11:11" x14ac:dyDescent="0.15">
      <c r="K318" s="104"/>
    </row>
    <row r="319" spans="11:11" x14ac:dyDescent="0.15">
      <c r="K319" s="104"/>
    </row>
    <row r="320" spans="11:11" x14ac:dyDescent="0.15">
      <c r="K320" s="104"/>
    </row>
    <row r="321" spans="11:11" x14ac:dyDescent="0.15">
      <c r="K321" s="104"/>
    </row>
    <row r="322" spans="11:11" x14ac:dyDescent="0.15">
      <c r="K322" s="104"/>
    </row>
    <row r="323" spans="11:11" x14ac:dyDescent="0.15">
      <c r="K323" s="104"/>
    </row>
    <row r="324" spans="11:11" x14ac:dyDescent="0.15">
      <c r="K324" s="104"/>
    </row>
    <row r="325" spans="11:11" x14ac:dyDescent="0.15">
      <c r="K325" s="104"/>
    </row>
    <row r="326" spans="11:11" x14ac:dyDescent="0.15">
      <c r="K326" s="104"/>
    </row>
    <row r="327" spans="11:11" x14ac:dyDescent="0.15">
      <c r="K327" s="104"/>
    </row>
    <row r="328" spans="11:11" x14ac:dyDescent="0.15">
      <c r="K328" s="104"/>
    </row>
    <row r="329" spans="11:11" x14ac:dyDescent="0.15">
      <c r="K329" s="104"/>
    </row>
    <row r="330" spans="11:11" x14ac:dyDescent="0.15">
      <c r="K330" s="104"/>
    </row>
    <row r="331" spans="11:11" x14ac:dyDescent="0.15">
      <c r="K331" s="104"/>
    </row>
    <row r="332" spans="11:11" x14ac:dyDescent="0.15">
      <c r="K332" s="104"/>
    </row>
    <row r="333" spans="11:11" x14ac:dyDescent="0.15">
      <c r="K333" s="104"/>
    </row>
    <row r="334" spans="11:11" x14ac:dyDescent="0.15">
      <c r="K334" s="104"/>
    </row>
    <row r="335" spans="11:11" x14ac:dyDescent="0.15">
      <c r="K335" s="104"/>
    </row>
    <row r="336" spans="11:11" x14ac:dyDescent="0.15">
      <c r="K336" s="104"/>
    </row>
    <row r="337" spans="11:11" x14ac:dyDescent="0.15">
      <c r="K337" s="104"/>
    </row>
    <row r="338" spans="11:11" x14ac:dyDescent="0.15">
      <c r="K338" s="104"/>
    </row>
    <row r="339" spans="11:11" x14ac:dyDescent="0.15">
      <c r="K339" s="104"/>
    </row>
    <row r="340" spans="11:11" x14ac:dyDescent="0.15">
      <c r="K340" s="104"/>
    </row>
    <row r="341" spans="11:11" x14ac:dyDescent="0.15">
      <c r="K341" s="104"/>
    </row>
    <row r="342" spans="11:11" x14ac:dyDescent="0.15">
      <c r="K342" s="104"/>
    </row>
    <row r="343" spans="11:11" x14ac:dyDescent="0.15">
      <c r="K343" s="104"/>
    </row>
    <row r="344" spans="11:11" x14ac:dyDescent="0.15">
      <c r="K344" s="104"/>
    </row>
    <row r="345" spans="11:11" x14ac:dyDescent="0.15">
      <c r="K345" s="104"/>
    </row>
    <row r="346" spans="11:11" x14ac:dyDescent="0.15">
      <c r="K346" s="104"/>
    </row>
    <row r="347" spans="11:11" x14ac:dyDescent="0.15">
      <c r="K347" s="104"/>
    </row>
    <row r="348" spans="11:11" x14ac:dyDescent="0.15">
      <c r="K348" s="104"/>
    </row>
    <row r="349" spans="11:11" x14ac:dyDescent="0.15">
      <c r="K349" s="104"/>
    </row>
    <row r="350" spans="11:11" x14ac:dyDescent="0.15">
      <c r="K350" s="104"/>
    </row>
    <row r="351" spans="11:11" x14ac:dyDescent="0.15">
      <c r="K351" s="104"/>
    </row>
    <row r="352" spans="11:11" x14ac:dyDescent="0.15">
      <c r="K352" s="104"/>
    </row>
    <row r="353" spans="11:11" x14ac:dyDescent="0.15">
      <c r="K353" s="104"/>
    </row>
    <row r="354" spans="11:11" x14ac:dyDescent="0.15">
      <c r="K354" s="104"/>
    </row>
    <row r="355" spans="11:11" x14ac:dyDescent="0.15">
      <c r="K355" s="104"/>
    </row>
    <row r="356" spans="11:11" x14ac:dyDescent="0.15">
      <c r="K356" s="104"/>
    </row>
    <row r="357" spans="11:11" x14ac:dyDescent="0.15">
      <c r="K357" s="104"/>
    </row>
    <row r="358" spans="11:11" x14ac:dyDescent="0.15">
      <c r="K358" s="104"/>
    </row>
    <row r="359" spans="11:11" x14ac:dyDescent="0.15">
      <c r="K359" s="104"/>
    </row>
    <row r="360" spans="11:11" x14ac:dyDescent="0.15">
      <c r="K360" s="104"/>
    </row>
    <row r="361" spans="11:11" x14ac:dyDescent="0.15">
      <c r="K361" s="104"/>
    </row>
    <row r="362" spans="11:11" x14ac:dyDescent="0.15">
      <c r="K362" s="104"/>
    </row>
    <row r="363" spans="11:11" x14ac:dyDescent="0.15">
      <c r="K363" s="104"/>
    </row>
    <row r="364" spans="11:11" x14ac:dyDescent="0.15">
      <c r="K364" s="104"/>
    </row>
    <row r="365" spans="11:11" x14ac:dyDescent="0.15">
      <c r="K365" s="104"/>
    </row>
    <row r="366" spans="11:11" x14ac:dyDescent="0.15">
      <c r="K366" s="104"/>
    </row>
    <row r="367" spans="11:11" x14ac:dyDescent="0.15">
      <c r="K367" s="104"/>
    </row>
    <row r="368" spans="11:11" x14ac:dyDescent="0.15">
      <c r="K368" s="104"/>
    </row>
    <row r="369" spans="11:11" x14ac:dyDescent="0.15">
      <c r="K369" s="104"/>
    </row>
    <row r="370" spans="11:11" x14ac:dyDescent="0.15">
      <c r="K370" s="104"/>
    </row>
    <row r="371" spans="11:11" x14ac:dyDescent="0.15">
      <c r="K371" s="104"/>
    </row>
    <row r="372" spans="11:11" x14ac:dyDescent="0.15">
      <c r="K372" s="104"/>
    </row>
    <row r="373" spans="11:11" x14ac:dyDescent="0.15">
      <c r="K373" s="104"/>
    </row>
    <row r="374" spans="11:11" x14ac:dyDescent="0.15">
      <c r="K374" s="104"/>
    </row>
    <row r="375" spans="11:11" x14ac:dyDescent="0.15">
      <c r="K375" s="104"/>
    </row>
    <row r="376" spans="11:11" x14ac:dyDescent="0.15">
      <c r="K376" s="104"/>
    </row>
    <row r="377" spans="11:11" x14ac:dyDescent="0.15">
      <c r="K377" s="104"/>
    </row>
    <row r="378" spans="11:11" x14ac:dyDescent="0.15">
      <c r="K378" s="104"/>
    </row>
    <row r="379" spans="11:11" x14ac:dyDescent="0.15">
      <c r="K379" s="104"/>
    </row>
    <row r="380" spans="11:11" x14ac:dyDescent="0.15">
      <c r="K380" s="104"/>
    </row>
    <row r="381" spans="11:11" x14ac:dyDescent="0.15">
      <c r="K381" s="104"/>
    </row>
    <row r="382" spans="11:11" x14ac:dyDescent="0.15">
      <c r="K382" s="104"/>
    </row>
    <row r="383" spans="11:11" x14ac:dyDescent="0.15">
      <c r="K383" s="104"/>
    </row>
    <row r="384" spans="11:11" x14ac:dyDescent="0.15">
      <c r="K384" s="104"/>
    </row>
    <row r="385" spans="11:11" x14ac:dyDescent="0.15">
      <c r="K385" s="104"/>
    </row>
    <row r="386" spans="11:11" x14ac:dyDescent="0.15">
      <c r="K386" s="104"/>
    </row>
    <row r="387" spans="11:11" x14ac:dyDescent="0.15">
      <c r="K387" s="104"/>
    </row>
    <row r="388" spans="11:11" x14ac:dyDescent="0.15">
      <c r="K388" s="104"/>
    </row>
    <row r="389" spans="11:11" x14ac:dyDescent="0.15">
      <c r="K389" s="104"/>
    </row>
    <row r="390" spans="11:11" x14ac:dyDescent="0.15">
      <c r="K390" s="104"/>
    </row>
    <row r="391" spans="11:11" x14ac:dyDescent="0.15">
      <c r="K391" s="104"/>
    </row>
    <row r="392" spans="11:11" x14ac:dyDescent="0.15">
      <c r="K392" s="104"/>
    </row>
    <row r="393" spans="11:11" x14ac:dyDescent="0.15">
      <c r="K393" s="104"/>
    </row>
    <row r="394" spans="11:11" x14ac:dyDescent="0.15">
      <c r="K394" s="104"/>
    </row>
    <row r="395" spans="11:11" x14ac:dyDescent="0.15">
      <c r="K395" s="104"/>
    </row>
    <row r="396" spans="11:11" x14ac:dyDescent="0.15">
      <c r="K396" s="104"/>
    </row>
    <row r="397" spans="11:11" x14ac:dyDescent="0.15">
      <c r="K397" s="104"/>
    </row>
    <row r="398" spans="11:11" x14ac:dyDescent="0.15">
      <c r="K398" s="104"/>
    </row>
    <row r="399" spans="11:11" x14ac:dyDescent="0.15">
      <c r="K399" s="104"/>
    </row>
    <row r="400" spans="11:11" x14ac:dyDescent="0.15">
      <c r="K400" s="104"/>
    </row>
    <row r="401" spans="11:11" x14ac:dyDescent="0.15">
      <c r="K401" s="104"/>
    </row>
    <row r="402" spans="11:11" x14ac:dyDescent="0.15">
      <c r="K402" s="104"/>
    </row>
    <row r="403" spans="11:11" x14ac:dyDescent="0.15">
      <c r="K403" s="104"/>
    </row>
    <row r="404" spans="11:11" x14ac:dyDescent="0.15">
      <c r="K404" s="104"/>
    </row>
    <row r="405" spans="11:11" x14ac:dyDescent="0.15">
      <c r="K405" s="104"/>
    </row>
    <row r="406" spans="11:11" x14ac:dyDescent="0.15">
      <c r="K406" s="104"/>
    </row>
    <row r="407" spans="11:11" x14ac:dyDescent="0.15">
      <c r="K407" s="104"/>
    </row>
    <row r="408" spans="11:11" x14ac:dyDescent="0.15">
      <c r="K408" s="104"/>
    </row>
    <row r="409" spans="11:11" x14ac:dyDescent="0.15">
      <c r="K409" s="104"/>
    </row>
    <row r="410" spans="11:11" x14ac:dyDescent="0.15">
      <c r="K410" s="104"/>
    </row>
    <row r="411" spans="11:11" x14ac:dyDescent="0.15">
      <c r="K411" s="104"/>
    </row>
    <row r="412" spans="11:11" x14ac:dyDescent="0.15">
      <c r="K412" s="104"/>
    </row>
    <row r="413" spans="11:11" x14ac:dyDescent="0.15">
      <c r="K413" s="104"/>
    </row>
    <row r="414" spans="11:11" x14ac:dyDescent="0.15">
      <c r="K414" s="104"/>
    </row>
    <row r="415" spans="11:11" x14ac:dyDescent="0.15">
      <c r="K415" s="104"/>
    </row>
    <row r="416" spans="11:11" x14ac:dyDescent="0.15">
      <c r="K416" s="104"/>
    </row>
    <row r="417" spans="11:11" x14ac:dyDescent="0.15">
      <c r="K417" s="104"/>
    </row>
    <row r="418" spans="11:11" x14ac:dyDescent="0.15">
      <c r="K418" s="104"/>
    </row>
    <row r="419" spans="11:11" x14ac:dyDescent="0.15">
      <c r="K419" s="104"/>
    </row>
    <row r="420" spans="11:11" x14ac:dyDescent="0.15">
      <c r="K420" s="104"/>
    </row>
    <row r="421" spans="11:11" x14ac:dyDescent="0.15">
      <c r="K421" s="104"/>
    </row>
    <row r="422" spans="11:11" x14ac:dyDescent="0.15">
      <c r="K422" s="104"/>
    </row>
    <row r="423" spans="11:11" x14ac:dyDescent="0.15">
      <c r="K423" s="104"/>
    </row>
    <row r="424" spans="11:11" x14ac:dyDescent="0.15">
      <c r="K424" s="104"/>
    </row>
    <row r="425" spans="11:11" x14ac:dyDescent="0.15">
      <c r="K425" s="104"/>
    </row>
    <row r="426" spans="11:11" x14ac:dyDescent="0.15">
      <c r="K426" s="104"/>
    </row>
    <row r="427" spans="11:11" x14ac:dyDescent="0.15">
      <c r="K427" s="104"/>
    </row>
    <row r="428" spans="11:11" x14ac:dyDescent="0.15">
      <c r="K428" s="104"/>
    </row>
    <row r="429" spans="11:11" x14ac:dyDescent="0.15">
      <c r="K429" s="104"/>
    </row>
    <row r="430" spans="11:11" x14ac:dyDescent="0.15">
      <c r="K430" s="104"/>
    </row>
    <row r="431" spans="11:11" x14ac:dyDescent="0.15">
      <c r="K431" s="104"/>
    </row>
    <row r="432" spans="11:11" x14ac:dyDescent="0.15">
      <c r="K432" s="104"/>
    </row>
    <row r="433" spans="11:11" x14ac:dyDescent="0.15">
      <c r="K433" s="104"/>
    </row>
    <row r="434" spans="11:11" x14ac:dyDescent="0.15">
      <c r="K434" s="104"/>
    </row>
    <row r="435" spans="11:11" x14ac:dyDescent="0.15">
      <c r="K435" s="104"/>
    </row>
    <row r="436" spans="11:11" x14ac:dyDescent="0.15">
      <c r="K436" s="104"/>
    </row>
    <row r="437" spans="11:11" x14ac:dyDescent="0.15">
      <c r="K437" s="104"/>
    </row>
    <row r="438" spans="11:11" x14ac:dyDescent="0.15">
      <c r="K438" s="104"/>
    </row>
    <row r="439" spans="11:11" x14ac:dyDescent="0.15">
      <c r="K439" s="104"/>
    </row>
    <row r="440" spans="11:11" x14ac:dyDescent="0.15">
      <c r="K440" s="104"/>
    </row>
    <row r="441" spans="11:11" x14ac:dyDescent="0.15">
      <c r="K441" s="104"/>
    </row>
    <row r="442" spans="11:11" x14ac:dyDescent="0.15">
      <c r="K442" s="104"/>
    </row>
    <row r="443" spans="11:11" x14ac:dyDescent="0.15">
      <c r="K443" s="104"/>
    </row>
    <row r="444" spans="11:11" x14ac:dyDescent="0.15">
      <c r="K444" s="104"/>
    </row>
    <row r="445" spans="11:11" x14ac:dyDescent="0.15">
      <c r="K445" s="104"/>
    </row>
    <row r="446" spans="11:11" x14ac:dyDescent="0.15">
      <c r="K446" s="104"/>
    </row>
    <row r="447" spans="11:11" x14ac:dyDescent="0.15">
      <c r="K447" s="104"/>
    </row>
    <row r="448" spans="11:11" x14ac:dyDescent="0.15">
      <c r="K448" s="104"/>
    </row>
    <row r="449" spans="11:11" x14ac:dyDescent="0.15">
      <c r="K449" s="104"/>
    </row>
    <row r="450" spans="11:11" x14ac:dyDescent="0.15">
      <c r="K450" s="104"/>
    </row>
    <row r="451" spans="11:11" x14ac:dyDescent="0.15">
      <c r="K451" s="104"/>
    </row>
    <row r="452" spans="11:11" x14ac:dyDescent="0.15">
      <c r="K452" s="104"/>
    </row>
    <row r="453" spans="11:11" x14ac:dyDescent="0.15">
      <c r="K453" s="104"/>
    </row>
    <row r="454" spans="11:11" x14ac:dyDescent="0.15">
      <c r="K454" s="104"/>
    </row>
    <row r="455" spans="11:11" x14ac:dyDescent="0.15">
      <c r="K455" s="104"/>
    </row>
    <row r="456" spans="11:11" x14ac:dyDescent="0.15">
      <c r="K456" s="104"/>
    </row>
    <row r="457" spans="11:11" x14ac:dyDescent="0.15">
      <c r="K457" s="104"/>
    </row>
    <row r="458" spans="11:11" x14ac:dyDescent="0.15">
      <c r="K458" s="104"/>
    </row>
    <row r="459" spans="11:11" x14ac:dyDescent="0.15">
      <c r="K459" s="104"/>
    </row>
    <row r="460" spans="11:11" x14ac:dyDescent="0.15">
      <c r="K460" s="104"/>
    </row>
    <row r="461" spans="11:11" x14ac:dyDescent="0.15">
      <c r="K461" s="104"/>
    </row>
    <row r="462" spans="11:11" x14ac:dyDescent="0.15">
      <c r="K462" s="104"/>
    </row>
    <row r="463" spans="11:11" x14ac:dyDescent="0.15">
      <c r="K463" s="104"/>
    </row>
    <row r="464" spans="11:11" x14ac:dyDescent="0.15">
      <c r="K464" s="104"/>
    </row>
    <row r="465" spans="11:11" x14ac:dyDescent="0.15">
      <c r="K465" s="104"/>
    </row>
    <row r="466" spans="11:11" x14ac:dyDescent="0.15">
      <c r="K466" s="104"/>
    </row>
    <row r="467" spans="11:11" x14ac:dyDescent="0.15">
      <c r="K467" s="104"/>
    </row>
    <row r="468" spans="11:11" x14ac:dyDescent="0.15">
      <c r="K468" s="104"/>
    </row>
    <row r="469" spans="11:11" x14ac:dyDescent="0.15">
      <c r="K469" s="104"/>
    </row>
    <row r="470" spans="11:11" x14ac:dyDescent="0.15">
      <c r="K470" s="104"/>
    </row>
    <row r="471" spans="11:11" x14ac:dyDescent="0.15">
      <c r="K471" s="104"/>
    </row>
    <row r="472" spans="11:11" x14ac:dyDescent="0.15">
      <c r="K472" s="104"/>
    </row>
    <row r="473" spans="11:11" x14ac:dyDescent="0.15">
      <c r="K473" s="104"/>
    </row>
    <row r="474" spans="11:11" x14ac:dyDescent="0.15">
      <c r="K474" s="104"/>
    </row>
    <row r="475" spans="11:11" x14ac:dyDescent="0.15">
      <c r="K475" s="104"/>
    </row>
    <row r="476" spans="11:11" x14ac:dyDescent="0.15">
      <c r="K476" s="104"/>
    </row>
    <row r="477" spans="11:11" x14ac:dyDescent="0.15">
      <c r="K477" s="104"/>
    </row>
    <row r="478" spans="11:11" x14ac:dyDescent="0.15">
      <c r="K478" s="104"/>
    </row>
    <row r="479" spans="11:11" x14ac:dyDescent="0.15">
      <c r="K479" s="104"/>
    </row>
    <row r="480" spans="11:11" x14ac:dyDescent="0.15">
      <c r="K480" s="104"/>
    </row>
    <row r="481" spans="11:11" x14ac:dyDescent="0.15">
      <c r="K481" s="104"/>
    </row>
    <row r="482" spans="11:11" x14ac:dyDescent="0.15">
      <c r="K482" s="104"/>
    </row>
    <row r="483" spans="11:11" x14ac:dyDescent="0.15">
      <c r="K483" s="104"/>
    </row>
    <row r="484" spans="11:11" x14ac:dyDescent="0.15">
      <c r="K484" s="104"/>
    </row>
    <row r="485" spans="11:11" x14ac:dyDescent="0.15">
      <c r="K485" s="104"/>
    </row>
    <row r="486" spans="11:11" x14ac:dyDescent="0.15">
      <c r="K486" s="104"/>
    </row>
    <row r="487" spans="11:11" x14ac:dyDescent="0.15">
      <c r="K487" s="104"/>
    </row>
    <row r="488" spans="11:11" x14ac:dyDescent="0.15">
      <c r="K488" s="104"/>
    </row>
    <row r="489" spans="11:11" x14ac:dyDescent="0.15">
      <c r="K489" s="104"/>
    </row>
    <row r="490" spans="11:11" x14ac:dyDescent="0.15">
      <c r="K490" s="104"/>
    </row>
    <row r="491" spans="11:11" x14ac:dyDescent="0.15">
      <c r="K491" s="104"/>
    </row>
    <row r="492" spans="11:11" x14ac:dyDescent="0.15">
      <c r="K492" s="104"/>
    </row>
    <row r="493" spans="11:11" x14ac:dyDescent="0.15">
      <c r="K493" s="104"/>
    </row>
    <row r="494" spans="11:11" x14ac:dyDescent="0.15">
      <c r="K494" s="104"/>
    </row>
    <row r="495" spans="11:11" x14ac:dyDescent="0.15">
      <c r="K495" s="104"/>
    </row>
    <row r="496" spans="11:11" x14ac:dyDescent="0.15">
      <c r="K496" s="104"/>
    </row>
    <row r="497" spans="11:11" x14ac:dyDescent="0.15">
      <c r="K497" s="104"/>
    </row>
    <row r="498" spans="11:11" x14ac:dyDescent="0.15">
      <c r="K498" s="104"/>
    </row>
    <row r="499" spans="11:11" x14ac:dyDescent="0.15">
      <c r="K499" s="104"/>
    </row>
    <row r="500" spans="11:11" x14ac:dyDescent="0.15">
      <c r="K500" s="104"/>
    </row>
    <row r="501" spans="11:11" x14ac:dyDescent="0.15">
      <c r="K501" s="104"/>
    </row>
    <row r="502" spans="11:11" x14ac:dyDescent="0.15">
      <c r="K502" s="104"/>
    </row>
    <row r="503" spans="11:11" x14ac:dyDescent="0.15">
      <c r="K503" s="104"/>
    </row>
    <row r="504" spans="11:11" x14ac:dyDescent="0.15">
      <c r="K504" s="104"/>
    </row>
    <row r="505" spans="11:11" x14ac:dyDescent="0.15">
      <c r="K505" s="104"/>
    </row>
    <row r="506" spans="11:11" x14ac:dyDescent="0.15">
      <c r="K506" s="104"/>
    </row>
    <row r="507" spans="11:11" x14ac:dyDescent="0.15">
      <c r="K507" s="104"/>
    </row>
    <row r="508" spans="11:11" x14ac:dyDescent="0.15">
      <c r="K508" s="104"/>
    </row>
    <row r="509" spans="11:11" x14ac:dyDescent="0.15">
      <c r="K509" s="104"/>
    </row>
    <row r="510" spans="11:11" x14ac:dyDescent="0.15">
      <c r="K510" s="104"/>
    </row>
    <row r="511" spans="11:11" x14ac:dyDescent="0.15">
      <c r="K511" s="104"/>
    </row>
    <row r="512" spans="11:11" x14ac:dyDescent="0.15">
      <c r="K512" s="104"/>
    </row>
    <row r="513" spans="11:11" x14ac:dyDescent="0.15">
      <c r="K513" s="104"/>
    </row>
    <row r="514" spans="11:11" x14ac:dyDescent="0.15">
      <c r="K514" s="104"/>
    </row>
    <row r="515" spans="11:11" x14ac:dyDescent="0.15">
      <c r="K515" s="104"/>
    </row>
    <row r="516" spans="11:11" x14ac:dyDescent="0.15">
      <c r="K516" s="104"/>
    </row>
    <row r="517" spans="11:11" x14ac:dyDescent="0.15">
      <c r="K517" s="104"/>
    </row>
    <row r="518" spans="11:11" x14ac:dyDescent="0.15">
      <c r="K518" s="104"/>
    </row>
    <row r="519" spans="11:11" x14ac:dyDescent="0.15">
      <c r="K519" s="104"/>
    </row>
    <row r="520" spans="11:11" x14ac:dyDescent="0.15">
      <c r="K520" s="104"/>
    </row>
    <row r="521" spans="11:11" x14ac:dyDescent="0.15">
      <c r="K521" s="104"/>
    </row>
    <row r="522" spans="11:11" x14ac:dyDescent="0.15">
      <c r="K522" s="104"/>
    </row>
    <row r="523" spans="11:11" x14ac:dyDescent="0.15">
      <c r="K523" s="104"/>
    </row>
    <row r="524" spans="11:11" x14ac:dyDescent="0.15">
      <c r="K524" s="104"/>
    </row>
    <row r="525" spans="11:11" x14ac:dyDescent="0.15">
      <c r="K525" s="104"/>
    </row>
    <row r="526" spans="11:11" x14ac:dyDescent="0.15">
      <c r="K526" s="104"/>
    </row>
    <row r="527" spans="11:11" x14ac:dyDescent="0.15">
      <c r="K527" s="104"/>
    </row>
    <row r="528" spans="11:11" x14ac:dyDescent="0.15">
      <c r="K528" s="104"/>
    </row>
    <row r="529" spans="11:11" x14ac:dyDescent="0.15">
      <c r="K529" s="104"/>
    </row>
    <row r="530" spans="11:11" x14ac:dyDescent="0.15">
      <c r="K530" s="104"/>
    </row>
    <row r="531" spans="11:11" x14ac:dyDescent="0.15">
      <c r="K531" s="104"/>
    </row>
    <row r="532" spans="11:11" x14ac:dyDescent="0.15">
      <c r="K532" s="104"/>
    </row>
    <row r="533" spans="11:11" x14ac:dyDescent="0.15">
      <c r="K533" s="104"/>
    </row>
    <row r="534" spans="11:11" x14ac:dyDescent="0.15">
      <c r="K534" s="104"/>
    </row>
    <row r="535" spans="11:11" x14ac:dyDescent="0.15">
      <c r="K535" s="104"/>
    </row>
    <row r="536" spans="11:11" x14ac:dyDescent="0.15">
      <c r="K536" s="104"/>
    </row>
    <row r="537" spans="11:11" x14ac:dyDescent="0.15">
      <c r="K537" s="104"/>
    </row>
    <row r="538" spans="11:11" x14ac:dyDescent="0.15">
      <c r="K538" s="104"/>
    </row>
    <row r="539" spans="11:11" x14ac:dyDescent="0.15">
      <c r="K539" s="104"/>
    </row>
    <row r="540" spans="11:11" x14ac:dyDescent="0.15">
      <c r="K540" s="104"/>
    </row>
    <row r="541" spans="11:11" x14ac:dyDescent="0.15">
      <c r="K541" s="104"/>
    </row>
    <row r="542" spans="11:11" x14ac:dyDescent="0.15">
      <c r="K542" s="104"/>
    </row>
    <row r="543" spans="11:11" x14ac:dyDescent="0.15">
      <c r="K543" s="104"/>
    </row>
    <row r="544" spans="11:11" x14ac:dyDescent="0.15">
      <c r="K544" s="104"/>
    </row>
    <row r="545" spans="11:11" x14ac:dyDescent="0.15">
      <c r="K545" s="104"/>
    </row>
    <row r="546" spans="11:11" x14ac:dyDescent="0.15">
      <c r="K546" s="104"/>
    </row>
    <row r="547" spans="11:11" x14ac:dyDescent="0.15">
      <c r="K547" s="104"/>
    </row>
    <row r="548" spans="11:11" x14ac:dyDescent="0.15">
      <c r="K548" s="104"/>
    </row>
    <row r="549" spans="11:11" x14ac:dyDescent="0.15">
      <c r="K549" s="104"/>
    </row>
    <row r="550" spans="11:11" x14ac:dyDescent="0.15">
      <c r="K550" s="104"/>
    </row>
    <row r="551" spans="11:11" x14ac:dyDescent="0.15">
      <c r="K551" s="104"/>
    </row>
    <row r="552" spans="11:11" x14ac:dyDescent="0.15">
      <c r="K552" s="104"/>
    </row>
    <row r="553" spans="11:11" x14ac:dyDescent="0.15">
      <c r="K553" s="104"/>
    </row>
    <row r="554" spans="11:11" x14ac:dyDescent="0.15">
      <c r="K554" s="104"/>
    </row>
    <row r="555" spans="11:11" x14ac:dyDescent="0.15">
      <c r="K555" s="104"/>
    </row>
    <row r="556" spans="11:11" x14ac:dyDescent="0.15">
      <c r="K556" s="104"/>
    </row>
    <row r="557" spans="11:11" x14ac:dyDescent="0.15">
      <c r="K557" s="104"/>
    </row>
    <row r="558" spans="11:11" x14ac:dyDescent="0.15">
      <c r="K558" s="104"/>
    </row>
    <row r="559" spans="11:11" x14ac:dyDescent="0.15">
      <c r="K559" s="104"/>
    </row>
    <row r="560" spans="11:11" x14ac:dyDescent="0.15">
      <c r="K560" s="104"/>
    </row>
    <row r="561" spans="11:11" x14ac:dyDescent="0.15">
      <c r="K561" s="104"/>
    </row>
    <row r="562" spans="11:11" x14ac:dyDescent="0.15">
      <c r="K562" s="104"/>
    </row>
    <row r="563" spans="11:11" x14ac:dyDescent="0.15">
      <c r="K563" s="104"/>
    </row>
    <row r="564" spans="11:11" x14ac:dyDescent="0.15">
      <c r="K564" s="104"/>
    </row>
    <row r="565" spans="11:11" x14ac:dyDescent="0.15">
      <c r="K565" s="104"/>
    </row>
    <row r="566" spans="11:11" x14ac:dyDescent="0.15">
      <c r="K566" s="104"/>
    </row>
    <row r="567" spans="11:11" x14ac:dyDescent="0.15">
      <c r="K567" s="104"/>
    </row>
    <row r="568" spans="11:11" x14ac:dyDescent="0.15">
      <c r="K568" s="104"/>
    </row>
    <row r="569" spans="11:11" x14ac:dyDescent="0.15">
      <c r="K569" s="104"/>
    </row>
    <row r="570" spans="11:11" x14ac:dyDescent="0.15">
      <c r="K570" s="104"/>
    </row>
    <row r="571" spans="11:11" x14ac:dyDescent="0.15">
      <c r="K571" s="104"/>
    </row>
    <row r="572" spans="11:11" x14ac:dyDescent="0.15">
      <c r="K572" s="104"/>
    </row>
    <row r="573" spans="11:11" x14ac:dyDescent="0.15">
      <c r="K573" s="104"/>
    </row>
    <row r="574" spans="11:11" x14ac:dyDescent="0.15">
      <c r="K574" s="104"/>
    </row>
    <row r="575" spans="11:11" x14ac:dyDescent="0.15">
      <c r="K575" s="104"/>
    </row>
    <row r="576" spans="11:11" x14ac:dyDescent="0.15">
      <c r="K576" s="104"/>
    </row>
    <row r="577" spans="11:11" x14ac:dyDescent="0.15">
      <c r="K577" s="104"/>
    </row>
    <row r="578" spans="11:11" x14ac:dyDescent="0.15">
      <c r="K578" s="104"/>
    </row>
    <row r="579" spans="11:11" x14ac:dyDescent="0.15">
      <c r="K579" s="104"/>
    </row>
    <row r="580" spans="11:11" x14ac:dyDescent="0.15">
      <c r="K580" s="104"/>
    </row>
    <row r="581" spans="11:11" x14ac:dyDescent="0.15">
      <c r="K581" s="104"/>
    </row>
    <row r="582" spans="11:11" x14ac:dyDescent="0.15">
      <c r="K582" s="104"/>
    </row>
    <row r="583" spans="11:11" x14ac:dyDescent="0.15">
      <c r="K583" s="104"/>
    </row>
    <row r="584" spans="11:11" x14ac:dyDescent="0.15">
      <c r="K584" s="104"/>
    </row>
    <row r="585" spans="11:11" x14ac:dyDescent="0.15">
      <c r="K585" s="104"/>
    </row>
    <row r="586" spans="11:11" x14ac:dyDescent="0.15">
      <c r="K586" s="104"/>
    </row>
    <row r="587" spans="11:11" x14ac:dyDescent="0.15">
      <c r="K587" s="104"/>
    </row>
    <row r="588" spans="11:11" x14ac:dyDescent="0.15">
      <c r="K588" s="104"/>
    </row>
    <row r="589" spans="11:11" x14ac:dyDescent="0.15">
      <c r="K589" s="104"/>
    </row>
    <row r="590" spans="11:11" x14ac:dyDescent="0.15">
      <c r="K590" s="104"/>
    </row>
    <row r="591" spans="11:11" x14ac:dyDescent="0.15">
      <c r="K591" s="104"/>
    </row>
    <row r="592" spans="11:11" x14ac:dyDescent="0.15">
      <c r="K592" s="104"/>
    </row>
    <row r="593" spans="11:11" x14ac:dyDescent="0.15">
      <c r="K593" s="104"/>
    </row>
    <row r="594" spans="11:11" x14ac:dyDescent="0.15">
      <c r="K594" s="104"/>
    </row>
    <row r="595" spans="11:11" x14ac:dyDescent="0.15">
      <c r="K595" s="104"/>
    </row>
    <row r="596" spans="11:11" x14ac:dyDescent="0.15">
      <c r="K596" s="104"/>
    </row>
    <row r="597" spans="11:11" x14ac:dyDescent="0.15">
      <c r="K597" s="104"/>
    </row>
    <row r="598" spans="11:11" x14ac:dyDescent="0.15">
      <c r="K598" s="104"/>
    </row>
    <row r="599" spans="11:11" x14ac:dyDescent="0.15">
      <c r="K599" s="104"/>
    </row>
    <row r="600" spans="11:11" x14ac:dyDescent="0.15">
      <c r="K600" s="104"/>
    </row>
    <row r="601" spans="11:11" x14ac:dyDescent="0.15">
      <c r="K601" s="104"/>
    </row>
    <row r="602" spans="11:11" x14ac:dyDescent="0.15">
      <c r="K602" s="104"/>
    </row>
    <row r="603" spans="11:11" x14ac:dyDescent="0.15">
      <c r="K603" s="104"/>
    </row>
    <row r="604" spans="11:11" x14ac:dyDescent="0.15">
      <c r="K604" s="104"/>
    </row>
    <row r="605" spans="11:11" x14ac:dyDescent="0.15">
      <c r="K605" s="104"/>
    </row>
    <row r="606" spans="11:11" x14ac:dyDescent="0.15">
      <c r="K606" s="104"/>
    </row>
    <row r="607" spans="11:11" x14ac:dyDescent="0.15">
      <c r="K607" s="104"/>
    </row>
    <row r="608" spans="11:11" x14ac:dyDescent="0.15">
      <c r="K608" s="104"/>
    </row>
    <row r="609" spans="11:11" x14ac:dyDescent="0.15">
      <c r="K609" s="104"/>
    </row>
    <row r="610" spans="11:11" x14ac:dyDescent="0.15">
      <c r="K610" s="104"/>
    </row>
    <row r="611" spans="11:11" x14ac:dyDescent="0.15">
      <c r="K611" s="104"/>
    </row>
    <row r="612" spans="11:11" x14ac:dyDescent="0.15">
      <c r="K612" s="104"/>
    </row>
    <row r="613" spans="11:11" x14ac:dyDescent="0.15">
      <c r="K613" s="104"/>
    </row>
    <row r="614" spans="11:11" x14ac:dyDescent="0.15">
      <c r="K614" s="104"/>
    </row>
    <row r="615" spans="11:11" x14ac:dyDescent="0.15">
      <c r="K615" s="104"/>
    </row>
    <row r="616" spans="11:11" x14ac:dyDescent="0.15">
      <c r="K616" s="104"/>
    </row>
    <row r="617" spans="11:11" x14ac:dyDescent="0.15">
      <c r="K617" s="104"/>
    </row>
    <row r="618" spans="11:11" x14ac:dyDescent="0.15">
      <c r="K618" s="104"/>
    </row>
    <row r="619" spans="11:11" x14ac:dyDescent="0.15">
      <c r="K619" s="104"/>
    </row>
    <row r="620" spans="11:11" x14ac:dyDescent="0.15">
      <c r="K620" s="104"/>
    </row>
    <row r="621" spans="11:11" x14ac:dyDescent="0.15">
      <c r="K621" s="104"/>
    </row>
    <row r="622" spans="11:11" x14ac:dyDescent="0.15">
      <c r="K622" s="104"/>
    </row>
    <row r="623" spans="11:11" x14ac:dyDescent="0.15">
      <c r="K623" s="104"/>
    </row>
    <row r="624" spans="11:11" x14ac:dyDescent="0.15">
      <c r="K624" s="104"/>
    </row>
    <row r="625" spans="11:11" x14ac:dyDescent="0.15">
      <c r="K625" s="104"/>
    </row>
    <row r="626" spans="11:11" x14ac:dyDescent="0.15">
      <c r="K626" s="104"/>
    </row>
    <row r="627" spans="11:11" x14ac:dyDescent="0.15">
      <c r="K627" s="104"/>
    </row>
    <row r="628" spans="11:11" x14ac:dyDescent="0.15">
      <c r="K628" s="104"/>
    </row>
    <row r="629" spans="11:11" x14ac:dyDescent="0.15">
      <c r="K629" s="104"/>
    </row>
    <row r="630" spans="11:11" x14ac:dyDescent="0.15">
      <c r="K630" s="104"/>
    </row>
    <row r="631" spans="11:11" x14ac:dyDescent="0.15">
      <c r="K631" s="104"/>
    </row>
    <row r="632" spans="11:11" x14ac:dyDescent="0.15">
      <c r="K632" s="104"/>
    </row>
    <row r="633" spans="11:11" x14ac:dyDescent="0.15">
      <c r="K633" s="104"/>
    </row>
    <row r="634" spans="11:11" x14ac:dyDescent="0.15">
      <c r="K634" s="104"/>
    </row>
    <row r="635" spans="11:11" x14ac:dyDescent="0.15">
      <c r="K635" s="104"/>
    </row>
    <row r="636" spans="11:11" x14ac:dyDescent="0.15">
      <c r="K636" s="104"/>
    </row>
    <row r="637" spans="11:11" x14ac:dyDescent="0.15">
      <c r="K637" s="104"/>
    </row>
    <row r="638" spans="11:11" x14ac:dyDescent="0.15">
      <c r="K638" s="104"/>
    </row>
    <row r="639" spans="11:11" x14ac:dyDescent="0.15">
      <c r="K639" s="104"/>
    </row>
    <row r="640" spans="11:11" x14ac:dyDescent="0.15">
      <c r="K640" s="104"/>
    </row>
    <row r="641" spans="11:11" x14ac:dyDescent="0.15">
      <c r="K641" s="104"/>
    </row>
    <row r="642" spans="11:11" x14ac:dyDescent="0.15">
      <c r="K642" s="104"/>
    </row>
    <row r="643" spans="11:11" x14ac:dyDescent="0.15">
      <c r="K643" s="104"/>
    </row>
    <row r="644" spans="11:11" x14ac:dyDescent="0.15">
      <c r="K644" s="104"/>
    </row>
    <row r="645" spans="11:11" x14ac:dyDescent="0.15">
      <c r="K645" s="104"/>
    </row>
    <row r="646" spans="11:11" x14ac:dyDescent="0.15">
      <c r="K646" s="104"/>
    </row>
    <row r="647" spans="11:11" x14ac:dyDescent="0.15">
      <c r="K647" s="104"/>
    </row>
    <row r="648" spans="11:11" x14ac:dyDescent="0.15">
      <c r="K648" s="104"/>
    </row>
    <row r="649" spans="11:11" x14ac:dyDescent="0.15">
      <c r="K649" s="104"/>
    </row>
    <row r="650" spans="11:11" x14ac:dyDescent="0.15">
      <c r="K650" s="104"/>
    </row>
    <row r="651" spans="11:11" x14ac:dyDescent="0.15">
      <c r="K651" s="104"/>
    </row>
    <row r="652" spans="11:11" x14ac:dyDescent="0.15">
      <c r="K652" s="104"/>
    </row>
    <row r="653" spans="11:11" x14ac:dyDescent="0.15">
      <c r="K653" s="104"/>
    </row>
    <row r="654" spans="11:11" x14ac:dyDescent="0.15">
      <c r="K654" s="104"/>
    </row>
    <row r="655" spans="11:11" x14ac:dyDescent="0.15">
      <c r="K655" s="104"/>
    </row>
    <row r="656" spans="11:11" x14ac:dyDescent="0.15">
      <c r="K656" s="104"/>
    </row>
    <row r="657" spans="11:11" x14ac:dyDescent="0.15">
      <c r="K657" s="104"/>
    </row>
    <row r="658" spans="11:11" x14ac:dyDescent="0.15">
      <c r="K658" s="104"/>
    </row>
    <row r="659" spans="11:11" x14ac:dyDescent="0.15">
      <c r="K659" s="104"/>
    </row>
    <row r="660" spans="11:11" x14ac:dyDescent="0.15">
      <c r="K660" s="104"/>
    </row>
    <row r="661" spans="11:11" x14ac:dyDescent="0.15">
      <c r="K661" s="104"/>
    </row>
    <row r="662" spans="11:11" x14ac:dyDescent="0.15">
      <c r="K662" s="104"/>
    </row>
    <row r="663" spans="11:11" x14ac:dyDescent="0.15">
      <c r="K663" s="104"/>
    </row>
    <row r="664" spans="11:11" x14ac:dyDescent="0.15">
      <c r="K664" s="104"/>
    </row>
    <row r="665" spans="11:11" x14ac:dyDescent="0.15">
      <c r="K665" s="104"/>
    </row>
    <row r="666" spans="11:11" x14ac:dyDescent="0.15">
      <c r="K666" s="104"/>
    </row>
    <row r="667" spans="11:11" x14ac:dyDescent="0.15">
      <c r="K667" s="104"/>
    </row>
    <row r="668" spans="11:11" x14ac:dyDescent="0.15">
      <c r="K668" s="104"/>
    </row>
    <row r="669" spans="11:11" x14ac:dyDescent="0.15">
      <c r="K669" s="104"/>
    </row>
    <row r="670" spans="11:11" x14ac:dyDescent="0.15">
      <c r="K670" s="104"/>
    </row>
    <row r="671" spans="11:11" x14ac:dyDescent="0.15">
      <c r="K671" s="104"/>
    </row>
    <row r="672" spans="11:11" x14ac:dyDescent="0.15">
      <c r="K672" s="104"/>
    </row>
    <row r="673" spans="11:11" x14ac:dyDescent="0.15">
      <c r="K673" s="104"/>
    </row>
    <row r="674" spans="11:11" x14ac:dyDescent="0.15">
      <c r="K674" s="104"/>
    </row>
    <row r="675" spans="11:11" x14ac:dyDescent="0.15">
      <c r="K675" s="104"/>
    </row>
    <row r="676" spans="11:11" x14ac:dyDescent="0.15">
      <c r="K676" s="104"/>
    </row>
    <row r="677" spans="11:11" x14ac:dyDescent="0.15">
      <c r="K677" s="104"/>
    </row>
    <row r="678" spans="11:11" x14ac:dyDescent="0.15">
      <c r="K678" s="104"/>
    </row>
    <row r="679" spans="11:11" x14ac:dyDescent="0.15">
      <c r="K679" s="104"/>
    </row>
    <row r="680" spans="11:11" x14ac:dyDescent="0.15">
      <c r="K680" s="104"/>
    </row>
    <row r="681" spans="11:11" x14ac:dyDescent="0.15">
      <c r="K681" s="104"/>
    </row>
    <row r="682" spans="11:11" x14ac:dyDescent="0.15">
      <c r="K682" s="104"/>
    </row>
    <row r="683" spans="11:11" x14ac:dyDescent="0.15">
      <c r="K683" s="104"/>
    </row>
    <row r="684" spans="11:11" x14ac:dyDescent="0.15">
      <c r="K684" s="104"/>
    </row>
    <row r="685" spans="11:11" x14ac:dyDescent="0.15">
      <c r="K685" s="104"/>
    </row>
    <row r="686" spans="11:11" x14ac:dyDescent="0.15">
      <c r="K686" s="104"/>
    </row>
    <row r="687" spans="11:11" x14ac:dyDescent="0.15">
      <c r="K687" s="104"/>
    </row>
    <row r="688" spans="11:11" x14ac:dyDescent="0.15">
      <c r="K688" s="104"/>
    </row>
    <row r="689" spans="11:11" x14ac:dyDescent="0.15">
      <c r="K689" s="104"/>
    </row>
    <row r="690" spans="11:11" x14ac:dyDescent="0.15">
      <c r="K690" s="104"/>
    </row>
    <row r="691" spans="11:11" x14ac:dyDescent="0.15">
      <c r="K691" s="104"/>
    </row>
    <row r="692" spans="11:11" x14ac:dyDescent="0.15">
      <c r="K692" s="104"/>
    </row>
    <row r="693" spans="11:11" x14ac:dyDescent="0.15">
      <c r="K693" s="104"/>
    </row>
    <row r="694" spans="11:11" x14ac:dyDescent="0.15">
      <c r="K694" s="104"/>
    </row>
    <row r="695" spans="11:11" x14ac:dyDescent="0.15">
      <c r="K695" s="104"/>
    </row>
    <row r="696" spans="11:11" x14ac:dyDescent="0.15">
      <c r="K696" s="104"/>
    </row>
    <row r="697" spans="11:11" x14ac:dyDescent="0.15">
      <c r="K697" s="104"/>
    </row>
    <row r="698" spans="11:11" x14ac:dyDescent="0.15">
      <c r="K698" s="104"/>
    </row>
    <row r="699" spans="11:11" x14ac:dyDescent="0.15">
      <c r="K699" s="104"/>
    </row>
    <row r="700" spans="11:11" x14ac:dyDescent="0.15">
      <c r="K700" s="104"/>
    </row>
    <row r="701" spans="11:11" x14ac:dyDescent="0.15">
      <c r="K701" s="104"/>
    </row>
    <row r="702" spans="11:11" x14ac:dyDescent="0.15">
      <c r="K702" s="104"/>
    </row>
    <row r="703" spans="11:11" x14ac:dyDescent="0.15">
      <c r="K703" s="104"/>
    </row>
    <row r="704" spans="11:11" x14ac:dyDescent="0.15">
      <c r="K704" s="104"/>
    </row>
    <row r="705" spans="11:11" x14ac:dyDescent="0.15">
      <c r="K705" s="104"/>
    </row>
    <row r="706" spans="11:11" x14ac:dyDescent="0.15">
      <c r="K706" s="104"/>
    </row>
    <row r="707" spans="11:11" x14ac:dyDescent="0.15">
      <c r="K707" s="104"/>
    </row>
    <row r="708" spans="11:11" x14ac:dyDescent="0.15">
      <c r="K708" s="104"/>
    </row>
    <row r="709" spans="11:11" x14ac:dyDescent="0.15">
      <c r="K709" s="104"/>
    </row>
    <row r="710" spans="11:11" x14ac:dyDescent="0.15">
      <c r="K710" s="104"/>
    </row>
    <row r="711" spans="11:11" x14ac:dyDescent="0.15">
      <c r="K711" s="104"/>
    </row>
    <row r="712" spans="11:11" x14ac:dyDescent="0.15">
      <c r="K712" s="104"/>
    </row>
    <row r="713" spans="11:11" x14ac:dyDescent="0.15">
      <c r="K713" s="104"/>
    </row>
    <row r="714" spans="11:11" x14ac:dyDescent="0.15">
      <c r="K714" s="104"/>
    </row>
    <row r="715" spans="11:11" x14ac:dyDescent="0.15">
      <c r="K715" s="104"/>
    </row>
    <row r="716" spans="11:11" x14ac:dyDescent="0.15">
      <c r="K716" s="104"/>
    </row>
    <row r="717" spans="11:11" x14ac:dyDescent="0.15">
      <c r="K717" s="104"/>
    </row>
    <row r="718" spans="11:11" x14ac:dyDescent="0.15">
      <c r="K718" s="104"/>
    </row>
    <row r="719" spans="11:11" x14ac:dyDescent="0.15">
      <c r="K719" s="104"/>
    </row>
    <row r="720" spans="11:11" x14ac:dyDescent="0.15">
      <c r="K720" s="104"/>
    </row>
    <row r="721" spans="11:11" x14ac:dyDescent="0.15">
      <c r="K721" s="104"/>
    </row>
    <row r="722" spans="11:11" x14ac:dyDescent="0.15">
      <c r="K722" s="104"/>
    </row>
    <row r="723" spans="11:11" x14ac:dyDescent="0.15">
      <c r="K723" s="104"/>
    </row>
    <row r="724" spans="11:11" x14ac:dyDescent="0.15">
      <c r="K724" s="104"/>
    </row>
    <row r="725" spans="11:11" x14ac:dyDescent="0.15">
      <c r="K725" s="104"/>
    </row>
    <row r="726" spans="11:11" x14ac:dyDescent="0.15">
      <c r="K726" s="104"/>
    </row>
    <row r="727" spans="11:11" x14ac:dyDescent="0.15">
      <c r="K727" s="104"/>
    </row>
    <row r="728" spans="11:11" x14ac:dyDescent="0.15">
      <c r="K728" s="104"/>
    </row>
    <row r="729" spans="11:11" x14ac:dyDescent="0.15">
      <c r="K729" s="104"/>
    </row>
    <row r="730" spans="11:11" x14ac:dyDescent="0.15">
      <c r="K730" s="104"/>
    </row>
    <row r="731" spans="11:11" x14ac:dyDescent="0.15">
      <c r="K731" s="104"/>
    </row>
    <row r="732" spans="11:11" x14ac:dyDescent="0.15">
      <c r="K732" s="104"/>
    </row>
    <row r="733" spans="11:11" x14ac:dyDescent="0.15">
      <c r="K733" s="104"/>
    </row>
    <row r="734" spans="11:11" x14ac:dyDescent="0.15">
      <c r="K734" s="104"/>
    </row>
    <row r="735" spans="11:11" x14ac:dyDescent="0.15">
      <c r="K735" s="104"/>
    </row>
    <row r="736" spans="11:11" x14ac:dyDescent="0.15">
      <c r="K736" s="104"/>
    </row>
    <row r="737" spans="11:11" x14ac:dyDescent="0.15">
      <c r="K737" s="104"/>
    </row>
    <row r="738" spans="11:11" x14ac:dyDescent="0.15">
      <c r="K738" s="104"/>
    </row>
    <row r="739" spans="11:11" x14ac:dyDescent="0.15">
      <c r="K739" s="104"/>
    </row>
    <row r="740" spans="11:11" x14ac:dyDescent="0.15">
      <c r="K740" s="104"/>
    </row>
    <row r="741" spans="11:11" x14ac:dyDescent="0.15">
      <c r="K741" s="104"/>
    </row>
    <row r="742" spans="11:11" x14ac:dyDescent="0.15">
      <c r="K742" s="104"/>
    </row>
    <row r="743" spans="11:11" x14ac:dyDescent="0.15">
      <c r="K743" s="104"/>
    </row>
    <row r="744" spans="11:11" x14ac:dyDescent="0.15">
      <c r="K744" s="104"/>
    </row>
    <row r="745" spans="11:11" x14ac:dyDescent="0.15">
      <c r="K745" s="104"/>
    </row>
    <row r="746" spans="11:11" x14ac:dyDescent="0.15">
      <c r="K746" s="104"/>
    </row>
    <row r="747" spans="11:11" x14ac:dyDescent="0.15">
      <c r="K747" s="104"/>
    </row>
    <row r="748" spans="11:11" x14ac:dyDescent="0.15">
      <c r="K748" s="104"/>
    </row>
    <row r="749" spans="11:11" x14ac:dyDescent="0.15">
      <c r="K749" s="104"/>
    </row>
    <row r="750" spans="11:11" x14ac:dyDescent="0.15">
      <c r="K750" s="104"/>
    </row>
    <row r="751" spans="11:11" x14ac:dyDescent="0.15">
      <c r="K751" s="104"/>
    </row>
    <row r="752" spans="11:11" x14ac:dyDescent="0.15">
      <c r="K752" s="104"/>
    </row>
  </sheetData>
  <autoFilter ref="A1:BA84"/>
  <phoneticPr fontId="3"/>
  <dataValidations count="12">
    <dataValidation type="list" allowBlank="1" showInputMessage="1" showErrorMessage="1" sqref="K2:K752">
      <formula1>$AR$2:$AR$23</formula1>
    </dataValidation>
    <dataValidation type="list" allowBlank="1" showInputMessage="1" showErrorMessage="1" sqref="A2:A439">
      <formula1>$AE$2:$AE$19</formula1>
    </dataValidation>
    <dataValidation type="list" allowBlank="1" showInputMessage="1" showErrorMessage="1" sqref="Y2:AA440">
      <formula1>$AV$2:$AV$21</formula1>
    </dataValidation>
    <dataValidation type="list" allowBlank="1" showInputMessage="1" showErrorMessage="1" sqref="H2:H440">
      <formula1>$AL$2:$AL$8</formula1>
    </dataValidation>
    <dataValidation type="list" allowBlank="1" showInputMessage="1" showErrorMessage="1" sqref="X2:X440">
      <formula1>$AT$2:$AT$3</formula1>
    </dataValidation>
    <dataValidation type="list" allowBlank="1" showInputMessage="1" showErrorMessage="1" sqref="G2:G440">
      <formula1>$AJ$2:$AJ$4</formula1>
    </dataValidation>
    <dataValidation type="list" allowBlank="1" showInputMessage="1" showErrorMessage="1" sqref="I2:I440">
      <formula1>$AN$5:$AN$6</formula1>
    </dataValidation>
    <dataValidation type="list" allowBlank="1" showInputMessage="1" showErrorMessage="1" sqref="J2:J440">
      <formula1>$AP$2:$AP$24</formula1>
    </dataValidation>
    <dataValidation type="list" allowBlank="1" showInputMessage="1" showErrorMessage="1" sqref="F2:F440">
      <formula1>$AH$2:$AH$11</formula1>
    </dataValidation>
    <dataValidation type="list" allowBlank="1" showInputMessage="1" showErrorMessage="1" sqref="E2:E440">
      <formula1>$AG$2:$AG$11</formula1>
    </dataValidation>
    <dataValidation type="decimal" allowBlank="1" showInputMessage="1" showErrorMessage="1" error="硬度を正しく入力して下さい。" sqref="O2:P49 O59:P440">
      <formula1>0</formula1>
      <formula2>7</formula2>
    </dataValidation>
    <dataValidation operator="equal" allowBlank="1" showInputMessage="1" showErrorMessage="1" sqref="B2:B97"/>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83154E2-A677-4A2A-9627-D3282B26B999}"/>
</file>

<file path=customXml/itemProps2.xml><?xml version="1.0" encoding="utf-8"?>
<ds:datastoreItem xmlns:ds="http://schemas.openxmlformats.org/officeDocument/2006/customXml" ds:itemID="{C9C32802-D9E8-40F1-941D-FFC7EB268DF8}"/>
</file>

<file path=customXml/itemProps3.xml><?xml version="1.0" encoding="utf-8"?>
<ds:datastoreItem xmlns:ds="http://schemas.openxmlformats.org/officeDocument/2006/customXml" ds:itemID="{53C26F8F-10C2-40E2-930D-3415C940763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2018-12-28T00:36:17Z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