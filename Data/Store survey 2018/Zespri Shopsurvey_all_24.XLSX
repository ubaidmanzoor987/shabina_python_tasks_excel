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miyagi!$A$1:$BA$148</definedName>
    <definedName name="_xlnm._FilterDatabase" localSheetId="2" hidden="1">nagoya!$A$1:$BA$52</definedName>
    <definedName name="_xlnm._FilterDatabase" localSheetId="3" hidden="1">osaka!$A$1:$BA$88</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Q128" i="32" l="1"/>
  <c r="Q127" i="32"/>
  <c r="Q126" i="32"/>
  <c r="Q125" i="32"/>
  <c r="Q124" i="32"/>
  <c r="Q123" i="32"/>
  <c r="Q122" i="32"/>
  <c r="Q121" i="32"/>
  <c r="T120" i="32"/>
  <c r="V120" i="32" s="1"/>
  <c r="Q120" i="32"/>
  <c r="T119" i="32"/>
  <c r="V119" i="32" s="1"/>
  <c r="Q119" i="32"/>
  <c r="V118" i="32"/>
  <c r="T118" i="32"/>
  <c r="Q118" i="32"/>
  <c r="V117" i="32"/>
  <c r="T117" i="32"/>
  <c r="Q117" i="32"/>
  <c r="V116" i="32"/>
  <c r="T116" i="32"/>
  <c r="Q116" i="32"/>
  <c r="T115" i="32"/>
  <c r="V115" i="32" s="1"/>
  <c r="Q115" i="32"/>
  <c r="T114" i="32"/>
  <c r="V114" i="32" s="1"/>
  <c r="Q114" i="32"/>
  <c r="V113" i="32"/>
  <c r="T113" i="32"/>
  <c r="Q113" i="32"/>
  <c r="T112" i="32"/>
  <c r="V112" i="32" s="1"/>
  <c r="Q112" i="32"/>
  <c r="T111" i="32"/>
  <c r="V111" i="32" s="1"/>
  <c r="Q111" i="32"/>
  <c r="V110" i="32"/>
  <c r="T110" i="32"/>
  <c r="Q110" i="32"/>
  <c r="V109" i="32"/>
  <c r="T109" i="32"/>
  <c r="Q109" i="32"/>
  <c r="V108" i="32"/>
  <c r="T108" i="32"/>
  <c r="Q108" i="32"/>
  <c r="T107" i="32"/>
  <c r="V107" i="32" s="1"/>
  <c r="Q107" i="32"/>
  <c r="T106" i="32"/>
  <c r="V106" i="32" s="1"/>
  <c r="Q106" i="32"/>
  <c r="T105" i="32"/>
  <c r="V105" i="32" s="1"/>
  <c r="Q105" i="32"/>
  <c r="T104" i="32"/>
  <c r="V104" i="32" s="1"/>
  <c r="Q104" i="32"/>
  <c r="T103" i="32"/>
  <c r="V103" i="32" s="1"/>
  <c r="Q103" i="32"/>
  <c r="V102" i="32"/>
  <c r="T102" i="32"/>
  <c r="Q102" i="32"/>
  <c r="V101" i="32"/>
  <c r="T101" i="32"/>
  <c r="Q101" i="32"/>
  <c r="V100" i="32"/>
  <c r="T100" i="32"/>
  <c r="Q100" i="32"/>
  <c r="T99" i="32"/>
  <c r="V99" i="32" s="1"/>
  <c r="Q99" i="32"/>
  <c r="T98" i="32"/>
  <c r="V98" i="32" s="1"/>
  <c r="Q98" i="32"/>
  <c r="V97" i="32"/>
  <c r="T97" i="32"/>
  <c r="Q97" i="32"/>
  <c r="T96" i="32"/>
  <c r="V96" i="32" s="1"/>
  <c r="Q96" i="32"/>
  <c r="T95" i="32"/>
  <c r="V95" i="32" s="1"/>
  <c r="Q95" i="32"/>
  <c r="V94" i="32"/>
  <c r="T94" i="32"/>
  <c r="Q94" i="32"/>
  <c r="V93" i="32"/>
  <c r="T93" i="32"/>
  <c r="Q93" i="32"/>
  <c r="V92" i="32"/>
  <c r="T92" i="32"/>
  <c r="Q92" i="32"/>
  <c r="T91" i="32"/>
  <c r="V91" i="32" s="1"/>
  <c r="Q91" i="32"/>
  <c r="T90" i="32"/>
  <c r="V90" i="32" s="1"/>
  <c r="Q90" i="32"/>
  <c r="V89" i="32"/>
  <c r="T89" i="32"/>
  <c r="Q89" i="32"/>
  <c r="T88" i="32"/>
  <c r="V88" i="32" s="1"/>
  <c r="Q88" i="32"/>
  <c r="T87" i="32"/>
  <c r="V87" i="32" s="1"/>
  <c r="Q87" i="32"/>
  <c r="V86" i="32"/>
  <c r="T86" i="32"/>
  <c r="Q86" i="32"/>
  <c r="V85" i="32"/>
  <c r="T85" i="32"/>
  <c r="Q85" i="32"/>
  <c r="V84" i="32"/>
  <c r="T84" i="32"/>
  <c r="Q84" i="32"/>
  <c r="T83" i="32"/>
  <c r="V83" i="32" s="1"/>
  <c r="Q83" i="32"/>
  <c r="T82" i="32"/>
  <c r="V82" i="32" s="1"/>
  <c r="Q82" i="32"/>
  <c r="V81" i="32"/>
  <c r="T81" i="32"/>
  <c r="Q81" i="32"/>
  <c r="T80" i="32"/>
  <c r="V80" i="32" s="1"/>
  <c r="Q80" i="32"/>
  <c r="T79" i="32"/>
  <c r="V79" i="32" s="1"/>
  <c r="Q79" i="32"/>
  <c r="V78" i="32"/>
  <c r="T78" i="32"/>
  <c r="Q78" i="32"/>
  <c r="V77" i="32"/>
  <c r="T77" i="32"/>
  <c r="Q77" i="32"/>
  <c r="V76" i="32"/>
  <c r="T76" i="32"/>
  <c r="Q76" i="32"/>
  <c r="T75" i="32"/>
  <c r="V75" i="32" s="1"/>
  <c r="Q75" i="32"/>
  <c r="T74" i="32"/>
  <c r="V74" i="32" s="1"/>
  <c r="Q74" i="32"/>
  <c r="V73" i="32"/>
  <c r="T73" i="32"/>
  <c r="Q73" i="32"/>
  <c r="T72" i="32"/>
  <c r="V72" i="32" s="1"/>
  <c r="Q72" i="32"/>
  <c r="T71" i="32"/>
  <c r="V71" i="32" s="1"/>
  <c r="Q71" i="32"/>
  <c r="V70" i="32"/>
  <c r="T70" i="32"/>
  <c r="Q70" i="32"/>
  <c r="V69" i="32"/>
  <c r="T69" i="32"/>
  <c r="Q69" i="32"/>
  <c r="V68" i="32"/>
  <c r="T68" i="32"/>
  <c r="Q68" i="32"/>
  <c r="T67" i="32"/>
  <c r="V67" i="32" s="1"/>
  <c r="Q67" i="32"/>
  <c r="T66" i="32"/>
  <c r="V66" i="32" s="1"/>
  <c r="Q66" i="32"/>
  <c r="V65" i="32"/>
  <c r="T65" i="32"/>
  <c r="Q65" i="32"/>
  <c r="T64" i="32"/>
  <c r="V64" i="32" s="1"/>
  <c r="Q64" i="32"/>
  <c r="T63" i="32"/>
  <c r="V63" i="32" s="1"/>
  <c r="Q63" i="32"/>
  <c r="V62" i="32"/>
  <c r="T62" i="32"/>
  <c r="Q62" i="32"/>
  <c r="V61" i="32"/>
  <c r="T61" i="32"/>
  <c r="Q61" i="32"/>
  <c r="V60" i="32"/>
  <c r="T60" i="32"/>
  <c r="Q60" i="32"/>
  <c r="T59" i="32"/>
  <c r="V59" i="32" s="1"/>
  <c r="Q59" i="32"/>
  <c r="T58" i="32"/>
  <c r="V58" i="32" s="1"/>
  <c r="Q58" i="32"/>
  <c r="V57" i="32"/>
  <c r="T57" i="32"/>
  <c r="Q57" i="32"/>
  <c r="T56" i="32"/>
  <c r="V56" i="32" s="1"/>
  <c r="Q56" i="32"/>
  <c r="T55" i="32"/>
  <c r="V55" i="32" s="1"/>
  <c r="Q55" i="32"/>
  <c r="V54" i="32"/>
  <c r="T54" i="32"/>
  <c r="Q54" i="32"/>
  <c r="V53" i="32"/>
  <c r="T53" i="32"/>
  <c r="Q53" i="32"/>
  <c r="V52" i="32"/>
  <c r="T52" i="32"/>
  <c r="Q52" i="32"/>
  <c r="T51" i="32"/>
  <c r="V51" i="32" s="1"/>
  <c r="Q51" i="32"/>
  <c r="T50" i="32"/>
  <c r="V50" i="32" s="1"/>
  <c r="Q50" i="32"/>
  <c r="V49" i="32"/>
  <c r="T49" i="32"/>
  <c r="Q49" i="32"/>
  <c r="T48" i="32"/>
  <c r="V48" i="32" s="1"/>
  <c r="Q48" i="32"/>
  <c r="T47" i="32"/>
  <c r="V47" i="32" s="1"/>
  <c r="Q47" i="32"/>
  <c r="V46" i="32"/>
  <c r="T46" i="32"/>
  <c r="Q46" i="32"/>
  <c r="V45" i="32"/>
  <c r="T45" i="32"/>
  <c r="Q45" i="32"/>
  <c r="V44" i="32"/>
  <c r="T44" i="32"/>
  <c r="Q44" i="32"/>
  <c r="T43" i="32"/>
  <c r="V43" i="32" s="1"/>
  <c r="Q43" i="32"/>
  <c r="T42" i="32"/>
  <c r="V42" i="32" s="1"/>
  <c r="Q42" i="32"/>
  <c r="V41" i="32"/>
  <c r="T41" i="32"/>
  <c r="Q41" i="32"/>
  <c r="T40" i="32"/>
  <c r="V40" i="32" s="1"/>
  <c r="Q40" i="32"/>
  <c r="T39" i="32"/>
  <c r="V39" i="32" s="1"/>
  <c r="Q39" i="32"/>
  <c r="V38" i="32"/>
  <c r="T38" i="32"/>
  <c r="Q38" i="32"/>
  <c r="V37" i="32"/>
  <c r="T37" i="32"/>
  <c r="Q37" i="32"/>
  <c r="V36" i="32"/>
  <c r="T36" i="32"/>
  <c r="Q36" i="32"/>
  <c r="T35" i="32"/>
  <c r="V35" i="32" s="1"/>
  <c r="Q35" i="32"/>
  <c r="T34" i="32"/>
  <c r="V34" i="32" s="1"/>
  <c r="Q34" i="32"/>
  <c r="V33" i="32"/>
  <c r="T33" i="32"/>
  <c r="Q33" i="32"/>
  <c r="T32" i="32"/>
  <c r="V32" i="32" s="1"/>
  <c r="Q32" i="32"/>
  <c r="T31" i="32"/>
  <c r="V31" i="32" s="1"/>
  <c r="Q31" i="32"/>
  <c r="V30" i="32"/>
  <c r="T30" i="32"/>
  <c r="Q30" i="32"/>
  <c r="V29" i="32"/>
  <c r="T29" i="32"/>
  <c r="Q29" i="32"/>
  <c r="V28" i="32"/>
  <c r="T28" i="32"/>
  <c r="Q28" i="32"/>
  <c r="T27" i="32"/>
  <c r="V27" i="32" s="1"/>
  <c r="Q27" i="32"/>
  <c r="T26" i="32"/>
  <c r="V26" i="32" s="1"/>
  <c r="Q26" i="32"/>
  <c r="V25" i="32"/>
  <c r="T25" i="32"/>
  <c r="Q25" i="32"/>
  <c r="T24" i="32"/>
  <c r="V24" i="32" s="1"/>
  <c r="Q24" i="32"/>
  <c r="T23" i="32"/>
  <c r="V23" i="32" s="1"/>
  <c r="Q23" i="32"/>
  <c r="V22" i="32"/>
  <c r="T22" i="32"/>
  <c r="Q22" i="32"/>
  <c r="V21" i="32"/>
  <c r="T21" i="32"/>
  <c r="Q21" i="32"/>
  <c r="V20" i="32"/>
  <c r="T20" i="32"/>
  <c r="Q20" i="32"/>
  <c r="T19" i="32"/>
  <c r="V19" i="32" s="1"/>
  <c r="Q19" i="32"/>
  <c r="T18" i="32"/>
  <c r="V18" i="32" s="1"/>
  <c r="Q18" i="32"/>
  <c r="T17" i="32"/>
  <c r="V17" i="32" s="1"/>
  <c r="Q17" i="32"/>
  <c r="T16" i="32"/>
  <c r="V16" i="32" s="1"/>
  <c r="Q16" i="32"/>
  <c r="T15" i="32"/>
  <c r="V15" i="32" s="1"/>
  <c r="Q15" i="32"/>
  <c r="V14" i="32"/>
  <c r="T14" i="32"/>
  <c r="Q14" i="32"/>
  <c r="V13" i="32"/>
  <c r="T13" i="32"/>
  <c r="Q13" i="32"/>
  <c r="V12" i="32"/>
  <c r="T12" i="32"/>
  <c r="Q12" i="32"/>
  <c r="T11" i="32"/>
  <c r="V11" i="32" s="1"/>
  <c r="Q11" i="32"/>
  <c r="T10" i="32"/>
  <c r="V10" i="32" s="1"/>
  <c r="Q10" i="32"/>
  <c r="T9" i="32"/>
  <c r="V9" i="32" s="1"/>
  <c r="Q9" i="32"/>
  <c r="T8" i="32"/>
  <c r="V8" i="32" s="1"/>
  <c r="Q8" i="32"/>
  <c r="T7" i="32"/>
  <c r="V7" i="32" s="1"/>
  <c r="Q7" i="32"/>
  <c r="V6" i="32"/>
  <c r="T6" i="32"/>
  <c r="Q6" i="32"/>
  <c r="V5" i="32"/>
  <c r="T5" i="32"/>
  <c r="Q5" i="32"/>
  <c r="V4" i="32"/>
  <c r="T4" i="32"/>
  <c r="Q4" i="32"/>
  <c r="T3" i="32"/>
  <c r="V3" i="32" s="1"/>
  <c r="Q3" i="32"/>
  <c r="T2" i="32"/>
  <c r="V2" i="32" s="1"/>
  <c r="Q2" i="32"/>
  <c r="T91" i="31" l="1"/>
  <c r="V91" i="31" s="1"/>
  <c r="Q91" i="31"/>
  <c r="T90" i="31"/>
  <c r="V90" i="31" s="1"/>
  <c r="Q90" i="31"/>
  <c r="T89" i="31"/>
  <c r="V89" i="31" s="1"/>
  <c r="Q89" i="31"/>
  <c r="T88" i="31"/>
  <c r="V88" i="31" s="1"/>
  <c r="Q88" i="31"/>
  <c r="T87" i="31"/>
  <c r="V87" i="31" s="1"/>
  <c r="Q87" i="31"/>
  <c r="T86" i="31"/>
  <c r="V86" i="31" s="1"/>
  <c r="Q86" i="31"/>
  <c r="T85" i="31"/>
  <c r="V85" i="31" s="1"/>
  <c r="Q85" i="31"/>
  <c r="V84" i="31"/>
  <c r="T84" i="31"/>
  <c r="Q84" i="31"/>
  <c r="T83" i="31"/>
  <c r="V83" i="31" s="1"/>
  <c r="Q83" i="31"/>
  <c r="T82" i="31"/>
  <c r="V82" i="31" s="1"/>
  <c r="Q82" i="31"/>
  <c r="T81" i="31"/>
  <c r="V81" i="31" s="1"/>
  <c r="Q81" i="31"/>
  <c r="T80" i="31"/>
  <c r="V80" i="31" s="1"/>
  <c r="Q80" i="31"/>
  <c r="T79" i="31"/>
  <c r="V79" i="31" s="1"/>
  <c r="Q79" i="31"/>
  <c r="T78" i="31"/>
  <c r="V78" i="31" s="1"/>
  <c r="Q78" i="31"/>
  <c r="T77" i="31"/>
  <c r="V77" i="31" s="1"/>
  <c r="Q77" i="31"/>
  <c r="V76" i="31"/>
  <c r="T76" i="31"/>
  <c r="Q76" i="31"/>
  <c r="T75" i="31"/>
  <c r="V75" i="31" s="1"/>
  <c r="Q75" i="31"/>
  <c r="T74" i="31"/>
  <c r="V74" i="31" s="1"/>
  <c r="Q74" i="31"/>
  <c r="T73" i="31"/>
  <c r="V73" i="31" s="1"/>
  <c r="Q73" i="31"/>
  <c r="T72" i="31"/>
  <c r="V72" i="31" s="1"/>
  <c r="Q72" i="31"/>
  <c r="T71" i="31"/>
  <c r="V71" i="31" s="1"/>
  <c r="Q71" i="31"/>
  <c r="T70" i="31"/>
  <c r="V70" i="31" s="1"/>
  <c r="Q70" i="31"/>
  <c r="T69" i="31"/>
  <c r="V69" i="31" s="1"/>
  <c r="Q69" i="31"/>
  <c r="V68" i="31"/>
  <c r="T68" i="31"/>
  <c r="Q68" i="31"/>
  <c r="T67" i="31"/>
  <c r="V67" i="31" s="1"/>
  <c r="Q67" i="31"/>
  <c r="T66" i="31"/>
  <c r="V66" i="31" s="1"/>
  <c r="Q66" i="31"/>
  <c r="T65" i="31"/>
  <c r="V65" i="31" s="1"/>
  <c r="Q65" i="31"/>
  <c r="T64" i="31"/>
  <c r="V64" i="31" s="1"/>
  <c r="Q64" i="31"/>
  <c r="T63" i="31"/>
  <c r="V63" i="31" s="1"/>
  <c r="Q63" i="31"/>
  <c r="T62" i="31"/>
  <c r="V62" i="31" s="1"/>
  <c r="Q62" i="31"/>
  <c r="T61" i="31"/>
  <c r="V61" i="31" s="1"/>
  <c r="Q61" i="31"/>
  <c r="V60" i="31"/>
  <c r="T60" i="31"/>
  <c r="Q60" i="31"/>
  <c r="T59" i="31"/>
  <c r="V59" i="31" s="1"/>
  <c r="Q59" i="31"/>
  <c r="T58" i="31"/>
  <c r="V58" i="31" s="1"/>
  <c r="Q58" i="31"/>
  <c r="T57" i="31"/>
  <c r="V57" i="31" s="1"/>
  <c r="Q57" i="31"/>
  <c r="T56" i="31"/>
  <c r="V56" i="31" s="1"/>
  <c r="Q56" i="31"/>
  <c r="T55" i="31"/>
  <c r="V55" i="31" s="1"/>
  <c r="Q55" i="31"/>
  <c r="T54" i="31"/>
  <c r="V54" i="31" s="1"/>
  <c r="Q54" i="31"/>
  <c r="T53" i="31"/>
  <c r="V53" i="31" s="1"/>
  <c r="Q53" i="31"/>
  <c r="V52" i="31"/>
  <c r="T52" i="31"/>
  <c r="Q52" i="31"/>
  <c r="T51" i="31"/>
  <c r="V51" i="31" s="1"/>
  <c r="Q51" i="31"/>
  <c r="T50" i="31"/>
  <c r="V50" i="31" s="1"/>
  <c r="Q50" i="31"/>
  <c r="T49" i="31"/>
  <c r="V49" i="31" s="1"/>
  <c r="Q49" i="31"/>
  <c r="T48" i="31"/>
  <c r="V48" i="31" s="1"/>
  <c r="Q48" i="31"/>
  <c r="T47" i="31"/>
  <c r="V47" i="31" s="1"/>
  <c r="Q47" i="31"/>
  <c r="T46" i="31"/>
  <c r="V46" i="31" s="1"/>
  <c r="Q46" i="31"/>
  <c r="T45" i="31"/>
  <c r="V45" i="31" s="1"/>
  <c r="Q45" i="31"/>
  <c r="V44" i="31"/>
  <c r="T44" i="31"/>
  <c r="Q44" i="31"/>
  <c r="T43" i="31"/>
  <c r="V43" i="31" s="1"/>
  <c r="Q43" i="31"/>
  <c r="T42" i="31"/>
  <c r="V42" i="31" s="1"/>
  <c r="Q42" i="31"/>
  <c r="T41" i="31"/>
  <c r="V41" i="31" s="1"/>
  <c r="Q41" i="31"/>
  <c r="T40" i="31"/>
  <c r="V40" i="31" s="1"/>
  <c r="Q40" i="31"/>
  <c r="T39" i="31"/>
  <c r="V39" i="31" s="1"/>
  <c r="Q39" i="31"/>
  <c r="T38" i="31"/>
  <c r="V38" i="31" s="1"/>
  <c r="Q38" i="31"/>
  <c r="T37" i="31"/>
  <c r="V37" i="31" s="1"/>
  <c r="Q37" i="31"/>
  <c r="V36" i="31"/>
  <c r="T36" i="31"/>
  <c r="Q36" i="31"/>
  <c r="T35" i="31"/>
  <c r="V35" i="31" s="1"/>
  <c r="Q35" i="31"/>
  <c r="T34" i="31"/>
  <c r="V34" i="31" s="1"/>
  <c r="Q34" i="31"/>
  <c r="T33" i="31"/>
  <c r="V33" i="31" s="1"/>
  <c r="Q33" i="31"/>
  <c r="T32" i="31"/>
  <c r="V32" i="31" s="1"/>
  <c r="Q32" i="31"/>
  <c r="T31" i="31"/>
  <c r="V31" i="31" s="1"/>
  <c r="Q31" i="31"/>
  <c r="T30" i="31"/>
  <c r="V30" i="31" s="1"/>
  <c r="Q30" i="31"/>
  <c r="T29" i="31"/>
  <c r="V29" i="31" s="1"/>
  <c r="Q29" i="31"/>
  <c r="V28" i="31"/>
  <c r="T28" i="31"/>
  <c r="Q28" i="31"/>
  <c r="T27" i="31"/>
  <c r="V27" i="31" s="1"/>
  <c r="Q27" i="31"/>
  <c r="T26" i="31"/>
  <c r="V26" i="31" s="1"/>
  <c r="Q26" i="31"/>
  <c r="T25" i="31"/>
  <c r="V25" i="31" s="1"/>
  <c r="Q25" i="31"/>
  <c r="T24" i="31"/>
  <c r="V24" i="31" s="1"/>
  <c r="Q24" i="31"/>
  <c r="T23" i="31"/>
  <c r="V23" i="31" s="1"/>
  <c r="Q23" i="31"/>
  <c r="T22" i="31"/>
  <c r="V22" i="31" s="1"/>
  <c r="Q22" i="31"/>
  <c r="T21" i="31"/>
  <c r="V21" i="31" s="1"/>
  <c r="Q21" i="31"/>
  <c r="V20" i="31"/>
  <c r="T20" i="31"/>
  <c r="Q20" i="31"/>
  <c r="T19" i="31"/>
  <c r="V19" i="31" s="1"/>
  <c r="Q19" i="31"/>
  <c r="T18" i="31"/>
  <c r="V18" i="31" s="1"/>
  <c r="Q18" i="31"/>
  <c r="T17" i="31"/>
  <c r="V17" i="31" s="1"/>
  <c r="Q17" i="31"/>
  <c r="T16" i="31"/>
  <c r="V16" i="31" s="1"/>
  <c r="Q16" i="31"/>
  <c r="T15" i="31"/>
  <c r="V15" i="31" s="1"/>
  <c r="Q15" i="31"/>
  <c r="T14" i="31"/>
  <c r="V14" i="31" s="1"/>
  <c r="Q14" i="31"/>
  <c r="T13" i="31"/>
  <c r="V13" i="31" s="1"/>
  <c r="Q13" i="31"/>
  <c r="V12" i="31"/>
  <c r="T12" i="31"/>
  <c r="Q12" i="31"/>
  <c r="T11" i="31"/>
  <c r="V11" i="31" s="1"/>
  <c r="Q11" i="31"/>
  <c r="T10" i="31"/>
  <c r="V10" i="31" s="1"/>
  <c r="Q10" i="31"/>
  <c r="T9" i="31"/>
  <c r="V9" i="31" s="1"/>
  <c r="Q9" i="31"/>
  <c r="T8" i="31"/>
  <c r="V8" i="31" s="1"/>
  <c r="Q8" i="31"/>
  <c r="T7" i="31"/>
  <c r="V7" i="31" s="1"/>
  <c r="Q7" i="31"/>
  <c r="T6" i="31"/>
  <c r="V6" i="31" s="1"/>
  <c r="Q6" i="31"/>
  <c r="T5" i="31"/>
  <c r="V5" i="31" s="1"/>
  <c r="Q5" i="31"/>
  <c r="V4" i="31"/>
  <c r="T4" i="3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73" i="30"/>
  <c r="T73" i="30"/>
  <c r="Q73" i="30"/>
  <c r="V72" i="30"/>
  <c r="T72" i="30"/>
  <c r="Q72" i="30"/>
  <c r="V71"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V83" i="29"/>
  <c r="T83" i="29"/>
  <c r="Q83" i="29"/>
  <c r="T82" i="29"/>
  <c r="V82" i="29" s="1"/>
  <c r="Q82" i="29"/>
  <c r="V81" i="29"/>
  <c r="T81" i="29"/>
  <c r="Q81" i="29"/>
  <c r="T80" i="29"/>
  <c r="V80" i="29" s="1"/>
  <c r="Q80" i="29"/>
  <c r="T79" i="29"/>
  <c r="V79" i="29" s="1"/>
  <c r="Q79" i="29"/>
  <c r="V78" i="29"/>
  <c r="T78" i="29"/>
  <c r="Q78" i="29"/>
  <c r="T77" i="29"/>
  <c r="V77" i="29" s="1"/>
  <c r="Q77" i="29"/>
  <c r="T76" i="29"/>
  <c r="V76" i="29" s="1"/>
  <c r="Q76" i="29"/>
  <c r="V75" i="29"/>
  <c r="T75" i="29"/>
  <c r="Q75" i="29"/>
  <c r="T74" i="29"/>
  <c r="V74" i="29" s="1"/>
  <c r="Q74" i="29"/>
  <c r="V73" i="29"/>
  <c r="T73" i="29"/>
  <c r="Q73" i="29"/>
  <c r="T72" i="29"/>
  <c r="V72" i="29" s="1"/>
  <c r="Q72" i="29"/>
  <c r="T71" i="29"/>
  <c r="V71" i="29" s="1"/>
  <c r="Q71" i="29"/>
  <c r="V70" i="29"/>
  <c r="T70" i="29"/>
  <c r="Q70" i="29"/>
  <c r="T69" i="29"/>
  <c r="V69" i="29" s="1"/>
  <c r="Q69" i="29"/>
  <c r="T68" i="29"/>
  <c r="V68" i="29" s="1"/>
  <c r="Q68" i="29"/>
  <c r="V67" i="29"/>
  <c r="T67" i="29"/>
  <c r="Q67" i="29"/>
  <c r="T66" i="29"/>
  <c r="V66" i="29" s="1"/>
  <c r="Q66" i="29"/>
  <c r="V65" i="29"/>
  <c r="T65" i="29"/>
  <c r="Q65" i="29"/>
  <c r="T64" i="29"/>
  <c r="V64" i="29" s="1"/>
  <c r="Q64" i="29"/>
  <c r="T63" i="29"/>
  <c r="V63" i="29" s="1"/>
  <c r="Q63" i="29"/>
  <c r="V62" i="29"/>
  <c r="T62" i="29"/>
  <c r="Q62" i="29"/>
  <c r="T61" i="29"/>
  <c r="V61" i="29" s="1"/>
  <c r="Q61" i="29"/>
  <c r="T60" i="29"/>
  <c r="V60" i="29" s="1"/>
  <c r="Q60" i="29"/>
  <c r="V59" i="29"/>
  <c r="T59" i="29"/>
  <c r="Q59" i="29"/>
  <c r="T58" i="29"/>
  <c r="V58" i="29" s="1"/>
  <c r="Q58" i="29"/>
  <c r="V57" i="29"/>
  <c r="T57" i="29"/>
  <c r="Q57" i="29"/>
  <c r="T56" i="29"/>
  <c r="V56" i="29" s="1"/>
  <c r="Q56" i="29"/>
  <c r="T55" i="29"/>
  <c r="V55" i="29" s="1"/>
  <c r="Q55" i="29"/>
  <c r="V54" i="29"/>
  <c r="T54" i="29"/>
  <c r="Q54" i="29"/>
  <c r="T53" i="29"/>
  <c r="V53" i="29" s="1"/>
  <c r="Q53" i="29"/>
  <c r="T52" i="29"/>
  <c r="V52" i="29" s="1"/>
  <c r="Q52" i="29"/>
  <c r="V51" i="29"/>
  <c r="T51" i="29"/>
  <c r="Q51" i="29"/>
  <c r="T50" i="29"/>
  <c r="V50" i="29" s="1"/>
  <c r="Q50" i="29"/>
  <c r="V49" i="29"/>
  <c r="T49" i="29"/>
  <c r="Q49" i="29"/>
  <c r="T48" i="29"/>
  <c r="V48" i="29" s="1"/>
  <c r="Q48" i="29"/>
  <c r="T47" i="29"/>
  <c r="V47" i="29" s="1"/>
  <c r="Q47" i="29"/>
  <c r="V46" i="29"/>
  <c r="T46" i="29"/>
  <c r="Q46" i="29"/>
  <c r="T45" i="29"/>
  <c r="V45" i="29" s="1"/>
  <c r="Q45" i="29"/>
  <c r="T44" i="29"/>
  <c r="V44" i="29" s="1"/>
  <c r="Q44" i="29"/>
  <c r="V43" i="29"/>
  <c r="T43" i="29"/>
  <c r="Q43" i="29"/>
  <c r="T42" i="29"/>
  <c r="V42" i="29" s="1"/>
  <c r="Q42" i="29"/>
  <c r="V41" i="29"/>
  <c r="T41" i="29"/>
  <c r="Q41" i="29"/>
  <c r="T40" i="29"/>
  <c r="V40" i="29" s="1"/>
  <c r="Q40" i="29"/>
  <c r="T39" i="29"/>
  <c r="V39" i="29" s="1"/>
  <c r="Q39" i="29"/>
  <c r="V38" i="29"/>
  <c r="T38" i="29"/>
  <c r="Q38" i="29"/>
  <c r="T37" i="29"/>
  <c r="V37" i="29" s="1"/>
  <c r="Q37" i="29"/>
  <c r="T36" i="29"/>
  <c r="V36" i="29" s="1"/>
  <c r="Q36" i="29"/>
  <c r="V35" i="29"/>
  <c r="T35" i="29"/>
  <c r="Q35" i="29"/>
  <c r="T34" i="29"/>
  <c r="V34" i="29" s="1"/>
  <c r="Q34" i="29"/>
  <c r="V33" i="29"/>
  <c r="T33" i="29"/>
  <c r="Q33" i="29"/>
  <c r="T32" i="29"/>
  <c r="V32" i="29" s="1"/>
  <c r="Q32" i="29"/>
  <c r="T31" i="29"/>
  <c r="V31" i="29" s="1"/>
  <c r="Q31" i="29"/>
  <c r="V30" i="29"/>
  <c r="T30" i="29"/>
  <c r="Q30" i="29"/>
  <c r="T29" i="29"/>
  <c r="V29" i="29" s="1"/>
  <c r="Q29" i="29"/>
  <c r="T28" i="29"/>
  <c r="V28" i="29" s="1"/>
  <c r="Q28" i="29"/>
  <c r="V27" i="29"/>
  <c r="T27" i="29"/>
  <c r="Q27" i="29"/>
  <c r="T26" i="29"/>
  <c r="V26" i="29" s="1"/>
  <c r="Q26" i="29"/>
  <c r="V25" i="29"/>
  <c r="T25" i="29"/>
  <c r="Q25" i="29"/>
  <c r="T24" i="29"/>
  <c r="V24" i="29" s="1"/>
  <c r="Q24" i="29"/>
  <c r="T23" i="29"/>
  <c r="V23" i="29" s="1"/>
  <c r="Q23" i="29"/>
  <c r="V22" i="29"/>
  <c r="T22" i="29"/>
  <c r="Q22" i="29"/>
  <c r="T21" i="29"/>
  <c r="V21" i="29" s="1"/>
  <c r="Q21" i="29"/>
  <c r="T20" i="29"/>
  <c r="V20" i="29" s="1"/>
  <c r="Q20" i="29"/>
  <c r="V19" i="29"/>
  <c r="T19" i="29"/>
  <c r="Q19" i="29"/>
  <c r="T18" i="29"/>
  <c r="V18" i="29" s="1"/>
  <c r="Q18" i="29"/>
  <c r="V17" i="29"/>
  <c r="T17" i="29"/>
  <c r="Q17" i="29"/>
  <c r="T16" i="29"/>
  <c r="V16" i="29" s="1"/>
  <c r="Q16" i="29"/>
  <c r="T15" i="29"/>
  <c r="V15" i="29" s="1"/>
  <c r="Q15" i="29"/>
  <c r="V14" i="29"/>
  <c r="T14" i="29"/>
  <c r="Q14" i="29"/>
  <c r="T13" i="29"/>
  <c r="V13" i="29" s="1"/>
  <c r="Q13" i="29"/>
  <c r="T12" i="29"/>
  <c r="V12" i="29" s="1"/>
  <c r="Q12" i="29"/>
  <c r="V11" i="29"/>
  <c r="T11" i="29"/>
  <c r="Q11" i="29"/>
  <c r="T10" i="29"/>
  <c r="V10" i="29" s="1"/>
  <c r="Q10" i="29"/>
  <c r="V9" i="29"/>
  <c r="T9" i="29"/>
  <c r="Q9" i="29"/>
  <c r="T8" i="29"/>
  <c r="V8" i="29" s="1"/>
  <c r="Q8" i="29"/>
  <c r="T7" i="29"/>
  <c r="V7" i="29" s="1"/>
  <c r="Q7" i="29"/>
  <c r="V6" i="29"/>
  <c r="T6" i="29"/>
  <c r="Q6" i="29"/>
  <c r="T5" i="29"/>
  <c r="V5" i="29" s="1"/>
  <c r="Q5" i="29"/>
  <c r="T4" i="29"/>
  <c r="V4" i="29" s="1"/>
  <c r="Q4" i="29"/>
  <c r="V3" i="29"/>
  <c r="T3" i="29"/>
  <c r="Q3" i="29"/>
  <c r="T2" i="29"/>
  <c r="V2" i="29" s="1"/>
  <c r="Q2" i="29"/>
  <c r="T88" i="28" l="1"/>
  <c r="V88" i="28" s="1"/>
  <c r="Q88" i="28"/>
  <c r="T87" i="28"/>
  <c r="V87" i="28" s="1"/>
  <c r="Q87" i="28"/>
  <c r="T86" i="28"/>
  <c r="V86" i="28" s="1"/>
  <c r="Q86" i="28"/>
  <c r="T85" i="28"/>
  <c r="V85" i="28" s="1"/>
  <c r="Q85" i="28"/>
  <c r="V84" i="28"/>
  <c r="T84" i="28"/>
  <c r="Q84" i="28"/>
  <c r="V83" i="28"/>
  <c r="T83" i="28"/>
  <c r="Q83" i="28"/>
  <c r="T82" i="28"/>
  <c r="V82" i="28" s="1"/>
  <c r="Q82" i="28"/>
  <c r="T81" i="28"/>
  <c r="V81" i="28" s="1"/>
  <c r="Q81" i="28"/>
  <c r="T80" i="28"/>
  <c r="V80" i="28" s="1"/>
  <c r="Q80" i="28"/>
  <c r="T79" i="28"/>
  <c r="V79" i="28" s="1"/>
  <c r="Q79" i="28"/>
  <c r="T78" i="28"/>
  <c r="V78" i="28" s="1"/>
  <c r="Q78" i="28"/>
  <c r="T77" i="28"/>
  <c r="V77" i="28" s="1"/>
  <c r="Q77" i="28"/>
  <c r="V76" i="28"/>
  <c r="T76" i="28"/>
  <c r="Q76" i="28"/>
  <c r="V75" i="28"/>
  <c r="T75" i="28"/>
  <c r="Q75" i="28"/>
  <c r="T74" i="28"/>
  <c r="V74" i="28" s="1"/>
  <c r="Q74" i="28"/>
  <c r="T73" i="28"/>
  <c r="V73" i="28" s="1"/>
  <c r="Q73" i="28"/>
  <c r="T72" i="28"/>
  <c r="V72" i="28" s="1"/>
  <c r="Q72" i="28"/>
  <c r="T71" i="28"/>
  <c r="V71" i="28" s="1"/>
  <c r="Q71" i="28"/>
  <c r="T70" i="28"/>
  <c r="V70" i="28" s="1"/>
  <c r="Q70" i="28"/>
  <c r="T69" i="28"/>
  <c r="V69" i="28" s="1"/>
  <c r="Q69" i="28"/>
  <c r="V68" i="28"/>
  <c r="T68" i="28"/>
  <c r="Q68" i="28"/>
  <c r="V67" i="28"/>
  <c r="T67" i="28"/>
  <c r="Q67" i="28"/>
  <c r="T66" i="28"/>
  <c r="V66" i="28" s="1"/>
  <c r="Q66" i="28"/>
  <c r="T65" i="28"/>
  <c r="V65" i="28" s="1"/>
  <c r="Q65" i="28"/>
  <c r="T64" i="28"/>
  <c r="V64" i="28" s="1"/>
  <c r="Q64" i="28"/>
  <c r="T63" i="28"/>
  <c r="V63" i="28" s="1"/>
  <c r="Q63" i="28"/>
  <c r="T62" i="28"/>
  <c r="V62" i="28" s="1"/>
  <c r="Q62" i="28"/>
  <c r="T61" i="28"/>
  <c r="V61" i="28" s="1"/>
  <c r="Q61" i="28"/>
  <c r="V60" i="28"/>
  <c r="T60" i="28"/>
  <c r="Q60" i="28"/>
  <c r="V59" i="28"/>
  <c r="T59" i="28"/>
  <c r="Q59" i="28"/>
  <c r="T58" i="28"/>
  <c r="V58" i="28" s="1"/>
  <c r="Q58" i="28"/>
  <c r="T57" i="28"/>
  <c r="V57" i="28" s="1"/>
  <c r="Q57" i="28"/>
  <c r="T56" i="28"/>
  <c r="V56" i="28" s="1"/>
  <c r="Q56" i="28"/>
  <c r="T55" i="28"/>
  <c r="V55" i="28" s="1"/>
  <c r="Q55" i="28"/>
  <c r="T54" i="28"/>
  <c r="V54" i="28" s="1"/>
  <c r="Q54" i="28"/>
  <c r="V53" i="28"/>
  <c r="T53" i="28"/>
  <c r="Q53" i="28"/>
  <c r="V52" i="28"/>
  <c r="T52" i="28"/>
  <c r="Q52" i="28"/>
  <c r="V51" i="28"/>
  <c r="T51" i="28"/>
  <c r="Q51" i="28"/>
  <c r="T50" i="28"/>
  <c r="V50" i="28" s="1"/>
  <c r="Q50" i="28"/>
  <c r="T49" i="28"/>
  <c r="V49" i="28" s="1"/>
  <c r="Q49" i="28"/>
  <c r="T48" i="28"/>
  <c r="V48" i="28" s="1"/>
  <c r="Q48" i="28"/>
  <c r="T47" i="28"/>
  <c r="V47" i="28" s="1"/>
  <c r="Q47" i="28"/>
  <c r="T46" i="28"/>
  <c r="V46" i="28" s="1"/>
  <c r="Q46" i="28"/>
  <c r="V45" i="28"/>
  <c r="T45" i="28"/>
  <c r="Q45" i="28"/>
  <c r="V44" i="28"/>
  <c r="T44" i="28"/>
  <c r="Q44" i="28"/>
  <c r="V43" i="28"/>
  <c r="T43" i="28"/>
  <c r="Q43" i="28"/>
  <c r="T42" i="28"/>
  <c r="V42" i="28" s="1"/>
  <c r="Q42" i="28"/>
  <c r="T41" i="28"/>
  <c r="V41" i="28" s="1"/>
  <c r="Q41" i="28"/>
  <c r="T40" i="28"/>
  <c r="V40" i="28" s="1"/>
  <c r="Q40" i="28"/>
  <c r="T39" i="28"/>
  <c r="V39" i="28" s="1"/>
  <c r="Q39" i="28"/>
  <c r="T38" i="28"/>
  <c r="V38" i="28" s="1"/>
  <c r="Q38" i="28"/>
  <c r="V37" i="28"/>
  <c r="T37" i="28"/>
  <c r="Q37" i="28"/>
  <c r="V36" i="28"/>
  <c r="T36" i="28"/>
  <c r="Q36" i="28"/>
  <c r="V35" i="28"/>
  <c r="T35" i="28"/>
  <c r="Q35" i="28"/>
  <c r="T34" i="28"/>
  <c r="V34" i="28" s="1"/>
  <c r="Q34" i="28"/>
  <c r="T33" i="28"/>
  <c r="V33" i="28" s="1"/>
  <c r="Q33" i="28"/>
  <c r="T32" i="28"/>
  <c r="V32" i="28" s="1"/>
  <c r="Q32" i="28"/>
  <c r="T31" i="28"/>
  <c r="V31" i="28" s="1"/>
  <c r="Q31" i="28"/>
  <c r="T30" i="28"/>
  <c r="V30" i="28" s="1"/>
  <c r="Q30" i="28"/>
  <c r="V29" i="28"/>
  <c r="T29" i="28"/>
  <c r="Q29" i="28"/>
  <c r="V28" i="28"/>
  <c r="T28" i="28"/>
  <c r="Q28" i="28"/>
  <c r="V27" i="28"/>
  <c r="T27" i="28"/>
  <c r="Q27" i="28"/>
  <c r="T26" i="28"/>
  <c r="V26" i="28" s="1"/>
  <c r="Q26" i="28"/>
  <c r="T25" i="28"/>
  <c r="V25" i="28" s="1"/>
  <c r="Q25" i="28"/>
  <c r="T24" i="28"/>
  <c r="V24" i="28" s="1"/>
  <c r="Q24" i="28"/>
  <c r="T23" i="28"/>
  <c r="V23" i="28" s="1"/>
  <c r="Q23" i="28"/>
  <c r="T22" i="28"/>
  <c r="V22" i="28" s="1"/>
  <c r="Q22" i="28"/>
  <c r="V21" i="28"/>
  <c r="T21" i="28"/>
  <c r="Q21" i="28"/>
  <c r="V20" i="28"/>
  <c r="T20" i="28"/>
  <c r="Q20" i="28"/>
  <c r="V19" i="28"/>
  <c r="T19" i="28"/>
  <c r="Q19" i="28"/>
  <c r="T18" i="28"/>
  <c r="V18" i="28" s="1"/>
  <c r="Q18" i="28"/>
  <c r="T17" i="28"/>
  <c r="V17" i="28" s="1"/>
  <c r="Q17" i="28"/>
  <c r="T16" i="28"/>
  <c r="V16" i="28" s="1"/>
  <c r="Q16" i="28"/>
  <c r="T15" i="28"/>
  <c r="V15" i="28" s="1"/>
  <c r="Q15" i="28"/>
  <c r="T14" i="28"/>
  <c r="V14" i="28" s="1"/>
  <c r="Q14" i="28"/>
  <c r="V13" i="28"/>
  <c r="T13" i="28"/>
  <c r="Q13" i="28"/>
  <c r="V12" i="28"/>
  <c r="T12" i="28"/>
  <c r="Q12" i="28"/>
  <c r="V11" i="28"/>
  <c r="T11" i="28"/>
  <c r="Q11" i="28"/>
  <c r="T10" i="28"/>
  <c r="V10" i="28" s="1"/>
  <c r="Q10" i="28"/>
  <c r="T9" i="28"/>
  <c r="V9" i="28" s="1"/>
  <c r="Q9" i="28"/>
  <c r="T8" i="28"/>
  <c r="V8" i="28" s="1"/>
  <c r="Q8" i="28"/>
  <c r="T7" i="28"/>
  <c r="V7" i="28" s="1"/>
  <c r="Q7" i="28"/>
  <c r="T6" i="28"/>
  <c r="V6" i="28" s="1"/>
  <c r="Q6" i="28"/>
  <c r="V5" i="28"/>
  <c r="T5" i="28"/>
  <c r="Q5" i="28"/>
  <c r="V4" i="28"/>
  <c r="T4" i="28"/>
  <c r="Q4" i="28"/>
  <c r="V3" i="28"/>
  <c r="T3" i="28"/>
  <c r="Q3" i="28"/>
  <c r="T2" i="28"/>
  <c r="V2" i="28" s="1"/>
  <c r="Q2" i="28"/>
  <c r="T70" i="27"/>
  <c r="V70" i="27" s="1"/>
  <c r="Q70" i="27"/>
  <c r="T69" i="27"/>
  <c r="V69" i="27" s="1"/>
  <c r="Q69" i="27"/>
  <c r="T68" i="27"/>
  <c r="V68" i="27" s="1"/>
  <c r="Q68" i="27"/>
  <c r="T67" i="27"/>
  <c r="V67" i="27" s="1"/>
  <c r="Q67" i="27"/>
  <c r="V66" i="27"/>
  <c r="T66" i="27"/>
  <c r="Q66" i="27"/>
  <c r="T65" i="27"/>
  <c r="V65" i="27" s="1"/>
  <c r="Q65" i="27"/>
  <c r="T64" i="27"/>
  <c r="V64" i="27" s="1"/>
  <c r="Q64" i="27"/>
  <c r="T63" i="27"/>
  <c r="V63" i="27" s="1"/>
  <c r="Q63" i="27"/>
  <c r="T62" i="27"/>
  <c r="V62" i="27" s="1"/>
  <c r="Q62" i="27"/>
  <c r="T61" i="27"/>
  <c r="V61" i="27" s="1"/>
  <c r="Q61" i="27"/>
  <c r="T60" i="27"/>
  <c r="V60" i="27" s="1"/>
  <c r="Q60" i="27"/>
  <c r="T59" i="27"/>
  <c r="V59" i="27" s="1"/>
  <c r="Q59" i="27"/>
  <c r="V58" i="27"/>
  <c r="T58" i="27"/>
  <c r="Q58" i="27"/>
  <c r="T57" i="27"/>
  <c r="V57" i="27" s="1"/>
  <c r="Q57" i="27"/>
  <c r="T56" i="27"/>
  <c r="V56" i="27" s="1"/>
  <c r="Q56" i="27"/>
  <c r="T55" i="27"/>
  <c r="V55" i="27" s="1"/>
  <c r="Q55" i="27"/>
  <c r="T54" i="27"/>
  <c r="V54" i="27" s="1"/>
  <c r="Q54" i="27"/>
  <c r="T53" i="27"/>
  <c r="V53" i="27" s="1"/>
  <c r="Q53" i="27"/>
  <c r="T52" i="27"/>
  <c r="V52" i="27" s="1"/>
  <c r="Q52" i="27"/>
  <c r="T51" i="27"/>
  <c r="V51" i="27" s="1"/>
  <c r="Q51" i="27"/>
  <c r="V50" i="27"/>
  <c r="T50" i="27"/>
  <c r="Q50" i="27"/>
  <c r="T49" i="27"/>
  <c r="V49" i="27" s="1"/>
  <c r="Q49" i="27"/>
  <c r="T48" i="27"/>
  <c r="V48" i="27" s="1"/>
  <c r="Q48" i="27"/>
  <c r="T47" i="27"/>
  <c r="V47" i="27" s="1"/>
  <c r="Q47" i="27"/>
  <c r="T46" i="27"/>
  <c r="V46" i="27" s="1"/>
  <c r="Q46" i="27"/>
  <c r="T45" i="27"/>
  <c r="V45" i="27" s="1"/>
  <c r="Q45" i="27"/>
  <c r="T44" i="27"/>
  <c r="V44" i="27" s="1"/>
  <c r="Q44" i="27"/>
  <c r="T43" i="27"/>
  <c r="V43" i="27" s="1"/>
  <c r="Q43" i="27"/>
  <c r="V42" i="27"/>
  <c r="T42" i="27"/>
  <c r="Q42" i="27"/>
  <c r="T41" i="27"/>
  <c r="V41" i="27" s="1"/>
  <c r="Q41" i="27"/>
  <c r="T40" i="27"/>
  <c r="V40" i="27" s="1"/>
  <c r="Q40" i="27"/>
  <c r="T39" i="27"/>
  <c r="V39" i="27" s="1"/>
  <c r="Q39" i="27"/>
  <c r="T38" i="27"/>
  <c r="V38" i="27" s="1"/>
  <c r="Q38" i="27"/>
  <c r="T37" i="27"/>
  <c r="V37" i="27" s="1"/>
  <c r="Q37" i="27"/>
  <c r="T36" i="27"/>
  <c r="V36" i="27" s="1"/>
  <c r="Q36" i="27"/>
  <c r="T35" i="27"/>
  <c r="V35" i="27" s="1"/>
  <c r="Q35" i="27"/>
  <c r="V34" i="27"/>
  <c r="T34" i="27"/>
  <c r="Q34" i="27"/>
  <c r="T33" i="27"/>
  <c r="V33" i="27" s="1"/>
  <c r="Q33" i="27"/>
  <c r="T32" i="27"/>
  <c r="V32" i="27" s="1"/>
  <c r="Q32" i="27"/>
  <c r="T31" i="27"/>
  <c r="V31" i="27" s="1"/>
  <c r="Q31" i="27"/>
  <c r="T30" i="27"/>
  <c r="V30" i="27" s="1"/>
  <c r="Q30" i="27"/>
  <c r="T29" i="27"/>
  <c r="V29" i="27" s="1"/>
  <c r="Q29" i="27"/>
  <c r="T28" i="27"/>
  <c r="V28" i="27" s="1"/>
  <c r="Q28" i="27"/>
  <c r="T27" i="27"/>
  <c r="V27" i="27" s="1"/>
  <c r="Q27" i="27"/>
  <c r="V26" i="27"/>
  <c r="T26" i="27"/>
  <c r="Q26" i="27"/>
  <c r="T25" i="27"/>
  <c r="V25" i="27" s="1"/>
  <c r="Q25" i="27"/>
  <c r="T24" i="27"/>
  <c r="V24" i="27" s="1"/>
  <c r="Q24" i="27"/>
  <c r="T23" i="27"/>
  <c r="V23" i="27" s="1"/>
  <c r="Q23" i="27"/>
  <c r="T22" i="27"/>
  <c r="V22" i="27" s="1"/>
  <c r="Q22" i="27"/>
  <c r="T21" i="27"/>
  <c r="V21" i="27" s="1"/>
  <c r="Q21" i="27"/>
  <c r="T20" i="27"/>
  <c r="V20" i="27" s="1"/>
  <c r="Q20" i="27"/>
  <c r="T19" i="27"/>
  <c r="V19" i="27" s="1"/>
  <c r="Q19" i="27"/>
  <c r="V18" i="27"/>
  <c r="T18" i="27"/>
  <c r="Q18" i="27"/>
  <c r="T17" i="27"/>
  <c r="V17" i="27" s="1"/>
  <c r="Q17" i="27"/>
  <c r="T16" i="27"/>
  <c r="V16" i="27" s="1"/>
  <c r="Q16" i="27"/>
  <c r="T15" i="27"/>
  <c r="V15" i="27" s="1"/>
  <c r="Q15" i="27"/>
  <c r="T14" i="27"/>
  <c r="V14" i="27" s="1"/>
  <c r="Q14" i="27"/>
  <c r="T13" i="27"/>
  <c r="V13" i="27" s="1"/>
  <c r="Q13" i="27"/>
  <c r="T12" i="27"/>
  <c r="V12" i="27" s="1"/>
  <c r="Q12" i="27"/>
  <c r="T11" i="27"/>
  <c r="V11" i="27" s="1"/>
  <c r="Q11" i="27"/>
  <c r="V10" i="27"/>
  <c r="T10" i="27"/>
  <c r="Q10" i="27"/>
  <c r="T9" i="27"/>
  <c r="V9" i="27" s="1"/>
  <c r="Q9" i="27"/>
  <c r="T8" i="27"/>
  <c r="V8" i="27" s="1"/>
  <c r="Q8" i="27"/>
  <c r="T7" i="27"/>
  <c r="V7" i="27" s="1"/>
  <c r="Q7" i="27"/>
  <c r="T6" i="27"/>
  <c r="V6" i="27" s="1"/>
  <c r="Q6" i="27"/>
  <c r="T5" i="27"/>
  <c r="V5" i="27" s="1"/>
  <c r="Q5" i="27"/>
  <c r="T4" i="27"/>
  <c r="V4" i="27" s="1"/>
  <c r="Q4" i="27"/>
  <c r="T3" i="27"/>
  <c r="V3" i="27" s="1"/>
  <c r="Q3" i="27"/>
  <c r="V2" i="27"/>
  <c r="T2" i="27"/>
  <c r="Q2" i="27"/>
  <c r="T148" i="26" l="1"/>
  <c r="V148" i="26" s="1"/>
  <c r="Q148" i="26"/>
  <c r="T147" i="26"/>
  <c r="V147" i="26" s="1"/>
  <c r="Q147" i="26"/>
  <c r="V146" i="26"/>
  <c r="T146" i="26"/>
  <c r="Q146" i="26"/>
  <c r="V145" i="26"/>
  <c r="T145" i="26"/>
  <c r="Q145" i="26"/>
  <c r="T144" i="26"/>
  <c r="V144" i="26" s="1"/>
  <c r="Q144" i="26"/>
  <c r="V143" i="26"/>
  <c r="T143" i="26"/>
  <c r="Q143" i="26"/>
  <c r="T142" i="26"/>
  <c r="V142" i="26" s="1"/>
  <c r="Q142" i="26"/>
  <c r="T141" i="26"/>
  <c r="V141" i="26" s="1"/>
  <c r="Q141" i="26"/>
  <c r="T140" i="26"/>
  <c r="V140" i="26" s="1"/>
  <c r="Q140" i="26"/>
  <c r="T139" i="26"/>
  <c r="V139" i="26" s="1"/>
  <c r="Q139" i="26"/>
  <c r="V138" i="26"/>
  <c r="T138" i="26"/>
  <c r="Q138" i="26"/>
  <c r="V137" i="26"/>
  <c r="T137" i="26"/>
  <c r="Q137" i="26"/>
  <c r="T136" i="26"/>
  <c r="V136" i="26" s="1"/>
  <c r="Q136" i="26"/>
  <c r="V135" i="26"/>
  <c r="T135" i="26"/>
  <c r="Q135" i="26"/>
  <c r="T134" i="26"/>
  <c r="V134" i="26" s="1"/>
  <c r="Q134" i="26"/>
  <c r="T133" i="26"/>
  <c r="V133" i="26" s="1"/>
  <c r="Q133" i="26"/>
  <c r="T132" i="26"/>
  <c r="V132" i="26" s="1"/>
  <c r="Q132" i="26"/>
  <c r="T131" i="26"/>
  <c r="V131" i="26" s="1"/>
  <c r="Q131" i="26"/>
  <c r="V130" i="26"/>
  <c r="T130" i="26"/>
  <c r="Q130" i="26"/>
  <c r="V129" i="26"/>
  <c r="T129" i="26"/>
  <c r="Q129" i="26"/>
  <c r="T128" i="26"/>
  <c r="V128" i="26" s="1"/>
  <c r="Q128" i="26"/>
  <c r="V127" i="26"/>
  <c r="T127" i="26"/>
  <c r="Q127" i="26"/>
  <c r="T126" i="26"/>
  <c r="V126" i="26" s="1"/>
  <c r="Q126" i="26"/>
  <c r="T125" i="26"/>
  <c r="V125" i="26" s="1"/>
  <c r="Q125" i="26"/>
  <c r="T124" i="26"/>
  <c r="V124" i="26" s="1"/>
  <c r="Q124" i="26"/>
  <c r="T123" i="26"/>
  <c r="V123" i="26" s="1"/>
  <c r="Q123" i="26"/>
  <c r="V122" i="26"/>
  <c r="T122" i="26"/>
  <c r="Q122" i="26"/>
  <c r="V121" i="26"/>
  <c r="T121" i="26"/>
  <c r="Q121" i="26"/>
  <c r="T120" i="26"/>
  <c r="V120" i="26" s="1"/>
  <c r="Q120" i="26"/>
  <c r="V119" i="26"/>
  <c r="T119" i="26"/>
  <c r="Q119" i="26"/>
  <c r="T118" i="26"/>
  <c r="V118" i="26" s="1"/>
  <c r="Q118" i="26"/>
  <c r="T117" i="26"/>
  <c r="V117" i="26" s="1"/>
  <c r="Q117" i="26"/>
  <c r="T116" i="26"/>
  <c r="V116" i="26" s="1"/>
  <c r="Q116" i="26"/>
  <c r="T115" i="26"/>
  <c r="V115" i="26" s="1"/>
  <c r="Q115" i="26"/>
  <c r="V114" i="26"/>
  <c r="T114" i="26"/>
  <c r="Q114" i="26"/>
  <c r="V113" i="26"/>
  <c r="T113" i="26"/>
  <c r="Q113" i="26"/>
  <c r="T112" i="26"/>
  <c r="V112" i="26" s="1"/>
  <c r="Q112" i="26"/>
  <c r="V111" i="26"/>
  <c r="T111" i="26"/>
  <c r="Q111" i="26"/>
  <c r="T110" i="26"/>
  <c r="V110" i="26" s="1"/>
  <c r="Q110" i="26"/>
  <c r="T109" i="26"/>
  <c r="V109" i="26" s="1"/>
  <c r="Q109" i="26"/>
  <c r="T108" i="26"/>
  <c r="V108" i="26" s="1"/>
  <c r="Q108" i="26"/>
  <c r="T107" i="26"/>
  <c r="V107" i="26" s="1"/>
  <c r="Q107" i="26"/>
  <c r="V106" i="26"/>
  <c r="T106" i="26"/>
  <c r="Q106" i="26"/>
  <c r="V105" i="26"/>
  <c r="T105" i="26"/>
  <c r="Q105" i="26"/>
  <c r="T104" i="26"/>
  <c r="V104" i="26" s="1"/>
  <c r="Q104" i="26"/>
  <c r="V103" i="26"/>
  <c r="T103" i="26"/>
  <c r="Q103" i="26"/>
  <c r="T102" i="26"/>
  <c r="V102" i="26" s="1"/>
  <c r="Q102" i="26"/>
  <c r="T101" i="26"/>
  <c r="V101" i="26" s="1"/>
  <c r="Q101" i="26"/>
  <c r="T100" i="26"/>
  <c r="V100" i="26" s="1"/>
  <c r="Q100" i="26"/>
  <c r="T99" i="26"/>
  <c r="V99" i="26" s="1"/>
  <c r="Q99" i="26"/>
  <c r="V98" i="26"/>
  <c r="T98" i="26"/>
  <c r="Q98" i="26"/>
  <c r="V97" i="26"/>
  <c r="T97" i="26"/>
  <c r="Q97" i="26"/>
  <c r="T96" i="26"/>
  <c r="V96" i="26" s="1"/>
  <c r="Q96" i="26"/>
  <c r="V95" i="26"/>
  <c r="T95" i="26"/>
  <c r="Q95" i="26"/>
  <c r="T94" i="26"/>
  <c r="V94" i="26" s="1"/>
  <c r="Q94" i="26"/>
  <c r="T93" i="26"/>
  <c r="V93" i="26" s="1"/>
  <c r="Q93" i="26"/>
  <c r="T92" i="26"/>
  <c r="V92" i="26" s="1"/>
  <c r="Q92" i="26"/>
  <c r="T91" i="26"/>
  <c r="V91" i="26" s="1"/>
  <c r="Q91" i="26"/>
  <c r="V90" i="26"/>
  <c r="T90" i="26"/>
  <c r="Q90" i="26"/>
  <c r="V89" i="26"/>
  <c r="T89" i="26"/>
  <c r="Q89" i="26"/>
  <c r="T88" i="26"/>
  <c r="V88" i="26" s="1"/>
  <c r="Q88" i="26"/>
  <c r="V87" i="26"/>
  <c r="T87" i="26"/>
  <c r="Q87" i="26"/>
  <c r="T86" i="26"/>
  <c r="V86" i="26" s="1"/>
  <c r="Q86" i="26"/>
  <c r="T85" i="26"/>
  <c r="V85" i="26" s="1"/>
  <c r="Q85" i="26"/>
  <c r="T84" i="26"/>
  <c r="V84" i="26" s="1"/>
  <c r="Q84" i="26"/>
  <c r="T83" i="26"/>
  <c r="V83" i="26" s="1"/>
  <c r="Q83" i="26"/>
  <c r="V82" i="26"/>
  <c r="T82" i="26"/>
  <c r="Q82" i="26"/>
  <c r="V81" i="26"/>
  <c r="T81" i="26"/>
  <c r="Q81" i="26"/>
  <c r="T80" i="26"/>
  <c r="V80" i="26" s="1"/>
  <c r="Q80" i="26"/>
  <c r="V79" i="26"/>
  <c r="T79" i="26"/>
  <c r="Q79" i="26"/>
  <c r="T78" i="26"/>
  <c r="V78" i="26" s="1"/>
  <c r="Q78" i="26"/>
  <c r="T77" i="26"/>
  <c r="V77" i="26" s="1"/>
  <c r="Q77" i="26"/>
  <c r="T76" i="26"/>
  <c r="V76" i="26" s="1"/>
  <c r="Q76" i="26"/>
  <c r="T75" i="26"/>
  <c r="V75" i="26" s="1"/>
  <c r="Q75" i="26"/>
  <c r="V74" i="26"/>
  <c r="T74" i="26"/>
  <c r="Q74" i="26"/>
  <c r="V73" i="26"/>
  <c r="T73" i="26"/>
  <c r="Q73" i="26"/>
  <c r="T72" i="26"/>
  <c r="V72" i="26" s="1"/>
  <c r="Q72" i="26"/>
  <c r="V71" i="26"/>
  <c r="T71" i="26"/>
  <c r="Q71" i="26"/>
  <c r="T70" i="26"/>
  <c r="V70" i="26" s="1"/>
  <c r="Q70" i="26"/>
  <c r="T69" i="26"/>
  <c r="V69" i="26" s="1"/>
  <c r="Q69" i="26"/>
  <c r="T68" i="26"/>
  <c r="V68" i="26" s="1"/>
  <c r="Q68" i="26"/>
  <c r="T67" i="26"/>
  <c r="V67" i="26" s="1"/>
  <c r="Q67" i="26"/>
  <c r="V66" i="26"/>
  <c r="T66" i="26"/>
  <c r="Q66" i="26"/>
  <c r="V65" i="26"/>
  <c r="T65" i="26"/>
  <c r="Q65" i="26"/>
  <c r="T64" i="26"/>
  <c r="V64" i="26" s="1"/>
  <c r="Q64" i="26"/>
  <c r="V63" i="26"/>
  <c r="T63" i="26"/>
  <c r="Q63" i="26"/>
  <c r="T62" i="26"/>
  <c r="V62" i="26" s="1"/>
  <c r="Q62" i="26"/>
  <c r="T61" i="26"/>
  <c r="V61" i="26" s="1"/>
  <c r="Q61" i="26"/>
  <c r="T60" i="26"/>
  <c r="V60" i="26" s="1"/>
  <c r="Q60" i="26"/>
  <c r="T59" i="26"/>
  <c r="V59" i="26" s="1"/>
  <c r="Q59" i="26"/>
  <c r="V58" i="26"/>
  <c r="T58" i="26"/>
  <c r="Q58" i="26"/>
  <c r="V57" i="26"/>
  <c r="T57" i="26"/>
  <c r="Q57" i="26"/>
  <c r="T56" i="26"/>
  <c r="V56" i="26" s="1"/>
  <c r="Q56" i="26"/>
  <c r="V55" i="26"/>
  <c r="T55" i="26"/>
  <c r="Q55" i="26"/>
  <c r="T54" i="26"/>
  <c r="V54" i="26" s="1"/>
  <c r="Q54" i="26"/>
  <c r="T53" i="26"/>
  <c r="V53" i="26" s="1"/>
  <c r="Q53" i="26"/>
  <c r="T52" i="26"/>
  <c r="V52" i="26" s="1"/>
  <c r="Q52" i="26"/>
  <c r="T51" i="26"/>
  <c r="V51" i="26" s="1"/>
  <c r="Q51" i="26"/>
  <c r="V50" i="26"/>
  <c r="T50" i="26"/>
  <c r="Q50" i="26"/>
  <c r="V49" i="26"/>
  <c r="T49" i="26"/>
  <c r="Q49" i="26"/>
  <c r="T48" i="26"/>
  <c r="V48" i="26" s="1"/>
  <c r="Q48" i="26"/>
  <c r="V47" i="26"/>
  <c r="T47" i="26"/>
  <c r="Q47" i="26"/>
  <c r="T46" i="26"/>
  <c r="V46" i="26" s="1"/>
  <c r="Q46" i="26"/>
  <c r="T45" i="26"/>
  <c r="V45" i="26" s="1"/>
  <c r="Q45" i="26"/>
  <c r="T44" i="26"/>
  <c r="V44" i="26" s="1"/>
  <c r="Q44" i="26"/>
  <c r="T43" i="26"/>
  <c r="V43" i="26" s="1"/>
  <c r="Q43" i="26"/>
  <c r="V42" i="26"/>
  <c r="T42" i="26"/>
  <c r="Q42" i="26"/>
  <c r="V41" i="26"/>
  <c r="T41" i="26"/>
  <c r="Q41" i="26"/>
  <c r="T40" i="26"/>
  <c r="V40" i="26" s="1"/>
  <c r="Q40" i="26"/>
  <c r="V39" i="26"/>
  <c r="T39" i="26"/>
  <c r="Q39" i="26"/>
  <c r="T38" i="26"/>
  <c r="V38" i="26" s="1"/>
  <c r="Q38" i="26"/>
  <c r="T37" i="26"/>
  <c r="V37" i="26" s="1"/>
  <c r="Q37" i="26"/>
  <c r="T36" i="26"/>
  <c r="V36" i="26" s="1"/>
  <c r="Q36" i="26"/>
  <c r="T35" i="26"/>
  <c r="V35" i="26" s="1"/>
  <c r="Q35" i="26"/>
  <c r="V34" i="26"/>
  <c r="T34" i="26"/>
  <c r="Q34" i="26"/>
  <c r="V33" i="26"/>
  <c r="T33" i="26"/>
  <c r="Q33" i="26"/>
  <c r="T32" i="26"/>
  <c r="V32" i="26" s="1"/>
  <c r="Q32" i="26"/>
  <c r="V31" i="26"/>
  <c r="T31" i="26"/>
  <c r="Q31" i="26"/>
  <c r="T30" i="26"/>
  <c r="V30" i="26" s="1"/>
  <c r="Q30" i="26"/>
  <c r="T29" i="26"/>
  <c r="V29" i="26" s="1"/>
  <c r="Q29" i="26"/>
  <c r="T28" i="26"/>
  <c r="V28" i="26" s="1"/>
  <c r="Q28" i="26"/>
  <c r="T27" i="26"/>
  <c r="V27" i="26" s="1"/>
  <c r="Q27" i="26"/>
  <c r="V26" i="26"/>
  <c r="T26" i="26"/>
  <c r="Q26" i="26"/>
  <c r="V25" i="26"/>
  <c r="T25" i="26"/>
  <c r="Q25" i="26"/>
  <c r="T24" i="26"/>
  <c r="V24" i="26" s="1"/>
  <c r="Q24" i="26"/>
  <c r="V23" i="26"/>
  <c r="T23" i="26"/>
  <c r="Q23" i="26"/>
  <c r="T22" i="26"/>
  <c r="V22" i="26" s="1"/>
  <c r="Q22" i="26"/>
  <c r="T21" i="26"/>
  <c r="V21" i="26" s="1"/>
  <c r="Q21" i="26"/>
  <c r="T20" i="26"/>
  <c r="V20" i="26" s="1"/>
  <c r="Q20" i="26"/>
  <c r="T19" i="26"/>
  <c r="V19" i="26" s="1"/>
  <c r="Q19" i="26"/>
  <c r="V18" i="26"/>
  <c r="T18" i="26"/>
  <c r="Q18" i="26"/>
  <c r="V17" i="26"/>
  <c r="T17" i="26"/>
  <c r="Q17" i="26"/>
  <c r="T16" i="26"/>
  <c r="V16" i="26" s="1"/>
  <c r="Q16" i="26"/>
  <c r="V15" i="26"/>
  <c r="T15" i="26"/>
  <c r="Q15" i="26"/>
  <c r="T14" i="26"/>
  <c r="V14" i="26" s="1"/>
  <c r="Q14" i="26"/>
  <c r="T13" i="26"/>
  <c r="V13" i="26" s="1"/>
  <c r="Q13" i="26"/>
  <c r="T12" i="26"/>
  <c r="V12" i="26" s="1"/>
  <c r="Q12" i="26"/>
  <c r="T11" i="26"/>
  <c r="V11" i="26" s="1"/>
  <c r="Q11" i="26"/>
  <c r="V10" i="26"/>
  <c r="T10" i="26"/>
  <c r="Q10" i="26"/>
  <c r="V9" i="26"/>
  <c r="T9" i="26"/>
  <c r="Q9" i="26"/>
  <c r="T8" i="26"/>
  <c r="V8" i="26" s="1"/>
  <c r="Q8" i="26"/>
  <c r="V7" i="26"/>
  <c r="T7" i="26"/>
  <c r="Q7" i="26"/>
  <c r="T6" i="26"/>
  <c r="V6" i="26" s="1"/>
  <c r="Q6" i="26"/>
  <c r="T5" i="26"/>
  <c r="V5" i="26" s="1"/>
  <c r="Q5" i="26"/>
  <c r="T4" i="26"/>
  <c r="V4" i="26" s="1"/>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<sst xmlns="http://schemas.openxmlformats.org/spreadsheetml/2006/main" count="11688" uniqueCount="548">
  <si>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</si>
  <si>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</si>
  <si>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</si>
  <si>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</si>
  <si>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</si>
  <si>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</si>
  <si>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</si>
  <si>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</si>
  <si>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</si>
  <si>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</si>
  <si>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</si>
  <si>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</si>
  <si>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</si>
  <si>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</si>
  <si>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</si>
  <si>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</si>
  <si>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</si>
  <si>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</si>
  <si>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</si>
  <si>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</si>
  <si>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</si>
  <si>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</si>
  <si>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</si>
  <si>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</si>
  <si>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</si>
  <si>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</si>
  <si>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</si>
  <si>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</si>
  <si>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</si>
  <si>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</si>
  <si>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</si>
  <si>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</si>
  <si>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</si>
  <si>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</si>
  <si>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</si>
  <si>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</si>
  <si>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</si>
  <si>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</si>
  <si>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</si>
  <si>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</si>
  <si>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</si>
  <si>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</si>
  <si>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</si>
  <si>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</si>
  <si>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</si>
  <si>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</si>
  <si>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</si>
  <si>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</si>
  <si>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</si>
  <si>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</si>
  <si>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</si>
  <si>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</si>
  <si>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</si>
  <si>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</si>
  <si>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</si>
  <si>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</si>
  <si>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</si>
  <si>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</si>
  <si>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</si>
  <si>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</si>
  <si>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</si>
  <si>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</si>
  <si>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</si>
  <si>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</si>
  <si>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</si>
  <si>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</si>
  <si>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</si>
  <si>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</si>
  <si>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</si>
  <si>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</si>
  <si>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</si>
  <si>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</si>
  <si>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</si>
  <si>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</si>
  <si>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</si>
  <si>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</si>
  <si>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</si>
  <si>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</si>
  <si>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</si>
  <si>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</si>
  <si>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</si>
  <si>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</si>
  <si>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</si>
  <si>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</si>
  <si>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</si>
  <si>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</si>
  <si>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</si>
  <si>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</si>
  <si>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</si>
  <si>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</si>
  <si>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</si>
  <si>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</si>
  <si>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</si>
  <si>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</si>
  <si>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</si>
  <si>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</si>
  <si>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</si>
  <si>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</si>
  <si>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</si>
  <si>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</si>
  <si>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</si>
  <si>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</si>
  <si>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</si>
  <si>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</si>
  <si>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</si>
  <si>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</si>
  <si>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</si>
  <si>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</si>
  <si>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</si>
  <si>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</si>
  <si>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</si>
  <si>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</si>
  <si>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</si>
  <si>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</si>
  <si>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</si>
  <si>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</si>
  <si>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</si>
  <si>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</si>
  <si>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</si>
  <si>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</si>
  <si>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</si>
  <si>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</si>
  <si>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</si>
  <si>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</si>
  <si>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</si>
  <si>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</si>
  <si>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</si>
  <si>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</si>
  <si>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</si>
  <si>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</si>
  <si>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</si>
  <si>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</si>
  <si>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</si>
  <si>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</si>
  <si>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</si>
  <si>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</si>
  <si>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</si>
  <si>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</si>
  <si>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</si>
  <si>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</si>
  <si>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</si>
  <si>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</si>
  <si>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</si>
  <si>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</si>
  <si>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</si>
  <si>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</si>
  <si>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</si>
  <si>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</si>
  <si>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</si>
  <si>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</si>
  <si>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</si>
  <si>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</si>
  <si>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</si>
  <si>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</si>
  <si>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</si>
  <si>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</si>
  <si>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</si>
  <si>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</si>
  <si>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</si>
  <si>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</si>
  <si>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</si>
  <si>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</si>
  <si>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</si>
  <si>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</si>
  <si>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</si>
  <si>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</si>
  <si>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</si>
  <si>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D'lish</t>
    <phoneticPr fontId="4"/>
  </si>
  <si>
    <t>GA</t>
  </si>
  <si>
    <t>HW</t>
    <phoneticPr fontId="4"/>
  </si>
  <si>
    <t>CK</t>
    <phoneticPr fontId="4"/>
  </si>
  <si>
    <t>OB</t>
    <phoneticPr fontId="4"/>
  </si>
  <si>
    <t>HE</t>
    <phoneticPr fontId="4"/>
  </si>
  <si>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</si>
  <si>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</si>
  <si>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</si>
  <si>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</si>
  <si>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</si>
  <si>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</si>
  <si>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</si>
  <si>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</si>
  <si>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</si>
  <si>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</si>
  <si>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</si>
  <si>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</si>
  <si>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</si>
  <si>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</si>
  <si>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</si>
  <si>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</si>
  <si>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</si>
  <si>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</si>
  <si>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</si>
  <si>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</si>
  <si>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</si>
  <si>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</si>
  <si>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</si>
  <si>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</si>
  <si>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</si>
  <si>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</si>
  <si>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</si>
  <si>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</si>
  <si>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</si>
  <si>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</si>
  <si>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</si>
  <si>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</si>
  <si>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</si>
  <si>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</si>
  <si>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</si>
  <si>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</si>
  <si>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</si>
  <si>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</si>
  <si>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</si>
  <si>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</si>
  <si>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</si>
  <si>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</si>
  <si>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</si>
  <si>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</si>
  <si>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</si>
  <si>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</si>
  <si>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</si>
  <si>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</si>
  <si>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</si>
  <si>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</si>
  <si>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</si>
  <si>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</si>
  <si>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</si>
  <si>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</si>
  <si>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</si>
  <si>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</si>
  <si>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</si>
  <si>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</si>
  <si>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</si>
  <si>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</si>
  <si>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</si>
  <si>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</si>
  <si>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</si>
  <si>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</si>
  <si>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</si>
  <si>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</si>
  <si>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</si>
  <si>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</si>
  <si>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</si>
  <si>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</si>
  <si>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</si>
  <si>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</si>
  <si>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</si>
  <si>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</si>
  <si>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</si>
  <si>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</si>
  <si>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</si>
  <si>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</si>
  <si>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</si>
  <si>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</si>
  <si>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</si>
  <si>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</si>
  <si>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</si>
  <si>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</si>
  <si>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</si>
  <si>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</si>
  <si>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</si>
  <si>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</si>
  <si>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</si>
  <si>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</si>
  <si>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</si>
  <si>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</si>
  <si>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</si>
  <si>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</si>
  <si>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</si>
  <si>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</si>
  <si>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</si>
  <si>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</si>
  <si>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</si>
  <si>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</si>
  <si>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</si>
  <si>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</si>
  <si>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</si>
  <si>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</si>
  <si>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</si>
  <si>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</si>
  <si>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</si>
  <si>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</si>
  <si>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</si>
  <si>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</si>
  <si>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</si>
  <si>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</si>
  <si>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</si>
  <si>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</si>
  <si>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</si>
  <si>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</si>
  <si>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</si>
  <si>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</si>
  <si>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</si>
  <si>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</si>
  <si>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</si>
  <si>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</si>
  <si>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</si>
  <si>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</si>
  <si>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</si>
  <si>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</si>
  <si>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</si>
  <si>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</si>
  <si>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</si>
  <si>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</si>
  <si>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</si>
  <si>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</si>
  <si>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</si>
  <si>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</si>
  <si>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</si>
  <si>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</si>
  <si>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</si>
  <si>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</si>
  <si>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</si>
  <si>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</si>
  <si>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</si>
  <si>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</si>
  <si>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</si>
  <si>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</si>
  <si>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</si>
  <si>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</si>
  <si>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</si>
  <si>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</si>
  <si>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</si>
  <si>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</si>
  <si>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</si>
  <si>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</si>
  <si>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</si>
  <si>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</si>
  <si>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</si>
  <si>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</si>
  <si>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</si>
  <si>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</si>
  <si>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</si>
  <si>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</si>
  <si>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</si>
  <si>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</si>
  <si>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</si>
  <si>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</si>
  <si>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</si>
  <si>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</si>
  <si>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</si>
  <si>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</si>
  <si>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</si>
  <si>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</si>
  <si>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13.06.2018</t>
  </si>
  <si>
    <t>13.06.2018</t>
    <phoneticPr fontId="3"/>
  </si>
  <si>
    <t>11.06.2018</t>
    <phoneticPr fontId="3"/>
  </si>
  <si>
    <t>ﾆｭｰｼﾞｰﾗﾝﾄﾞ</t>
    <phoneticPr fontId="4"/>
  </si>
  <si>
    <t>11.06.2018</t>
    <phoneticPr fontId="3"/>
  </si>
  <si>
    <t>11.06.2018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</si>
  <si>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</si>
  <si>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</si>
  <si>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</si>
  <si>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</si>
  <si>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</si>
  <si>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</si>
  <si>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</si>
  <si>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</si>
  <si>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</si>
  <si>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</si>
  <si>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</si>
  <si>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</si>
  <si>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</si>
  <si>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</si>
  <si>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</si>
  <si>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</si>
  <si>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</si>
  <si>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</si>
  <si>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</si>
  <si>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</si>
  <si>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</si>
  <si>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</si>
  <si>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</si>
  <si>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</si>
  <si>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</si>
  <si>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15.06.2018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</si>
  <si>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</si>
  <si>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</si>
  <si>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</si>
  <si>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</si>
  <si>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</si>
  <si>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</si>
  <si>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</si>
  <si>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</si>
  <si>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</si>
  <si>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</si>
  <si>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</si>
  <si>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</si>
  <si>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</si>
  <si>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</si>
  <si>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</si>
  <si>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</si>
  <si>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</si>
  <si>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</si>
  <si>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15.06.2018</t>
    <phoneticPr fontId="3"/>
  </si>
  <si>
    <t>カネトク</t>
    <phoneticPr fontId="4"/>
  </si>
  <si>
    <t>JP</t>
    <phoneticPr fontId="3"/>
  </si>
  <si>
    <t>15.06.2018</t>
    <phoneticPr fontId="3"/>
  </si>
  <si>
    <t>マックスバリュ</t>
    <phoneticPr fontId="4"/>
  </si>
  <si>
    <t>長久手店</t>
    <phoneticPr fontId="4"/>
  </si>
  <si>
    <t>アピタ</t>
    <phoneticPr fontId="4"/>
  </si>
  <si>
    <t>JP</t>
    <phoneticPr fontId="3"/>
  </si>
  <si>
    <t>15.06.2018</t>
    <phoneticPr fontId="3"/>
  </si>
  <si>
    <t>アオキスーパー</t>
    <phoneticPr fontId="4"/>
  </si>
  <si>
    <t>長久手店</t>
    <phoneticPr fontId="4"/>
  </si>
  <si>
    <t>JP</t>
    <phoneticPr fontId="3"/>
  </si>
  <si>
    <t>15.06.2018</t>
    <phoneticPr fontId="3"/>
  </si>
  <si>
    <t>JP</t>
    <phoneticPr fontId="3"/>
  </si>
  <si>
    <t>15.06.2018</t>
    <phoneticPr fontId="3"/>
  </si>
  <si>
    <t>ピアゴ</t>
  </si>
  <si>
    <t>長久手南店</t>
  </si>
  <si>
    <t>JP</t>
    <phoneticPr fontId="3"/>
  </si>
  <si>
    <t>15.06.2018</t>
    <phoneticPr fontId="3"/>
  </si>
  <si>
    <t>カネスエ</t>
  </si>
  <si>
    <t>長久手店</t>
  </si>
  <si>
    <t>ラフランス</t>
    <phoneticPr fontId="4"/>
  </si>
  <si>
    <t>キラキラ</t>
    <phoneticPr fontId="4"/>
  </si>
  <si>
    <t>グリーンアイ</t>
    <phoneticPr fontId="4"/>
  </si>
  <si>
    <t>カネトク</t>
  </si>
  <si>
    <t>アピタ</t>
  </si>
  <si>
    <t>15.06.2018</t>
  </si>
  <si>
    <t>津久野店</t>
  </si>
  <si>
    <t>宮崎</t>
  </si>
  <si>
    <t>県名</t>
    <phoneticPr fontId="3"/>
  </si>
  <si>
    <t>シーズン</t>
    <phoneticPr fontId="4"/>
  </si>
  <si>
    <t>14.06.2018</t>
    <phoneticPr fontId="3"/>
  </si>
  <si>
    <t>14.06.2018</t>
    <phoneticPr fontId="3"/>
  </si>
  <si>
    <t>JPY</t>
    <phoneticPr fontId="3"/>
  </si>
  <si>
    <t>14.06.2018</t>
    <phoneticPr fontId="3"/>
  </si>
  <si>
    <t>JPY</t>
    <phoneticPr fontId="3"/>
  </si>
  <si>
    <t>広島</t>
    <phoneticPr fontId="3"/>
  </si>
  <si>
    <t>バナナ</t>
    <phoneticPr fontId="4"/>
  </si>
  <si>
    <t>14.06.2018</t>
    <phoneticPr fontId="3"/>
  </si>
  <si>
    <t>JPY</t>
    <phoneticPr fontId="3"/>
  </si>
  <si>
    <t>パパイヤ</t>
    <phoneticPr fontId="4"/>
  </si>
  <si>
    <t>14.06.2018</t>
    <phoneticPr fontId="3"/>
  </si>
  <si>
    <t>JPY</t>
    <phoneticPr fontId="3"/>
  </si>
  <si>
    <t>びわ</t>
    <phoneticPr fontId="4"/>
  </si>
  <si>
    <t>14.06.2018</t>
    <phoneticPr fontId="3"/>
  </si>
  <si>
    <t>JPY</t>
    <phoneticPr fontId="3"/>
  </si>
  <si>
    <t>メロン</t>
    <phoneticPr fontId="4"/>
  </si>
  <si>
    <t>桃</t>
    <phoneticPr fontId="4"/>
  </si>
  <si>
    <t>14.06.2018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</si>
  <si>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</si>
  <si>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</si>
  <si>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</si>
  <si>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</si>
  <si>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</si>
  <si>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</si>
  <si>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</si>
  <si>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</si>
  <si>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</si>
  <si>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</si>
  <si>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</si>
  <si>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</si>
  <si>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</si>
  <si>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</si>
  <si>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</si>
  <si>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</si>
  <si>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</si>
  <si>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</si>
  <si>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</si>
  <si>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</si>
  <si>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</si>
  <si>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13.06.2018</t>
    <phoneticPr fontId="3"/>
  </si>
  <si>
    <t>マルショク</t>
    <phoneticPr fontId="3"/>
  </si>
  <si>
    <t>JPY</t>
    <phoneticPr fontId="4"/>
  </si>
  <si>
    <t>一般栽培</t>
    <phoneticPr fontId="4"/>
  </si>
  <si>
    <t>ﾆｭｰｼﾞｰﾗﾝﾄﾞ</t>
    <phoneticPr fontId="4"/>
  </si>
  <si>
    <t>JP</t>
    <phoneticPr fontId="3"/>
  </si>
  <si>
    <t>13.06.2018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</si>
  <si>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</si>
  <si>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</si>
  <si>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</si>
  <si>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</si>
  <si>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</si>
  <si>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</si>
  <si>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</si>
  <si>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</si>
  <si>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</si>
  <si>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</si>
  <si>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</si>
  <si>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</si>
  <si>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13.06.2018</t>
    <phoneticPr fontId="3"/>
  </si>
  <si>
    <t>マルショク</t>
    <phoneticPr fontId="3"/>
  </si>
  <si>
    <t>JPY</t>
    <phoneticPr fontId="4"/>
  </si>
  <si>
    <t>HE</t>
    <phoneticPr fontId="4"/>
  </si>
  <si>
    <t>JP</t>
    <phoneticPr fontId="3"/>
  </si>
  <si>
    <t>13.06.2018</t>
    <phoneticPr fontId="3"/>
  </si>
  <si>
    <t>GA</t>
    <phoneticPr fontId="4"/>
  </si>
  <si>
    <t>13.06.2018</t>
    <phoneticPr fontId="3"/>
  </si>
  <si>
    <t>オレンジ</t>
    <phoneticPr fontId="3"/>
  </si>
  <si>
    <t>JP</t>
    <phoneticPr fontId="3"/>
  </si>
  <si>
    <t>13.06.2018</t>
    <phoneticPr fontId="3"/>
  </si>
  <si>
    <t>13.06.2018</t>
    <phoneticPr fontId="3"/>
  </si>
  <si>
    <t>13.06.2018</t>
    <phoneticPr fontId="3"/>
  </si>
  <si>
    <t>JPY</t>
    <phoneticPr fontId="4"/>
  </si>
  <si>
    <t>13.06.2018</t>
    <phoneticPr fontId="3"/>
  </si>
  <si>
    <t>JPY</t>
    <phoneticPr fontId="4"/>
  </si>
  <si>
    <t>JP</t>
    <phoneticPr fontId="3"/>
  </si>
  <si>
    <t>13.06.2018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</si>
  <si>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</si>
  <si>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</si>
  <si>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</si>
  <si>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</si>
  <si>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</si>
  <si>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</si>
  <si>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</si>
  <si>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</si>
  <si>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</si>
  <si>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</si>
  <si>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</si>
  <si>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</si>
  <si>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</si>
  <si>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</si>
  <si>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</si>
  <si>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</si>
  <si>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</si>
  <si>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</si>
  <si>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</si>
  <si>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</si>
  <si>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</si>
  <si>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14.06.2018</t>
    <phoneticPr fontId="3"/>
  </si>
  <si>
    <t>サミット</t>
  </si>
  <si>
    <t>JPY</t>
    <phoneticPr fontId="3"/>
  </si>
  <si>
    <t>カドヤ</t>
    <phoneticPr fontId="4"/>
  </si>
  <si>
    <t>ﾆｭｰｼﾞｰﾗﾝﾄﾞ</t>
    <phoneticPr fontId="4"/>
  </si>
  <si>
    <t>14.06.2018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</si>
  <si>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</si>
  <si>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</si>
  <si>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</si>
  <si>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</si>
  <si>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</si>
  <si>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</si>
  <si>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</si>
  <si>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</si>
  <si>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</si>
  <si>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</si>
  <si>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</si>
  <si>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</si>
  <si>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</si>
  <si>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</si>
  <si>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</si>
  <si>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</si>
  <si>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</si>
  <si>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U/P JPY</t>
    <phoneticPr fontId="4"/>
  </si>
  <si>
    <t>２番人気
果実</t>
    <phoneticPr fontId="3"/>
  </si>
  <si>
    <t>11.06.2018</t>
    <phoneticPr fontId="3"/>
  </si>
  <si>
    <t>11.06.2018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</si>
</sst>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178" fontId="1" fillId="3" borderId="0" xfId="1" applyNumberFormat="1" applyFont="1" applyFill="1"/>
    <xf numFmtId="0" fontId="14" fillId="0" borderId="0" xfId="1" applyFont="1" applyFill="1"/>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338</v>
      </c>
      <c r="B2" s="15" t="s">
        <v>340</v>
      </c>
      <c r="C2" s="15">
        <v>2018</v>
      </c>
      <c r="D2" s="50" t="s">
        <v>344</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14.3</v>
      </c>
      <c r="S2" s="15">
        <v>120</v>
      </c>
      <c r="T2" s="38">
        <f t="shared" ref="T2:T59" si="1">IF(H2="","",IF(OR(H2="GREEN",H2="GK"),IF(S2&gt;=$AX$2,VLOOKUP(S2,$AX$2:$AY$12,2,1),""),IF(S2&gt;=$AZ$2,VLOOKUP(S2,$AZ$2:$BA$12,2,1),"")))</f>
        <v>30</v>
      </c>
      <c r="U2" s="15">
        <v>105</v>
      </c>
      <c r="V2" s="38">
        <f t="shared" ref="V2:V65" si="2">IF(OR(N2="",U2="",T2=""),"",U2/N2*T2)</f>
        <v>3150</v>
      </c>
      <c r="W2" s="15">
        <v>10</v>
      </c>
      <c r="X2" s="15" t="s">
        <v>46</v>
      </c>
      <c r="Y2" s="15" t="s">
        <v>55</v>
      </c>
      <c r="Z2" s="15" t="s">
        <v>86</v>
      </c>
      <c r="AA2" s="15" t="s">
        <v>90</v>
      </c>
      <c r="AB2" s="39" t="s">
        <v>361</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338</v>
      </c>
      <c r="B3" s="15" t="s">
        <v>339</v>
      </c>
      <c r="C3" s="15">
        <v>2018</v>
      </c>
      <c r="D3" s="37" t="s">
        <v>343</v>
      </c>
      <c r="E3" s="15" t="s">
        <v>142</v>
      </c>
      <c r="F3" s="7" t="s">
        <v>151</v>
      </c>
      <c r="G3" s="7" t="s">
        <v>36</v>
      </c>
      <c r="H3" s="15" t="s">
        <v>157</v>
      </c>
      <c r="I3" s="7" t="s">
        <v>155</v>
      </c>
      <c r="J3" s="15" t="s">
        <v>38</v>
      </c>
      <c r="K3" s="7" t="s">
        <v>156</v>
      </c>
      <c r="L3" s="7">
        <v>2</v>
      </c>
      <c r="N3" s="7">
        <v>1</v>
      </c>
      <c r="O3" s="34">
        <v>0.65</v>
      </c>
      <c r="P3" s="7">
        <v>0.7</v>
      </c>
      <c r="Q3" s="52">
        <f t="shared" si="0"/>
        <v>0.67500000000000004</v>
      </c>
      <c r="R3" s="7">
        <v>14.6</v>
      </c>
      <c r="S3" s="7">
        <v>125</v>
      </c>
      <c r="T3" s="16">
        <f t="shared" si="1"/>
        <v>27</v>
      </c>
      <c r="U3" s="15">
        <v>105</v>
      </c>
      <c r="V3" s="16">
        <f t="shared" si="2"/>
        <v>2835</v>
      </c>
      <c r="W3" s="15">
        <v>10</v>
      </c>
      <c r="X3" s="15" t="s">
        <v>46</v>
      </c>
      <c r="Y3" s="216" t="s">
        <v>55</v>
      </c>
      <c r="Z3" s="216" t="s">
        <v>86</v>
      </c>
      <c r="AA3" s="216" t="s">
        <v>90</v>
      </c>
      <c r="AB3" s="39" t="s">
        <v>341</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338</v>
      </c>
      <c r="B4" s="15" t="s">
        <v>339</v>
      </c>
      <c r="C4" s="15">
        <v>2018</v>
      </c>
      <c r="D4" s="37" t="s">
        <v>343</v>
      </c>
      <c r="E4" s="15" t="s">
        <v>142</v>
      </c>
      <c r="F4" s="7" t="s">
        <v>151</v>
      </c>
      <c r="G4" s="7" t="s">
        <v>36</v>
      </c>
      <c r="H4" s="15" t="s">
        <v>157</v>
      </c>
      <c r="I4" s="208" t="s">
        <v>155</v>
      </c>
      <c r="J4" s="15" t="s">
        <v>38</v>
      </c>
      <c r="K4" s="7" t="s">
        <v>156</v>
      </c>
      <c r="L4" s="7">
        <v>3</v>
      </c>
      <c r="N4" s="7">
        <v>1</v>
      </c>
      <c r="O4" s="7">
        <v>0.6</v>
      </c>
      <c r="P4" s="7">
        <v>0.75</v>
      </c>
      <c r="Q4" s="52">
        <f t="shared" si="0"/>
        <v>0.67500000000000004</v>
      </c>
      <c r="R4" s="7">
        <v>14.4</v>
      </c>
      <c r="S4" s="7">
        <v>126</v>
      </c>
      <c r="T4" s="16">
        <f t="shared" si="1"/>
        <v>27</v>
      </c>
      <c r="U4" s="15">
        <v>105</v>
      </c>
      <c r="V4" s="16">
        <f t="shared" si="2"/>
        <v>2835</v>
      </c>
      <c r="W4" s="15">
        <v>10</v>
      </c>
      <c r="X4" s="15" t="s">
        <v>46</v>
      </c>
      <c r="Y4" s="216" t="s">
        <v>55</v>
      </c>
      <c r="Z4" s="216" t="s">
        <v>86</v>
      </c>
      <c r="AA4" s="216" t="s">
        <v>90</v>
      </c>
      <c r="AB4" s="39" t="s">
        <v>341</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338</v>
      </c>
      <c r="B5" s="15" t="s">
        <v>339</v>
      </c>
      <c r="C5" s="15">
        <v>2018</v>
      </c>
      <c r="D5" s="37" t="s">
        <v>343</v>
      </c>
      <c r="E5" s="15" t="s">
        <v>142</v>
      </c>
      <c r="F5" s="15" t="s">
        <v>151</v>
      </c>
      <c r="G5" s="7" t="s">
        <v>36</v>
      </c>
      <c r="H5" s="15" t="s">
        <v>168</v>
      </c>
      <c r="I5" s="208" t="s">
        <v>155</v>
      </c>
      <c r="J5" s="15" t="s">
        <v>38</v>
      </c>
      <c r="K5" s="7" t="s">
        <v>156</v>
      </c>
      <c r="L5" s="7">
        <v>1</v>
      </c>
      <c r="N5" s="7">
        <v>1</v>
      </c>
      <c r="O5" s="7">
        <v>0.55000000000000004</v>
      </c>
      <c r="P5" s="7">
        <v>0.55000000000000004</v>
      </c>
      <c r="Q5" s="52">
        <f t="shared" si="0"/>
        <v>0.55000000000000004</v>
      </c>
      <c r="R5" s="7">
        <v>17.7</v>
      </c>
      <c r="S5" s="7">
        <v>140</v>
      </c>
      <c r="T5" s="16">
        <f t="shared" si="1"/>
        <v>22</v>
      </c>
      <c r="U5" s="15">
        <v>145</v>
      </c>
      <c r="V5" s="16">
        <f t="shared" si="2"/>
        <v>3190</v>
      </c>
      <c r="W5" s="15">
        <v>18</v>
      </c>
      <c r="X5" s="15" t="s">
        <v>46</v>
      </c>
      <c r="Y5" s="216" t="s">
        <v>55</v>
      </c>
      <c r="Z5" s="216" t="s">
        <v>86</v>
      </c>
      <c r="AA5" s="216" t="s">
        <v>90</v>
      </c>
      <c r="AB5" s="39" t="s">
        <v>341</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338</v>
      </c>
      <c r="B6" s="15" t="s">
        <v>339</v>
      </c>
      <c r="C6" s="15">
        <v>2018</v>
      </c>
      <c r="D6" s="37" t="s">
        <v>343</v>
      </c>
      <c r="E6" s="15" t="s">
        <v>142</v>
      </c>
      <c r="F6" s="7" t="s">
        <v>151</v>
      </c>
      <c r="G6" s="7" t="s">
        <v>36</v>
      </c>
      <c r="H6" s="216" t="s">
        <v>168</v>
      </c>
      <c r="I6" s="208" t="s">
        <v>155</v>
      </c>
      <c r="J6" s="216" t="s">
        <v>38</v>
      </c>
      <c r="K6" s="208" t="s">
        <v>156</v>
      </c>
      <c r="L6" s="7">
        <v>2</v>
      </c>
      <c r="N6" s="7">
        <v>1</v>
      </c>
      <c r="O6" s="7">
        <v>0.6</v>
      </c>
      <c r="P6" s="7">
        <v>0.55000000000000004</v>
      </c>
      <c r="Q6" s="52">
        <f t="shared" si="0"/>
        <v>0.57499999999999996</v>
      </c>
      <c r="R6" s="7">
        <v>19</v>
      </c>
      <c r="S6" s="7">
        <v>151</v>
      </c>
      <c r="T6" s="16">
        <f t="shared" si="1"/>
        <v>22</v>
      </c>
      <c r="U6" s="216">
        <v>145</v>
      </c>
      <c r="V6" s="16">
        <f t="shared" si="2"/>
        <v>3190</v>
      </c>
      <c r="W6" s="15">
        <v>18</v>
      </c>
      <c r="X6" s="15" t="s">
        <v>46</v>
      </c>
      <c r="Y6" s="216" t="s">
        <v>55</v>
      </c>
      <c r="Z6" s="216" t="s">
        <v>86</v>
      </c>
      <c r="AA6" s="216" t="s">
        <v>90</v>
      </c>
      <c r="AB6" s="39" t="s">
        <v>341</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338</v>
      </c>
      <c r="B7" s="15" t="s">
        <v>339</v>
      </c>
      <c r="C7" s="15">
        <v>2018</v>
      </c>
      <c r="D7" s="37" t="s">
        <v>343</v>
      </c>
      <c r="E7" s="15" t="s">
        <v>142</v>
      </c>
      <c r="F7" s="7" t="s">
        <v>151</v>
      </c>
      <c r="G7" s="7" t="s">
        <v>36</v>
      </c>
      <c r="H7" s="216" t="s">
        <v>168</v>
      </c>
      <c r="I7" s="208" t="s">
        <v>155</v>
      </c>
      <c r="J7" s="216" t="s">
        <v>38</v>
      </c>
      <c r="K7" s="208" t="s">
        <v>156</v>
      </c>
      <c r="L7" s="7">
        <v>3</v>
      </c>
      <c r="N7" s="7">
        <v>1</v>
      </c>
      <c r="O7" s="7">
        <v>0.6</v>
      </c>
      <c r="P7" s="7">
        <v>0.75</v>
      </c>
      <c r="Q7" s="52">
        <f t="shared" si="0"/>
        <v>0.67500000000000004</v>
      </c>
      <c r="R7" s="34">
        <v>17.399999999999999</v>
      </c>
      <c r="S7" s="7">
        <v>141</v>
      </c>
      <c r="T7" s="16">
        <f t="shared" si="1"/>
        <v>22</v>
      </c>
      <c r="U7" s="216">
        <v>145</v>
      </c>
      <c r="V7" s="16">
        <f t="shared" si="2"/>
        <v>3190</v>
      </c>
      <c r="W7" s="15">
        <v>18</v>
      </c>
      <c r="X7" s="15" t="s">
        <v>46</v>
      </c>
      <c r="Y7" s="216" t="s">
        <v>55</v>
      </c>
      <c r="Z7" s="216" t="s">
        <v>86</v>
      </c>
      <c r="AA7" s="216" t="s">
        <v>90</v>
      </c>
      <c r="AB7" s="39" t="s">
        <v>341</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338</v>
      </c>
      <c r="B8" s="15" t="s">
        <v>339</v>
      </c>
      <c r="C8" s="15">
        <v>2018</v>
      </c>
      <c r="D8" s="37" t="s">
        <v>343</v>
      </c>
      <c r="E8" s="15" t="s">
        <v>133</v>
      </c>
      <c r="F8" s="7" t="s">
        <v>152</v>
      </c>
      <c r="G8" s="7" t="s">
        <v>36</v>
      </c>
      <c r="H8" s="15" t="s">
        <v>157</v>
      </c>
      <c r="I8" s="208" t="s">
        <v>155</v>
      </c>
      <c r="J8" s="15" t="s">
        <v>38</v>
      </c>
      <c r="K8" s="7" t="s">
        <v>156</v>
      </c>
      <c r="L8" s="7">
        <v>1</v>
      </c>
      <c r="N8" s="7">
        <v>1</v>
      </c>
      <c r="O8" s="7">
        <v>0.8</v>
      </c>
      <c r="P8" s="7">
        <v>0.7</v>
      </c>
      <c r="Q8" s="52">
        <f t="shared" si="0"/>
        <v>0.75</v>
      </c>
      <c r="R8" s="34">
        <v>15.8</v>
      </c>
      <c r="S8" s="7">
        <v>148</v>
      </c>
      <c r="T8" s="16">
        <f t="shared" si="1"/>
        <v>22</v>
      </c>
      <c r="U8" s="15">
        <v>105</v>
      </c>
      <c r="V8" s="16">
        <f t="shared" si="2"/>
        <v>2310</v>
      </c>
      <c r="W8" s="15">
        <v>5</v>
      </c>
      <c r="X8" s="15" t="s">
        <v>46</v>
      </c>
      <c r="Y8" s="216" t="s">
        <v>55</v>
      </c>
      <c r="Z8" s="216" t="s">
        <v>69</v>
      </c>
      <c r="AA8" s="216" t="s">
        <v>47</v>
      </c>
      <c r="AB8" s="39" t="s">
        <v>341</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338</v>
      </c>
      <c r="B9" s="15" t="s">
        <v>339</v>
      </c>
      <c r="C9" s="15">
        <v>2018</v>
      </c>
      <c r="D9" s="37" t="s">
        <v>343</v>
      </c>
      <c r="E9" s="15" t="s">
        <v>133</v>
      </c>
      <c r="F9" s="7" t="s">
        <v>152</v>
      </c>
      <c r="G9" s="7" t="s">
        <v>36</v>
      </c>
      <c r="H9" s="216" t="s">
        <v>157</v>
      </c>
      <c r="I9" s="208" t="s">
        <v>155</v>
      </c>
      <c r="J9" s="216" t="s">
        <v>38</v>
      </c>
      <c r="K9" s="208" t="s">
        <v>156</v>
      </c>
      <c r="L9" s="7">
        <v>2</v>
      </c>
      <c r="N9" s="7">
        <v>1</v>
      </c>
      <c r="O9" s="7">
        <v>0.85</v>
      </c>
      <c r="P9" s="7">
        <v>0.75</v>
      </c>
      <c r="Q9" s="52">
        <f t="shared" si="0"/>
        <v>0.8</v>
      </c>
      <c r="R9" s="7">
        <v>14</v>
      </c>
      <c r="S9" s="7">
        <v>145</v>
      </c>
      <c r="T9" s="16">
        <f t="shared" si="1"/>
        <v>22</v>
      </c>
      <c r="U9" s="216">
        <v>105</v>
      </c>
      <c r="V9" s="16">
        <f t="shared" si="2"/>
        <v>2310</v>
      </c>
      <c r="W9" s="15">
        <v>5</v>
      </c>
      <c r="X9" s="15" t="s">
        <v>46</v>
      </c>
      <c r="Y9" s="216" t="s">
        <v>55</v>
      </c>
      <c r="Z9" s="216" t="s">
        <v>69</v>
      </c>
      <c r="AA9" s="216" t="s">
        <v>47</v>
      </c>
      <c r="AB9" s="39" t="s">
        <v>341</v>
      </c>
      <c r="AE9" s="22" t="s">
        <v>98</v>
      </c>
      <c r="AG9" s="49" t="s">
        <v>133</v>
      </c>
      <c r="AH9" s="49" t="s">
        <v>152</v>
      </c>
      <c r="AL9" s="34"/>
      <c r="AP9" s="23" t="s">
        <v>95</v>
      </c>
      <c r="AR9" s="30" t="s">
        <v>89</v>
      </c>
      <c r="AV9" s="23" t="s">
        <v>102</v>
      </c>
      <c r="AX9" s="24">
        <v>128</v>
      </c>
      <c r="AY9" s="25">
        <v>27</v>
      </c>
      <c r="AZ9" s="25">
        <v>129</v>
      </c>
      <c r="BA9" s="26">
        <v>25</v>
      </c>
    </row>
    <row r="10" spans="1:53" x14ac:dyDescent="0.15">
      <c r="A10" s="15" t="s">
        <v>338</v>
      </c>
      <c r="B10" s="15" t="s">
        <v>339</v>
      </c>
      <c r="C10" s="15">
        <v>2018</v>
      </c>
      <c r="D10" s="37" t="s">
        <v>343</v>
      </c>
      <c r="E10" s="15" t="s">
        <v>133</v>
      </c>
      <c r="F10" s="7" t="s">
        <v>152</v>
      </c>
      <c r="G10" s="7" t="s">
        <v>36</v>
      </c>
      <c r="H10" s="216" t="s">
        <v>157</v>
      </c>
      <c r="I10" s="208" t="s">
        <v>155</v>
      </c>
      <c r="J10" s="216" t="s">
        <v>38</v>
      </c>
      <c r="K10" s="208" t="s">
        <v>156</v>
      </c>
      <c r="L10" s="7">
        <v>3</v>
      </c>
      <c r="N10" s="7">
        <v>1</v>
      </c>
      <c r="O10" s="7">
        <v>1.25</v>
      </c>
      <c r="P10" s="7">
        <v>1.25</v>
      </c>
      <c r="Q10" s="52">
        <f t="shared" si="0"/>
        <v>1.25</v>
      </c>
      <c r="R10" s="7">
        <v>15.4</v>
      </c>
      <c r="S10" s="7">
        <v>150</v>
      </c>
      <c r="T10" s="16">
        <f t="shared" si="1"/>
        <v>22</v>
      </c>
      <c r="U10" s="216">
        <v>105</v>
      </c>
      <c r="V10" s="16">
        <f t="shared" si="2"/>
        <v>2310</v>
      </c>
      <c r="W10" s="15">
        <v>5</v>
      </c>
      <c r="X10" s="15" t="s">
        <v>46</v>
      </c>
      <c r="Y10" s="216" t="s">
        <v>55</v>
      </c>
      <c r="Z10" s="216" t="s">
        <v>69</v>
      </c>
      <c r="AA10" s="216" t="s">
        <v>47</v>
      </c>
      <c r="AB10" s="39" t="s">
        <v>341</v>
      </c>
      <c r="AE10" s="22" t="s">
        <v>103</v>
      </c>
      <c r="AG10" s="49" t="s">
        <v>143</v>
      </c>
      <c r="AH10" s="49" t="s">
        <v>153</v>
      </c>
      <c r="AP10" s="23" t="s">
        <v>100</v>
      </c>
      <c r="AR10" s="30" t="s">
        <v>123</v>
      </c>
      <c r="AV10" s="23" t="s">
        <v>106</v>
      </c>
      <c r="AX10" s="24">
        <v>138</v>
      </c>
      <c r="AY10" s="25">
        <v>25</v>
      </c>
      <c r="AZ10" s="25">
        <v>138</v>
      </c>
      <c r="BA10" s="26">
        <v>22</v>
      </c>
    </row>
    <row r="11" spans="1:53" x14ac:dyDescent="0.15">
      <c r="A11" s="15" t="s">
        <v>338</v>
      </c>
      <c r="B11" s="15" t="s">
        <v>339</v>
      </c>
      <c r="C11" s="15">
        <v>2018</v>
      </c>
      <c r="D11" s="37" t="s">
        <v>343</v>
      </c>
      <c r="E11" s="15" t="s">
        <v>133</v>
      </c>
      <c r="F11" s="7" t="s">
        <v>152</v>
      </c>
      <c r="G11" s="7" t="s">
        <v>36</v>
      </c>
      <c r="H11" s="216" t="s">
        <v>168</v>
      </c>
      <c r="I11" s="7" t="s">
        <v>155</v>
      </c>
      <c r="J11" s="15" t="s">
        <v>38</v>
      </c>
      <c r="K11" s="7" t="s">
        <v>156</v>
      </c>
      <c r="L11" s="7">
        <v>1</v>
      </c>
      <c r="N11" s="7">
        <v>1</v>
      </c>
      <c r="O11" s="7">
        <v>0.5</v>
      </c>
      <c r="P11" s="7">
        <v>0.5</v>
      </c>
      <c r="Q11" s="52">
        <f t="shared" si="0"/>
        <v>0.5</v>
      </c>
      <c r="R11" s="7">
        <v>20</v>
      </c>
      <c r="S11" s="7">
        <v>128</v>
      </c>
      <c r="T11" s="16">
        <f t="shared" si="1"/>
        <v>27</v>
      </c>
      <c r="U11" s="7">
        <v>105</v>
      </c>
      <c r="V11" s="16">
        <f t="shared" si="2"/>
        <v>2835</v>
      </c>
      <c r="W11" s="7">
        <v>11</v>
      </c>
      <c r="X11" s="15" t="s">
        <v>46</v>
      </c>
      <c r="Y11" s="216" t="s">
        <v>55</v>
      </c>
      <c r="Z11" s="216" t="s">
        <v>69</v>
      </c>
      <c r="AA11" s="216" t="s">
        <v>47</v>
      </c>
      <c r="AB11" s="39" t="s">
        <v>341</v>
      </c>
      <c r="AE11" s="22" t="s">
        <v>65</v>
      </c>
      <c r="AG11" s="49" t="s">
        <v>144</v>
      </c>
      <c r="AH11" s="49" t="s">
        <v>154</v>
      </c>
      <c r="AP11" s="23" t="s">
        <v>104</v>
      </c>
      <c r="AR11" s="30" t="s">
        <v>87</v>
      </c>
      <c r="AV11" s="23" t="s">
        <v>69</v>
      </c>
      <c r="AX11" s="24">
        <v>151</v>
      </c>
      <c r="AY11" s="25">
        <v>22</v>
      </c>
      <c r="AZ11" s="25">
        <v>152</v>
      </c>
      <c r="BA11" s="26">
        <v>18</v>
      </c>
    </row>
    <row r="12" spans="1:53" x14ac:dyDescent="0.15">
      <c r="A12" s="15" t="s">
        <v>338</v>
      </c>
      <c r="B12" s="15" t="s">
        <v>339</v>
      </c>
      <c r="C12" s="15">
        <v>2018</v>
      </c>
      <c r="D12" s="37" t="s">
        <v>343</v>
      </c>
      <c r="E12" s="15" t="s">
        <v>133</v>
      </c>
      <c r="F12" s="7" t="s">
        <v>152</v>
      </c>
      <c r="G12" s="7" t="s">
        <v>36</v>
      </c>
      <c r="H12" s="216" t="s">
        <v>168</v>
      </c>
      <c r="I12" s="208" t="s">
        <v>155</v>
      </c>
      <c r="J12" s="216" t="s">
        <v>38</v>
      </c>
      <c r="K12" s="208" t="s">
        <v>156</v>
      </c>
      <c r="L12" s="7">
        <v>2</v>
      </c>
      <c r="N12" s="7">
        <v>1</v>
      </c>
      <c r="O12" s="7">
        <v>0.5</v>
      </c>
      <c r="P12" s="7">
        <v>0.5</v>
      </c>
      <c r="Q12" s="52">
        <f t="shared" si="0"/>
        <v>0.5</v>
      </c>
      <c r="R12" s="34">
        <v>18.600000000000001</v>
      </c>
      <c r="S12" s="7">
        <v>127</v>
      </c>
      <c r="T12" s="16">
        <f t="shared" si="1"/>
        <v>27</v>
      </c>
      <c r="U12" s="208">
        <v>105</v>
      </c>
      <c r="V12" s="16">
        <f t="shared" si="2"/>
        <v>2835</v>
      </c>
      <c r="W12" s="7">
        <v>11</v>
      </c>
      <c r="X12" s="15" t="s">
        <v>46</v>
      </c>
      <c r="Y12" s="216" t="s">
        <v>55</v>
      </c>
      <c r="Z12" s="216" t="s">
        <v>69</v>
      </c>
      <c r="AA12" s="216" t="s">
        <v>47</v>
      </c>
      <c r="AB12" s="39" t="s">
        <v>341</v>
      </c>
      <c r="AE12" s="22" t="s">
        <v>70</v>
      </c>
      <c r="AG12" s="40"/>
      <c r="AH12" s="40"/>
      <c r="AP12" s="23" t="s">
        <v>67</v>
      </c>
      <c r="AR12" s="30" t="s">
        <v>124</v>
      </c>
      <c r="AV12" s="23" t="s">
        <v>72</v>
      </c>
      <c r="AX12" s="31">
        <v>180</v>
      </c>
      <c r="AY12" s="32">
        <v>18</v>
      </c>
      <c r="AZ12" s="32">
        <v>181</v>
      </c>
      <c r="BA12" s="33">
        <v>16</v>
      </c>
    </row>
    <row r="13" spans="1:53" x14ac:dyDescent="0.15">
      <c r="A13" s="15" t="s">
        <v>338</v>
      </c>
      <c r="B13" s="15" t="s">
        <v>339</v>
      </c>
      <c r="C13" s="15">
        <v>2018</v>
      </c>
      <c r="D13" s="37" t="s">
        <v>343</v>
      </c>
      <c r="E13" s="15" t="s">
        <v>133</v>
      </c>
      <c r="F13" s="7" t="s">
        <v>152</v>
      </c>
      <c r="G13" s="7" t="s">
        <v>36</v>
      </c>
      <c r="H13" s="216" t="s">
        <v>168</v>
      </c>
      <c r="I13" s="208" t="s">
        <v>155</v>
      </c>
      <c r="J13" s="216" t="s">
        <v>38</v>
      </c>
      <c r="K13" s="208" t="s">
        <v>156</v>
      </c>
      <c r="L13" s="7">
        <v>3</v>
      </c>
      <c r="N13" s="7">
        <v>1</v>
      </c>
      <c r="O13" s="7">
        <v>0.5</v>
      </c>
      <c r="P13" s="7">
        <v>0.5</v>
      </c>
      <c r="Q13" s="52">
        <f t="shared" si="0"/>
        <v>0.5</v>
      </c>
      <c r="R13" s="7">
        <v>17.100000000000001</v>
      </c>
      <c r="S13" s="7">
        <v>128</v>
      </c>
      <c r="T13" s="16">
        <f t="shared" si="1"/>
        <v>27</v>
      </c>
      <c r="U13" s="208">
        <v>105</v>
      </c>
      <c r="V13" s="16">
        <f t="shared" si="2"/>
        <v>2835</v>
      </c>
      <c r="W13" s="7">
        <v>11</v>
      </c>
      <c r="X13" s="15" t="s">
        <v>46</v>
      </c>
      <c r="Y13" s="216" t="s">
        <v>55</v>
      </c>
      <c r="Z13" s="216" t="s">
        <v>69</v>
      </c>
      <c r="AA13" s="216" t="s">
        <v>47</v>
      </c>
      <c r="AB13" s="39" t="s">
        <v>341</v>
      </c>
      <c r="AE13" s="22" t="s">
        <v>73</v>
      </c>
      <c r="AG13" s="23"/>
      <c r="AH13" s="23"/>
      <c r="AP13" s="23" t="s">
        <v>71</v>
      </c>
      <c r="AR13" s="30" t="s">
        <v>103</v>
      </c>
      <c r="AV13" s="23" t="s">
        <v>75</v>
      </c>
    </row>
    <row r="14" spans="1:53" x14ac:dyDescent="0.15">
      <c r="A14" s="15" t="s">
        <v>338</v>
      </c>
      <c r="B14" s="15" t="s">
        <v>339</v>
      </c>
      <c r="C14" s="15">
        <v>2018</v>
      </c>
      <c r="D14" s="37" t="s">
        <v>343</v>
      </c>
      <c r="E14" s="15" t="s">
        <v>143</v>
      </c>
      <c r="F14" s="7" t="s">
        <v>153</v>
      </c>
      <c r="G14" s="7" t="s">
        <v>36</v>
      </c>
      <c r="H14" s="15" t="s">
        <v>157</v>
      </c>
      <c r="I14" s="7" t="s">
        <v>155</v>
      </c>
      <c r="J14" s="15" t="s">
        <v>38</v>
      </c>
      <c r="K14" s="7" t="s">
        <v>156</v>
      </c>
      <c r="L14" s="7">
        <v>1</v>
      </c>
      <c r="N14" s="7">
        <v>1</v>
      </c>
      <c r="O14" s="7">
        <v>0.7</v>
      </c>
      <c r="P14" s="7">
        <v>0.75</v>
      </c>
      <c r="Q14" s="52">
        <f t="shared" si="0"/>
        <v>0.72499999999999998</v>
      </c>
      <c r="R14" s="7">
        <v>15.6</v>
      </c>
      <c r="S14" s="7">
        <v>117</v>
      </c>
      <c r="T14" s="16">
        <f t="shared" si="1"/>
        <v>30</v>
      </c>
      <c r="U14" s="7">
        <v>138</v>
      </c>
      <c r="V14" s="16">
        <f t="shared" si="2"/>
        <v>4140</v>
      </c>
      <c r="W14" s="7">
        <v>5</v>
      </c>
      <c r="X14" s="15" t="s">
        <v>46</v>
      </c>
      <c r="Y14" s="216" t="s">
        <v>55</v>
      </c>
      <c r="Z14" s="216" t="s">
        <v>69</v>
      </c>
      <c r="AA14" s="15" t="s">
        <v>86</v>
      </c>
      <c r="AB14" s="39" t="s">
        <v>341</v>
      </c>
      <c r="AE14" s="22" t="s">
        <v>76</v>
      </c>
      <c r="AG14" s="23"/>
      <c r="AH14" s="23"/>
      <c r="AP14" s="23" t="s">
        <v>74</v>
      </c>
      <c r="AR14" s="30" t="s">
        <v>125</v>
      </c>
      <c r="AV14" s="23" t="s">
        <v>78</v>
      </c>
    </row>
    <row r="15" spans="1:53" x14ac:dyDescent="0.15">
      <c r="A15" s="15" t="s">
        <v>338</v>
      </c>
      <c r="B15" s="15" t="s">
        <v>339</v>
      </c>
      <c r="C15" s="15">
        <v>2018</v>
      </c>
      <c r="D15" s="37" t="s">
        <v>343</v>
      </c>
      <c r="E15" s="15" t="s">
        <v>143</v>
      </c>
      <c r="F15" s="7" t="s">
        <v>153</v>
      </c>
      <c r="G15" s="7" t="s">
        <v>36</v>
      </c>
      <c r="H15" s="216" t="s">
        <v>157</v>
      </c>
      <c r="I15" s="208" t="s">
        <v>155</v>
      </c>
      <c r="J15" s="216" t="s">
        <v>38</v>
      </c>
      <c r="K15" s="208" t="s">
        <v>156</v>
      </c>
      <c r="L15" s="7">
        <v>2</v>
      </c>
      <c r="N15" s="7">
        <v>1</v>
      </c>
      <c r="O15" s="7">
        <v>0.55000000000000004</v>
      </c>
      <c r="P15" s="7">
        <v>0.55000000000000004</v>
      </c>
      <c r="Q15" s="52">
        <f t="shared" si="0"/>
        <v>0.55000000000000004</v>
      </c>
      <c r="R15" s="7">
        <v>14.4</v>
      </c>
      <c r="S15" s="7">
        <v>136</v>
      </c>
      <c r="T15" s="16">
        <f t="shared" si="1"/>
        <v>25</v>
      </c>
      <c r="U15" s="208">
        <v>138</v>
      </c>
      <c r="V15" s="16">
        <f t="shared" si="2"/>
        <v>3450</v>
      </c>
      <c r="W15" s="7">
        <v>5</v>
      </c>
      <c r="X15" s="15" t="s">
        <v>46</v>
      </c>
      <c r="Y15" s="216" t="s">
        <v>55</v>
      </c>
      <c r="Z15" s="216" t="s">
        <v>69</v>
      </c>
      <c r="AA15" s="216" t="s">
        <v>86</v>
      </c>
      <c r="AB15" s="39" t="s">
        <v>341</v>
      </c>
      <c r="AE15" s="22" t="s">
        <v>79</v>
      </c>
      <c r="AG15" s="23"/>
      <c r="AH15" s="23"/>
      <c r="AP15" s="23" t="s">
        <v>77</v>
      </c>
      <c r="AR15" s="30" t="s">
        <v>94</v>
      </c>
      <c r="AV15" s="23" t="s">
        <v>107</v>
      </c>
    </row>
    <row r="16" spans="1:53" x14ac:dyDescent="0.15">
      <c r="A16" s="15" t="s">
        <v>338</v>
      </c>
      <c r="B16" s="15" t="s">
        <v>339</v>
      </c>
      <c r="C16" s="15">
        <v>2018</v>
      </c>
      <c r="D16" s="37" t="s">
        <v>343</v>
      </c>
      <c r="E16" s="15" t="s">
        <v>143</v>
      </c>
      <c r="F16" s="7" t="s">
        <v>153</v>
      </c>
      <c r="G16" s="7" t="s">
        <v>36</v>
      </c>
      <c r="H16" s="216" t="s">
        <v>157</v>
      </c>
      <c r="I16" s="208" t="s">
        <v>155</v>
      </c>
      <c r="J16" s="216" t="s">
        <v>38</v>
      </c>
      <c r="K16" s="208" t="s">
        <v>156</v>
      </c>
      <c r="L16" s="7">
        <v>3</v>
      </c>
      <c r="N16" s="7">
        <v>1</v>
      </c>
      <c r="O16" s="7">
        <v>0.5</v>
      </c>
      <c r="P16" s="7">
        <v>0.5</v>
      </c>
      <c r="Q16" s="52">
        <f t="shared" si="0"/>
        <v>0.5</v>
      </c>
      <c r="R16" s="7">
        <v>15.2</v>
      </c>
      <c r="S16" s="7">
        <v>139</v>
      </c>
      <c r="T16" s="16">
        <f t="shared" si="1"/>
        <v>22</v>
      </c>
      <c r="U16" s="208">
        <v>138</v>
      </c>
      <c r="V16" s="16">
        <f t="shared" si="2"/>
        <v>3036</v>
      </c>
      <c r="W16" s="7">
        <v>5</v>
      </c>
      <c r="X16" s="15" t="s">
        <v>46</v>
      </c>
      <c r="Y16" s="216" t="s">
        <v>55</v>
      </c>
      <c r="Z16" s="216" t="s">
        <v>69</v>
      </c>
      <c r="AA16" s="216" t="s">
        <v>86</v>
      </c>
      <c r="AB16" s="39" t="s">
        <v>341</v>
      </c>
      <c r="AE16" s="22" t="s">
        <v>82</v>
      </c>
      <c r="AG16" s="28"/>
      <c r="AH16" s="28"/>
      <c r="AP16" s="23" t="s">
        <v>80</v>
      </c>
      <c r="AR16" s="41" t="s">
        <v>63</v>
      </c>
      <c r="AV16" s="23" t="s">
        <v>84</v>
      </c>
    </row>
    <row r="17" spans="1:48" x14ac:dyDescent="0.15">
      <c r="A17" s="15" t="s">
        <v>338</v>
      </c>
      <c r="B17" s="15" t="s">
        <v>339</v>
      </c>
      <c r="C17" s="15">
        <v>2018</v>
      </c>
      <c r="D17" s="37" t="s">
        <v>343</v>
      </c>
      <c r="E17" s="15" t="s">
        <v>143</v>
      </c>
      <c r="F17" s="7" t="s">
        <v>153</v>
      </c>
      <c r="G17" s="7" t="s">
        <v>36</v>
      </c>
      <c r="H17" s="15" t="s">
        <v>168</v>
      </c>
      <c r="I17" s="208" t="s">
        <v>155</v>
      </c>
      <c r="J17" s="216" t="s">
        <v>38</v>
      </c>
      <c r="K17" s="208" t="s">
        <v>156</v>
      </c>
      <c r="L17" s="7">
        <v>1</v>
      </c>
      <c r="N17" s="7">
        <v>1</v>
      </c>
      <c r="O17" s="7">
        <v>0.65</v>
      </c>
      <c r="P17" s="7">
        <v>0.5</v>
      </c>
      <c r="Q17" s="52">
        <f t="shared" si="0"/>
        <v>0.57499999999999996</v>
      </c>
      <c r="R17" s="7">
        <v>15.3</v>
      </c>
      <c r="S17" s="7">
        <v>141</v>
      </c>
      <c r="T17" s="16">
        <f t="shared" si="1"/>
        <v>22</v>
      </c>
      <c r="U17" s="7">
        <v>170</v>
      </c>
      <c r="V17" s="16">
        <f t="shared" si="2"/>
        <v>3740</v>
      </c>
      <c r="W17" s="7">
        <v>4</v>
      </c>
      <c r="X17" s="15" t="s">
        <v>46</v>
      </c>
      <c r="Y17" s="216" t="s">
        <v>55</v>
      </c>
      <c r="Z17" s="216" t="s">
        <v>69</v>
      </c>
      <c r="AA17" s="216" t="s">
        <v>86</v>
      </c>
      <c r="AB17" s="39" t="s">
        <v>341</v>
      </c>
      <c r="AE17" s="22" t="s">
        <v>85</v>
      </c>
      <c r="AP17" s="43" t="s">
        <v>110</v>
      </c>
      <c r="AR17" s="41" t="s">
        <v>96</v>
      </c>
      <c r="AV17" s="23" t="s">
        <v>86</v>
      </c>
    </row>
    <row r="18" spans="1:48" x14ac:dyDescent="0.15">
      <c r="A18" s="15" t="s">
        <v>338</v>
      </c>
      <c r="B18" s="15" t="s">
        <v>339</v>
      </c>
      <c r="C18" s="15">
        <v>2018</v>
      </c>
      <c r="D18" s="37" t="s">
        <v>343</v>
      </c>
      <c r="E18" s="15" t="s">
        <v>143</v>
      </c>
      <c r="F18" s="7" t="s">
        <v>153</v>
      </c>
      <c r="G18" s="7" t="s">
        <v>36</v>
      </c>
      <c r="H18" s="216" t="s">
        <v>168</v>
      </c>
      <c r="I18" s="208" t="s">
        <v>155</v>
      </c>
      <c r="J18" s="216" t="s">
        <v>38</v>
      </c>
      <c r="K18" s="208" t="s">
        <v>156</v>
      </c>
      <c r="L18" s="7">
        <v>2</v>
      </c>
      <c r="N18" s="7">
        <v>1</v>
      </c>
      <c r="O18" s="7">
        <v>0.5</v>
      </c>
      <c r="P18" s="7">
        <v>0.6</v>
      </c>
      <c r="Q18" s="52">
        <f t="shared" si="0"/>
        <v>0.55000000000000004</v>
      </c>
      <c r="R18" s="7">
        <v>16.399999999999999</v>
      </c>
      <c r="S18" s="7">
        <v>140</v>
      </c>
      <c r="T18" s="16">
        <f t="shared" si="1"/>
        <v>22</v>
      </c>
      <c r="U18" s="208">
        <v>170</v>
      </c>
      <c r="V18" s="16">
        <f t="shared" si="2"/>
        <v>3740</v>
      </c>
      <c r="W18" s="7">
        <v>4</v>
      </c>
      <c r="X18" s="15" t="s">
        <v>46</v>
      </c>
      <c r="Y18" s="216" t="s">
        <v>55</v>
      </c>
      <c r="Z18" s="216" t="s">
        <v>69</v>
      </c>
      <c r="AA18" s="216" t="s">
        <v>86</v>
      </c>
      <c r="AB18" s="39" t="s">
        <v>341</v>
      </c>
      <c r="AE18" s="22" t="s">
        <v>87</v>
      </c>
      <c r="AP18" s="43" t="s">
        <v>111</v>
      </c>
      <c r="AR18" s="41" t="s">
        <v>101</v>
      </c>
      <c r="AV18" s="23" t="s">
        <v>88</v>
      </c>
    </row>
    <row r="19" spans="1:48" x14ac:dyDescent="0.15">
      <c r="A19" s="15" t="s">
        <v>338</v>
      </c>
      <c r="B19" s="15" t="s">
        <v>339</v>
      </c>
      <c r="C19" s="15">
        <v>2018</v>
      </c>
      <c r="D19" s="37" t="s">
        <v>343</v>
      </c>
      <c r="E19" s="15" t="s">
        <v>143</v>
      </c>
      <c r="F19" s="7" t="s">
        <v>153</v>
      </c>
      <c r="G19" s="7" t="s">
        <v>36</v>
      </c>
      <c r="H19" s="216" t="s">
        <v>168</v>
      </c>
      <c r="I19" s="208" t="s">
        <v>155</v>
      </c>
      <c r="J19" s="216" t="s">
        <v>38</v>
      </c>
      <c r="K19" s="208" t="s">
        <v>156</v>
      </c>
      <c r="L19" s="7">
        <v>3</v>
      </c>
      <c r="N19" s="7">
        <v>1</v>
      </c>
      <c r="O19" s="7">
        <v>0.8</v>
      </c>
      <c r="P19" s="7">
        <v>0.85</v>
      </c>
      <c r="Q19" s="52">
        <f t="shared" si="0"/>
        <v>0.82499999999999996</v>
      </c>
      <c r="R19" s="7">
        <v>19.8</v>
      </c>
      <c r="S19" s="7">
        <v>144</v>
      </c>
      <c r="T19" s="16">
        <f t="shared" si="1"/>
        <v>22</v>
      </c>
      <c r="U19" s="208">
        <v>170</v>
      </c>
      <c r="V19" s="16">
        <f t="shared" si="2"/>
        <v>3740</v>
      </c>
      <c r="W19" s="7">
        <v>4</v>
      </c>
      <c r="X19" s="15" t="s">
        <v>46</v>
      </c>
      <c r="Y19" s="216" t="s">
        <v>55</v>
      </c>
      <c r="Z19" s="216" t="s">
        <v>69</v>
      </c>
      <c r="AA19" s="216" t="s">
        <v>86</v>
      </c>
      <c r="AB19" s="39" t="s">
        <v>341</v>
      </c>
      <c r="AE19" s="35" t="s">
        <v>89</v>
      </c>
      <c r="AP19" s="43" t="s">
        <v>112</v>
      </c>
      <c r="AR19" s="30" t="s">
        <v>126</v>
      </c>
      <c r="AV19" s="23" t="s">
        <v>90</v>
      </c>
    </row>
    <row r="20" spans="1:48" x14ac:dyDescent="0.15">
      <c r="A20" s="15" t="s">
        <v>338</v>
      </c>
      <c r="B20" s="15" t="s">
        <v>339</v>
      </c>
      <c r="C20" s="15">
        <v>2018</v>
      </c>
      <c r="D20" s="37" t="s">
        <v>343</v>
      </c>
      <c r="E20" s="15" t="s">
        <v>144</v>
      </c>
      <c r="F20" s="7" t="s">
        <v>154</v>
      </c>
      <c r="G20" s="7" t="s">
        <v>36</v>
      </c>
      <c r="H20" s="15" t="s">
        <v>157</v>
      </c>
      <c r="I20" s="208" t="s">
        <v>155</v>
      </c>
      <c r="J20" s="15" t="s">
        <v>38</v>
      </c>
      <c r="K20" s="7" t="s">
        <v>156</v>
      </c>
      <c r="L20" s="7">
        <v>1</v>
      </c>
      <c r="N20" s="7">
        <v>1</v>
      </c>
      <c r="O20" s="7">
        <v>0.7</v>
      </c>
      <c r="P20" s="34">
        <v>0.7</v>
      </c>
      <c r="Q20" s="52">
        <f t="shared" si="0"/>
        <v>0.7</v>
      </c>
      <c r="R20" s="7">
        <v>14.5</v>
      </c>
      <c r="S20" s="7">
        <v>121</v>
      </c>
      <c r="T20" s="16">
        <f t="shared" si="1"/>
        <v>27</v>
      </c>
      <c r="U20" s="7">
        <v>105</v>
      </c>
      <c r="V20" s="16">
        <f t="shared" si="2"/>
        <v>2835</v>
      </c>
      <c r="W20" s="7">
        <v>2</v>
      </c>
      <c r="X20" s="15" t="s">
        <v>46</v>
      </c>
      <c r="Y20" s="15" t="s">
        <v>55</v>
      </c>
      <c r="Z20" s="15" t="s">
        <v>97</v>
      </c>
      <c r="AA20" s="15" t="s">
        <v>86</v>
      </c>
      <c r="AB20" s="39" t="s">
        <v>341</v>
      </c>
      <c r="AE20" s="22"/>
      <c r="AP20" s="43" t="s">
        <v>113</v>
      </c>
      <c r="AR20" s="41" t="s">
        <v>105</v>
      </c>
      <c r="AV20" s="27" t="s">
        <v>135</v>
      </c>
    </row>
    <row r="21" spans="1:48" x14ac:dyDescent="0.15">
      <c r="A21" s="15" t="s">
        <v>338</v>
      </c>
      <c r="B21" s="15" t="s">
        <v>339</v>
      </c>
      <c r="C21" s="15">
        <v>2018</v>
      </c>
      <c r="D21" s="37" t="s">
        <v>343</v>
      </c>
      <c r="E21" s="15" t="s">
        <v>144</v>
      </c>
      <c r="F21" s="7" t="s">
        <v>154</v>
      </c>
      <c r="G21" s="7" t="s">
        <v>36</v>
      </c>
      <c r="H21" s="216" t="s">
        <v>157</v>
      </c>
      <c r="I21" s="208" t="s">
        <v>155</v>
      </c>
      <c r="J21" s="216" t="s">
        <v>38</v>
      </c>
      <c r="K21" s="208" t="s">
        <v>156</v>
      </c>
      <c r="L21" s="7">
        <v>2</v>
      </c>
      <c r="N21" s="7">
        <v>1</v>
      </c>
      <c r="O21" s="7">
        <v>0.55000000000000004</v>
      </c>
      <c r="P21" s="7">
        <v>0.55000000000000004</v>
      </c>
      <c r="Q21" s="52">
        <f t="shared" si="0"/>
        <v>0.55000000000000004</v>
      </c>
      <c r="R21" s="7">
        <v>15.3</v>
      </c>
      <c r="S21" s="7">
        <v>119</v>
      </c>
      <c r="T21" s="16">
        <f t="shared" si="1"/>
        <v>30</v>
      </c>
      <c r="U21" s="208">
        <v>105</v>
      </c>
      <c r="V21" s="16">
        <f t="shared" si="2"/>
        <v>3150</v>
      </c>
      <c r="W21" s="7">
        <v>2</v>
      </c>
      <c r="X21" s="15" t="s">
        <v>46</v>
      </c>
      <c r="Y21" s="216" t="s">
        <v>55</v>
      </c>
      <c r="Z21" s="216" t="s">
        <v>97</v>
      </c>
      <c r="AA21" s="216" t="s">
        <v>86</v>
      </c>
      <c r="AB21" s="39" t="s">
        <v>341</v>
      </c>
      <c r="AE21" s="22"/>
      <c r="AP21" s="43" t="s">
        <v>114</v>
      </c>
      <c r="AR21" s="41" t="s">
        <v>68</v>
      </c>
      <c r="AV21" s="27" t="s">
        <v>136</v>
      </c>
    </row>
    <row r="22" spans="1:48" x14ac:dyDescent="0.15">
      <c r="A22" s="15" t="s">
        <v>338</v>
      </c>
      <c r="B22" s="15" t="s">
        <v>339</v>
      </c>
      <c r="C22" s="15">
        <v>2018</v>
      </c>
      <c r="D22" s="37" t="s">
        <v>343</v>
      </c>
      <c r="E22" s="15" t="s">
        <v>144</v>
      </c>
      <c r="F22" s="7" t="s">
        <v>154</v>
      </c>
      <c r="G22" s="7" t="s">
        <v>36</v>
      </c>
      <c r="H22" s="216" t="s">
        <v>157</v>
      </c>
      <c r="I22" s="208" t="s">
        <v>155</v>
      </c>
      <c r="J22" s="216" t="s">
        <v>38</v>
      </c>
      <c r="K22" s="208" t="s">
        <v>156</v>
      </c>
      <c r="L22" s="7">
        <v>3</v>
      </c>
      <c r="N22" s="7">
        <v>1</v>
      </c>
      <c r="O22" s="34">
        <v>0.5</v>
      </c>
      <c r="P22" s="7">
        <v>0.5</v>
      </c>
      <c r="Q22" s="52">
        <f t="shared" si="0"/>
        <v>0.5</v>
      </c>
      <c r="R22" s="7">
        <v>15.5</v>
      </c>
      <c r="S22" s="7">
        <v>124</v>
      </c>
      <c r="T22" s="16">
        <f t="shared" si="1"/>
        <v>27</v>
      </c>
      <c r="U22" s="208">
        <v>105</v>
      </c>
      <c r="V22" s="16">
        <f t="shared" si="2"/>
        <v>2835</v>
      </c>
      <c r="W22" s="7">
        <v>2</v>
      </c>
      <c r="X22" s="15" t="s">
        <v>46</v>
      </c>
      <c r="Y22" s="216" t="s">
        <v>55</v>
      </c>
      <c r="Z22" s="216" t="s">
        <v>97</v>
      </c>
      <c r="AA22" s="216" t="s">
        <v>86</v>
      </c>
      <c r="AB22" s="39" t="s">
        <v>341</v>
      </c>
      <c r="AE22" s="35"/>
      <c r="AP22" s="43" t="s">
        <v>115</v>
      </c>
      <c r="AR22" s="41" t="s">
        <v>83</v>
      </c>
      <c r="AV22" s="27"/>
    </row>
    <row r="23" spans="1:48" x14ac:dyDescent="0.15">
      <c r="A23" s="15" t="s">
        <v>338</v>
      </c>
      <c r="B23" s="15" t="s">
        <v>339</v>
      </c>
      <c r="C23" s="15">
        <v>2018</v>
      </c>
      <c r="D23" s="37" t="s">
        <v>343</v>
      </c>
      <c r="E23" s="7" t="s">
        <v>144</v>
      </c>
      <c r="F23" s="7" t="s">
        <v>154</v>
      </c>
      <c r="G23" s="7" t="s">
        <v>36</v>
      </c>
      <c r="H23" s="15" t="s">
        <v>168</v>
      </c>
      <c r="I23" s="208" t="s">
        <v>155</v>
      </c>
      <c r="J23" s="15" t="s">
        <v>38</v>
      </c>
      <c r="K23" s="7" t="s">
        <v>156</v>
      </c>
      <c r="L23" s="7">
        <v>1</v>
      </c>
      <c r="N23" s="7">
        <v>1</v>
      </c>
      <c r="O23" s="34">
        <v>1</v>
      </c>
      <c r="P23" s="7">
        <v>0.9</v>
      </c>
      <c r="Q23" s="52">
        <f t="shared" si="0"/>
        <v>0.95</v>
      </c>
      <c r="R23" s="7">
        <v>15.5</v>
      </c>
      <c r="S23" s="7">
        <v>143</v>
      </c>
      <c r="T23" s="16">
        <f t="shared" si="1"/>
        <v>22</v>
      </c>
      <c r="U23" s="7">
        <v>149</v>
      </c>
      <c r="V23" s="16">
        <f t="shared" si="2"/>
        <v>3278</v>
      </c>
      <c r="W23" s="7">
        <v>4</v>
      </c>
      <c r="X23" s="15" t="s">
        <v>46</v>
      </c>
      <c r="Y23" s="216" t="s">
        <v>55</v>
      </c>
      <c r="Z23" s="216" t="s">
        <v>97</v>
      </c>
      <c r="AA23" s="216" t="s">
        <v>86</v>
      </c>
      <c r="AB23" s="39" t="s">
        <v>341</v>
      </c>
      <c r="AE23" s="22"/>
      <c r="AP23" s="43" t="s">
        <v>137</v>
      </c>
      <c r="AR23" s="41" t="s">
        <v>61</v>
      </c>
      <c r="AV23" s="27"/>
    </row>
    <row r="24" spans="1:48" x14ac:dyDescent="0.15">
      <c r="A24" s="15" t="s">
        <v>338</v>
      </c>
      <c r="B24" s="15" t="s">
        <v>339</v>
      </c>
      <c r="C24" s="15">
        <v>2018</v>
      </c>
      <c r="D24" s="37" t="s">
        <v>343</v>
      </c>
      <c r="E24" s="7" t="s">
        <v>144</v>
      </c>
      <c r="F24" s="7" t="s">
        <v>154</v>
      </c>
      <c r="G24" s="7" t="s">
        <v>36</v>
      </c>
      <c r="H24" s="216" t="s">
        <v>168</v>
      </c>
      <c r="I24" s="208" t="s">
        <v>155</v>
      </c>
      <c r="J24" s="15" t="s">
        <v>38</v>
      </c>
      <c r="K24" s="7" t="s">
        <v>156</v>
      </c>
      <c r="L24" s="7">
        <v>2</v>
      </c>
      <c r="N24" s="7">
        <v>1</v>
      </c>
      <c r="O24" s="7">
        <v>0.6</v>
      </c>
      <c r="P24" s="7">
        <v>0.6</v>
      </c>
      <c r="Q24" s="52">
        <f t="shared" si="0"/>
        <v>0.6</v>
      </c>
      <c r="R24" s="7">
        <v>18.399999999999999</v>
      </c>
      <c r="S24" s="7">
        <v>145</v>
      </c>
      <c r="T24" s="16">
        <f t="shared" si="1"/>
        <v>22</v>
      </c>
      <c r="U24" s="208">
        <v>149</v>
      </c>
      <c r="V24" s="16">
        <f t="shared" si="2"/>
        <v>3278</v>
      </c>
      <c r="W24" s="7">
        <v>4</v>
      </c>
      <c r="X24" s="15" t="s">
        <v>46</v>
      </c>
      <c r="Y24" s="216" t="s">
        <v>55</v>
      </c>
      <c r="Z24" s="216" t="s">
        <v>97</v>
      </c>
      <c r="AA24" s="216" t="s">
        <v>86</v>
      </c>
      <c r="AB24" s="39" t="s">
        <v>341</v>
      </c>
      <c r="AE24" s="22"/>
      <c r="AP24" s="43" t="s">
        <v>138</v>
      </c>
      <c r="AR24" s="41" t="s">
        <v>91</v>
      </c>
      <c r="AV24" s="27"/>
    </row>
    <row r="25" spans="1:48" x14ac:dyDescent="0.15">
      <c r="A25" s="15" t="s">
        <v>338</v>
      </c>
      <c r="B25" s="15" t="s">
        <v>339</v>
      </c>
      <c r="C25" s="15">
        <v>2018</v>
      </c>
      <c r="D25" s="37" t="s">
        <v>343</v>
      </c>
      <c r="E25" s="7" t="s">
        <v>144</v>
      </c>
      <c r="F25" s="7" t="s">
        <v>154</v>
      </c>
      <c r="G25" s="7" t="s">
        <v>36</v>
      </c>
      <c r="H25" s="216" t="s">
        <v>168</v>
      </c>
      <c r="I25" s="208" t="s">
        <v>155</v>
      </c>
      <c r="J25" s="15" t="s">
        <v>38</v>
      </c>
      <c r="K25" s="7" t="s">
        <v>156</v>
      </c>
      <c r="L25" s="7">
        <v>3</v>
      </c>
      <c r="N25" s="7">
        <v>1</v>
      </c>
      <c r="O25" s="7">
        <v>1.05</v>
      </c>
      <c r="P25" s="7">
        <v>0.9</v>
      </c>
      <c r="Q25" s="52">
        <f t="shared" si="0"/>
        <v>0.97500000000000009</v>
      </c>
      <c r="R25" s="7">
        <v>15.6</v>
      </c>
      <c r="S25" s="7">
        <v>147</v>
      </c>
      <c r="T25" s="16">
        <f t="shared" si="1"/>
        <v>22</v>
      </c>
      <c r="U25" s="208">
        <v>149</v>
      </c>
      <c r="V25" s="16">
        <f t="shared" si="2"/>
        <v>3278</v>
      </c>
      <c r="W25" s="7">
        <v>4</v>
      </c>
      <c r="X25" s="15" t="s">
        <v>46</v>
      </c>
      <c r="Y25" s="216" t="s">
        <v>55</v>
      </c>
      <c r="Z25" s="216" t="s">
        <v>97</v>
      </c>
      <c r="AA25" s="216" t="s">
        <v>86</v>
      </c>
      <c r="AB25" s="39" t="s">
        <v>341</v>
      </c>
      <c r="AE25" s="35"/>
      <c r="AP25" s="43" t="s">
        <v>116</v>
      </c>
      <c r="AR25" s="42" t="s">
        <v>92</v>
      </c>
      <c r="AV25" s="27"/>
    </row>
    <row r="26" spans="1:48" x14ac:dyDescent="0.15">
      <c r="A26" s="15" t="s">
        <v>338</v>
      </c>
      <c r="B26" s="15" t="s">
        <v>339</v>
      </c>
      <c r="C26" s="15">
        <v>2018</v>
      </c>
      <c r="D26" s="37" t="s">
        <v>343</v>
      </c>
      <c r="E26" s="7" t="s">
        <v>131</v>
      </c>
      <c r="F26" s="7" t="s">
        <v>145</v>
      </c>
      <c r="G26" s="7" t="s">
        <v>36</v>
      </c>
      <c r="H26" s="15" t="s">
        <v>157</v>
      </c>
      <c r="I26" s="208" t="s">
        <v>155</v>
      </c>
      <c r="J26" s="15" t="s">
        <v>38</v>
      </c>
      <c r="K26" s="7" t="s">
        <v>156</v>
      </c>
      <c r="L26" s="7">
        <v>1</v>
      </c>
      <c r="N26" s="7">
        <v>1</v>
      </c>
      <c r="O26" s="7">
        <v>0.7</v>
      </c>
      <c r="P26" s="7">
        <v>0.6</v>
      </c>
      <c r="Q26" s="52">
        <f t="shared" si="0"/>
        <v>0.64999999999999991</v>
      </c>
      <c r="R26" s="7">
        <v>14.1</v>
      </c>
      <c r="S26" s="7">
        <v>127</v>
      </c>
      <c r="T26" s="16">
        <f t="shared" si="1"/>
        <v>27</v>
      </c>
      <c r="U26" s="7">
        <v>95</v>
      </c>
      <c r="V26" s="16">
        <f t="shared" si="2"/>
        <v>2565</v>
      </c>
      <c r="W26" s="7">
        <v>3</v>
      </c>
      <c r="X26" s="15" t="s">
        <v>46</v>
      </c>
      <c r="Y26" s="216" t="s">
        <v>55</v>
      </c>
      <c r="Z26" s="216" t="s">
        <v>86</v>
      </c>
      <c r="AA26" s="216" t="s">
        <v>90</v>
      </c>
      <c r="AB26" s="39" t="s">
        <v>341</v>
      </c>
      <c r="AE26" s="35"/>
      <c r="AP26" s="43" t="s">
        <v>117</v>
      </c>
      <c r="AR26" s="23" t="s">
        <v>292</v>
      </c>
      <c r="AV26" s="28"/>
    </row>
    <row r="27" spans="1:48" x14ac:dyDescent="0.15">
      <c r="A27" s="15" t="s">
        <v>338</v>
      </c>
      <c r="B27" s="15" t="s">
        <v>339</v>
      </c>
      <c r="C27" s="15">
        <v>2018</v>
      </c>
      <c r="D27" s="37" t="s">
        <v>343</v>
      </c>
      <c r="E27" s="7" t="s">
        <v>131</v>
      </c>
      <c r="F27" s="7" t="s">
        <v>145</v>
      </c>
      <c r="G27" s="7" t="s">
        <v>36</v>
      </c>
      <c r="H27" s="216" t="s">
        <v>157</v>
      </c>
      <c r="I27" s="208" t="s">
        <v>155</v>
      </c>
      <c r="J27" s="15" t="s">
        <v>38</v>
      </c>
      <c r="K27" s="7" t="s">
        <v>156</v>
      </c>
      <c r="L27" s="7">
        <v>2</v>
      </c>
      <c r="N27" s="7">
        <v>1</v>
      </c>
      <c r="O27" s="7">
        <v>1.05</v>
      </c>
      <c r="P27" s="7">
        <v>1.1000000000000001</v>
      </c>
      <c r="Q27" s="52">
        <f t="shared" si="0"/>
        <v>1.0750000000000002</v>
      </c>
      <c r="R27" s="7">
        <v>13.3</v>
      </c>
      <c r="S27" s="7">
        <v>131</v>
      </c>
      <c r="T27" s="16">
        <f t="shared" si="1"/>
        <v>25</v>
      </c>
      <c r="U27" s="208">
        <v>95</v>
      </c>
      <c r="V27" s="16">
        <f t="shared" si="2"/>
        <v>2375</v>
      </c>
      <c r="W27" s="7">
        <v>3</v>
      </c>
      <c r="X27" s="15" t="s">
        <v>46</v>
      </c>
      <c r="Y27" s="216" t="s">
        <v>55</v>
      </c>
      <c r="Z27" s="216" t="s">
        <v>86</v>
      </c>
      <c r="AA27" s="216" t="s">
        <v>90</v>
      </c>
      <c r="AB27" s="39" t="s">
        <v>341</v>
      </c>
      <c r="AE27" s="28"/>
      <c r="AP27" s="43" t="s">
        <v>118</v>
      </c>
      <c r="AR27" s="23"/>
    </row>
    <row r="28" spans="1:48" x14ac:dyDescent="0.15">
      <c r="A28" s="15" t="s">
        <v>338</v>
      </c>
      <c r="B28" s="15" t="s">
        <v>339</v>
      </c>
      <c r="C28" s="15">
        <v>2018</v>
      </c>
      <c r="D28" s="37" t="s">
        <v>343</v>
      </c>
      <c r="E28" s="7" t="s">
        <v>131</v>
      </c>
      <c r="F28" s="7" t="s">
        <v>145</v>
      </c>
      <c r="G28" s="7" t="s">
        <v>36</v>
      </c>
      <c r="H28" s="216" t="s">
        <v>157</v>
      </c>
      <c r="I28" s="208" t="s">
        <v>155</v>
      </c>
      <c r="J28" s="15" t="s">
        <v>38</v>
      </c>
      <c r="K28" s="7" t="s">
        <v>156</v>
      </c>
      <c r="L28" s="7">
        <v>3</v>
      </c>
      <c r="N28" s="7">
        <v>1</v>
      </c>
      <c r="O28" s="7">
        <v>0.7</v>
      </c>
      <c r="P28" s="7">
        <v>0.6</v>
      </c>
      <c r="Q28" s="52">
        <f t="shared" si="0"/>
        <v>0.64999999999999991</v>
      </c>
      <c r="R28" s="7">
        <v>13.7</v>
      </c>
      <c r="S28" s="7">
        <v>133</v>
      </c>
      <c r="T28" s="16">
        <f t="shared" si="1"/>
        <v>25</v>
      </c>
      <c r="U28" s="208">
        <v>95</v>
      </c>
      <c r="V28" s="16">
        <f t="shared" si="2"/>
        <v>2375</v>
      </c>
      <c r="W28" s="7">
        <v>3</v>
      </c>
      <c r="X28" s="15" t="s">
        <v>46</v>
      </c>
      <c r="Y28" s="216" t="s">
        <v>55</v>
      </c>
      <c r="Z28" s="216" t="s">
        <v>86</v>
      </c>
      <c r="AA28" s="216" t="s">
        <v>90</v>
      </c>
      <c r="AB28" s="39" t="s">
        <v>341</v>
      </c>
      <c r="AP28" s="27"/>
      <c r="AR28" s="23"/>
    </row>
    <row r="29" spans="1:48" x14ac:dyDescent="0.15">
      <c r="A29" s="15" t="s">
        <v>338</v>
      </c>
      <c r="B29" s="15" t="s">
        <v>339</v>
      </c>
      <c r="C29" s="15">
        <v>2018</v>
      </c>
      <c r="D29" s="37" t="s">
        <v>343</v>
      </c>
      <c r="E29" s="7" t="s">
        <v>131</v>
      </c>
      <c r="F29" s="7" t="s">
        <v>145</v>
      </c>
      <c r="G29" s="7" t="s">
        <v>36</v>
      </c>
      <c r="H29" s="15" t="s">
        <v>168</v>
      </c>
      <c r="I29" s="208" t="s">
        <v>155</v>
      </c>
      <c r="J29" s="15" t="s">
        <v>38</v>
      </c>
      <c r="K29" s="7" t="s">
        <v>156</v>
      </c>
      <c r="L29" s="7">
        <v>1</v>
      </c>
      <c r="N29" s="7">
        <v>1</v>
      </c>
      <c r="O29" s="7">
        <v>0.5</v>
      </c>
      <c r="P29" s="7">
        <v>0.5</v>
      </c>
      <c r="Q29" s="52">
        <f t="shared" si="0"/>
        <v>0.5</v>
      </c>
      <c r="R29" s="7">
        <v>15.9</v>
      </c>
      <c r="S29" s="7">
        <v>130</v>
      </c>
      <c r="T29" s="16">
        <f t="shared" si="1"/>
        <v>25</v>
      </c>
      <c r="U29" s="7">
        <v>149</v>
      </c>
      <c r="V29" s="16">
        <f t="shared" si="2"/>
        <v>3725</v>
      </c>
      <c r="W29" s="7">
        <v>8</v>
      </c>
      <c r="X29" s="15" t="s">
        <v>46</v>
      </c>
      <c r="Y29" s="216" t="s">
        <v>55</v>
      </c>
      <c r="Z29" s="216" t="s">
        <v>86</v>
      </c>
      <c r="AA29" s="216" t="s">
        <v>90</v>
      </c>
      <c r="AB29" s="39" t="s">
        <v>341</v>
      </c>
      <c r="AP29" s="27"/>
      <c r="AR29" s="27"/>
      <c r="AV29" s="28"/>
    </row>
    <row r="30" spans="1:48" x14ac:dyDescent="0.15">
      <c r="A30" s="15" t="s">
        <v>338</v>
      </c>
      <c r="B30" s="15" t="s">
        <v>339</v>
      </c>
      <c r="C30" s="15">
        <v>2018</v>
      </c>
      <c r="D30" s="37" t="s">
        <v>343</v>
      </c>
      <c r="E30" s="7" t="s">
        <v>131</v>
      </c>
      <c r="F30" s="7" t="s">
        <v>145</v>
      </c>
      <c r="G30" s="7" t="s">
        <v>36</v>
      </c>
      <c r="H30" s="216" t="s">
        <v>168</v>
      </c>
      <c r="I30" s="208" t="s">
        <v>155</v>
      </c>
      <c r="J30" s="15" t="s">
        <v>38</v>
      </c>
      <c r="K30" s="7" t="s">
        <v>156</v>
      </c>
      <c r="L30" s="7">
        <v>2</v>
      </c>
      <c r="N30" s="7">
        <v>1</v>
      </c>
      <c r="O30" s="7">
        <v>0.5</v>
      </c>
      <c r="P30" s="7">
        <v>0.6</v>
      </c>
      <c r="Q30" s="52">
        <f t="shared" si="0"/>
        <v>0.55000000000000004</v>
      </c>
      <c r="R30" s="7">
        <v>16.7</v>
      </c>
      <c r="S30" s="7">
        <v>129</v>
      </c>
      <c r="T30" s="16">
        <f t="shared" si="1"/>
        <v>25</v>
      </c>
      <c r="U30" s="208">
        <v>149</v>
      </c>
      <c r="V30" s="16">
        <f t="shared" si="2"/>
        <v>3725</v>
      </c>
      <c r="W30" s="7">
        <v>8</v>
      </c>
      <c r="X30" s="15" t="s">
        <v>46</v>
      </c>
      <c r="Y30" s="216" t="s">
        <v>55</v>
      </c>
      <c r="Z30" s="216" t="s">
        <v>86</v>
      </c>
      <c r="AA30" s="216" t="s">
        <v>90</v>
      </c>
      <c r="AB30" s="39" t="s">
        <v>341</v>
      </c>
      <c r="AP30" s="27"/>
      <c r="AR30" s="27"/>
    </row>
    <row r="31" spans="1:48" x14ac:dyDescent="0.15">
      <c r="A31" s="15" t="s">
        <v>338</v>
      </c>
      <c r="B31" s="15" t="s">
        <v>339</v>
      </c>
      <c r="C31" s="15">
        <v>2018</v>
      </c>
      <c r="D31" s="37" t="s">
        <v>343</v>
      </c>
      <c r="E31" s="7" t="s">
        <v>131</v>
      </c>
      <c r="F31" s="7" t="s">
        <v>145</v>
      </c>
      <c r="G31" s="7" t="s">
        <v>36</v>
      </c>
      <c r="H31" s="216" t="s">
        <v>168</v>
      </c>
      <c r="I31" s="208" t="s">
        <v>155</v>
      </c>
      <c r="J31" s="15" t="s">
        <v>38</v>
      </c>
      <c r="K31" s="7" t="s">
        <v>156</v>
      </c>
      <c r="L31" s="7">
        <v>3</v>
      </c>
      <c r="N31" s="7">
        <v>1</v>
      </c>
      <c r="O31" s="7">
        <v>0.5</v>
      </c>
      <c r="P31" s="7">
        <v>0.5</v>
      </c>
      <c r="Q31" s="52">
        <f t="shared" si="0"/>
        <v>0.5</v>
      </c>
      <c r="R31" s="7">
        <v>20.9</v>
      </c>
      <c r="S31" s="7">
        <v>131</v>
      </c>
      <c r="T31" s="16">
        <f t="shared" si="1"/>
        <v>25</v>
      </c>
      <c r="U31" s="208">
        <v>149</v>
      </c>
      <c r="V31" s="16">
        <f t="shared" si="2"/>
        <v>3725</v>
      </c>
      <c r="W31" s="7">
        <v>8</v>
      </c>
      <c r="X31" s="15" t="s">
        <v>46</v>
      </c>
      <c r="Y31" s="216" t="s">
        <v>55</v>
      </c>
      <c r="Z31" s="216" t="s">
        <v>86</v>
      </c>
      <c r="AA31" s="216" t="s">
        <v>90</v>
      </c>
      <c r="AB31" s="39" t="s">
        <v>341</v>
      </c>
      <c r="AP31" s="27"/>
      <c r="AR31" s="27"/>
    </row>
    <row r="32" spans="1:48" x14ac:dyDescent="0.15">
      <c r="A32" s="15" t="s">
        <v>338</v>
      </c>
      <c r="B32" s="15" t="s">
        <v>339</v>
      </c>
      <c r="C32" s="15">
        <v>2018</v>
      </c>
      <c r="D32" s="37" t="s">
        <v>343</v>
      </c>
      <c r="E32" s="7" t="s">
        <v>139</v>
      </c>
      <c r="F32" s="7" t="s">
        <v>146</v>
      </c>
      <c r="G32" s="7" t="s">
        <v>36</v>
      </c>
      <c r="H32" s="15" t="s">
        <v>157</v>
      </c>
      <c r="I32" s="208" t="s">
        <v>155</v>
      </c>
      <c r="J32" s="15" t="s">
        <v>38</v>
      </c>
      <c r="K32" s="7" t="s">
        <v>156</v>
      </c>
      <c r="L32" s="7">
        <v>1</v>
      </c>
      <c r="N32" s="7">
        <v>1</v>
      </c>
      <c r="O32" s="7">
        <v>0.7</v>
      </c>
      <c r="P32" s="7">
        <v>0.85</v>
      </c>
      <c r="Q32" s="52">
        <f t="shared" si="0"/>
        <v>0.77499999999999991</v>
      </c>
      <c r="R32" s="7">
        <v>14.1</v>
      </c>
      <c r="S32" s="7">
        <v>112</v>
      </c>
      <c r="T32" s="16">
        <f t="shared" si="1"/>
        <v>33</v>
      </c>
      <c r="U32" s="7">
        <v>139</v>
      </c>
      <c r="V32" s="16">
        <f t="shared" si="2"/>
        <v>4587</v>
      </c>
      <c r="W32" s="7">
        <v>4</v>
      </c>
      <c r="X32" s="15" t="s">
        <v>46</v>
      </c>
      <c r="Y32" s="216" t="s">
        <v>86</v>
      </c>
      <c r="Z32" s="216" t="s">
        <v>55</v>
      </c>
      <c r="AA32" s="15" t="s">
        <v>47</v>
      </c>
      <c r="AB32" s="39" t="s">
        <v>341</v>
      </c>
      <c r="AP32" s="28"/>
      <c r="AR32" s="28"/>
    </row>
    <row r="33" spans="1:44" x14ac:dyDescent="0.15">
      <c r="A33" s="15" t="s">
        <v>338</v>
      </c>
      <c r="B33" s="15" t="s">
        <v>339</v>
      </c>
      <c r="C33" s="15">
        <v>2018</v>
      </c>
      <c r="D33" s="37" t="s">
        <v>343</v>
      </c>
      <c r="E33" s="7" t="s">
        <v>139</v>
      </c>
      <c r="F33" s="7" t="s">
        <v>146</v>
      </c>
      <c r="G33" s="7" t="s">
        <v>36</v>
      </c>
      <c r="H33" s="216" t="s">
        <v>157</v>
      </c>
      <c r="I33" s="208" t="s">
        <v>155</v>
      </c>
      <c r="J33" s="15" t="s">
        <v>38</v>
      </c>
      <c r="K33" s="7" t="s">
        <v>156</v>
      </c>
      <c r="L33" s="7">
        <v>2</v>
      </c>
      <c r="N33" s="7">
        <v>1</v>
      </c>
      <c r="O33" s="7">
        <v>0.8</v>
      </c>
      <c r="P33" s="7">
        <v>0.95</v>
      </c>
      <c r="Q33" s="52">
        <f t="shared" si="0"/>
        <v>0.875</v>
      </c>
      <c r="R33" s="7">
        <v>13.1</v>
      </c>
      <c r="S33" s="7">
        <v>108</v>
      </c>
      <c r="T33" s="16">
        <f t="shared" si="1"/>
        <v>33</v>
      </c>
      <c r="U33" s="208">
        <v>139</v>
      </c>
      <c r="V33" s="16">
        <f t="shared" si="2"/>
        <v>4587</v>
      </c>
      <c r="W33" s="7">
        <v>4</v>
      </c>
      <c r="X33" s="15" t="s">
        <v>46</v>
      </c>
      <c r="Y33" s="216" t="s">
        <v>86</v>
      </c>
      <c r="Z33" s="216" t="s">
        <v>55</v>
      </c>
      <c r="AA33" s="216" t="s">
        <v>47</v>
      </c>
      <c r="AB33" s="39" t="s">
        <v>341</v>
      </c>
    </row>
    <row r="34" spans="1:44" x14ac:dyDescent="0.15">
      <c r="A34" s="15" t="s">
        <v>338</v>
      </c>
      <c r="B34" s="15" t="s">
        <v>339</v>
      </c>
      <c r="C34" s="15">
        <v>2018</v>
      </c>
      <c r="D34" s="37" t="s">
        <v>343</v>
      </c>
      <c r="E34" s="7" t="s">
        <v>139</v>
      </c>
      <c r="F34" s="7" t="s">
        <v>146</v>
      </c>
      <c r="G34" s="7" t="s">
        <v>36</v>
      </c>
      <c r="H34" s="216" t="s">
        <v>157</v>
      </c>
      <c r="I34" s="208" t="s">
        <v>155</v>
      </c>
      <c r="J34" s="15" t="s">
        <v>38</v>
      </c>
      <c r="K34" s="7" t="s">
        <v>156</v>
      </c>
      <c r="L34" s="7">
        <v>3</v>
      </c>
      <c r="N34" s="7">
        <v>1</v>
      </c>
      <c r="O34" s="7">
        <v>0.5</v>
      </c>
      <c r="P34" s="7">
        <v>0.5</v>
      </c>
      <c r="Q34" s="52">
        <f t="shared" si="0"/>
        <v>0.5</v>
      </c>
      <c r="R34" s="7">
        <v>12.6</v>
      </c>
      <c r="S34" s="7">
        <v>113</v>
      </c>
      <c r="T34" s="16">
        <f t="shared" si="1"/>
        <v>30</v>
      </c>
      <c r="U34" s="208">
        <v>139</v>
      </c>
      <c r="V34" s="16">
        <f t="shared" si="2"/>
        <v>4170</v>
      </c>
      <c r="W34" s="7">
        <v>4</v>
      </c>
      <c r="X34" s="15" t="s">
        <v>46</v>
      </c>
      <c r="Y34" s="216" t="s">
        <v>86</v>
      </c>
      <c r="Z34" s="216" t="s">
        <v>55</v>
      </c>
      <c r="AA34" s="216" t="s">
        <v>47</v>
      </c>
      <c r="AB34" s="39" t="s">
        <v>341</v>
      </c>
    </row>
    <row r="35" spans="1:44" x14ac:dyDescent="0.15">
      <c r="A35" s="15" t="s">
        <v>338</v>
      </c>
      <c r="B35" s="15" t="s">
        <v>339</v>
      </c>
      <c r="C35" s="15">
        <v>2018</v>
      </c>
      <c r="D35" s="37" t="s">
        <v>343</v>
      </c>
      <c r="E35" s="7" t="s">
        <v>139</v>
      </c>
      <c r="F35" s="7" t="s">
        <v>146</v>
      </c>
      <c r="G35" s="7" t="s">
        <v>36</v>
      </c>
      <c r="H35" s="216" t="s">
        <v>168</v>
      </c>
      <c r="I35" s="208" t="s">
        <v>155</v>
      </c>
      <c r="J35" s="15" t="s">
        <v>38</v>
      </c>
      <c r="K35" s="7" t="s">
        <v>156</v>
      </c>
      <c r="L35" s="7">
        <v>1</v>
      </c>
      <c r="N35" s="7">
        <v>1</v>
      </c>
      <c r="O35" s="7">
        <v>0.5</v>
      </c>
      <c r="P35" s="7">
        <v>0.5</v>
      </c>
      <c r="Q35" s="52">
        <f t="shared" si="0"/>
        <v>0.5</v>
      </c>
      <c r="R35" s="7">
        <v>16</v>
      </c>
      <c r="S35" s="7">
        <v>159</v>
      </c>
      <c r="T35" s="16">
        <f t="shared" si="1"/>
        <v>18</v>
      </c>
      <c r="U35" s="7">
        <v>171</v>
      </c>
      <c r="V35" s="16">
        <f t="shared" si="2"/>
        <v>3078</v>
      </c>
      <c r="W35" s="7">
        <v>15</v>
      </c>
      <c r="X35" s="15" t="s">
        <v>46</v>
      </c>
      <c r="Y35" s="216" t="s">
        <v>86</v>
      </c>
      <c r="Z35" s="216" t="s">
        <v>55</v>
      </c>
      <c r="AA35" s="216" t="s">
        <v>47</v>
      </c>
      <c r="AB35" s="39" t="s">
        <v>341</v>
      </c>
      <c r="AP35" s="28"/>
      <c r="AR35" s="28"/>
    </row>
    <row r="36" spans="1:44" x14ac:dyDescent="0.15">
      <c r="A36" s="15" t="s">
        <v>338</v>
      </c>
      <c r="B36" s="15" t="s">
        <v>339</v>
      </c>
      <c r="C36" s="15">
        <v>2018</v>
      </c>
      <c r="D36" s="37" t="s">
        <v>343</v>
      </c>
      <c r="E36" s="7" t="s">
        <v>139</v>
      </c>
      <c r="F36" s="7" t="s">
        <v>146</v>
      </c>
      <c r="G36" s="7" t="s">
        <v>36</v>
      </c>
      <c r="H36" s="216" t="s">
        <v>168</v>
      </c>
      <c r="I36" s="208" t="s">
        <v>155</v>
      </c>
      <c r="J36" s="15" t="s">
        <v>38</v>
      </c>
      <c r="K36" s="7" t="s">
        <v>156</v>
      </c>
      <c r="L36" s="7">
        <v>2</v>
      </c>
      <c r="N36" s="7">
        <v>1</v>
      </c>
      <c r="O36" s="7">
        <v>0.6</v>
      </c>
      <c r="P36" s="7">
        <v>0.5</v>
      </c>
      <c r="Q36" s="52">
        <f t="shared" si="0"/>
        <v>0.55000000000000004</v>
      </c>
      <c r="R36" s="7">
        <v>16.899999999999999</v>
      </c>
      <c r="S36" s="7">
        <v>157</v>
      </c>
      <c r="T36" s="16">
        <f t="shared" si="1"/>
        <v>18</v>
      </c>
      <c r="U36" s="208">
        <v>171</v>
      </c>
      <c r="V36" s="16">
        <f t="shared" si="2"/>
        <v>3078</v>
      </c>
      <c r="W36" s="7">
        <v>15</v>
      </c>
      <c r="X36" s="15" t="s">
        <v>46</v>
      </c>
      <c r="Y36" s="216" t="s">
        <v>86</v>
      </c>
      <c r="Z36" s="216" t="s">
        <v>55</v>
      </c>
      <c r="AA36" s="216" t="s">
        <v>47</v>
      </c>
      <c r="AB36" s="39" t="s">
        <v>341</v>
      </c>
    </row>
    <row r="37" spans="1:44" x14ac:dyDescent="0.15">
      <c r="A37" s="15" t="s">
        <v>338</v>
      </c>
      <c r="B37" s="15" t="s">
        <v>339</v>
      </c>
      <c r="C37" s="15">
        <v>2018</v>
      </c>
      <c r="D37" s="37" t="s">
        <v>343</v>
      </c>
      <c r="E37" s="7" t="s">
        <v>139</v>
      </c>
      <c r="F37" s="7" t="s">
        <v>146</v>
      </c>
      <c r="G37" s="7" t="s">
        <v>36</v>
      </c>
      <c r="H37" s="216" t="s">
        <v>168</v>
      </c>
      <c r="I37" s="208" t="s">
        <v>155</v>
      </c>
      <c r="J37" s="15" t="s">
        <v>38</v>
      </c>
      <c r="K37" s="7" t="s">
        <v>156</v>
      </c>
      <c r="L37" s="7">
        <v>3</v>
      </c>
      <c r="N37" s="7">
        <v>1</v>
      </c>
      <c r="O37" s="34">
        <v>0.7</v>
      </c>
      <c r="P37" s="34">
        <v>0.7</v>
      </c>
      <c r="Q37" s="52">
        <f t="shared" si="0"/>
        <v>0.7</v>
      </c>
      <c r="R37" s="7">
        <v>18.399999999999999</v>
      </c>
      <c r="S37" s="7">
        <v>168</v>
      </c>
      <c r="T37" s="16">
        <f t="shared" si="1"/>
        <v>18</v>
      </c>
      <c r="U37" s="208">
        <v>171</v>
      </c>
      <c r="V37" s="16">
        <f t="shared" si="2"/>
        <v>3078</v>
      </c>
      <c r="W37" s="7">
        <v>15</v>
      </c>
      <c r="X37" s="15" t="s">
        <v>46</v>
      </c>
      <c r="Y37" s="216" t="s">
        <v>86</v>
      </c>
      <c r="Z37" s="216" t="s">
        <v>55</v>
      </c>
      <c r="AA37" s="216" t="s">
        <v>47</v>
      </c>
      <c r="AB37" s="39" t="s">
        <v>341</v>
      </c>
    </row>
    <row r="38" spans="1:44" x14ac:dyDescent="0.15">
      <c r="A38" s="15" t="s">
        <v>338</v>
      </c>
      <c r="B38" s="15" t="s">
        <v>339</v>
      </c>
      <c r="C38" s="15">
        <v>2018</v>
      </c>
      <c r="D38" s="37" t="s">
        <v>343</v>
      </c>
      <c r="E38" s="7" t="s">
        <v>140</v>
      </c>
      <c r="F38" s="7" t="s">
        <v>147</v>
      </c>
      <c r="G38" s="7" t="s">
        <v>36</v>
      </c>
      <c r="H38" s="216" t="s">
        <v>157</v>
      </c>
      <c r="I38" s="7" t="s">
        <v>155</v>
      </c>
      <c r="J38" s="216" t="s">
        <v>38</v>
      </c>
      <c r="K38" s="208" t="s">
        <v>156</v>
      </c>
      <c r="L38" s="7">
        <v>1</v>
      </c>
      <c r="N38" s="7">
        <v>1</v>
      </c>
      <c r="O38" s="34">
        <v>0.5</v>
      </c>
      <c r="P38" s="34">
        <v>0.5</v>
      </c>
      <c r="Q38" s="52">
        <f t="shared" si="0"/>
        <v>0.5</v>
      </c>
      <c r="R38" s="7">
        <v>113.9</v>
      </c>
      <c r="S38" s="7">
        <v>158</v>
      </c>
      <c r="T38" s="16">
        <f t="shared" si="1"/>
        <v>18</v>
      </c>
      <c r="U38" s="7">
        <v>119</v>
      </c>
      <c r="V38" s="16">
        <f t="shared" si="2"/>
        <v>2142</v>
      </c>
      <c r="W38" s="7">
        <v>7</v>
      </c>
      <c r="X38" s="15" t="s">
        <v>46</v>
      </c>
      <c r="Y38" s="216" t="s">
        <v>86</v>
      </c>
      <c r="Z38" s="216" t="s">
        <v>55</v>
      </c>
      <c r="AA38" s="216" t="s">
        <v>69</v>
      </c>
      <c r="AB38" s="39" t="s">
        <v>341</v>
      </c>
    </row>
    <row r="39" spans="1:44" x14ac:dyDescent="0.15">
      <c r="A39" s="15" t="s">
        <v>338</v>
      </c>
      <c r="B39" s="15" t="s">
        <v>339</v>
      </c>
      <c r="C39" s="15">
        <v>2018</v>
      </c>
      <c r="D39" s="37" t="s">
        <v>343</v>
      </c>
      <c r="E39" s="7" t="s">
        <v>140</v>
      </c>
      <c r="F39" s="7" t="s">
        <v>147</v>
      </c>
      <c r="G39" s="7" t="s">
        <v>36</v>
      </c>
      <c r="H39" s="216" t="s">
        <v>157</v>
      </c>
      <c r="I39" s="208" t="s">
        <v>155</v>
      </c>
      <c r="J39" s="216" t="s">
        <v>38</v>
      </c>
      <c r="K39" s="208" t="s">
        <v>156</v>
      </c>
      <c r="L39" s="7">
        <v>2</v>
      </c>
      <c r="N39" s="7">
        <v>1</v>
      </c>
      <c r="O39" s="7">
        <v>0.5</v>
      </c>
      <c r="P39" s="7">
        <v>0.5</v>
      </c>
      <c r="Q39" s="52">
        <f t="shared" si="0"/>
        <v>0.5</v>
      </c>
      <c r="R39" s="34">
        <v>14</v>
      </c>
      <c r="S39" s="7">
        <v>170</v>
      </c>
      <c r="T39" s="16">
        <f t="shared" si="1"/>
        <v>18</v>
      </c>
      <c r="U39" s="208">
        <v>119</v>
      </c>
      <c r="V39" s="16">
        <f t="shared" si="2"/>
        <v>2142</v>
      </c>
      <c r="W39" s="7">
        <v>7</v>
      </c>
      <c r="X39" s="15" t="s">
        <v>46</v>
      </c>
      <c r="Y39" s="216" t="s">
        <v>86</v>
      </c>
      <c r="Z39" s="216" t="s">
        <v>55</v>
      </c>
      <c r="AA39" s="216" t="s">
        <v>69</v>
      </c>
      <c r="AB39" s="39" t="s">
        <v>341</v>
      </c>
    </row>
    <row r="40" spans="1:44" x14ac:dyDescent="0.15">
      <c r="A40" s="15" t="s">
        <v>338</v>
      </c>
      <c r="B40" s="15" t="s">
        <v>339</v>
      </c>
      <c r="C40" s="15">
        <v>2018</v>
      </c>
      <c r="D40" s="37" t="s">
        <v>343</v>
      </c>
      <c r="E40" s="7" t="s">
        <v>140</v>
      </c>
      <c r="F40" s="7" t="s">
        <v>147</v>
      </c>
      <c r="G40" s="7" t="s">
        <v>36</v>
      </c>
      <c r="H40" s="216" t="s">
        <v>157</v>
      </c>
      <c r="I40" s="208" t="s">
        <v>155</v>
      </c>
      <c r="J40" s="216" t="s">
        <v>38</v>
      </c>
      <c r="K40" s="208" t="s">
        <v>156</v>
      </c>
      <c r="L40" s="7">
        <v>3</v>
      </c>
      <c r="N40" s="7">
        <v>1</v>
      </c>
      <c r="O40" s="7">
        <v>0.5</v>
      </c>
      <c r="P40" s="7">
        <v>0.5</v>
      </c>
      <c r="Q40" s="52">
        <f t="shared" si="0"/>
        <v>0.5</v>
      </c>
      <c r="R40" s="7">
        <v>13.5</v>
      </c>
      <c r="S40" s="7">
        <v>150</v>
      </c>
      <c r="T40" s="16">
        <f t="shared" si="1"/>
        <v>22</v>
      </c>
      <c r="U40" s="208">
        <v>119</v>
      </c>
      <c r="V40" s="16">
        <f t="shared" si="2"/>
        <v>2618</v>
      </c>
      <c r="W40" s="7">
        <v>7</v>
      </c>
      <c r="X40" s="15" t="s">
        <v>46</v>
      </c>
      <c r="Y40" s="216" t="s">
        <v>86</v>
      </c>
      <c r="Z40" s="216" t="s">
        <v>55</v>
      </c>
      <c r="AA40" s="216" t="s">
        <v>69</v>
      </c>
      <c r="AB40" s="39" t="s">
        <v>341</v>
      </c>
    </row>
    <row r="41" spans="1:44" ht="12.75" customHeight="1" x14ac:dyDescent="0.15">
      <c r="A41" s="15" t="s">
        <v>338</v>
      </c>
      <c r="B41" s="15" t="s">
        <v>339</v>
      </c>
      <c r="C41" s="15">
        <v>2018</v>
      </c>
      <c r="D41" s="37" t="s">
        <v>343</v>
      </c>
      <c r="E41" s="7" t="s">
        <v>140</v>
      </c>
      <c r="F41" s="7" t="s">
        <v>147</v>
      </c>
      <c r="G41" s="7" t="s">
        <v>36</v>
      </c>
      <c r="H41" s="15" t="s">
        <v>168</v>
      </c>
      <c r="I41" s="7" t="s">
        <v>155</v>
      </c>
      <c r="J41" s="15" t="s">
        <v>38</v>
      </c>
      <c r="K41" s="7" t="s">
        <v>156</v>
      </c>
      <c r="L41" s="7">
        <v>1</v>
      </c>
      <c r="N41" s="7">
        <v>1</v>
      </c>
      <c r="O41" s="7">
        <v>0.5</v>
      </c>
      <c r="P41" s="7">
        <v>0.5</v>
      </c>
      <c r="Q41" s="52">
        <f t="shared" si="0"/>
        <v>0.5</v>
      </c>
      <c r="R41" s="7">
        <v>18</v>
      </c>
      <c r="S41" s="7">
        <v>156</v>
      </c>
      <c r="T41" s="16">
        <f t="shared" si="1"/>
        <v>18</v>
      </c>
      <c r="U41" s="7">
        <v>119</v>
      </c>
      <c r="V41" s="16">
        <f t="shared" si="2"/>
        <v>2142</v>
      </c>
      <c r="W41" s="7">
        <v>6</v>
      </c>
      <c r="X41" s="15" t="s">
        <v>46</v>
      </c>
      <c r="Y41" s="216" t="s">
        <v>86</v>
      </c>
      <c r="Z41" s="216" t="s">
        <v>55</v>
      </c>
      <c r="AA41" s="216" t="s">
        <v>69</v>
      </c>
      <c r="AB41" s="39" t="s">
        <v>341</v>
      </c>
    </row>
    <row r="42" spans="1:44" x14ac:dyDescent="0.15">
      <c r="A42" s="15" t="s">
        <v>338</v>
      </c>
      <c r="B42" s="15" t="s">
        <v>339</v>
      </c>
      <c r="C42" s="15">
        <v>2018</v>
      </c>
      <c r="D42" s="37" t="s">
        <v>343</v>
      </c>
      <c r="E42" s="7" t="s">
        <v>140</v>
      </c>
      <c r="F42" s="7" t="s">
        <v>147</v>
      </c>
      <c r="G42" s="7" t="s">
        <v>36</v>
      </c>
      <c r="H42" s="216" t="s">
        <v>168</v>
      </c>
      <c r="I42" s="208" t="s">
        <v>155</v>
      </c>
      <c r="J42" s="15" t="s">
        <v>38</v>
      </c>
      <c r="K42" s="7" t="s">
        <v>156</v>
      </c>
      <c r="L42" s="7">
        <v>2</v>
      </c>
      <c r="N42" s="7">
        <v>1</v>
      </c>
      <c r="O42" s="7">
        <v>0.8</v>
      </c>
      <c r="P42" s="7">
        <v>0.75</v>
      </c>
      <c r="Q42" s="52">
        <f t="shared" si="0"/>
        <v>0.77500000000000002</v>
      </c>
      <c r="R42" s="7">
        <v>16.399999999999999</v>
      </c>
      <c r="S42" s="7">
        <v>158</v>
      </c>
      <c r="T42" s="16">
        <f t="shared" si="1"/>
        <v>18</v>
      </c>
      <c r="U42" s="208">
        <v>119</v>
      </c>
      <c r="V42" s="16">
        <f t="shared" si="2"/>
        <v>2142</v>
      </c>
      <c r="W42" s="7">
        <v>6</v>
      </c>
      <c r="X42" s="15" t="s">
        <v>46</v>
      </c>
      <c r="Y42" s="216" t="s">
        <v>86</v>
      </c>
      <c r="Z42" s="216" t="s">
        <v>55</v>
      </c>
      <c r="AA42" s="216" t="s">
        <v>69</v>
      </c>
      <c r="AB42" s="39" t="s">
        <v>341</v>
      </c>
    </row>
    <row r="43" spans="1:44" x14ac:dyDescent="0.15">
      <c r="A43" s="15" t="s">
        <v>338</v>
      </c>
      <c r="B43" s="15" t="s">
        <v>339</v>
      </c>
      <c r="C43" s="15">
        <v>2018</v>
      </c>
      <c r="D43" s="37" t="s">
        <v>343</v>
      </c>
      <c r="E43" s="7" t="s">
        <v>140</v>
      </c>
      <c r="F43" s="7" t="s">
        <v>147</v>
      </c>
      <c r="G43" s="7" t="s">
        <v>36</v>
      </c>
      <c r="H43" s="216" t="s">
        <v>168</v>
      </c>
      <c r="I43" s="208" t="s">
        <v>155</v>
      </c>
      <c r="J43" s="15" t="s">
        <v>38</v>
      </c>
      <c r="K43" s="7" t="s">
        <v>156</v>
      </c>
      <c r="L43" s="7">
        <v>3</v>
      </c>
      <c r="N43" s="7">
        <v>1</v>
      </c>
      <c r="O43" s="7">
        <v>0.5</v>
      </c>
      <c r="P43" s="7">
        <v>0.55000000000000004</v>
      </c>
      <c r="Q43" s="52">
        <f t="shared" si="0"/>
        <v>0.52500000000000002</v>
      </c>
      <c r="R43" s="7">
        <v>17.100000000000001</v>
      </c>
      <c r="S43" s="7">
        <v>159</v>
      </c>
      <c r="T43" s="16">
        <f t="shared" si="1"/>
        <v>18</v>
      </c>
      <c r="U43" s="208">
        <v>119</v>
      </c>
      <c r="V43" s="16">
        <f t="shared" si="2"/>
        <v>2142</v>
      </c>
      <c r="W43" s="7">
        <v>6</v>
      </c>
      <c r="X43" s="15" t="s">
        <v>46</v>
      </c>
      <c r="Y43" s="216" t="s">
        <v>86</v>
      </c>
      <c r="Z43" s="216" t="s">
        <v>55</v>
      </c>
      <c r="AA43" s="216" t="s">
        <v>69</v>
      </c>
      <c r="AB43" s="39" t="s">
        <v>341</v>
      </c>
    </row>
    <row r="44" spans="1:44" x14ac:dyDescent="0.15">
      <c r="A44" s="15" t="s">
        <v>338</v>
      </c>
      <c r="B44" s="15" t="s">
        <v>339</v>
      </c>
      <c r="C44" s="15">
        <v>2018</v>
      </c>
      <c r="D44" s="37" t="s">
        <v>343</v>
      </c>
      <c r="E44" s="7" t="s">
        <v>130</v>
      </c>
      <c r="F44" s="7" t="s">
        <v>148</v>
      </c>
      <c r="G44" s="7" t="s">
        <v>36</v>
      </c>
      <c r="H44" s="15" t="s">
        <v>157</v>
      </c>
      <c r="I44" s="208" t="s">
        <v>155</v>
      </c>
      <c r="J44" s="15" t="s">
        <v>38</v>
      </c>
      <c r="K44" s="7" t="s">
        <v>156</v>
      </c>
      <c r="L44" s="7">
        <v>1</v>
      </c>
      <c r="N44" s="7">
        <v>1</v>
      </c>
      <c r="O44" s="7">
        <v>0.7</v>
      </c>
      <c r="P44" s="7">
        <v>0.65</v>
      </c>
      <c r="Q44" s="52">
        <f t="shared" si="0"/>
        <v>0.67500000000000004</v>
      </c>
      <c r="R44" s="7">
        <v>14.1</v>
      </c>
      <c r="S44" s="7">
        <v>125</v>
      </c>
      <c r="T44" s="16">
        <f t="shared" si="1"/>
        <v>27</v>
      </c>
      <c r="U44" s="7">
        <v>105</v>
      </c>
      <c r="V44" s="16">
        <f t="shared" si="2"/>
        <v>2835</v>
      </c>
      <c r="W44" s="7">
        <v>12</v>
      </c>
      <c r="X44" s="15" t="s">
        <v>46</v>
      </c>
      <c r="Y44" s="216" t="s">
        <v>55</v>
      </c>
      <c r="Z44" s="216" t="s">
        <v>86</v>
      </c>
      <c r="AA44" s="216" t="s">
        <v>47</v>
      </c>
      <c r="AB44" s="39" t="s">
        <v>341</v>
      </c>
    </row>
    <row r="45" spans="1:44" x14ac:dyDescent="0.15">
      <c r="A45" s="15" t="s">
        <v>338</v>
      </c>
      <c r="B45" s="15" t="s">
        <v>339</v>
      </c>
      <c r="C45" s="15">
        <v>2018</v>
      </c>
      <c r="D45" s="37" t="s">
        <v>343</v>
      </c>
      <c r="E45" s="7" t="s">
        <v>130</v>
      </c>
      <c r="F45" s="7" t="s">
        <v>148</v>
      </c>
      <c r="G45" s="7" t="s">
        <v>36</v>
      </c>
      <c r="H45" s="216" t="s">
        <v>157</v>
      </c>
      <c r="I45" s="208" t="s">
        <v>155</v>
      </c>
      <c r="J45" s="15" t="s">
        <v>38</v>
      </c>
      <c r="K45" s="7" t="s">
        <v>156</v>
      </c>
      <c r="L45" s="7">
        <v>2</v>
      </c>
      <c r="N45" s="7">
        <v>1</v>
      </c>
      <c r="O45" s="7">
        <v>0.5</v>
      </c>
      <c r="P45" s="7">
        <v>0.5</v>
      </c>
      <c r="Q45" s="52">
        <f t="shared" si="0"/>
        <v>0.5</v>
      </c>
      <c r="R45" s="7">
        <v>15.4</v>
      </c>
      <c r="S45" s="7">
        <v>124</v>
      </c>
      <c r="T45" s="16">
        <f t="shared" si="1"/>
        <v>27</v>
      </c>
      <c r="U45" s="208">
        <v>105</v>
      </c>
      <c r="V45" s="16">
        <f t="shared" si="2"/>
        <v>2835</v>
      </c>
      <c r="W45" s="7">
        <v>12</v>
      </c>
      <c r="X45" s="15" t="s">
        <v>46</v>
      </c>
      <c r="Y45" s="216" t="s">
        <v>55</v>
      </c>
      <c r="Z45" s="216" t="s">
        <v>86</v>
      </c>
      <c r="AA45" s="216" t="s">
        <v>47</v>
      </c>
      <c r="AB45" s="39" t="s">
        <v>341</v>
      </c>
    </row>
    <row r="46" spans="1:44" x14ac:dyDescent="0.15">
      <c r="A46" s="15" t="s">
        <v>338</v>
      </c>
      <c r="B46" s="15" t="s">
        <v>339</v>
      </c>
      <c r="C46" s="15">
        <v>2018</v>
      </c>
      <c r="D46" s="37" t="s">
        <v>343</v>
      </c>
      <c r="E46" s="7" t="s">
        <v>130</v>
      </c>
      <c r="F46" s="7" t="s">
        <v>148</v>
      </c>
      <c r="G46" s="7" t="s">
        <v>36</v>
      </c>
      <c r="H46" s="216" t="s">
        <v>157</v>
      </c>
      <c r="I46" s="208" t="s">
        <v>155</v>
      </c>
      <c r="J46" s="15" t="s">
        <v>38</v>
      </c>
      <c r="K46" s="7" t="s">
        <v>156</v>
      </c>
      <c r="L46" s="7">
        <v>3</v>
      </c>
      <c r="N46" s="7">
        <v>1</v>
      </c>
      <c r="O46" s="7">
        <v>0.5</v>
      </c>
      <c r="P46" s="34">
        <v>0.5</v>
      </c>
      <c r="Q46" s="52">
        <f t="shared" si="0"/>
        <v>0.5</v>
      </c>
      <c r="R46" s="7">
        <v>15.9</v>
      </c>
      <c r="S46" s="7">
        <v>123</v>
      </c>
      <c r="T46" s="16">
        <f t="shared" si="1"/>
        <v>27</v>
      </c>
      <c r="U46" s="208">
        <v>105</v>
      </c>
      <c r="V46" s="16">
        <f t="shared" si="2"/>
        <v>2835</v>
      </c>
      <c r="W46" s="7">
        <v>12</v>
      </c>
      <c r="X46" s="15" t="s">
        <v>46</v>
      </c>
      <c r="Y46" s="216" t="s">
        <v>55</v>
      </c>
      <c r="Z46" s="216" t="s">
        <v>86</v>
      </c>
      <c r="AA46" s="216" t="s">
        <v>47</v>
      </c>
      <c r="AB46" s="39" t="s">
        <v>341</v>
      </c>
    </row>
    <row r="47" spans="1:44" x14ac:dyDescent="0.15">
      <c r="A47" s="15" t="s">
        <v>338</v>
      </c>
      <c r="B47" s="15" t="s">
        <v>339</v>
      </c>
      <c r="C47" s="15">
        <v>2018</v>
      </c>
      <c r="D47" s="37" t="s">
        <v>343</v>
      </c>
      <c r="E47" s="7" t="s">
        <v>130</v>
      </c>
      <c r="F47" s="7" t="s">
        <v>148</v>
      </c>
      <c r="G47" s="7" t="s">
        <v>36</v>
      </c>
      <c r="H47" s="15" t="s">
        <v>168</v>
      </c>
      <c r="I47" s="208" t="s">
        <v>155</v>
      </c>
      <c r="J47" s="15" t="s">
        <v>38</v>
      </c>
      <c r="K47" s="7" t="s">
        <v>156</v>
      </c>
      <c r="L47" s="7">
        <v>1</v>
      </c>
      <c r="N47" s="7">
        <v>1</v>
      </c>
      <c r="O47" s="7">
        <v>0.6</v>
      </c>
      <c r="P47" s="7">
        <v>0.7</v>
      </c>
      <c r="Q47" s="52">
        <f t="shared" si="0"/>
        <v>0.64999999999999991</v>
      </c>
      <c r="R47" s="7">
        <v>18.600000000000001</v>
      </c>
      <c r="S47" s="7">
        <v>133</v>
      </c>
      <c r="T47" s="16">
        <f t="shared" si="1"/>
        <v>25</v>
      </c>
      <c r="U47" s="7">
        <v>145</v>
      </c>
      <c r="V47" s="16">
        <f t="shared" si="2"/>
        <v>3625</v>
      </c>
      <c r="W47" s="7">
        <v>18</v>
      </c>
      <c r="X47" s="15" t="s">
        <v>46</v>
      </c>
      <c r="Y47" s="216" t="s">
        <v>55</v>
      </c>
      <c r="Z47" s="216" t="s">
        <v>86</v>
      </c>
      <c r="AA47" s="216" t="s">
        <v>47</v>
      </c>
      <c r="AB47" s="39" t="s">
        <v>341</v>
      </c>
    </row>
    <row r="48" spans="1:44" x14ac:dyDescent="0.15">
      <c r="A48" s="15" t="s">
        <v>338</v>
      </c>
      <c r="B48" s="15" t="s">
        <v>339</v>
      </c>
      <c r="C48" s="15">
        <v>2018</v>
      </c>
      <c r="D48" s="37" t="s">
        <v>343</v>
      </c>
      <c r="E48" s="7" t="s">
        <v>130</v>
      </c>
      <c r="F48" s="7" t="s">
        <v>148</v>
      </c>
      <c r="G48" s="7" t="s">
        <v>36</v>
      </c>
      <c r="H48" s="216" t="s">
        <v>168</v>
      </c>
      <c r="I48" s="208" t="s">
        <v>155</v>
      </c>
      <c r="J48" s="15" t="s">
        <v>38</v>
      </c>
      <c r="K48" s="7" t="s">
        <v>156</v>
      </c>
      <c r="L48" s="7">
        <v>2</v>
      </c>
      <c r="N48" s="7">
        <v>1</v>
      </c>
      <c r="O48" s="7">
        <v>0.65</v>
      </c>
      <c r="P48" s="7">
        <v>0.65</v>
      </c>
      <c r="Q48" s="52">
        <f t="shared" si="0"/>
        <v>0.65</v>
      </c>
      <c r="R48" s="7">
        <v>19.5</v>
      </c>
      <c r="S48" s="7">
        <v>140</v>
      </c>
      <c r="T48" s="16">
        <f t="shared" si="1"/>
        <v>22</v>
      </c>
      <c r="U48" s="208">
        <v>145</v>
      </c>
      <c r="V48" s="16">
        <f t="shared" si="2"/>
        <v>3190</v>
      </c>
      <c r="W48" s="7">
        <v>18</v>
      </c>
      <c r="X48" s="15" t="s">
        <v>46</v>
      </c>
      <c r="Y48" s="216" t="s">
        <v>55</v>
      </c>
      <c r="Z48" s="216" t="s">
        <v>86</v>
      </c>
      <c r="AA48" s="216" t="s">
        <v>47</v>
      </c>
      <c r="AB48" s="39" t="s">
        <v>341</v>
      </c>
    </row>
    <row r="49" spans="1:29" x14ac:dyDescent="0.15">
      <c r="A49" s="15" t="s">
        <v>338</v>
      </c>
      <c r="B49" s="15" t="s">
        <v>339</v>
      </c>
      <c r="C49" s="15">
        <v>2018</v>
      </c>
      <c r="D49" s="37" t="s">
        <v>343</v>
      </c>
      <c r="E49" s="7" t="s">
        <v>130</v>
      </c>
      <c r="F49" s="7" t="s">
        <v>148</v>
      </c>
      <c r="G49" s="7" t="s">
        <v>36</v>
      </c>
      <c r="H49" s="216" t="s">
        <v>168</v>
      </c>
      <c r="I49" s="208" t="s">
        <v>155</v>
      </c>
      <c r="J49" s="15" t="s">
        <v>38</v>
      </c>
      <c r="K49" s="7" t="s">
        <v>156</v>
      </c>
      <c r="L49" s="7">
        <v>3</v>
      </c>
      <c r="N49" s="7">
        <v>1</v>
      </c>
      <c r="O49" s="7">
        <v>0.75</v>
      </c>
      <c r="P49" s="34">
        <v>0.75</v>
      </c>
      <c r="Q49" s="52">
        <f t="shared" si="0"/>
        <v>0.75</v>
      </c>
      <c r="R49" s="7">
        <v>18.7</v>
      </c>
      <c r="S49" s="7">
        <v>147</v>
      </c>
      <c r="T49" s="16">
        <f t="shared" si="1"/>
        <v>22</v>
      </c>
      <c r="U49" s="208">
        <v>145</v>
      </c>
      <c r="V49" s="16">
        <f t="shared" si="2"/>
        <v>3190</v>
      </c>
      <c r="W49" s="7">
        <v>18</v>
      </c>
      <c r="X49" s="15" t="s">
        <v>46</v>
      </c>
      <c r="Y49" s="216" t="s">
        <v>55</v>
      </c>
      <c r="Z49" s="216" t="s">
        <v>86</v>
      </c>
      <c r="AA49" s="216" t="s">
        <v>47</v>
      </c>
      <c r="AB49" s="39" t="s">
        <v>341</v>
      </c>
    </row>
    <row r="50" spans="1:29" x14ac:dyDescent="0.15">
      <c r="A50" s="15" t="s">
        <v>338</v>
      </c>
      <c r="B50" s="15" t="s">
        <v>339</v>
      </c>
      <c r="C50" s="15">
        <v>2018</v>
      </c>
      <c r="D50" s="37" t="s">
        <v>343</v>
      </c>
      <c r="E50" s="7" t="s">
        <v>132</v>
      </c>
      <c r="F50" s="7" t="s">
        <v>149</v>
      </c>
      <c r="G50" s="7" t="s">
        <v>36</v>
      </c>
      <c r="H50" s="15" t="s">
        <v>157</v>
      </c>
      <c r="I50" s="208" t="s">
        <v>155</v>
      </c>
      <c r="J50" s="15" t="s">
        <v>38</v>
      </c>
      <c r="K50" s="7" t="s">
        <v>156</v>
      </c>
      <c r="L50" s="7">
        <v>1</v>
      </c>
      <c r="N50" s="7">
        <v>1</v>
      </c>
      <c r="O50" s="7">
        <v>0.6</v>
      </c>
      <c r="P50" s="7">
        <v>0.7</v>
      </c>
      <c r="Q50" s="52">
        <f t="shared" si="0"/>
        <v>0.64999999999999991</v>
      </c>
      <c r="R50" s="7">
        <v>15.3</v>
      </c>
      <c r="S50" s="7">
        <v>120</v>
      </c>
      <c r="T50" s="16">
        <f t="shared" si="1"/>
        <v>30</v>
      </c>
      <c r="U50" s="208">
        <v>105</v>
      </c>
      <c r="V50" s="16">
        <f t="shared" si="2"/>
        <v>3150</v>
      </c>
      <c r="W50" s="7">
        <v>12</v>
      </c>
      <c r="X50" s="15" t="s">
        <v>46</v>
      </c>
      <c r="Y50" s="216" t="s">
        <v>55</v>
      </c>
      <c r="Z50" s="216" t="s">
        <v>86</v>
      </c>
      <c r="AA50" s="216" t="s">
        <v>90</v>
      </c>
      <c r="AB50" s="39" t="s">
        <v>341</v>
      </c>
    </row>
    <row r="51" spans="1:29" x14ac:dyDescent="0.15">
      <c r="A51" s="15" t="s">
        <v>338</v>
      </c>
      <c r="B51" s="15" t="s">
        <v>339</v>
      </c>
      <c r="C51" s="15">
        <v>2018</v>
      </c>
      <c r="D51" s="37" t="s">
        <v>343</v>
      </c>
      <c r="E51" s="7" t="s">
        <v>132</v>
      </c>
      <c r="F51" s="7" t="s">
        <v>149</v>
      </c>
      <c r="G51" s="7" t="s">
        <v>36</v>
      </c>
      <c r="H51" s="216" t="s">
        <v>157</v>
      </c>
      <c r="I51" s="208" t="s">
        <v>155</v>
      </c>
      <c r="J51" s="15" t="s">
        <v>38</v>
      </c>
      <c r="K51" s="7" t="s">
        <v>156</v>
      </c>
      <c r="L51" s="7">
        <v>2</v>
      </c>
      <c r="N51" s="7">
        <v>1</v>
      </c>
      <c r="O51" s="7">
        <v>0.7</v>
      </c>
      <c r="P51" s="7">
        <v>0.75</v>
      </c>
      <c r="Q51" s="52">
        <f t="shared" si="0"/>
        <v>0.72499999999999998</v>
      </c>
      <c r="R51" s="7">
        <v>15.2</v>
      </c>
      <c r="S51" s="7">
        <v>123</v>
      </c>
      <c r="T51" s="16">
        <f t="shared" si="1"/>
        <v>27</v>
      </c>
      <c r="U51" s="208">
        <v>105</v>
      </c>
      <c r="V51" s="16">
        <f t="shared" si="2"/>
        <v>2835</v>
      </c>
      <c r="W51" s="7">
        <v>12</v>
      </c>
      <c r="X51" s="15" t="s">
        <v>46</v>
      </c>
      <c r="Y51" s="216" t="s">
        <v>55</v>
      </c>
      <c r="Z51" s="216" t="s">
        <v>86</v>
      </c>
      <c r="AA51" s="216" t="s">
        <v>90</v>
      </c>
      <c r="AB51" s="39" t="s">
        <v>341</v>
      </c>
    </row>
    <row r="52" spans="1:29" x14ac:dyDescent="0.15">
      <c r="A52" s="15" t="s">
        <v>338</v>
      </c>
      <c r="B52" s="15" t="s">
        <v>339</v>
      </c>
      <c r="C52" s="15">
        <v>2018</v>
      </c>
      <c r="D52" s="37" t="s">
        <v>343</v>
      </c>
      <c r="E52" s="7" t="s">
        <v>132</v>
      </c>
      <c r="F52" s="7" t="s">
        <v>149</v>
      </c>
      <c r="G52" s="7" t="s">
        <v>36</v>
      </c>
      <c r="H52" s="216" t="s">
        <v>157</v>
      </c>
      <c r="I52" s="208" t="s">
        <v>155</v>
      </c>
      <c r="J52" s="15" t="s">
        <v>38</v>
      </c>
      <c r="K52" s="7" t="s">
        <v>156</v>
      </c>
      <c r="L52" s="7">
        <v>3</v>
      </c>
      <c r="N52" s="7">
        <v>1</v>
      </c>
      <c r="O52" s="7">
        <v>0.6</v>
      </c>
      <c r="P52" s="7">
        <v>0.6</v>
      </c>
      <c r="Q52" s="52">
        <f t="shared" si="0"/>
        <v>0.6</v>
      </c>
      <c r="R52" s="7">
        <v>14.3</v>
      </c>
      <c r="S52" s="7">
        <v>116</v>
      </c>
      <c r="T52" s="16">
        <f t="shared" si="1"/>
        <v>30</v>
      </c>
      <c r="U52" s="208">
        <v>105</v>
      </c>
      <c r="V52" s="16">
        <f t="shared" si="2"/>
        <v>3150</v>
      </c>
      <c r="W52" s="7">
        <v>12</v>
      </c>
      <c r="X52" s="15" t="s">
        <v>46</v>
      </c>
      <c r="Y52" s="216" t="s">
        <v>55</v>
      </c>
      <c r="Z52" s="216" t="s">
        <v>86</v>
      </c>
      <c r="AA52" s="216" t="s">
        <v>90</v>
      </c>
      <c r="AB52" s="39" t="s">
        <v>341</v>
      </c>
    </row>
    <row r="53" spans="1:29" x14ac:dyDescent="0.15">
      <c r="A53" s="15" t="s">
        <v>338</v>
      </c>
      <c r="B53" s="15" t="s">
        <v>339</v>
      </c>
      <c r="C53" s="15">
        <v>2018</v>
      </c>
      <c r="D53" s="37" t="s">
        <v>343</v>
      </c>
      <c r="E53" s="7" t="s">
        <v>132</v>
      </c>
      <c r="F53" s="7" t="s">
        <v>149</v>
      </c>
      <c r="G53" s="7" t="s">
        <v>36</v>
      </c>
      <c r="H53" s="15" t="s">
        <v>216</v>
      </c>
      <c r="I53" s="208" t="s">
        <v>155</v>
      </c>
      <c r="J53" s="15" t="s">
        <v>38</v>
      </c>
      <c r="K53" s="7" t="s">
        <v>156</v>
      </c>
      <c r="L53" s="7">
        <v>1</v>
      </c>
      <c r="N53" s="7">
        <v>5</v>
      </c>
      <c r="O53" s="7">
        <v>0.5</v>
      </c>
      <c r="P53" s="7">
        <v>0.5</v>
      </c>
      <c r="Q53" s="52">
        <f t="shared" si="0"/>
        <v>0.5</v>
      </c>
      <c r="R53" s="7">
        <v>15.7</v>
      </c>
      <c r="S53" s="7">
        <v>82</v>
      </c>
      <c r="T53" s="16">
        <f t="shared" si="1"/>
        <v>39</v>
      </c>
      <c r="U53" s="7">
        <v>429</v>
      </c>
      <c r="V53" s="16">
        <f t="shared" si="2"/>
        <v>3346.2</v>
      </c>
      <c r="W53" s="7">
        <v>5</v>
      </c>
      <c r="X53" s="15" t="s">
        <v>46</v>
      </c>
      <c r="Y53" s="216" t="s">
        <v>55</v>
      </c>
      <c r="Z53" s="216" t="s">
        <v>86</v>
      </c>
      <c r="AA53" s="216" t="s">
        <v>90</v>
      </c>
      <c r="AB53" s="39" t="s">
        <v>341</v>
      </c>
      <c r="AC53" s="36"/>
    </row>
    <row r="54" spans="1:29" x14ac:dyDescent="0.15">
      <c r="A54" s="15" t="s">
        <v>338</v>
      </c>
      <c r="B54" s="15" t="s">
        <v>339</v>
      </c>
      <c r="C54" s="15">
        <v>2018</v>
      </c>
      <c r="D54" s="37" t="s">
        <v>343</v>
      </c>
      <c r="E54" s="7" t="s">
        <v>132</v>
      </c>
      <c r="F54" s="7" t="s">
        <v>149</v>
      </c>
      <c r="G54" s="7" t="s">
        <v>36</v>
      </c>
      <c r="H54" s="216" t="s">
        <v>216</v>
      </c>
      <c r="I54" s="208" t="s">
        <v>155</v>
      </c>
      <c r="J54" s="216" t="s">
        <v>38</v>
      </c>
      <c r="K54" s="7" t="s">
        <v>156</v>
      </c>
      <c r="L54" s="7">
        <v>2</v>
      </c>
      <c r="N54" s="7">
        <v>5</v>
      </c>
      <c r="O54" s="7">
        <v>0.5</v>
      </c>
      <c r="P54" s="7">
        <v>0.5</v>
      </c>
      <c r="Q54" s="52">
        <f t="shared" si="0"/>
        <v>0.5</v>
      </c>
      <c r="R54" s="7">
        <v>19.5</v>
      </c>
      <c r="S54" s="7">
        <v>82</v>
      </c>
      <c r="T54" s="16">
        <f t="shared" si="1"/>
        <v>39</v>
      </c>
      <c r="U54" s="208">
        <v>429</v>
      </c>
      <c r="V54" s="16">
        <f t="shared" si="2"/>
        <v>3346.2</v>
      </c>
      <c r="W54" s="7">
        <v>5</v>
      </c>
      <c r="X54" s="15" t="s">
        <v>46</v>
      </c>
      <c r="Y54" s="216" t="s">
        <v>55</v>
      </c>
      <c r="Z54" s="216" t="s">
        <v>86</v>
      </c>
      <c r="AA54" s="216" t="s">
        <v>90</v>
      </c>
      <c r="AB54" s="39" t="s">
        <v>341</v>
      </c>
      <c r="AC54" s="36"/>
    </row>
    <row r="55" spans="1:29" x14ac:dyDescent="0.15">
      <c r="A55" s="15" t="s">
        <v>338</v>
      </c>
      <c r="B55" s="15" t="s">
        <v>339</v>
      </c>
      <c r="C55" s="15">
        <v>2018</v>
      </c>
      <c r="D55" s="37" t="s">
        <v>343</v>
      </c>
      <c r="E55" s="7" t="s">
        <v>132</v>
      </c>
      <c r="F55" s="7" t="s">
        <v>149</v>
      </c>
      <c r="G55" s="7" t="s">
        <v>36</v>
      </c>
      <c r="H55" s="216" t="s">
        <v>216</v>
      </c>
      <c r="I55" s="208" t="s">
        <v>155</v>
      </c>
      <c r="J55" s="216" t="s">
        <v>38</v>
      </c>
      <c r="K55" s="7" t="s">
        <v>156</v>
      </c>
      <c r="L55" s="7">
        <v>3</v>
      </c>
      <c r="N55" s="7">
        <v>5</v>
      </c>
      <c r="O55" s="7">
        <v>0.5</v>
      </c>
      <c r="P55" s="7">
        <v>0.5</v>
      </c>
      <c r="Q55" s="52">
        <f t="shared" si="0"/>
        <v>0.5</v>
      </c>
      <c r="R55" s="7">
        <v>18.8</v>
      </c>
      <c r="S55" s="7">
        <v>85</v>
      </c>
      <c r="T55" s="16">
        <f t="shared" si="1"/>
        <v>36</v>
      </c>
      <c r="U55" s="208">
        <v>429</v>
      </c>
      <c r="V55" s="16">
        <f t="shared" si="2"/>
        <v>3088.7999999999997</v>
      </c>
      <c r="W55" s="7">
        <v>5</v>
      </c>
      <c r="X55" s="15" t="s">
        <v>46</v>
      </c>
      <c r="Y55" s="216" t="s">
        <v>55</v>
      </c>
      <c r="Z55" s="216" t="s">
        <v>86</v>
      </c>
      <c r="AA55" s="216" t="s">
        <v>90</v>
      </c>
      <c r="AB55" s="39" t="s">
        <v>341</v>
      </c>
      <c r="AC55" s="36"/>
    </row>
    <row r="56" spans="1:29" x14ac:dyDescent="0.15">
      <c r="A56" s="15" t="s">
        <v>338</v>
      </c>
      <c r="B56" s="15" t="s">
        <v>339</v>
      </c>
      <c r="C56" s="15">
        <v>2018</v>
      </c>
      <c r="D56" s="37" t="s">
        <v>343</v>
      </c>
      <c r="E56" s="7" t="s">
        <v>132</v>
      </c>
      <c r="F56" s="7" t="s">
        <v>149</v>
      </c>
      <c r="G56" s="7" t="s">
        <v>36</v>
      </c>
      <c r="H56" s="15" t="s">
        <v>168</v>
      </c>
      <c r="I56" s="208" t="s">
        <v>155</v>
      </c>
      <c r="J56" s="15" t="s">
        <v>38</v>
      </c>
      <c r="K56" s="7" t="s">
        <v>156</v>
      </c>
      <c r="L56" s="7">
        <v>1</v>
      </c>
      <c r="N56" s="7">
        <v>1</v>
      </c>
      <c r="O56" s="7">
        <v>0.5</v>
      </c>
      <c r="P56" s="7">
        <v>0.55000000000000004</v>
      </c>
      <c r="Q56" s="52">
        <f t="shared" si="0"/>
        <v>0.52500000000000002</v>
      </c>
      <c r="R56" s="7">
        <v>17.600000000000001</v>
      </c>
      <c r="S56" s="7">
        <v>143</v>
      </c>
      <c r="T56" s="16">
        <f t="shared" si="1"/>
        <v>22</v>
      </c>
      <c r="U56" s="208">
        <v>138</v>
      </c>
      <c r="V56" s="16">
        <f t="shared" si="2"/>
        <v>3036</v>
      </c>
      <c r="W56" s="7">
        <v>14</v>
      </c>
      <c r="X56" s="15" t="s">
        <v>46</v>
      </c>
      <c r="Y56" s="216" t="s">
        <v>55</v>
      </c>
      <c r="Z56" s="216" t="s">
        <v>86</v>
      </c>
      <c r="AA56" s="216" t="s">
        <v>90</v>
      </c>
      <c r="AB56" s="39" t="s">
        <v>341</v>
      </c>
    </row>
    <row r="57" spans="1:29" x14ac:dyDescent="0.15">
      <c r="A57" s="15" t="s">
        <v>338</v>
      </c>
      <c r="B57" s="15" t="s">
        <v>339</v>
      </c>
      <c r="C57" s="15">
        <v>2018</v>
      </c>
      <c r="D57" s="37" t="s">
        <v>343</v>
      </c>
      <c r="E57" s="7" t="s">
        <v>132</v>
      </c>
      <c r="F57" s="7" t="s">
        <v>149</v>
      </c>
      <c r="G57" s="7" t="s">
        <v>36</v>
      </c>
      <c r="H57" s="216" t="s">
        <v>168</v>
      </c>
      <c r="I57" s="208" t="s">
        <v>155</v>
      </c>
      <c r="J57" s="15" t="s">
        <v>38</v>
      </c>
      <c r="K57" s="7" t="s">
        <v>156</v>
      </c>
      <c r="L57" s="7">
        <v>2</v>
      </c>
      <c r="N57" s="7">
        <v>1</v>
      </c>
      <c r="O57" s="7">
        <v>0.65</v>
      </c>
      <c r="P57" s="7">
        <v>0.65</v>
      </c>
      <c r="Q57" s="52">
        <f t="shared" si="0"/>
        <v>0.65</v>
      </c>
      <c r="R57" s="7">
        <v>16.7</v>
      </c>
      <c r="S57" s="7">
        <v>140</v>
      </c>
      <c r="T57" s="16">
        <f t="shared" si="1"/>
        <v>22</v>
      </c>
      <c r="U57" s="208">
        <v>138</v>
      </c>
      <c r="V57" s="16">
        <f t="shared" si="2"/>
        <v>3036</v>
      </c>
      <c r="W57" s="7">
        <v>14</v>
      </c>
      <c r="X57" s="15" t="s">
        <v>46</v>
      </c>
      <c r="Y57" s="216" t="s">
        <v>55</v>
      </c>
      <c r="Z57" s="216" t="s">
        <v>86</v>
      </c>
      <c r="AA57" s="216" t="s">
        <v>90</v>
      </c>
      <c r="AB57" s="39" t="s">
        <v>341</v>
      </c>
    </row>
    <row r="58" spans="1:29" x14ac:dyDescent="0.15">
      <c r="A58" s="15" t="s">
        <v>338</v>
      </c>
      <c r="B58" s="15" t="s">
        <v>339</v>
      </c>
      <c r="C58" s="15">
        <v>2018</v>
      </c>
      <c r="D58" s="37" t="s">
        <v>343</v>
      </c>
      <c r="E58" s="7" t="s">
        <v>132</v>
      </c>
      <c r="F58" s="7" t="s">
        <v>149</v>
      </c>
      <c r="G58" s="7" t="s">
        <v>36</v>
      </c>
      <c r="H58" s="216" t="s">
        <v>168</v>
      </c>
      <c r="I58" s="208" t="s">
        <v>155</v>
      </c>
      <c r="J58" s="15" t="s">
        <v>38</v>
      </c>
      <c r="K58" s="7" t="s">
        <v>156</v>
      </c>
      <c r="L58" s="7">
        <v>3</v>
      </c>
      <c r="N58" s="7">
        <v>1</v>
      </c>
      <c r="O58" s="7">
        <v>0.7</v>
      </c>
      <c r="P58" s="7">
        <v>0.55000000000000004</v>
      </c>
      <c r="Q58" s="52">
        <f t="shared" si="0"/>
        <v>0.625</v>
      </c>
      <c r="R58" s="7">
        <v>15.8</v>
      </c>
      <c r="S58" s="7">
        <v>148</v>
      </c>
      <c r="T58" s="16">
        <f t="shared" si="1"/>
        <v>22</v>
      </c>
      <c r="U58" s="208">
        <v>138</v>
      </c>
      <c r="V58" s="16">
        <f t="shared" si="2"/>
        <v>3036</v>
      </c>
      <c r="W58" s="7">
        <v>14</v>
      </c>
      <c r="X58" s="15" t="s">
        <v>46</v>
      </c>
      <c r="Y58" s="216" t="s">
        <v>55</v>
      </c>
      <c r="Z58" s="216" t="s">
        <v>86</v>
      </c>
      <c r="AA58" s="216" t="s">
        <v>90</v>
      </c>
      <c r="AB58" s="39" t="s">
        <v>341</v>
      </c>
    </row>
    <row r="59" spans="1:29" x14ac:dyDescent="0.15">
      <c r="A59" s="15" t="s">
        <v>338</v>
      </c>
      <c r="B59" s="15" t="s">
        <v>339</v>
      </c>
      <c r="C59" s="15">
        <v>2018</v>
      </c>
      <c r="D59" s="37" t="s">
        <v>343</v>
      </c>
      <c r="E59" s="7" t="s">
        <v>141</v>
      </c>
      <c r="F59" s="7" t="s">
        <v>150</v>
      </c>
      <c r="G59" s="7" t="s">
        <v>36</v>
      </c>
      <c r="H59" s="15" t="s">
        <v>157</v>
      </c>
      <c r="I59" s="208" t="s">
        <v>155</v>
      </c>
      <c r="J59" s="15" t="s">
        <v>38</v>
      </c>
      <c r="K59" s="7" t="s">
        <v>156</v>
      </c>
      <c r="L59" s="7">
        <v>1</v>
      </c>
      <c r="N59" s="7">
        <v>4</v>
      </c>
      <c r="O59" s="7">
        <v>0.5</v>
      </c>
      <c r="P59" s="7">
        <v>0.5</v>
      </c>
      <c r="Q59" s="52">
        <f t="shared" si="0"/>
        <v>0.5</v>
      </c>
      <c r="R59" s="7">
        <v>14.3</v>
      </c>
      <c r="S59" s="7">
        <v>120</v>
      </c>
      <c r="T59" s="16">
        <f t="shared" si="1"/>
        <v>30</v>
      </c>
      <c r="U59" s="7">
        <v>537</v>
      </c>
      <c r="V59" s="16">
        <f t="shared" si="2"/>
        <v>4027.5</v>
      </c>
      <c r="W59" s="7">
        <v>12</v>
      </c>
      <c r="X59" s="15" t="s">
        <v>46</v>
      </c>
      <c r="Y59" s="216" t="s">
        <v>55</v>
      </c>
      <c r="Z59" s="216" t="s">
        <v>86</v>
      </c>
      <c r="AA59" s="216" t="s">
        <v>90</v>
      </c>
      <c r="AB59" s="39" t="s">
        <v>341</v>
      </c>
    </row>
    <row r="60" spans="1:29" x14ac:dyDescent="0.15">
      <c r="A60" s="15" t="s">
        <v>338</v>
      </c>
      <c r="B60" s="15" t="s">
        <v>339</v>
      </c>
      <c r="C60" s="15">
        <v>2018</v>
      </c>
      <c r="D60" s="37" t="s">
        <v>343</v>
      </c>
      <c r="E60" s="7" t="s">
        <v>141</v>
      </c>
      <c r="F60" s="7" t="s">
        <v>150</v>
      </c>
      <c r="G60" s="7" t="s">
        <v>36</v>
      </c>
      <c r="H60" s="216" t="s">
        <v>157</v>
      </c>
      <c r="I60" s="208" t="s">
        <v>155</v>
      </c>
      <c r="J60" s="15" t="s">
        <v>38</v>
      </c>
      <c r="K60" s="7" t="s">
        <v>156</v>
      </c>
      <c r="L60" s="7">
        <v>2</v>
      </c>
      <c r="N60" s="7">
        <v>4</v>
      </c>
      <c r="O60" s="7">
        <v>0.5</v>
      </c>
      <c r="P60" s="7">
        <v>0.5</v>
      </c>
      <c r="Q60" s="52">
        <f t="shared" si="0"/>
        <v>0.5</v>
      </c>
      <c r="R60" s="7">
        <v>15.7</v>
      </c>
      <c r="S60" s="7">
        <v>117</v>
      </c>
      <c r="T60" s="16">
        <f>IF(H60="","",IF(OR(H60="GREEN",H60="GK"),IF(S60&gt;=$AX$2,VLOOKUP(S60,$AX$2:$AY$12,2,1),""),IF(S60&gt;=$AZ$2,VLOOKUP(S60,$AZ$2:$BA$12,2,1),"")))</f>
        <v>30</v>
      </c>
      <c r="U60" s="208">
        <v>537</v>
      </c>
      <c r="V60" s="16">
        <f t="shared" si="2"/>
        <v>4027.5</v>
      </c>
      <c r="W60" s="7">
        <v>12</v>
      </c>
      <c r="X60" s="15" t="s">
        <v>46</v>
      </c>
      <c r="Y60" s="216" t="s">
        <v>55</v>
      </c>
      <c r="Z60" s="216" t="s">
        <v>86</v>
      </c>
      <c r="AA60" s="216" t="s">
        <v>90</v>
      </c>
      <c r="AB60" s="39" t="s">
        <v>341</v>
      </c>
    </row>
    <row r="61" spans="1:29" x14ac:dyDescent="0.15">
      <c r="A61" s="15" t="s">
        <v>338</v>
      </c>
      <c r="B61" s="15" t="s">
        <v>339</v>
      </c>
      <c r="C61" s="15">
        <v>2018</v>
      </c>
      <c r="D61" s="37" t="s">
        <v>343</v>
      </c>
      <c r="E61" s="7" t="s">
        <v>141</v>
      </c>
      <c r="F61" s="7" t="s">
        <v>150</v>
      </c>
      <c r="G61" s="7" t="s">
        <v>36</v>
      </c>
      <c r="H61" s="216" t="s">
        <v>157</v>
      </c>
      <c r="I61" s="208" t="s">
        <v>155</v>
      </c>
      <c r="J61" s="15" t="s">
        <v>38</v>
      </c>
      <c r="K61" s="7" t="s">
        <v>156</v>
      </c>
      <c r="L61" s="7">
        <v>3</v>
      </c>
      <c r="N61" s="7">
        <v>4</v>
      </c>
      <c r="O61" s="7">
        <v>0.5</v>
      </c>
      <c r="P61" s="7">
        <v>0.5</v>
      </c>
      <c r="Q61" s="52">
        <f t="shared" si="0"/>
        <v>0.5</v>
      </c>
      <c r="R61" s="7">
        <v>15.5</v>
      </c>
      <c r="S61" s="7">
        <v>117</v>
      </c>
      <c r="T61" s="16">
        <f>IF(H61="","",IF(OR(H61="GREEN",H61="GK"),IF(S61&gt;=$AX$2,VLOOKUP(S61,$AX$2:$AY$12,2,1),""),IF(S61&gt;=$AZ$2,VLOOKUP(S61,$AZ$2:$BA$12,2,1),"")))</f>
        <v>30</v>
      </c>
      <c r="U61" s="208">
        <v>537</v>
      </c>
      <c r="V61" s="16">
        <f t="shared" si="2"/>
        <v>4027.5</v>
      </c>
      <c r="W61" s="7">
        <v>12</v>
      </c>
      <c r="X61" s="15" t="s">
        <v>46</v>
      </c>
      <c r="Y61" s="216" t="s">
        <v>55</v>
      </c>
      <c r="Z61" s="216" t="s">
        <v>86</v>
      </c>
      <c r="AA61" s="216" t="s">
        <v>90</v>
      </c>
      <c r="AB61" s="39" t="s">
        <v>341</v>
      </c>
    </row>
    <row r="62" spans="1:29" x14ac:dyDescent="0.15">
      <c r="A62" s="15" t="s">
        <v>338</v>
      </c>
      <c r="B62" s="15" t="s">
        <v>339</v>
      </c>
      <c r="C62" s="15">
        <v>2018</v>
      </c>
      <c r="D62" s="37" t="s">
        <v>343</v>
      </c>
      <c r="E62" s="7" t="s">
        <v>141</v>
      </c>
      <c r="F62" s="7" t="s">
        <v>150</v>
      </c>
      <c r="G62" s="7" t="s">
        <v>36</v>
      </c>
      <c r="H62" s="15" t="s">
        <v>216</v>
      </c>
      <c r="I62" s="208" t="s">
        <v>155</v>
      </c>
      <c r="J62" s="15" t="s">
        <v>38</v>
      </c>
      <c r="K62" s="7" t="s">
        <v>156</v>
      </c>
      <c r="L62" s="7">
        <v>1</v>
      </c>
      <c r="N62" s="7">
        <v>1</v>
      </c>
      <c r="O62" s="7">
        <v>0.5</v>
      </c>
      <c r="P62" s="7">
        <v>0.6</v>
      </c>
      <c r="Q62" s="52">
        <f t="shared" si="0"/>
        <v>0.55000000000000004</v>
      </c>
      <c r="R62" s="7">
        <v>19.600000000000001</v>
      </c>
      <c r="S62" s="7">
        <v>91</v>
      </c>
      <c r="T62" s="16">
        <f t="shared" ref="T62:T120" si="3">IF(H62="","",IF(OR(H62="GREEN",H62="GK"),IF(S62&gt;=$AX$2,VLOOKUP(S62,$AX$2:$AY$12,2,1),""),IF(S62&gt;=$AZ$2,VLOOKUP(S62,$AZ$2:$BA$12,2,1),"")))</f>
        <v>36</v>
      </c>
      <c r="U62" s="7">
        <v>95</v>
      </c>
      <c r="V62" s="16">
        <f t="shared" si="2"/>
        <v>3420</v>
      </c>
      <c r="W62" s="7">
        <v>2</v>
      </c>
      <c r="X62" s="15" t="s">
        <v>46</v>
      </c>
      <c r="Y62" s="216" t="s">
        <v>55</v>
      </c>
      <c r="Z62" s="216" t="s">
        <v>86</v>
      </c>
      <c r="AA62" s="216" t="s">
        <v>90</v>
      </c>
      <c r="AB62" s="39" t="s">
        <v>341</v>
      </c>
    </row>
    <row r="63" spans="1:29" x14ac:dyDescent="0.15">
      <c r="A63" s="15" t="s">
        <v>338</v>
      </c>
      <c r="B63" s="15" t="s">
        <v>339</v>
      </c>
      <c r="C63" s="15">
        <v>2018</v>
      </c>
      <c r="D63" s="37" t="s">
        <v>343</v>
      </c>
      <c r="E63" s="7" t="s">
        <v>141</v>
      </c>
      <c r="F63" s="7" t="s">
        <v>150</v>
      </c>
      <c r="G63" s="7" t="s">
        <v>36</v>
      </c>
      <c r="H63" s="216" t="s">
        <v>216</v>
      </c>
      <c r="I63" s="208" t="s">
        <v>155</v>
      </c>
      <c r="J63" s="15" t="s">
        <v>38</v>
      </c>
      <c r="K63" s="7" t="s">
        <v>156</v>
      </c>
      <c r="L63" s="7">
        <v>2</v>
      </c>
      <c r="N63" s="7">
        <v>1</v>
      </c>
      <c r="O63" s="7">
        <v>0.5</v>
      </c>
      <c r="P63" s="7">
        <v>0.5</v>
      </c>
      <c r="Q63" s="52">
        <f t="shared" si="0"/>
        <v>0.5</v>
      </c>
      <c r="R63" s="7">
        <v>18.5</v>
      </c>
      <c r="S63" s="7">
        <v>81</v>
      </c>
      <c r="T63" s="16">
        <f t="shared" si="3"/>
        <v>39</v>
      </c>
      <c r="U63" s="208">
        <v>95</v>
      </c>
      <c r="V63" s="16">
        <f t="shared" si="2"/>
        <v>3705</v>
      </c>
      <c r="W63" s="7">
        <v>2</v>
      </c>
      <c r="X63" s="15" t="s">
        <v>46</v>
      </c>
      <c r="Y63" s="216" t="s">
        <v>55</v>
      </c>
      <c r="Z63" s="216" t="s">
        <v>86</v>
      </c>
      <c r="AA63" s="216" t="s">
        <v>90</v>
      </c>
      <c r="AB63" s="39" t="s">
        <v>341</v>
      </c>
    </row>
    <row r="64" spans="1:29" x14ac:dyDescent="0.15">
      <c r="A64" s="15" t="s">
        <v>338</v>
      </c>
      <c r="B64" s="15" t="s">
        <v>339</v>
      </c>
      <c r="C64" s="15">
        <v>2018</v>
      </c>
      <c r="D64" s="37" t="s">
        <v>343</v>
      </c>
      <c r="E64" s="7" t="s">
        <v>141</v>
      </c>
      <c r="F64" s="7" t="s">
        <v>150</v>
      </c>
      <c r="G64" s="7" t="s">
        <v>36</v>
      </c>
      <c r="H64" s="216" t="s">
        <v>216</v>
      </c>
      <c r="I64" s="208" t="s">
        <v>155</v>
      </c>
      <c r="J64" s="15" t="s">
        <v>38</v>
      </c>
      <c r="K64" s="7" t="s">
        <v>156</v>
      </c>
      <c r="L64" s="7">
        <v>3</v>
      </c>
      <c r="N64" s="7">
        <v>1</v>
      </c>
      <c r="O64" s="7">
        <v>0.5</v>
      </c>
      <c r="P64" s="7">
        <v>0.5</v>
      </c>
      <c r="Q64" s="52">
        <f t="shared" si="0"/>
        <v>0.5</v>
      </c>
      <c r="R64" s="7">
        <v>18.5</v>
      </c>
      <c r="S64" s="7">
        <v>91</v>
      </c>
      <c r="T64" s="16">
        <f t="shared" si="3"/>
        <v>36</v>
      </c>
      <c r="U64" s="208">
        <v>95</v>
      </c>
      <c r="V64" s="16">
        <f t="shared" si="2"/>
        <v>3420</v>
      </c>
      <c r="W64" s="7">
        <v>2</v>
      </c>
      <c r="X64" s="15" t="s">
        <v>46</v>
      </c>
      <c r="Y64" s="216" t="s">
        <v>55</v>
      </c>
      <c r="Z64" s="216" t="s">
        <v>86</v>
      </c>
      <c r="AA64" s="216" t="s">
        <v>90</v>
      </c>
      <c r="AB64" s="39" t="s">
        <v>341</v>
      </c>
    </row>
    <row r="65" spans="1:28" x14ac:dyDescent="0.15">
      <c r="A65" s="15" t="s">
        <v>338</v>
      </c>
      <c r="B65" s="15" t="s">
        <v>339</v>
      </c>
      <c r="C65" s="15">
        <v>2018</v>
      </c>
      <c r="D65" s="37" t="s">
        <v>343</v>
      </c>
      <c r="E65" s="7" t="s">
        <v>141</v>
      </c>
      <c r="F65" s="7" t="s">
        <v>150</v>
      </c>
      <c r="G65" s="7" t="s">
        <v>36</v>
      </c>
      <c r="H65" s="15" t="s">
        <v>168</v>
      </c>
      <c r="I65" s="208" t="s">
        <v>155</v>
      </c>
      <c r="J65" s="15" t="s">
        <v>38</v>
      </c>
      <c r="K65" s="7" t="s">
        <v>156</v>
      </c>
      <c r="L65" s="7">
        <v>1</v>
      </c>
      <c r="N65" s="7">
        <v>1</v>
      </c>
      <c r="O65" s="7">
        <v>0.5</v>
      </c>
      <c r="P65" s="7">
        <v>0.55000000000000004</v>
      </c>
      <c r="Q65" s="52">
        <f t="shared" si="0"/>
        <v>0.52500000000000002</v>
      </c>
      <c r="R65" s="7">
        <v>16.600000000000001</v>
      </c>
      <c r="S65" s="7">
        <v>140</v>
      </c>
      <c r="T65" s="16">
        <f t="shared" si="3"/>
        <v>22</v>
      </c>
      <c r="U65" s="7">
        <v>170</v>
      </c>
      <c r="V65" s="16">
        <f t="shared" si="2"/>
        <v>3740</v>
      </c>
      <c r="W65" s="7">
        <v>6</v>
      </c>
      <c r="X65" s="216" t="s">
        <v>46</v>
      </c>
      <c r="Y65" s="216" t="s">
        <v>55</v>
      </c>
      <c r="Z65" s="216" t="s">
        <v>86</v>
      </c>
      <c r="AA65" s="216" t="s">
        <v>90</v>
      </c>
      <c r="AB65" s="39" t="s">
        <v>341</v>
      </c>
    </row>
    <row r="66" spans="1:28" x14ac:dyDescent="0.15">
      <c r="A66" s="15" t="s">
        <v>338</v>
      </c>
      <c r="B66" s="15" t="s">
        <v>339</v>
      </c>
      <c r="C66" s="15">
        <v>2018</v>
      </c>
      <c r="D66" s="37" t="s">
        <v>343</v>
      </c>
      <c r="E66" s="7" t="s">
        <v>141</v>
      </c>
      <c r="F66" s="7" t="s">
        <v>150</v>
      </c>
      <c r="G66" s="7" t="s">
        <v>36</v>
      </c>
      <c r="H66" s="216" t="s">
        <v>168</v>
      </c>
      <c r="I66" s="208" t="s">
        <v>155</v>
      </c>
      <c r="J66" s="15" t="s">
        <v>38</v>
      </c>
      <c r="K66" s="7" t="s">
        <v>156</v>
      </c>
      <c r="L66" s="7">
        <v>2</v>
      </c>
      <c r="N66" s="7">
        <v>1</v>
      </c>
      <c r="O66" s="7">
        <v>0.5</v>
      </c>
      <c r="P66" s="7">
        <v>0.6</v>
      </c>
      <c r="Q66" s="52">
        <f t="shared" ref="Q66:Q77" si="4">IF(OR(O66="",P66=""),"",AVERAGE(O66,P66))</f>
        <v>0.55000000000000004</v>
      </c>
      <c r="R66" s="7">
        <v>19.899999999999999</v>
      </c>
      <c r="S66" s="7">
        <v>144</v>
      </c>
      <c r="T66" s="16">
        <f t="shared" si="3"/>
        <v>22</v>
      </c>
      <c r="U66" s="208">
        <v>170</v>
      </c>
      <c r="V66" s="16">
        <f t="shared" ref="V66:V70" si="5">IF(OR(N66="",U66="",T66=""),"",U66/N66*T66)</f>
        <v>3740</v>
      </c>
      <c r="W66" s="7">
        <v>6</v>
      </c>
      <c r="X66" s="216" t="s">
        <v>46</v>
      </c>
      <c r="Y66" s="216" t="s">
        <v>55</v>
      </c>
      <c r="Z66" s="216" t="s">
        <v>86</v>
      </c>
      <c r="AA66" s="216" t="s">
        <v>90</v>
      </c>
      <c r="AB66" s="39" t="s">
        <v>341</v>
      </c>
    </row>
    <row r="67" spans="1:28" x14ac:dyDescent="0.15">
      <c r="A67" s="15" t="s">
        <v>338</v>
      </c>
      <c r="B67" s="15" t="s">
        <v>339</v>
      </c>
      <c r="C67" s="15">
        <v>2018</v>
      </c>
      <c r="D67" s="37" t="s">
        <v>343</v>
      </c>
      <c r="E67" s="7" t="s">
        <v>141</v>
      </c>
      <c r="F67" s="7" t="s">
        <v>150</v>
      </c>
      <c r="G67" s="7" t="s">
        <v>36</v>
      </c>
      <c r="H67" s="216" t="s">
        <v>168</v>
      </c>
      <c r="I67" s="208" t="s">
        <v>155</v>
      </c>
      <c r="J67" s="15" t="s">
        <v>38</v>
      </c>
      <c r="K67" s="7" t="s">
        <v>156</v>
      </c>
      <c r="L67" s="7">
        <v>3</v>
      </c>
      <c r="N67" s="7">
        <v>1</v>
      </c>
      <c r="O67" s="7">
        <v>0.7</v>
      </c>
      <c r="P67" s="7">
        <v>0.65</v>
      </c>
      <c r="Q67" s="52">
        <f t="shared" si="4"/>
        <v>0.67500000000000004</v>
      </c>
      <c r="R67" s="7">
        <v>17.3</v>
      </c>
      <c r="S67" s="7">
        <v>141</v>
      </c>
      <c r="T67" s="16">
        <f t="shared" si="3"/>
        <v>22</v>
      </c>
      <c r="U67" s="208">
        <v>170</v>
      </c>
      <c r="V67" s="16">
        <f t="shared" si="5"/>
        <v>3740</v>
      </c>
      <c r="W67" s="7">
        <v>6</v>
      </c>
      <c r="X67" s="216" t="s">
        <v>46</v>
      </c>
      <c r="Y67" s="216" t="s">
        <v>55</v>
      </c>
      <c r="Z67" s="216" t="s">
        <v>86</v>
      </c>
      <c r="AA67" s="216" t="s">
        <v>90</v>
      </c>
      <c r="AB67" s="39" t="s">
        <v>341</v>
      </c>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6"/>
  <sheetViews>
    <sheetView zoomScale="70" zoomScaleNormal="70" workbookViewId="0">
      <selection activeCell="AB2" sqref="AB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53" t="s">
        <v>16</v>
      </c>
      <c r="R1" s="203" t="s">
        <v>17</v>
      </c>
      <c r="S1" s="203" t="s">
        <v>18</v>
      </c>
      <c r="T1" s="53" t="s">
        <v>19</v>
      </c>
      <c r="U1" s="205" t="s">
        <v>108</v>
      </c>
      <c r="V1" s="54" t="s">
        <v>20</v>
      </c>
      <c r="W1" s="203" t="s">
        <v>21</v>
      </c>
      <c r="X1" s="241" t="s">
        <v>22</v>
      </c>
      <c r="Y1" s="241" t="s">
        <v>23</v>
      </c>
      <c r="Z1" s="241" t="s">
        <v>24</v>
      </c>
      <c r="AA1" s="241" t="s">
        <v>25</v>
      </c>
      <c r="AB1" s="242"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s="55" customFormat="1" x14ac:dyDescent="0.15">
      <c r="A2" s="55" t="s">
        <v>41</v>
      </c>
      <c r="B2" s="237" t="s">
        <v>339</v>
      </c>
      <c r="C2" s="152">
        <v>2018</v>
      </c>
      <c r="D2" s="56" t="s">
        <v>345</v>
      </c>
      <c r="E2" s="237" t="s">
        <v>133</v>
      </c>
      <c r="F2" s="237" t="s">
        <v>298</v>
      </c>
      <c r="G2" s="55" t="s">
        <v>42</v>
      </c>
      <c r="H2" s="55" t="s">
        <v>216</v>
      </c>
      <c r="I2" s="55" t="s">
        <v>155</v>
      </c>
      <c r="J2" s="55" t="s">
        <v>38</v>
      </c>
      <c r="K2" s="55" t="s">
        <v>156</v>
      </c>
      <c r="L2" s="237">
        <v>1</v>
      </c>
      <c r="M2" s="237"/>
      <c r="N2" s="55">
        <v>1</v>
      </c>
      <c r="O2" s="55">
        <v>0.65</v>
      </c>
      <c r="P2" s="55">
        <v>0.7</v>
      </c>
      <c r="Q2" s="82">
        <f t="shared" ref="Q2:Q65" si="0">IF(OR(O2="",P2=""),"",AVERAGE(O2,P2))</f>
        <v>0.67500000000000004</v>
      </c>
      <c r="R2" s="55">
        <v>15.4</v>
      </c>
      <c r="S2" s="55">
        <v>118</v>
      </c>
      <c r="T2" s="57">
        <f t="shared" ref="T2:T65" si="1">IF(H2="","",IF(OR(H2="GREEN",H2="GK"),IF(S2&gt;=$AX$2,VLOOKUP(S2,$AX$2:$AY$10,2,1),""),IF(S2&gt;=$AZ$2,VLOOKUP(S2,$AZ$2:$BA$10,2,1),"")))</f>
        <v>30</v>
      </c>
      <c r="U2" s="237">
        <v>105</v>
      </c>
      <c r="V2" s="58">
        <f t="shared" ref="V2:V65" si="2">IF(OR(N2="",U2="",T2=""),"",U2/N2*T2)</f>
        <v>3150</v>
      </c>
      <c r="W2" s="237">
        <v>6</v>
      </c>
      <c r="X2" s="55" t="s">
        <v>46</v>
      </c>
      <c r="Y2" s="55" t="s">
        <v>55</v>
      </c>
      <c r="Z2" s="55" t="s">
        <v>86</v>
      </c>
      <c r="AA2" s="55" t="s">
        <v>64</v>
      </c>
      <c r="AB2" s="55" t="s">
        <v>361</v>
      </c>
      <c r="AE2" s="218" t="s">
        <v>35</v>
      </c>
      <c r="AG2" s="59" t="s">
        <v>133</v>
      </c>
      <c r="AH2" s="60" t="s">
        <v>298</v>
      </c>
      <c r="AJ2" s="243" t="s">
        <v>36</v>
      </c>
      <c r="AL2" s="243" t="s">
        <v>127</v>
      </c>
      <c r="AN2" s="243" t="s">
        <v>37</v>
      </c>
      <c r="AP2" s="243" t="s">
        <v>38</v>
      </c>
      <c r="AR2" s="243" t="s">
        <v>346</v>
      </c>
      <c r="AT2" s="243" t="s">
        <v>39</v>
      </c>
      <c r="AV2" s="243" t="s">
        <v>40</v>
      </c>
      <c r="AX2" s="61">
        <v>1</v>
      </c>
      <c r="AY2" s="62">
        <v>50</v>
      </c>
      <c r="AZ2" s="62">
        <v>1</v>
      </c>
      <c r="BA2" s="63">
        <v>50</v>
      </c>
    </row>
    <row r="3" spans="1:53" x14ac:dyDescent="0.15">
      <c r="A3" s="55" t="s">
        <v>41</v>
      </c>
      <c r="B3" s="237" t="s">
        <v>339</v>
      </c>
      <c r="C3" s="152">
        <v>2018</v>
      </c>
      <c r="D3" s="56" t="s">
        <v>347</v>
      </c>
      <c r="E3" s="237" t="s">
        <v>133</v>
      </c>
      <c r="F3" s="237" t="s">
        <v>298</v>
      </c>
      <c r="G3" s="55" t="s">
        <v>42</v>
      </c>
      <c r="H3" s="55" t="s">
        <v>216</v>
      </c>
      <c r="I3" s="55" t="s">
        <v>155</v>
      </c>
      <c r="J3" s="55" t="s">
        <v>38</v>
      </c>
      <c r="K3" s="55" t="s">
        <v>156</v>
      </c>
      <c r="L3" s="237">
        <v>2</v>
      </c>
      <c r="N3" s="55">
        <v>1</v>
      </c>
      <c r="O3" s="55">
        <v>0.5</v>
      </c>
      <c r="P3" s="55">
        <v>0.5</v>
      </c>
      <c r="Q3" s="82">
        <f t="shared" si="0"/>
        <v>0.5</v>
      </c>
      <c r="R3" s="55">
        <v>15.5</v>
      </c>
      <c r="S3" s="55">
        <v>120</v>
      </c>
      <c r="T3" s="57">
        <f t="shared" si="1"/>
        <v>30</v>
      </c>
      <c r="U3" s="237">
        <v>105</v>
      </c>
      <c r="V3" s="58">
        <f t="shared" si="2"/>
        <v>3150</v>
      </c>
      <c r="W3" s="237">
        <v>6</v>
      </c>
      <c r="X3" s="55" t="s">
        <v>46</v>
      </c>
      <c r="Y3" s="55" t="s">
        <v>55</v>
      </c>
      <c r="Z3" s="55" t="s">
        <v>86</v>
      </c>
      <c r="AA3" s="55" t="s">
        <v>64</v>
      </c>
      <c r="AB3" s="55" t="s">
        <v>341</v>
      </c>
      <c r="AE3" s="223" t="s">
        <v>41</v>
      </c>
      <c r="AG3" s="64" t="s">
        <v>293</v>
      </c>
      <c r="AH3" s="64" t="s">
        <v>298</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339</v>
      </c>
      <c r="C4" s="152">
        <v>2018</v>
      </c>
      <c r="D4" s="56" t="s">
        <v>348</v>
      </c>
      <c r="E4" s="237" t="s">
        <v>133</v>
      </c>
      <c r="F4" s="237" t="s">
        <v>298</v>
      </c>
      <c r="G4" s="55" t="s">
        <v>42</v>
      </c>
      <c r="H4" s="55" t="s">
        <v>216</v>
      </c>
      <c r="I4" s="55" t="s">
        <v>155</v>
      </c>
      <c r="J4" s="55" t="s">
        <v>38</v>
      </c>
      <c r="K4" s="55" t="s">
        <v>156</v>
      </c>
      <c r="L4" s="237">
        <v>3</v>
      </c>
      <c r="N4" s="55">
        <v>1</v>
      </c>
      <c r="O4" s="55">
        <v>0.35</v>
      </c>
      <c r="P4" s="55">
        <v>0.4</v>
      </c>
      <c r="Q4" s="82">
        <f t="shared" si="0"/>
        <v>0.375</v>
      </c>
      <c r="R4" s="55">
        <v>13.8</v>
      </c>
      <c r="S4" s="55">
        <v>114</v>
      </c>
      <c r="T4" s="57">
        <f t="shared" si="1"/>
        <v>30</v>
      </c>
      <c r="U4" s="237">
        <v>105</v>
      </c>
      <c r="V4" s="58">
        <f t="shared" si="2"/>
        <v>3150</v>
      </c>
      <c r="W4" s="237">
        <v>6</v>
      </c>
      <c r="X4" s="55" t="s">
        <v>46</v>
      </c>
      <c r="Y4" s="55" t="s">
        <v>55</v>
      </c>
      <c r="Z4" s="55" t="s">
        <v>86</v>
      </c>
      <c r="AA4" s="55" t="s">
        <v>64</v>
      </c>
      <c r="AB4" s="55" t="s">
        <v>341</v>
      </c>
      <c r="AE4" s="223" t="s">
        <v>34</v>
      </c>
      <c r="AG4" s="64" t="s">
        <v>293</v>
      </c>
      <c r="AH4" s="64" t="s">
        <v>299</v>
      </c>
      <c r="AJ4" s="69" t="s">
        <v>48</v>
      </c>
      <c r="AL4" s="69" t="s">
        <v>129</v>
      </c>
      <c r="AN4" s="244" t="s">
        <v>49</v>
      </c>
      <c r="AP4" s="65" t="s">
        <v>349</v>
      </c>
      <c r="AR4" s="231" t="s">
        <v>350</v>
      </c>
      <c r="AT4" s="244"/>
      <c r="AV4" s="65" t="s">
        <v>50</v>
      </c>
      <c r="AX4" s="66">
        <v>75</v>
      </c>
      <c r="AY4" s="67">
        <v>42</v>
      </c>
      <c r="AZ4" s="67">
        <v>76</v>
      </c>
      <c r="BA4" s="68">
        <v>39</v>
      </c>
    </row>
    <row r="5" spans="1:53" s="55" customFormat="1" ht="13.5" customHeight="1" x14ac:dyDescent="0.15">
      <c r="A5" s="55" t="s">
        <v>41</v>
      </c>
      <c r="B5" s="237" t="s">
        <v>339</v>
      </c>
      <c r="C5" s="152">
        <v>2018</v>
      </c>
      <c r="D5" s="56" t="s">
        <v>348</v>
      </c>
      <c r="E5" s="237" t="s">
        <v>133</v>
      </c>
      <c r="F5" s="237" t="s">
        <v>298</v>
      </c>
      <c r="G5" s="55" t="s">
        <v>42</v>
      </c>
      <c r="H5" s="55" t="s">
        <v>216</v>
      </c>
      <c r="I5" s="55" t="s">
        <v>155</v>
      </c>
      <c r="J5" s="55" t="s">
        <v>38</v>
      </c>
      <c r="K5" s="55" t="s">
        <v>156</v>
      </c>
      <c r="L5" s="237">
        <v>1</v>
      </c>
      <c r="M5" s="237"/>
      <c r="N5" s="237">
        <v>8</v>
      </c>
      <c r="O5" s="55">
        <v>0.2</v>
      </c>
      <c r="P5" s="55">
        <v>0.15</v>
      </c>
      <c r="Q5" s="57">
        <f t="shared" si="0"/>
        <v>0.17499999999999999</v>
      </c>
      <c r="R5" s="55">
        <v>14.6</v>
      </c>
      <c r="S5" s="55">
        <v>89</v>
      </c>
      <c r="T5" s="57">
        <f t="shared" si="1"/>
        <v>36</v>
      </c>
      <c r="U5" s="237">
        <v>753</v>
      </c>
      <c r="V5" s="58">
        <f t="shared" si="2"/>
        <v>3388.5</v>
      </c>
      <c r="W5" s="237">
        <v>2</v>
      </c>
      <c r="X5" s="55" t="s">
        <v>46</v>
      </c>
      <c r="Y5" s="55" t="s">
        <v>55</v>
      </c>
      <c r="Z5" s="55" t="s">
        <v>86</v>
      </c>
      <c r="AA5" s="55" t="s">
        <v>64</v>
      </c>
      <c r="AB5" s="55" t="s">
        <v>341</v>
      </c>
      <c r="AC5" s="237"/>
      <c r="AD5" s="237"/>
      <c r="AE5" s="70" t="s">
        <v>351</v>
      </c>
      <c r="AG5" s="64" t="s">
        <v>294</v>
      </c>
      <c r="AH5" s="64" t="s">
        <v>298</v>
      </c>
      <c r="AJ5" s="71"/>
      <c r="AL5" s="72" t="s">
        <v>352</v>
      </c>
      <c r="AN5" s="72" t="s">
        <v>353</v>
      </c>
      <c r="AP5" s="231" t="s">
        <v>354</v>
      </c>
      <c r="AR5" s="231" t="s">
        <v>54</v>
      </c>
      <c r="AV5" s="231" t="s">
        <v>55</v>
      </c>
      <c r="AX5" s="73">
        <v>84</v>
      </c>
      <c r="AY5" s="74">
        <v>39</v>
      </c>
      <c r="AZ5" s="74">
        <v>84</v>
      </c>
      <c r="BA5" s="75">
        <v>36</v>
      </c>
    </row>
    <row r="6" spans="1:53" x14ac:dyDescent="0.15">
      <c r="A6" s="55" t="s">
        <v>41</v>
      </c>
      <c r="B6" s="237" t="s">
        <v>339</v>
      </c>
      <c r="C6" s="152">
        <v>2018</v>
      </c>
      <c r="D6" s="56" t="s">
        <v>348</v>
      </c>
      <c r="E6" s="237" t="s">
        <v>133</v>
      </c>
      <c r="F6" s="237" t="s">
        <v>298</v>
      </c>
      <c r="G6" s="55" t="s">
        <v>42</v>
      </c>
      <c r="H6" s="55" t="s">
        <v>216</v>
      </c>
      <c r="I6" s="55" t="s">
        <v>155</v>
      </c>
      <c r="J6" s="55" t="s">
        <v>38</v>
      </c>
      <c r="K6" s="55" t="s">
        <v>156</v>
      </c>
      <c r="L6" s="237">
        <v>2</v>
      </c>
      <c r="N6" s="237">
        <v>8</v>
      </c>
      <c r="O6" s="55">
        <v>0.2</v>
      </c>
      <c r="P6" s="55">
        <v>0.3</v>
      </c>
      <c r="Q6" s="57">
        <f t="shared" si="0"/>
        <v>0.25</v>
      </c>
      <c r="R6" s="55">
        <v>16.8</v>
      </c>
      <c r="S6" s="55">
        <v>90</v>
      </c>
      <c r="T6" s="57">
        <f t="shared" si="1"/>
        <v>36</v>
      </c>
      <c r="U6" s="237">
        <v>753</v>
      </c>
      <c r="V6" s="58">
        <f t="shared" si="2"/>
        <v>3388.5</v>
      </c>
      <c r="W6" s="237">
        <v>2</v>
      </c>
      <c r="X6" s="55" t="s">
        <v>46</v>
      </c>
      <c r="Y6" s="55" t="s">
        <v>55</v>
      </c>
      <c r="Z6" s="55" t="s">
        <v>86</v>
      </c>
      <c r="AA6" s="55" t="s">
        <v>64</v>
      </c>
      <c r="AB6" s="55" t="s">
        <v>341</v>
      </c>
      <c r="AE6" s="223" t="s">
        <v>56</v>
      </c>
      <c r="AG6" s="64" t="s">
        <v>294</v>
      </c>
      <c r="AH6" s="64" t="s">
        <v>300</v>
      </c>
      <c r="AL6" s="72" t="s">
        <v>355</v>
      </c>
      <c r="AN6" s="72" t="s">
        <v>356</v>
      </c>
      <c r="AP6" s="65" t="s">
        <v>53</v>
      </c>
      <c r="AR6" s="231" t="s">
        <v>59</v>
      </c>
      <c r="AV6" s="65" t="s">
        <v>60</v>
      </c>
      <c r="AX6" s="66">
        <v>97</v>
      </c>
      <c r="AY6" s="67">
        <v>36</v>
      </c>
      <c r="AZ6" s="67">
        <v>99</v>
      </c>
      <c r="BA6" s="68">
        <v>33</v>
      </c>
    </row>
    <row r="7" spans="1:53" x14ac:dyDescent="0.15">
      <c r="A7" s="55" t="s">
        <v>41</v>
      </c>
      <c r="B7" s="237" t="s">
        <v>339</v>
      </c>
      <c r="C7" s="152">
        <v>2018</v>
      </c>
      <c r="D7" s="56" t="s">
        <v>348</v>
      </c>
      <c r="E7" s="237" t="s">
        <v>133</v>
      </c>
      <c r="F7" s="237" t="s">
        <v>298</v>
      </c>
      <c r="G7" s="55" t="s">
        <v>42</v>
      </c>
      <c r="H7" s="55" t="s">
        <v>216</v>
      </c>
      <c r="I7" s="55" t="s">
        <v>155</v>
      </c>
      <c r="J7" s="55" t="s">
        <v>38</v>
      </c>
      <c r="K7" s="55" t="s">
        <v>156</v>
      </c>
      <c r="L7" s="237">
        <v>3</v>
      </c>
      <c r="N7" s="237">
        <v>8</v>
      </c>
      <c r="O7" s="55">
        <v>0.2</v>
      </c>
      <c r="P7" s="55">
        <v>0.2</v>
      </c>
      <c r="Q7" s="57">
        <f t="shared" si="0"/>
        <v>0.2</v>
      </c>
      <c r="R7" s="55">
        <v>13.5</v>
      </c>
      <c r="S7" s="55">
        <v>84</v>
      </c>
      <c r="T7" s="57">
        <f t="shared" si="1"/>
        <v>36</v>
      </c>
      <c r="U7" s="237">
        <v>753</v>
      </c>
      <c r="V7" s="58">
        <f t="shared" si="2"/>
        <v>3388.5</v>
      </c>
      <c r="W7" s="237">
        <v>2</v>
      </c>
      <c r="X7" s="55" t="s">
        <v>46</v>
      </c>
      <c r="Y7" s="55" t="s">
        <v>55</v>
      </c>
      <c r="Z7" s="55" t="s">
        <v>86</v>
      </c>
      <c r="AA7" s="55" t="s">
        <v>64</v>
      </c>
      <c r="AB7" s="55" t="s">
        <v>341</v>
      </c>
      <c r="AE7" s="223" t="s">
        <v>61</v>
      </c>
      <c r="AG7" s="64" t="s">
        <v>295</v>
      </c>
      <c r="AH7" s="64" t="s">
        <v>300</v>
      </c>
      <c r="AL7" s="76" t="s">
        <v>357</v>
      </c>
      <c r="AP7" s="65" t="s">
        <v>58</v>
      </c>
      <c r="AR7" s="231" t="s">
        <v>122</v>
      </c>
      <c r="AV7" s="65" t="s">
        <v>64</v>
      </c>
      <c r="AX7" s="66">
        <v>109</v>
      </c>
      <c r="AY7" s="67">
        <v>33</v>
      </c>
      <c r="AZ7" s="67">
        <v>113</v>
      </c>
      <c r="BA7" s="68">
        <v>30</v>
      </c>
    </row>
    <row r="8" spans="1:53" x14ac:dyDescent="0.15">
      <c r="A8" s="55" t="s">
        <v>41</v>
      </c>
      <c r="B8" s="237" t="s">
        <v>339</v>
      </c>
      <c r="C8" s="152">
        <v>2018</v>
      </c>
      <c r="D8" s="56" t="s">
        <v>348</v>
      </c>
      <c r="E8" s="237" t="s">
        <v>133</v>
      </c>
      <c r="F8" s="237" t="s">
        <v>298</v>
      </c>
      <c r="G8" s="55" t="s">
        <v>42</v>
      </c>
      <c r="H8" s="55" t="s">
        <v>168</v>
      </c>
      <c r="I8" s="55" t="s">
        <v>155</v>
      </c>
      <c r="J8" s="55" t="s">
        <v>38</v>
      </c>
      <c r="K8" s="55" t="s">
        <v>156</v>
      </c>
      <c r="L8" s="237">
        <v>1</v>
      </c>
      <c r="M8" s="55"/>
      <c r="N8" s="55">
        <v>1</v>
      </c>
      <c r="O8" s="55">
        <v>0.6</v>
      </c>
      <c r="P8" s="55">
        <v>0.35</v>
      </c>
      <c r="Q8" s="57">
        <f t="shared" si="0"/>
        <v>0.47499999999999998</v>
      </c>
      <c r="R8" s="55">
        <v>15.2</v>
      </c>
      <c r="S8" s="237">
        <v>133</v>
      </c>
      <c r="T8" s="77">
        <f t="shared" si="1"/>
        <v>25</v>
      </c>
      <c r="U8" s="55">
        <v>149</v>
      </c>
      <c r="V8" s="78">
        <f t="shared" si="2"/>
        <v>3725</v>
      </c>
      <c r="W8" s="55">
        <v>9</v>
      </c>
      <c r="X8" s="55" t="s">
        <v>46</v>
      </c>
      <c r="Y8" s="55" t="s">
        <v>55</v>
      </c>
      <c r="Z8" s="55" t="s">
        <v>86</v>
      </c>
      <c r="AA8" s="55" t="s">
        <v>64</v>
      </c>
      <c r="AB8" s="55" t="s">
        <v>341</v>
      </c>
      <c r="AC8" s="55"/>
      <c r="AD8" s="55"/>
      <c r="AE8" s="223" t="s">
        <v>59</v>
      </c>
      <c r="AG8" s="64" t="s">
        <v>296</v>
      </c>
      <c r="AH8" s="64" t="s">
        <v>301</v>
      </c>
      <c r="AL8" s="76" t="s">
        <v>358</v>
      </c>
      <c r="AP8" s="65" t="s">
        <v>62</v>
      </c>
      <c r="AR8" s="231" t="s">
        <v>81</v>
      </c>
      <c r="AV8" s="65" t="s">
        <v>97</v>
      </c>
      <c r="AX8" s="66">
        <v>119</v>
      </c>
      <c r="AY8" s="67">
        <v>30</v>
      </c>
      <c r="AZ8" s="67">
        <v>121</v>
      </c>
      <c r="BA8" s="68">
        <v>27</v>
      </c>
    </row>
    <row r="9" spans="1:53" x14ac:dyDescent="0.15">
      <c r="A9" s="55" t="s">
        <v>41</v>
      </c>
      <c r="B9" s="237" t="s">
        <v>339</v>
      </c>
      <c r="C9" s="152">
        <v>2018</v>
      </c>
      <c r="D9" s="56" t="s">
        <v>348</v>
      </c>
      <c r="E9" s="237" t="s">
        <v>133</v>
      </c>
      <c r="F9" s="237" t="s">
        <v>298</v>
      </c>
      <c r="G9" s="55" t="s">
        <v>42</v>
      </c>
      <c r="H9" s="55" t="s">
        <v>168</v>
      </c>
      <c r="I9" s="55" t="s">
        <v>155</v>
      </c>
      <c r="J9" s="55" t="s">
        <v>38</v>
      </c>
      <c r="K9" s="55" t="s">
        <v>156</v>
      </c>
      <c r="L9" s="237">
        <v>2</v>
      </c>
      <c r="N9" s="55">
        <v>1</v>
      </c>
      <c r="O9" s="55">
        <v>0.45</v>
      </c>
      <c r="P9" s="55">
        <v>0.2</v>
      </c>
      <c r="Q9" s="57">
        <f t="shared" si="0"/>
        <v>0.32500000000000001</v>
      </c>
      <c r="R9" s="55">
        <v>16.100000000000001</v>
      </c>
      <c r="S9" s="237">
        <v>138</v>
      </c>
      <c r="T9" s="77">
        <f t="shared" si="1"/>
        <v>22</v>
      </c>
      <c r="U9" s="55">
        <v>149</v>
      </c>
      <c r="V9" s="58">
        <f t="shared" si="2"/>
        <v>3278</v>
      </c>
      <c r="W9" s="237">
        <v>9</v>
      </c>
      <c r="X9" s="55" t="s">
        <v>46</v>
      </c>
      <c r="Y9" s="55" t="s">
        <v>55</v>
      </c>
      <c r="Z9" s="55" t="s">
        <v>86</v>
      </c>
      <c r="AA9" s="55" t="s">
        <v>64</v>
      </c>
      <c r="AB9" s="55" t="s">
        <v>341</v>
      </c>
      <c r="AE9" s="223" t="s">
        <v>98</v>
      </c>
      <c r="AG9" s="64" t="s">
        <v>296</v>
      </c>
      <c r="AH9" s="64" t="s">
        <v>302</v>
      </c>
      <c r="AL9" s="72"/>
      <c r="AP9" s="65" t="s">
        <v>95</v>
      </c>
      <c r="AR9" s="231" t="s">
        <v>89</v>
      </c>
      <c r="AV9" s="65" t="s">
        <v>102</v>
      </c>
      <c r="AX9" s="66">
        <v>128</v>
      </c>
      <c r="AY9" s="67">
        <v>27</v>
      </c>
      <c r="AZ9" s="67">
        <v>129</v>
      </c>
      <c r="BA9" s="68">
        <v>25</v>
      </c>
    </row>
    <row r="10" spans="1:53" x14ac:dyDescent="0.15">
      <c r="A10" s="55" t="s">
        <v>41</v>
      </c>
      <c r="B10" s="237" t="s">
        <v>339</v>
      </c>
      <c r="C10" s="152">
        <v>2018</v>
      </c>
      <c r="D10" s="56" t="s">
        <v>348</v>
      </c>
      <c r="E10" s="237" t="s">
        <v>133</v>
      </c>
      <c r="F10" s="237" t="s">
        <v>298</v>
      </c>
      <c r="G10" s="55" t="s">
        <v>42</v>
      </c>
      <c r="H10" s="55" t="s">
        <v>168</v>
      </c>
      <c r="I10" s="55" t="s">
        <v>155</v>
      </c>
      <c r="J10" s="55" t="s">
        <v>38</v>
      </c>
      <c r="K10" s="55" t="s">
        <v>156</v>
      </c>
      <c r="L10" s="237">
        <v>3</v>
      </c>
      <c r="N10" s="55">
        <v>1</v>
      </c>
      <c r="O10" s="55">
        <v>0.2</v>
      </c>
      <c r="P10" s="55">
        <v>0.4</v>
      </c>
      <c r="Q10" s="57">
        <f t="shared" si="0"/>
        <v>0.30000000000000004</v>
      </c>
      <c r="R10" s="55">
        <v>12.7</v>
      </c>
      <c r="S10" s="237">
        <v>147</v>
      </c>
      <c r="T10" s="77">
        <f t="shared" si="1"/>
        <v>22</v>
      </c>
      <c r="U10" s="55">
        <v>149</v>
      </c>
      <c r="V10" s="58">
        <f t="shared" si="2"/>
        <v>3278</v>
      </c>
      <c r="W10" s="237">
        <v>9</v>
      </c>
      <c r="X10" s="55" t="s">
        <v>46</v>
      </c>
      <c r="Y10" s="55" t="s">
        <v>55</v>
      </c>
      <c r="Z10" s="55" t="s">
        <v>86</v>
      </c>
      <c r="AA10" s="55" t="s">
        <v>64</v>
      </c>
      <c r="AB10" s="55" t="s">
        <v>341</v>
      </c>
      <c r="AE10" s="223" t="s">
        <v>103</v>
      </c>
      <c r="AG10" s="64" t="s">
        <v>297</v>
      </c>
      <c r="AH10" s="64" t="s">
        <v>303</v>
      </c>
      <c r="AL10" s="76"/>
      <c r="AP10" s="65" t="s">
        <v>100</v>
      </c>
      <c r="AR10" s="231" t="s">
        <v>123</v>
      </c>
      <c r="AV10" s="65" t="s">
        <v>106</v>
      </c>
      <c r="AX10" s="66">
        <v>138</v>
      </c>
      <c r="AY10" s="67">
        <v>25</v>
      </c>
      <c r="AZ10" s="67">
        <v>138</v>
      </c>
      <c r="BA10" s="68">
        <v>22</v>
      </c>
    </row>
    <row r="11" spans="1:53" x14ac:dyDescent="0.15">
      <c r="A11" s="55" t="s">
        <v>41</v>
      </c>
      <c r="B11" s="237" t="s">
        <v>339</v>
      </c>
      <c r="C11" s="152">
        <v>2018</v>
      </c>
      <c r="D11" s="56" t="s">
        <v>348</v>
      </c>
      <c r="E11" s="237" t="s">
        <v>133</v>
      </c>
      <c r="F11" s="237" t="s">
        <v>298</v>
      </c>
      <c r="G11" s="55" t="s">
        <v>42</v>
      </c>
      <c r="H11" s="55" t="s">
        <v>168</v>
      </c>
      <c r="I11" s="55" t="s">
        <v>155</v>
      </c>
      <c r="J11" s="55" t="s">
        <v>38</v>
      </c>
      <c r="K11" s="55" t="s">
        <v>156</v>
      </c>
      <c r="L11" s="237">
        <v>1</v>
      </c>
      <c r="M11" s="55"/>
      <c r="N11" s="55">
        <v>8</v>
      </c>
      <c r="O11" s="55">
        <v>0.45</v>
      </c>
      <c r="P11" s="55">
        <v>0.5</v>
      </c>
      <c r="Q11" s="57">
        <f t="shared" si="0"/>
        <v>0.47499999999999998</v>
      </c>
      <c r="R11" s="237">
        <v>13.4</v>
      </c>
      <c r="S11" s="237">
        <v>141</v>
      </c>
      <c r="T11" s="77">
        <f t="shared" si="1"/>
        <v>22</v>
      </c>
      <c r="U11" s="55">
        <v>1058</v>
      </c>
      <c r="V11" s="78">
        <f t="shared" si="2"/>
        <v>2909.5</v>
      </c>
      <c r="W11" s="55">
        <v>2</v>
      </c>
      <c r="X11" s="55" t="s">
        <v>46</v>
      </c>
      <c r="Y11" s="55" t="s">
        <v>55</v>
      </c>
      <c r="Z11" s="55" t="s">
        <v>86</v>
      </c>
      <c r="AA11" s="55" t="s">
        <v>64</v>
      </c>
      <c r="AB11" s="55" t="s">
        <v>341</v>
      </c>
      <c r="AE11" s="223" t="s">
        <v>65</v>
      </c>
      <c r="AG11" s="64" t="s">
        <v>175</v>
      </c>
      <c r="AH11" s="64" t="s">
        <v>304</v>
      </c>
      <c r="AL11" s="76"/>
      <c r="AP11" s="65" t="s">
        <v>104</v>
      </c>
      <c r="AR11" s="231" t="s">
        <v>87</v>
      </c>
      <c r="AV11" s="65" t="s">
        <v>69</v>
      </c>
      <c r="AX11" s="66">
        <v>151</v>
      </c>
      <c r="AY11" s="67">
        <v>22</v>
      </c>
      <c r="AZ11" s="67">
        <v>152</v>
      </c>
      <c r="BA11" s="68">
        <v>18</v>
      </c>
    </row>
    <row r="12" spans="1:53" x14ac:dyDescent="0.15">
      <c r="A12" s="55" t="s">
        <v>41</v>
      </c>
      <c r="B12" s="237" t="s">
        <v>339</v>
      </c>
      <c r="C12" s="152">
        <v>2018</v>
      </c>
      <c r="D12" s="56" t="s">
        <v>348</v>
      </c>
      <c r="E12" s="237" t="s">
        <v>133</v>
      </c>
      <c r="F12" s="237" t="s">
        <v>298</v>
      </c>
      <c r="G12" s="55" t="s">
        <v>42</v>
      </c>
      <c r="H12" s="55" t="s">
        <v>168</v>
      </c>
      <c r="I12" s="55" t="s">
        <v>155</v>
      </c>
      <c r="J12" s="55" t="s">
        <v>38</v>
      </c>
      <c r="K12" s="55" t="s">
        <v>156</v>
      </c>
      <c r="L12" s="237">
        <v>2</v>
      </c>
      <c r="N12" s="55">
        <v>8</v>
      </c>
      <c r="O12" s="55">
        <v>0.8</v>
      </c>
      <c r="P12" s="55">
        <v>0.65</v>
      </c>
      <c r="Q12" s="57">
        <f t="shared" si="0"/>
        <v>0.72500000000000009</v>
      </c>
      <c r="R12" s="237">
        <v>14.2</v>
      </c>
      <c r="S12" s="237">
        <v>139</v>
      </c>
      <c r="T12" s="77">
        <f t="shared" si="1"/>
        <v>22</v>
      </c>
      <c r="U12" s="55">
        <v>1058</v>
      </c>
      <c r="V12" s="58">
        <f t="shared" si="2"/>
        <v>2909.5</v>
      </c>
      <c r="W12" s="237">
        <v>2</v>
      </c>
      <c r="X12" s="55" t="s">
        <v>46</v>
      </c>
      <c r="Y12" s="55" t="s">
        <v>55</v>
      </c>
      <c r="Z12" s="55" t="s">
        <v>86</v>
      </c>
      <c r="AA12" s="55" t="s">
        <v>64</v>
      </c>
      <c r="AB12" s="55" t="s">
        <v>341</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339</v>
      </c>
      <c r="C13" s="152">
        <v>2018</v>
      </c>
      <c r="D13" s="56" t="s">
        <v>348</v>
      </c>
      <c r="E13" s="237" t="s">
        <v>133</v>
      </c>
      <c r="F13" s="237" t="s">
        <v>298</v>
      </c>
      <c r="G13" s="55" t="s">
        <v>42</v>
      </c>
      <c r="H13" s="55" t="s">
        <v>168</v>
      </c>
      <c r="I13" s="55" t="s">
        <v>155</v>
      </c>
      <c r="J13" s="55" t="s">
        <v>38</v>
      </c>
      <c r="K13" s="55" t="s">
        <v>156</v>
      </c>
      <c r="L13" s="237">
        <v>3</v>
      </c>
      <c r="N13" s="55">
        <v>8</v>
      </c>
      <c r="O13" s="55">
        <v>0.75</v>
      </c>
      <c r="P13" s="55">
        <v>0.5</v>
      </c>
      <c r="Q13" s="57">
        <f t="shared" si="0"/>
        <v>0.625</v>
      </c>
      <c r="R13" s="237">
        <v>14.4</v>
      </c>
      <c r="S13" s="237">
        <v>145</v>
      </c>
      <c r="T13" s="77">
        <f t="shared" si="1"/>
        <v>22</v>
      </c>
      <c r="U13" s="55">
        <v>1058</v>
      </c>
      <c r="V13" s="58">
        <f t="shared" si="2"/>
        <v>2909.5</v>
      </c>
      <c r="W13" s="237">
        <v>2</v>
      </c>
      <c r="X13" s="55" t="s">
        <v>46</v>
      </c>
      <c r="Y13" s="55" t="s">
        <v>55</v>
      </c>
      <c r="Z13" s="55" t="s">
        <v>86</v>
      </c>
      <c r="AA13" s="55" t="s">
        <v>64</v>
      </c>
      <c r="AB13" s="55" t="s">
        <v>341</v>
      </c>
      <c r="AE13" s="223" t="s">
        <v>73</v>
      </c>
      <c r="AG13" s="231"/>
      <c r="AH13" s="231"/>
      <c r="AP13" s="65" t="s">
        <v>71</v>
      </c>
      <c r="AR13" s="231" t="s">
        <v>103</v>
      </c>
      <c r="AV13" s="65" t="s">
        <v>75</v>
      </c>
    </row>
    <row r="14" spans="1:53" x14ac:dyDescent="0.15">
      <c r="A14" s="55" t="s">
        <v>41</v>
      </c>
      <c r="B14" s="237" t="s">
        <v>339</v>
      </c>
      <c r="C14" s="152">
        <v>2018</v>
      </c>
      <c r="D14" s="56" t="s">
        <v>348</v>
      </c>
      <c r="E14" s="237" t="s">
        <v>133</v>
      </c>
      <c r="F14" s="237" t="s">
        <v>298</v>
      </c>
      <c r="G14" s="55" t="s">
        <v>42</v>
      </c>
      <c r="H14" s="55" t="s">
        <v>157</v>
      </c>
      <c r="I14" s="55" t="s">
        <v>158</v>
      </c>
      <c r="J14" s="55" t="s">
        <v>38</v>
      </c>
      <c r="K14" s="55" t="s">
        <v>156</v>
      </c>
      <c r="L14" s="237">
        <v>1</v>
      </c>
      <c r="M14" s="55"/>
      <c r="N14" s="55">
        <v>3</v>
      </c>
      <c r="O14" s="55">
        <v>0.25</v>
      </c>
      <c r="P14" s="55">
        <v>0.3</v>
      </c>
      <c r="Q14" s="57">
        <f t="shared" si="0"/>
        <v>0.27500000000000002</v>
      </c>
      <c r="R14" s="55">
        <v>16.8</v>
      </c>
      <c r="S14" s="237">
        <v>129</v>
      </c>
      <c r="T14" s="77">
        <f t="shared" si="1"/>
        <v>25</v>
      </c>
      <c r="U14" s="55">
        <v>429</v>
      </c>
      <c r="V14" s="78">
        <f t="shared" si="2"/>
        <v>3575</v>
      </c>
      <c r="W14" s="55">
        <v>1</v>
      </c>
      <c r="X14" s="55" t="s">
        <v>46</v>
      </c>
      <c r="Y14" s="55" t="s">
        <v>55</v>
      </c>
      <c r="Z14" s="55" t="s">
        <v>86</v>
      </c>
      <c r="AA14" s="55" t="s">
        <v>64</v>
      </c>
      <c r="AB14" s="55" t="s">
        <v>341</v>
      </c>
      <c r="AE14" s="223" t="s">
        <v>76</v>
      </c>
      <c r="AG14" s="231"/>
      <c r="AH14" s="231"/>
      <c r="AP14" s="65" t="s">
        <v>74</v>
      </c>
      <c r="AR14" s="231" t="s">
        <v>125</v>
      </c>
      <c r="AV14" s="65" t="s">
        <v>78</v>
      </c>
    </row>
    <row r="15" spans="1:53" x14ac:dyDescent="0.15">
      <c r="A15" s="55" t="s">
        <v>41</v>
      </c>
      <c r="B15" s="237" t="s">
        <v>339</v>
      </c>
      <c r="C15" s="152">
        <v>2018</v>
      </c>
      <c r="D15" s="56" t="s">
        <v>348</v>
      </c>
      <c r="E15" s="237" t="s">
        <v>133</v>
      </c>
      <c r="F15" s="237" t="s">
        <v>298</v>
      </c>
      <c r="G15" s="55" t="s">
        <v>42</v>
      </c>
      <c r="H15" s="55" t="s">
        <v>157</v>
      </c>
      <c r="I15" s="55" t="s">
        <v>158</v>
      </c>
      <c r="J15" s="55" t="s">
        <v>38</v>
      </c>
      <c r="K15" s="55" t="s">
        <v>156</v>
      </c>
      <c r="L15" s="237">
        <v>2</v>
      </c>
      <c r="N15" s="55">
        <v>3</v>
      </c>
      <c r="O15" s="55">
        <v>0.3</v>
      </c>
      <c r="P15" s="55">
        <v>0.25</v>
      </c>
      <c r="Q15" s="57">
        <f t="shared" si="0"/>
        <v>0.27500000000000002</v>
      </c>
      <c r="R15" s="55">
        <v>17</v>
      </c>
      <c r="S15" s="237">
        <v>131</v>
      </c>
      <c r="T15" s="77">
        <f t="shared" si="1"/>
        <v>25</v>
      </c>
      <c r="U15" s="55">
        <v>429</v>
      </c>
      <c r="V15" s="58">
        <f t="shared" si="2"/>
        <v>3575</v>
      </c>
      <c r="W15" s="237">
        <v>1</v>
      </c>
      <c r="X15" s="55" t="s">
        <v>46</v>
      </c>
      <c r="Y15" s="55" t="s">
        <v>55</v>
      </c>
      <c r="Z15" s="55" t="s">
        <v>86</v>
      </c>
      <c r="AA15" s="55" t="s">
        <v>64</v>
      </c>
      <c r="AB15" s="55" t="s">
        <v>341</v>
      </c>
      <c r="AE15" s="223" t="s">
        <v>79</v>
      </c>
      <c r="AG15" s="231"/>
      <c r="AH15" s="231"/>
      <c r="AP15" s="65" t="s">
        <v>77</v>
      </c>
      <c r="AR15" s="231" t="s">
        <v>94</v>
      </c>
      <c r="AV15" s="65" t="s">
        <v>107</v>
      </c>
    </row>
    <row r="16" spans="1:53" x14ac:dyDescent="0.15">
      <c r="A16" s="55" t="s">
        <v>41</v>
      </c>
      <c r="B16" s="237" t="s">
        <v>339</v>
      </c>
      <c r="C16" s="152">
        <v>2018</v>
      </c>
      <c r="D16" s="56" t="s">
        <v>348</v>
      </c>
      <c r="E16" s="237" t="s">
        <v>133</v>
      </c>
      <c r="F16" s="237" t="s">
        <v>298</v>
      </c>
      <c r="G16" s="55" t="s">
        <v>42</v>
      </c>
      <c r="H16" s="55" t="s">
        <v>157</v>
      </c>
      <c r="I16" s="55" t="s">
        <v>158</v>
      </c>
      <c r="J16" s="55" t="s">
        <v>38</v>
      </c>
      <c r="K16" s="55" t="s">
        <v>156</v>
      </c>
      <c r="L16" s="237">
        <v>3</v>
      </c>
      <c r="N16" s="55">
        <v>3</v>
      </c>
      <c r="O16" s="237">
        <v>0.25</v>
      </c>
      <c r="P16" s="237">
        <v>0.15</v>
      </c>
      <c r="Q16" s="57">
        <f t="shared" si="0"/>
        <v>0.2</v>
      </c>
      <c r="R16" s="55">
        <v>14.5</v>
      </c>
      <c r="S16" s="237">
        <v>133</v>
      </c>
      <c r="T16" s="77">
        <f t="shared" si="1"/>
        <v>25</v>
      </c>
      <c r="U16" s="55">
        <v>429</v>
      </c>
      <c r="V16" s="58">
        <f t="shared" si="2"/>
        <v>3575</v>
      </c>
      <c r="W16" s="237">
        <v>1</v>
      </c>
      <c r="X16" s="55" t="s">
        <v>46</v>
      </c>
      <c r="Y16" s="55" t="s">
        <v>55</v>
      </c>
      <c r="Z16" s="55" t="s">
        <v>86</v>
      </c>
      <c r="AA16" s="55" t="s">
        <v>64</v>
      </c>
      <c r="AB16" s="55" t="s">
        <v>341</v>
      </c>
      <c r="AE16" s="223" t="s">
        <v>82</v>
      </c>
      <c r="AG16" s="71"/>
      <c r="AH16" s="71"/>
      <c r="AP16" s="65" t="s">
        <v>80</v>
      </c>
      <c r="AR16" s="231" t="s">
        <v>63</v>
      </c>
      <c r="AV16" s="65" t="s">
        <v>84</v>
      </c>
    </row>
    <row r="17" spans="1:48" x14ac:dyDescent="0.15">
      <c r="A17" s="55" t="s">
        <v>41</v>
      </c>
      <c r="B17" s="237" t="s">
        <v>339</v>
      </c>
      <c r="C17" s="152">
        <v>2018</v>
      </c>
      <c r="D17" s="56" t="s">
        <v>348</v>
      </c>
      <c r="E17" s="237" t="s">
        <v>293</v>
      </c>
      <c r="F17" s="55" t="s">
        <v>298</v>
      </c>
      <c r="G17" s="55" t="s">
        <v>42</v>
      </c>
      <c r="H17" s="55" t="s">
        <v>168</v>
      </c>
      <c r="I17" s="55" t="s">
        <v>158</v>
      </c>
      <c r="J17" s="55" t="s">
        <v>38</v>
      </c>
      <c r="K17" s="55" t="s">
        <v>156</v>
      </c>
      <c r="L17" s="237">
        <v>1</v>
      </c>
      <c r="M17" s="55"/>
      <c r="N17" s="55">
        <v>3</v>
      </c>
      <c r="O17" s="55">
        <v>0.2</v>
      </c>
      <c r="P17" s="55">
        <v>0.15</v>
      </c>
      <c r="Q17" s="57">
        <f t="shared" si="0"/>
        <v>0.17499999999999999</v>
      </c>
      <c r="R17" s="237">
        <v>17.100000000000001</v>
      </c>
      <c r="S17" s="237">
        <v>119</v>
      </c>
      <c r="T17" s="77">
        <f t="shared" si="1"/>
        <v>30</v>
      </c>
      <c r="U17" s="55">
        <v>537</v>
      </c>
      <c r="V17" s="78">
        <f t="shared" si="2"/>
        <v>5370</v>
      </c>
      <c r="W17" s="55">
        <v>1</v>
      </c>
      <c r="X17" s="55" t="s">
        <v>46</v>
      </c>
      <c r="Y17" s="55" t="s">
        <v>55</v>
      </c>
      <c r="Z17" s="55" t="s">
        <v>64</v>
      </c>
      <c r="AA17" s="55" t="s">
        <v>97</v>
      </c>
      <c r="AB17" s="55" t="s">
        <v>341</v>
      </c>
      <c r="AE17" s="223" t="s">
        <v>85</v>
      </c>
      <c r="AP17" s="239" t="s">
        <v>110</v>
      </c>
      <c r="AR17" s="231" t="s">
        <v>96</v>
      </c>
      <c r="AV17" s="65" t="s">
        <v>86</v>
      </c>
    </row>
    <row r="18" spans="1:48" x14ac:dyDescent="0.15">
      <c r="A18" s="55" t="s">
        <v>41</v>
      </c>
      <c r="B18" s="237" t="s">
        <v>339</v>
      </c>
      <c r="C18" s="152">
        <v>2018</v>
      </c>
      <c r="D18" s="56" t="s">
        <v>348</v>
      </c>
      <c r="E18" s="237" t="s">
        <v>293</v>
      </c>
      <c r="F18" s="55" t="s">
        <v>298</v>
      </c>
      <c r="G18" s="55" t="s">
        <v>42</v>
      </c>
      <c r="H18" s="55" t="s">
        <v>168</v>
      </c>
      <c r="I18" s="55" t="s">
        <v>158</v>
      </c>
      <c r="J18" s="55" t="s">
        <v>38</v>
      </c>
      <c r="K18" s="55" t="s">
        <v>156</v>
      </c>
      <c r="L18" s="237">
        <v>2</v>
      </c>
      <c r="N18" s="55">
        <v>3</v>
      </c>
      <c r="O18" s="55">
        <v>0.45</v>
      </c>
      <c r="P18" s="55">
        <v>0.65</v>
      </c>
      <c r="Q18" s="57">
        <f t="shared" si="0"/>
        <v>0.55000000000000004</v>
      </c>
      <c r="R18" s="237">
        <v>16.2</v>
      </c>
      <c r="S18" s="237">
        <v>124</v>
      </c>
      <c r="T18" s="77">
        <f t="shared" si="1"/>
        <v>27</v>
      </c>
      <c r="U18" s="55">
        <v>537</v>
      </c>
      <c r="V18" s="78">
        <f t="shared" si="2"/>
        <v>4833</v>
      </c>
      <c r="W18" s="55">
        <v>1</v>
      </c>
      <c r="X18" s="55" t="s">
        <v>46</v>
      </c>
      <c r="Y18" s="55" t="s">
        <v>55</v>
      </c>
      <c r="Z18" s="55" t="s">
        <v>64</v>
      </c>
      <c r="AA18" s="55" t="s">
        <v>97</v>
      </c>
      <c r="AB18" s="55" t="s">
        <v>341</v>
      </c>
      <c r="AE18" s="223" t="s">
        <v>87</v>
      </c>
      <c r="AP18" s="239" t="s">
        <v>111</v>
      </c>
      <c r="AR18" s="231" t="s">
        <v>101</v>
      </c>
      <c r="AV18" s="65" t="s">
        <v>88</v>
      </c>
    </row>
    <row r="19" spans="1:48" x14ac:dyDescent="0.15">
      <c r="A19" s="55" t="s">
        <v>41</v>
      </c>
      <c r="B19" s="237" t="s">
        <v>339</v>
      </c>
      <c r="C19" s="152">
        <v>2018</v>
      </c>
      <c r="D19" s="56" t="s">
        <v>348</v>
      </c>
      <c r="E19" s="237" t="s">
        <v>293</v>
      </c>
      <c r="F19" s="55" t="s">
        <v>298</v>
      </c>
      <c r="G19" s="55" t="s">
        <v>42</v>
      </c>
      <c r="H19" s="55" t="s">
        <v>168</v>
      </c>
      <c r="I19" s="55" t="s">
        <v>158</v>
      </c>
      <c r="J19" s="55" t="s">
        <v>38</v>
      </c>
      <c r="K19" s="55" t="s">
        <v>156</v>
      </c>
      <c r="L19" s="237">
        <v>3</v>
      </c>
      <c r="N19" s="55">
        <v>3</v>
      </c>
      <c r="O19" s="55">
        <v>0.5</v>
      </c>
      <c r="P19" s="55">
        <v>0.7</v>
      </c>
      <c r="Q19" s="82">
        <f t="shared" si="0"/>
        <v>0.6</v>
      </c>
      <c r="R19" s="237">
        <v>13.8</v>
      </c>
      <c r="S19" s="237">
        <v>120</v>
      </c>
      <c r="T19" s="77">
        <f t="shared" si="1"/>
        <v>30</v>
      </c>
      <c r="U19" s="55">
        <v>537</v>
      </c>
      <c r="V19" s="78">
        <f t="shared" si="2"/>
        <v>5370</v>
      </c>
      <c r="W19" s="237">
        <v>1</v>
      </c>
      <c r="X19" s="55" t="s">
        <v>46</v>
      </c>
      <c r="Y19" s="55" t="s">
        <v>55</v>
      </c>
      <c r="Z19" s="55" t="s">
        <v>64</v>
      </c>
      <c r="AA19" s="55" t="s">
        <v>97</v>
      </c>
      <c r="AB19" s="55" t="s">
        <v>341</v>
      </c>
      <c r="AE19" s="236" t="s">
        <v>89</v>
      </c>
      <c r="AP19" s="239" t="s">
        <v>112</v>
      </c>
      <c r="AR19" s="231" t="s">
        <v>126</v>
      </c>
      <c r="AV19" s="65" t="s">
        <v>90</v>
      </c>
    </row>
    <row r="20" spans="1:48" x14ac:dyDescent="0.15">
      <c r="A20" s="55" t="s">
        <v>41</v>
      </c>
      <c r="B20" s="237" t="s">
        <v>339</v>
      </c>
      <c r="C20" s="152">
        <v>2018</v>
      </c>
      <c r="D20" s="56" t="s">
        <v>348</v>
      </c>
      <c r="E20" s="237" t="s">
        <v>293</v>
      </c>
      <c r="F20" s="55" t="s">
        <v>298</v>
      </c>
      <c r="G20" s="55" t="s">
        <v>42</v>
      </c>
      <c r="H20" s="55" t="s">
        <v>168</v>
      </c>
      <c r="I20" s="55" t="s">
        <v>155</v>
      </c>
      <c r="J20" s="55" t="s">
        <v>38</v>
      </c>
      <c r="K20" s="55" t="s">
        <v>156</v>
      </c>
      <c r="L20" s="237">
        <v>1</v>
      </c>
      <c r="M20" s="55"/>
      <c r="N20" s="55">
        <v>1</v>
      </c>
      <c r="O20" s="55">
        <v>0.5</v>
      </c>
      <c r="P20" s="55">
        <v>0.45</v>
      </c>
      <c r="Q20" s="82">
        <f t="shared" si="0"/>
        <v>0.47499999999999998</v>
      </c>
      <c r="R20" s="55">
        <v>15.4</v>
      </c>
      <c r="S20" s="55">
        <v>138</v>
      </c>
      <c r="T20" s="77">
        <f t="shared" si="1"/>
        <v>22</v>
      </c>
      <c r="U20" s="55">
        <v>105</v>
      </c>
      <c r="V20" s="78">
        <f t="shared" si="2"/>
        <v>2310</v>
      </c>
      <c r="W20" s="55">
        <v>3</v>
      </c>
      <c r="X20" s="55" t="s">
        <v>46</v>
      </c>
      <c r="Y20" s="55" t="s">
        <v>55</v>
      </c>
      <c r="Z20" s="55" t="s">
        <v>64</v>
      </c>
      <c r="AA20" s="55" t="s">
        <v>97</v>
      </c>
      <c r="AB20" s="55" t="s">
        <v>341</v>
      </c>
      <c r="AE20" s="236"/>
      <c r="AP20" s="239" t="s">
        <v>113</v>
      </c>
      <c r="AR20" s="231" t="s">
        <v>105</v>
      </c>
      <c r="AV20" s="69" t="s">
        <v>359</v>
      </c>
    </row>
    <row r="21" spans="1:48" x14ac:dyDescent="0.15">
      <c r="A21" s="55" t="s">
        <v>41</v>
      </c>
      <c r="B21" s="237" t="s">
        <v>339</v>
      </c>
      <c r="C21" s="152">
        <v>2018</v>
      </c>
      <c r="D21" s="56" t="s">
        <v>348</v>
      </c>
      <c r="E21" s="237" t="s">
        <v>293</v>
      </c>
      <c r="F21" s="55" t="s">
        <v>298</v>
      </c>
      <c r="G21" s="55" t="s">
        <v>42</v>
      </c>
      <c r="H21" s="55" t="s">
        <v>168</v>
      </c>
      <c r="I21" s="55" t="s">
        <v>155</v>
      </c>
      <c r="J21" s="55" t="s">
        <v>38</v>
      </c>
      <c r="K21" s="55" t="s">
        <v>156</v>
      </c>
      <c r="L21" s="237">
        <v>2</v>
      </c>
      <c r="N21" s="55">
        <v>1</v>
      </c>
      <c r="O21" s="55">
        <v>0.5</v>
      </c>
      <c r="P21" s="55">
        <v>0.25</v>
      </c>
      <c r="Q21" s="82">
        <f t="shared" si="0"/>
        <v>0.375</v>
      </c>
      <c r="R21" s="55">
        <v>14.8</v>
      </c>
      <c r="S21" s="55">
        <v>129</v>
      </c>
      <c r="T21" s="77">
        <f t="shared" si="1"/>
        <v>25</v>
      </c>
      <c r="U21" s="55">
        <v>105</v>
      </c>
      <c r="V21" s="58">
        <f t="shared" si="2"/>
        <v>2625</v>
      </c>
      <c r="W21" s="237">
        <v>3</v>
      </c>
      <c r="X21" s="55" t="s">
        <v>46</v>
      </c>
      <c r="Y21" s="55" t="s">
        <v>55</v>
      </c>
      <c r="Z21" s="55" t="s">
        <v>64</v>
      </c>
      <c r="AA21" s="55" t="s">
        <v>97</v>
      </c>
      <c r="AB21" s="55" t="s">
        <v>341</v>
      </c>
      <c r="AE21" s="244"/>
      <c r="AP21" s="239" t="s">
        <v>114</v>
      </c>
      <c r="AR21" s="231" t="s">
        <v>68</v>
      </c>
      <c r="AV21" s="69" t="s">
        <v>360</v>
      </c>
    </row>
    <row r="22" spans="1:48" x14ac:dyDescent="0.15">
      <c r="A22" s="55" t="s">
        <v>41</v>
      </c>
      <c r="B22" s="237" t="s">
        <v>339</v>
      </c>
      <c r="C22" s="152">
        <v>2018</v>
      </c>
      <c r="D22" s="56" t="s">
        <v>348</v>
      </c>
      <c r="E22" s="237" t="s">
        <v>293</v>
      </c>
      <c r="F22" s="55" t="s">
        <v>298</v>
      </c>
      <c r="G22" s="55" t="s">
        <v>42</v>
      </c>
      <c r="H22" s="55" t="s">
        <v>168</v>
      </c>
      <c r="I22" s="55" t="s">
        <v>155</v>
      </c>
      <c r="J22" s="55" t="s">
        <v>38</v>
      </c>
      <c r="K22" s="55" t="s">
        <v>156</v>
      </c>
      <c r="L22" s="237">
        <v>3</v>
      </c>
      <c r="N22" s="55">
        <v>1</v>
      </c>
      <c r="O22" s="55">
        <v>0.2</v>
      </c>
      <c r="P22" s="55">
        <v>0.2</v>
      </c>
      <c r="Q22" s="82">
        <f t="shared" si="0"/>
        <v>0.2</v>
      </c>
      <c r="R22" s="55">
        <v>14.4</v>
      </c>
      <c r="S22" s="55">
        <v>138</v>
      </c>
      <c r="T22" s="77">
        <f t="shared" si="1"/>
        <v>22</v>
      </c>
      <c r="U22" s="55">
        <v>105</v>
      </c>
      <c r="V22" s="58">
        <f t="shared" si="2"/>
        <v>2310</v>
      </c>
      <c r="W22" s="237">
        <v>3</v>
      </c>
      <c r="X22" s="55" t="s">
        <v>46</v>
      </c>
      <c r="Y22" s="55" t="s">
        <v>55</v>
      </c>
      <c r="Z22" s="55" t="s">
        <v>64</v>
      </c>
      <c r="AA22" s="55" t="s">
        <v>97</v>
      </c>
      <c r="AB22" s="55" t="s">
        <v>341</v>
      </c>
      <c r="AP22" s="239" t="s">
        <v>115</v>
      </c>
      <c r="AR22" s="231" t="s">
        <v>83</v>
      </c>
      <c r="AV22" s="69"/>
    </row>
    <row r="23" spans="1:48" x14ac:dyDescent="0.15">
      <c r="A23" s="55" t="s">
        <v>41</v>
      </c>
      <c r="B23" s="237" t="s">
        <v>339</v>
      </c>
      <c r="C23" s="152">
        <v>2018</v>
      </c>
      <c r="D23" s="56" t="s">
        <v>348</v>
      </c>
      <c r="E23" s="237" t="s">
        <v>293</v>
      </c>
      <c r="F23" s="55" t="s">
        <v>298</v>
      </c>
      <c r="G23" s="55" t="s">
        <v>42</v>
      </c>
      <c r="H23" s="55" t="s">
        <v>168</v>
      </c>
      <c r="I23" s="55" t="s">
        <v>155</v>
      </c>
      <c r="J23" s="55" t="s">
        <v>38</v>
      </c>
      <c r="K23" s="55" t="s">
        <v>156</v>
      </c>
      <c r="L23" s="237">
        <v>1</v>
      </c>
      <c r="N23" s="55">
        <v>3</v>
      </c>
      <c r="O23" s="55">
        <v>0.4</v>
      </c>
      <c r="P23" s="55">
        <v>0.55000000000000004</v>
      </c>
      <c r="Q23" s="57">
        <f t="shared" si="0"/>
        <v>0.47500000000000003</v>
      </c>
      <c r="R23" s="237">
        <v>13.7</v>
      </c>
      <c r="S23" s="55">
        <v>129</v>
      </c>
      <c r="T23" s="57">
        <f t="shared" si="1"/>
        <v>25</v>
      </c>
      <c r="U23" s="55">
        <v>429</v>
      </c>
      <c r="V23" s="58">
        <f t="shared" si="2"/>
        <v>3575</v>
      </c>
      <c r="W23" s="237">
        <v>4</v>
      </c>
      <c r="X23" s="55" t="s">
        <v>46</v>
      </c>
      <c r="Y23" s="55" t="s">
        <v>55</v>
      </c>
      <c r="Z23" s="55" t="s">
        <v>64</v>
      </c>
      <c r="AA23" s="55" t="s">
        <v>97</v>
      </c>
      <c r="AB23" s="55" t="s">
        <v>341</v>
      </c>
      <c r="AP23" s="239" t="s">
        <v>117</v>
      </c>
      <c r="AR23" s="244" t="s">
        <v>292</v>
      </c>
      <c r="AV23" s="244"/>
    </row>
    <row r="24" spans="1:48" x14ac:dyDescent="0.15">
      <c r="A24" s="55" t="s">
        <v>41</v>
      </c>
      <c r="B24" s="237" t="s">
        <v>339</v>
      </c>
      <c r="C24" s="152">
        <v>2018</v>
      </c>
      <c r="D24" s="56" t="s">
        <v>348</v>
      </c>
      <c r="E24" s="237" t="s">
        <v>293</v>
      </c>
      <c r="F24" s="55" t="s">
        <v>298</v>
      </c>
      <c r="G24" s="55" t="s">
        <v>42</v>
      </c>
      <c r="H24" s="55" t="s">
        <v>168</v>
      </c>
      <c r="I24" s="55" t="s">
        <v>155</v>
      </c>
      <c r="J24" s="55" t="s">
        <v>38</v>
      </c>
      <c r="K24" s="55" t="s">
        <v>156</v>
      </c>
      <c r="L24" s="237">
        <v>2</v>
      </c>
      <c r="N24" s="55">
        <v>3</v>
      </c>
      <c r="O24" s="55">
        <v>0.25</v>
      </c>
      <c r="P24" s="55">
        <v>0.3</v>
      </c>
      <c r="Q24" s="57">
        <f t="shared" si="0"/>
        <v>0.27500000000000002</v>
      </c>
      <c r="R24" s="237">
        <v>13.9</v>
      </c>
      <c r="S24" s="55">
        <v>145</v>
      </c>
      <c r="T24" s="57">
        <f t="shared" si="1"/>
        <v>22</v>
      </c>
      <c r="U24" s="55">
        <v>429</v>
      </c>
      <c r="V24" s="58">
        <f t="shared" si="2"/>
        <v>3146</v>
      </c>
      <c r="W24" s="237">
        <v>4</v>
      </c>
      <c r="X24" s="55" t="s">
        <v>46</v>
      </c>
      <c r="Y24" s="55" t="s">
        <v>55</v>
      </c>
      <c r="Z24" s="55" t="s">
        <v>64</v>
      </c>
      <c r="AA24" s="55" t="s">
        <v>97</v>
      </c>
      <c r="AB24" s="55" t="s">
        <v>341</v>
      </c>
      <c r="AP24" s="239" t="s">
        <v>118</v>
      </c>
    </row>
    <row r="25" spans="1:48" x14ac:dyDescent="0.15">
      <c r="A25" s="55" t="s">
        <v>41</v>
      </c>
      <c r="B25" s="237" t="s">
        <v>339</v>
      </c>
      <c r="C25" s="152">
        <v>2018</v>
      </c>
      <c r="D25" s="56" t="s">
        <v>348</v>
      </c>
      <c r="E25" s="237" t="s">
        <v>293</v>
      </c>
      <c r="F25" s="55" t="s">
        <v>298</v>
      </c>
      <c r="G25" s="55" t="s">
        <v>42</v>
      </c>
      <c r="H25" s="55" t="s">
        <v>168</v>
      </c>
      <c r="I25" s="55" t="s">
        <v>155</v>
      </c>
      <c r="J25" s="55" t="s">
        <v>38</v>
      </c>
      <c r="K25" s="55" t="s">
        <v>156</v>
      </c>
      <c r="L25" s="237">
        <v>3</v>
      </c>
      <c r="N25" s="55">
        <v>3</v>
      </c>
      <c r="O25" s="55">
        <v>0.35</v>
      </c>
      <c r="P25" s="55">
        <v>0.45</v>
      </c>
      <c r="Q25" s="57">
        <f t="shared" si="0"/>
        <v>0.4</v>
      </c>
      <c r="R25" s="237">
        <v>14.1</v>
      </c>
      <c r="S25" s="55">
        <v>137</v>
      </c>
      <c r="T25" s="57">
        <f t="shared" si="1"/>
        <v>25</v>
      </c>
      <c r="U25" s="55">
        <v>429</v>
      </c>
      <c r="V25" s="58">
        <f t="shared" si="2"/>
        <v>3575</v>
      </c>
      <c r="W25" s="237">
        <v>4</v>
      </c>
      <c r="X25" s="55" t="s">
        <v>46</v>
      </c>
      <c r="Y25" s="55" t="s">
        <v>55</v>
      </c>
      <c r="Z25" s="55" t="s">
        <v>64</v>
      </c>
      <c r="AA25" s="55" t="s">
        <v>97</v>
      </c>
      <c r="AB25" s="55" t="s">
        <v>341</v>
      </c>
    </row>
    <row r="26" spans="1:48" x14ac:dyDescent="0.15">
      <c r="A26" s="55" t="s">
        <v>41</v>
      </c>
      <c r="B26" s="237" t="s">
        <v>339</v>
      </c>
      <c r="C26" s="152">
        <v>2018</v>
      </c>
      <c r="D26" s="56" t="s">
        <v>348</v>
      </c>
      <c r="E26" s="237" t="s">
        <v>293</v>
      </c>
      <c r="F26" s="55" t="s">
        <v>298</v>
      </c>
      <c r="G26" s="55" t="s">
        <v>42</v>
      </c>
      <c r="H26" s="55" t="s">
        <v>168</v>
      </c>
      <c r="I26" s="55" t="s">
        <v>155</v>
      </c>
      <c r="J26" s="55" t="s">
        <v>38</v>
      </c>
      <c r="K26" s="55" t="s">
        <v>156</v>
      </c>
      <c r="L26" s="237">
        <v>1</v>
      </c>
      <c r="M26" s="55"/>
      <c r="N26" s="55">
        <v>6</v>
      </c>
      <c r="O26" s="55">
        <v>0.3</v>
      </c>
      <c r="P26" s="55">
        <v>0.4</v>
      </c>
      <c r="Q26" s="57">
        <f t="shared" si="0"/>
        <v>0.35</v>
      </c>
      <c r="R26" s="237">
        <v>15.8</v>
      </c>
      <c r="S26" s="237">
        <v>130</v>
      </c>
      <c r="T26" s="77">
        <f t="shared" si="1"/>
        <v>25</v>
      </c>
      <c r="U26" s="55">
        <v>734</v>
      </c>
      <c r="V26" s="78">
        <f t="shared" si="2"/>
        <v>3058.333333333333</v>
      </c>
      <c r="W26" s="55">
        <v>3</v>
      </c>
      <c r="X26" s="55" t="s">
        <v>46</v>
      </c>
      <c r="Y26" s="55" t="s">
        <v>55</v>
      </c>
      <c r="Z26" s="55" t="s">
        <v>64</v>
      </c>
      <c r="AA26" s="55" t="s">
        <v>97</v>
      </c>
      <c r="AB26" s="55" t="s">
        <v>341</v>
      </c>
    </row>
    <row r="27" spans="1:48" x14ac:dyDescent="0.15">
      <c r="A27" s="55" t="s">
        <v>41</v>
      </c>
      <c r="B27" s="237" t="s">
        <v>339</v>
      </c>
      <c r="C27" s="152">
        <v>2018</v>
      </c>
      <c r="D27" s="56" t="s">
        <v>348</v>
      </c>
      <c r="E27" s="237" t="s">
        <v>293</v>
      </c>
      <c r="F27" s="55" t="s">
        <v>298</v>
      </c>
      <c r="G27" s="55" t="s">
        <v>42</v>
      </c>
      <c r="H27" s="55" t="s">
        <v>168</v>
      </c>
      <c r="I27" s="55" t="s">
        <v>155</v>
      </c>
      <c r="J27" s="55" t="s">
        <v>38</v>
      </c>
      <c r="K27" s="55" t="s">
        <v>156</v>
      </c>
      <c r="L27" s="237">
        <v>2</v>
      </c>
      <c r="N27" s="55">
        <v>6</v>
      </c>
      <c r="O27" s="237">
        <v>0.5</v>
      </c>
      <c r="P27" s="237">
        <v>0.55000000000000004</v>
      </c>
      <c r="Q27" s="57">
        <f t="shared" si="0"/>
        <v>0.52500000000000002</v>
      </c>
      <c r="R27" s="237">
        <v>16.7</v>
      </c>
      <c r="S27" s="237">
        <v>133</v>
      </c>
      <c r="T27" s="77">
        <f t="shared" si="1"/>
        <v>25</v>
      </c>
      <c r="U27" s="55">
        <v>734</v>
      </c>
      <c r="V27" s="58">
        <f t="shared" si="2"/>
        <v>3058.333333333333</v>
      </c>
      <c r="W27" s="237">
        <v>3</v>
      </c>
      <c r="X27" s="55" t="s">
        <v>46</v>
      </c>
      <c r="Y27" s="55" t="s">
        <v>55</v>
      </c>
      <c r="Z27" s="55" t="s">
        <v>64</v>
      </c>
      <c r="AA27" s="55" t="s">
        <v>97</v>
      </c>
      <c r="AB27" s="55" t="s">
        <v>341</v>
      </c>
    </row>
    <row r="28" spans="1:48" x14ac:dyDescent="0.15">
      <c r="A28" s="55" t="s">
        <v>41</v>
      </c>
      <c r="B28" s="237" t="s">
        <v>339</v>
      </c>
      <c r="C28" s="152">
        <v>2018</v>
      </c>
      <c r="D28" s="56" t="s">
        <v>348</v>
      </c>
      <c r="E28" s="237" t="s">
        <v>293</v>
      </c>
      <c r="F28" s="55" t="s">
        <v>298</v>
      </c>
      <c r="G28" s="55" t="s">
        <v>42</v>
      </c>
      <c r="H28" s="55" t="s">
        <v>168</v>
      </c>
      <c r="I28" s="55" t="s">
        <v>155</v>
      </c>
      <c r="J28" s="55" t="s">
        <v>38</v>
      </c>
      <c r="K28" s="55" t="s">
        <v>156</v>
      </c>
      <c r="L28" s="237">
        <v>3</v>
      </c>
      <c r="N28" s="55">
        <v>6</v>
      </c>
      <c r="O28" s="237">
        <v>0.65</v>
      </c>
      <c r="P28" s="237">
        <v>0.5</v>
      </c>
      <c r="Q28" s="57">
        <f t="shared" si="0"/>
        <v>0.57499999999999996</v>
      </c>
      <c r="R28" s="237">
        <v>14.4</v>
      </c>
      <c r="S28" s="237">
        <v>128</v>
      </c>
      <c r="T28" s="77">
        <f t="shared" si="1"/>
        <v>27</v>
      </c>
      <c r="U28" s="55">
        <v>734</v>
      </c>
      <c r="V28" s="58">
        <f t="shared" si="2"/>
        <v>3303</v>
      </c>
      <c r="W28" s="237">
        <v>3</v>
      </c>
      <c r="X28" s="55" t="s">
        <v>46</v>
      </c>
      <c r="Y28" s="55" t="s">
        <v>55</v>
      </c>
      <c r="Z28" s="55" t="s">
        <v>64</v>
      </c>
      <c r="AA28" s="55" t="s">
        <v>97</v>
      </c>
      <c r="AB28" s="55" t="s">
        <v>341</v>
      </c>
    </row>
    <row r="29" spans="1:48" x14ac:dyDescent="0.15">
      <c r="A29" s="55" t="s">
        <v>41</v>
      </c>
      <c r="B29" s="237" t="s">
        <v>339</v>
      </c>
      <c r="C29" s="152">
        <v>2018</v>
      </c>
      <c r="D29" s="56" t="s">
        <v>348</v>
      </c>
      <c r="E29" s="237" t="s">
        <v>293</v>
      </c>
      <c r="F29" s="55" t="s">
        <v>298</v>
      </c>
      <c r="G29" s="55" t="s">
        <v>42</v>
      </c>
      <c r="H29" s="55" t="s">
        <v>168</v>
      </c>
      <c r="I29" s="55" t="s">
        <v>155</v>
      </c>
      <c r="J29" s="55" t="s">
        <v>38</v>
      </c>
      <c r="K29" s="55" t="s">
        <v>156</v>
      </c>
      <c r="L29" s="237">
        <v>1</v>
      </c>
      <c r="N29" s="55">
        <v>8</v>
      </c>
      <c r="O29" s="55">
        <v>0.4</v>
      </c>
      <c r="P29" s="55">
        <v>0.35</v>
      </c>
      <c r="Q29" s="57">
        <f t="shared" si="0"/>
        <v>0.375</v>
      </c>
      <c r="R29" s="237">
        <v>14.8</v>
      </c>
      <c r="S29" s="237">
        <v>115</v>
      </c>
      <c r="T29" s="57">
        <f t="shared" si="1"/>
        <v>30</v>
      </c>
      <c r="U29" s="55">
        <v>1058</v>
      </c>
      <c r="V29" s="58">
        <f t="shared" si="2"/>
        <v>3967.5</v>
      </c>
      <c r="W29" s="237">
        <v>1</v>
      </c>
      <c r="X29" s="55" t="s">
        <v>46</v>
      </c>
      <c r="Y29" s="55" t="s">
        <v>55</v>
      </c>
      <c r="Z29" s="55" t="s">
        <v>64</v>
      </c>
      <c r="AA29" s="55" t="s">
        <v>97</v>
      </c>
      <c r="AB29" s="55" t="s">
        <v>341</v>
      </c>
    </row>
    <row r="30" spans="1:48" x14ac:dyDescent="0.15">
      <c r="A30" s="55" t="s">
        <v>41</v>
      </c>
      <c r="B30" s="237" t="s">
        <v>339</v>
      </c>
      <c r="C30" s="152">
        <v>2018</v>
      </c>
      <c r="D30" s="56" t="s">
        <v>348</v>
      </c>
      <c r="E30" s="237" t="s">
        <v>293</v>
      </c>
      <c r="F30" s="55" t="s">
        <v>298</v>
      </c>
      <c r="G30" s="55" t="s">
        <v>42</v>
      </c>
      <c r="H30" s="55" t="s">
        <v>168</v>
      </c>
      <c r="I30" s="55" t="s">
        <v>155</v>
      </c>
      <c r="J30" s="55" t="s">
        <v>38</v>
      </c>
      <c r="K30" s="55" t="s">
        <v>156</v>
      </c>
      <c r="L30" s="237">
        <v>2</v>
      </c>
      <c r="N30" s="55">
        <v>8</v>
      </c>
      <c r="O30" s="237">
        <v>0.6</v>
      </c>
      <c r="P30" s="237">
        <v>0.5</v>
      </c>
      <c r="Q30" s="57">
        <f t="shared" si="0"/>
        <v>0.55000000000000004</v>
      </c>
      <c r="R30" s="237">
        <v>16.100000000000001</v>
      </c>
      <c r="S30" s="237">
        <v>124</v>
      </c>
      <c r="T30" s="57">
        <f t="shared" si="1"/>
        <v>27</v>
      </c>
      <c r="U30" s="55">
        <v>1058</v>
      </c>
      <c r="V30" s="58">
        <f t="shared" si="2"/>
        <v>3570.75</v>
      </c>
      <c r="W30" s="237">
        <v>1</v>
      </c>
      <c r="X30" s="55" t="s">
        <v>46</v>
      </c>
      <c r="Y30" s="55" t="s">
        <v>55</v>
      </c>
      <c r="Z30" s="55" t="s">
        <v>64</v>
      </c>
      <c r="AA30" s="55" t="s">
        <v>97</v>
      </c>
      <c r="AB30" s="55" t="s">
        <v>341</v>
      </c>
    </row>
    <row r="31" spans="1:48" x14ac:dyDescent="0.15">
      <c r="A31" s="55" t="s">
        <v>41</v>
      </c>
      <c r="B31" s="237" t="s">
        <v>339</v>
      </c>
      <c r="C31" s="152">
        <v>2018</v>
      </c>
      <c r="D31" s="56" t="s">
        <v>348</v>
      </c>
      <c r="E31" s="237" t="s">
        <v>293</v>
      </c>
      <c r="F31" s="55" t="s">
        <v>298</v>
      </c>
      <c r="G31" s="55" t="s">
        <v>42</v>
      </c>
      <c r="H31" s="55" t="s">
        <v>168</v>
      </c>
      <c r="I31" s="55" t="s">
        <v>155</v>
      </c>
      <c r="J31" s="55" t="s">
        <v>38</v>
      </c>
      <c r="K31" s="55" t="s">
        <v>156</v>
      </c>
      <c r="L31" s="237">
        <v>3</v>
      </c>
      <c r="N31" s="55">
        <v>8</v>
      </c>
      <c r="O31" s="237">
        <v>0.7</v>
      </c>
      <c r="P31" s="237">
        <v>0.75</v>
      </c>
      <c r="Q31" s="57">
        <f t="shared" si="0"/>
        <v>0.72499999999999998</v>
      </c>
      <c r="R31" s="237">
        <v>14.4</v>
      </c>
      <c r="S31" s="55">
        <v>120</v>
      </c>
      <c r="T31" s="57">
        <f t="shared" si="1"/>
        <v>30</v>
      </c>
      <c r="U31" s="55">
        <v>1058</v>
      </c>
      <c r="V31" s="58">
        <f t="shared" si="2"/>
        <v>3967.5</v>
      </c>
      <c r="W31" s="237">
        <v>1</v>
      </c>
      <c r="X31" s="55" t="s">
        <v>46</v>
      </c>
      <c r="Y31" s="55" t="s">
        <v>55</v>
      </c>
      <c r="Z31" s="55" t="s">
        <v>64</v>
      </c>
      <c r="AA31" s="55" t="s">
        <v>97</v>
      </c>
      <c r="AB31" s="55" t="s">
        <v>341</v>
      </c>
    </row>
    <row r="32" spans="1:48" x14ac:dyDescent="0.15">
      <c r="A32" s="55" t="s">
        <v>41</v>
      </c>
      <c r="B32" s="237" t="s">
        <v>339</v>
      </c>
      <c r="C32" s="152">
        <v>2018</v>
      </c>
      <c r="D32" s="56" t="s">
        <v>348</v>
      </c>
      <c r="E32" s="237" t="s">
        <v>293</v>
      </c>
      <c r="F32" s="55" t="s">
        <v>298</v>
      </c>
      <c r="G32" s="55" t="s">
        <v>42</v>
      </c>
      <c r="H32" s="55" t="s">
        <v>157</v>
      </c>
      <c r="I32" s="55" t="s">
        <v>155</v>
      </c>
      <c r="J32" s="55" t="s">
        <v>38</v>
      </c>
      <c r="K32" s="55" t="s">
        <v>156</v>
      </c>
      <c r="L32" s="237">
        <v>1</v>
      </c>
      <c r="M32" s="55"/>
      <c r="N32" s="55">
        <v>3</v>
      </c>
      <c r="O32" s="55">
        <v>0.3</v>
      </c>
      <c r="P32" s="55">
        <v>0.15</v>
      </c>
      <c r="Q32" s="57">
        <f t="shared" si="0"/>
        <v>0.22499999999999998</v>
      </c>
      <c r="R32" s="237">
        <v>13.4</v>
      </c>
      <c r="S32" s="237">
        <v>137</v>
      </c>
      <c r="T32" s="77">
        <f t="shared" si="1"/>
        <v>25</v>
      </c>
      <c r="U32" s="55">
        <v>429</v>
      </c>
      <c r="V32" s="78">
        <f t="shared" si="2"/>
        <v>3575</v>
      </c>
      <c r="W32" s="55">
        <v>3</v>
      </c>
      <c r="X32" s="55" t="s">
        <v>46</v>
      </c>
      <c r="Y32" s="55" t="s">
        <v>55</v>
      </c>
      <c r="Z32" s="55" t="s">
        <v>64</v>
      </c>
      <c r="AA32" s="55" t="s">
        <v>97</v>
      </c>
      <c r="AB32" s="55" t="s">
        <v>341</v>
      </c>
    </row>
    <row r="33" spans="1:49" x14ac:dyDescent="0.15">
      <c r="A33" s="55" t="s">
        <v>41</v>
      </c>
      <c r="B33" s="237" t="s">
        <v>339</v>
      </c>
      <c r="C33" s="152">
        <v>2018</v>
      </c>
      <c r="D33" s="56" t="s">
        <v>348</v>
      </c>
      <c r="E33" s="237" t="s">
        <v>293</v>
      </c>
      <c r="F33" s="55" t="s">
        <v>298</v>
      </c>
      <c r="G33" s="55" t="s">
        <v>42</v>
      </c>
      <c r="H33" s="55" t="s">
        <v>157</v>
      </c>
      <c r="I33" s="55" t="s">
        <v>155</v>
      </c>
      <c r="J33" s="55" t="s">
        <v>38</v>
      </c>
      <c r="K33" s="55" t="s">
        <v>156</v>
      </c>
      <c r="L33" s="237">
        <v>2</v>
      </c>
      <c r="N33" s="55">
        <v>3</v>
      </c>
      <c r="O33" s="55">
        <v>0.5</v>
      </c>
      <c r="P33" s="55">
        <v>0.2</v>
      </c>
      <c r="Q33" s="57">
        <f t="shared" si="0"/>
        <v>0.35</v>
      </c>
      <c r="R33" s="237">
        <v>13.8</v>
      </c>
      <c r="S33" s="237">
        <v>129</v>
      </c>
      <c r="T33" s="77">
        <f t="shared" si="1"/>
        <v>25</v>
      </c>
      <c r="U33" s="55">
        <v>429</v>
      </c>
      <c r="V33" s="78">
        <f t="shared" si="2"/>
        <v>3575</v>
      </c>
      <c r="W33" s="55">
        <v>3</v>
      </c>
      <c r="X33" s="55" t="s">
        <v>46</v>
      </c>
      <c r="Y33" s="55" t="s">
        <v>55</v>
      </c>
      <c r="Z33" s="55" t="s">
        <v>64</v>
      </c>
      <c r="AA33" s="55" t="s">
        <v>97</v>
      </c>
      <c r="AB33" s="55" t="s">
        <v>341</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339</v>
      </c>
      <c r="C34" s="152">
        <v>2018</v>
      </c>
      <c r="D34" s="56" t="s">
        <v>348</v>
      </c>
      <c r="E34" s="237" t="s">
        <v>293</v>
      </c>
      <c r="F34" s="55" t="s">
        <v>298</v>
      </c>
      <c r="G34" s="55" t="s">
        <v>42</v>
      </c>
      <c r="H34" s="55" t="s">
        <v>157</v>
      </c>
      <c r="I34" s="55" t="s">
        <v>155</v>
      </c>
      <c r="J34" s="55" t="s">
        <v>38</v>
      </c>
      <c r="K34" s="55" t="s">
        <v>156</v>
      </c>
      <c r="L34" s="237">
        <v>3</v>
      </c>
      <c r="N34" s="55">
        <v>3</v>
      </c>
      <c r="O34" s="55">
        <v>0.25</v>
      </c>
      <c r="P34" s="55">
        <v>0.2</v>
      </c>
      <c r="Q34" s="57">
        <f t="shared" si="0"/>
        <v>0.22500000000000001</v>
      </c>
      <c r="R34" s="237">
        <v>14.7</v>
      </c>
      <c r="S34" s="237">
        <v>134</v>
      </c>
      <c r="T34" s="77">
        <f t="shared" si="1"/>
        <v>25</v>
      </c>
      <c r="U34" s="55">
        <v>429</v>
      </c>
      <c r="V34" s="78">
        <f t="shared" si="2"/>
        <v>3575</v>
      </c>
      <c r="W34" s="237">
        <v>3</v>
      </c>
      <c r="X34" s="55" t="s">
        <v>46</v>
      </c>
      <c r="Y34" s="55" t="s">
        <v>55</v>
      </c>
      <c r="Z34" s="55" t="s">
        <v>64</v>
      </c>
      <c r="AA34" s="55" t="s">
        <v>97</v>
      </c>
      <c r="AB34" s="55" t="s">
        <v>341</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339</v>
      </c>
      <c r="C35" s="152">
        <v>2018</v>
      </c>
      <c r="D35" s="56" t="s">
        <v>348</v>
      </c>
      <c r="E35" s="237" t="s">
        <v>293</v>
      </c>
      <c r="F35" s="237" t="s">
        <v>298</v>
      </c>
      <c r="G35" s="55" t="s">
        <v>42</v>
      </c>
      <c r="H35" s="55" t="s">
        <v>157</v>
      </c>
      <c r="I35" s="55" t="s">
        <v>155</v>
      </c>
      <c r="J35" s="55" t="s">
        <v>38</v>
      </c>
      <c r="K35" s="55" t="s">
        <v>156</v>
      </c>
      <c r="L35" s="237">
        <v>1</v>
      </c>
      <c r="M35" s="55"/>
      <c r="N35" s="55">
        <v>1</v>
      </c>
      <c r="O35" s="55">
        <v>0.2</v>
      </c>
      <c r="P35" s="55">
        <v>0.3</v>
      </c>
      <c r="Q35" s="57">
        <f t="shared" si="0"/>
        <v>0.25</v>
      </c>
      <c r="R35" s="55">
        <v>12.5</v>
      </c>
      <c r="S35" s="237">
        <v>125</v>
      </c>
      <c r="T35" s="77">
        <f t="shared" si="1"/>
        <v>27</v>
      </c>
      <c r="U35" s="55">
        <v>105</v>
      </c>
      <c r="V35" s="78">
        <f t="shared" si="2"/>
        <v>2835</v>
      </c>
      <c r="W35" s="55">
        <v>3</v>
      </c>
      <c r="X35" s="55" t="s">
        <v>46</v>
      </c>
      <c r="Y35" s="55" t="s">
        <v>55</v>
      </c>
      <c r="Z35" s="55" t="s">
        <v>64</v>
      </c>
      <c r="AA35" s="55" t="s">
        <v>97</v>
      </c>
      <c r="AB35" s="55" t="s">
        <v>341</v>
      </c>
      <c r="AE35" s="253"/>
      <c r="AF35" s="253"/>
      <c r="AG35" s="253"/>
      <c r="AH35" s="253"/>
      <c r="AI35" s="253"/>
      <c r="AJ35" s="253"/>
      <c r="AK35" s="253"/>
      <c r="AL35" s="253"/>
      <c r="AM35" s="253"/>
      <c r="AN35" s="253"/>
      <c r="AO35" s="253"/>
      <c r="AP35" s="253"/>
      <c r="AQ35" s="253"/>
      <c r="AR35" s="253"/>
      <c r="AS35" s="253"/>
      <c r="AT35" s="253"/>
      <c r="AU35" s="253"/>
      <c r="AV35" s="253"/>
      <c r="AW35" s="253"/>
    </row>
    <row r="36" spans="1:49" x14ac:dyDescent="0.15">
      <c r="A36" s="55" t="s">
        <v>41</v>
      </c>
      <c r="B36" s="237" t="s">
        <v>339</v>
      </c>
      <c r="C36" s="152">
        <v>2018</v>
      </c>
      <c r="D36" s="56" t="s">
        <v>348</v>
      </c>
      <c r="E36" s="237" t="s">
        <v>293</v>
      </c>
      <c r="F36" s="237" t="s">
        <v>298</v>
      </c>
      <c r="G36" s="55" t="s">
        <v>42</v>
      </c>
      <c r="H36" s="55" t="s">
        <v>157</v>
      </c>
      <c r="I36" s="55" t="s">
        <v>155</v>
      </c>
      <c r="J36" s="55" t="s">
        <v>38</v>
      </c>
      <c r="K36" s="55" t="s">
        <v>156</v>
      </c>
      <c r="L36" s="237">
        <v>2</v>
      </c>
      <c r="N36" s="55">
        <v>1</v>
      </c>
      <c r="O36" s="55">
        <v>0.3</v>
      </c>
      <c r="P36" s="55">
        <v>0.25</v>
      </c>
      <c r="Q36" s="57">
        <f t="shared" si="0"/>
        <v>0.27500000000000002</v>
      </c>
      <c r="R36" s="55">
        <v>13</v>
      </c>
      <c r="S36" s="237">
        <v>129</v>
      </c>
      <c r="T36" s="77">
        <f t="shared" si="1"/>
        <v>25</v>
      </c>
      <c r="U36" s="55">
        <v>105</v>
      </c>
      <c r="V36" s="58">
        <f t="shared" si="2"/>
        <v>2625</v>
      </c>
      <c r="W36" s="237">
        <v>3</v>
      </c>
      <c r="X36" s="55" t="s">
        <v>46</v>
      </c>
      <c r="Y36" s="55" t="s">
        <v>55</v>
      </c>
      <c r="Z36" s="55" t="s">
        <v>64</v>
      </c>
      <c r="AA36" s="55" t="s">
        <v>97</v>
      </c>
      <c r="AB36" s="55" t="s">
        <v>341</v>
      </c>
      <c r="AE36" s="253"/>
      <c r="AF36" s="253"/>
      <c r="AG36" s="253"/>
      <c r="AH36" s="253"/>
      <c r="AI36" s="253"/>
      <c r="AJ36" s="253"/>
      <c r="AK36" s="253"/>
      <c r="AL36" s="253"/>
      <c r="AM36" s="253"/>
      <c r="AN36" s="253"/>
      <c r="AO36" s="253"/>
      <c r="AP36" s="253"/>
      <c r="AQ36" s="253"/>
      <c r="AR36" s="253"/>
      <c r="AS36" s="253"/>
      <c r="AT36" s="253"/>
      <c r="AU36" s="253"/>
      <c r="AV36" s="253"/>
      <c r="AW36" s="253"/>
    </row>
    <row r="37" spans="1:49" x14ac:dyDescent="0.15">
      <c r="A37" s="55" t="s">
        <v>41</v>
      </c>
      <c r="B37" s="237" t="s">
        <v>339</v>
      </c>
      <c r="C37" s="152">
        <v>2018</v>
      </c>
      <c r="D37" s="56" t="s">
        <v>348</v>
      </c>
      <c r="E37" s="237" t="s">
        <v>293</v>
      </c>
      <c r="F37" s="237" t="s">
        <v>298</v>
      </c>
      <c r="G37" s="55" t="s">
        <v>42</v>
      </c>
      <c r="H37" s="55" t="s">
        <v>157</v>
      </c>
      <c r="I37" s="55" t="s">
        <v>155</v>
      </c>
      <c r="J37" s="55" t="s">
        <v>38</v>
      </c>
      <c r="K37" s="55" t="s">
        <v>156</v>
      </c>
      <c r="L37" s="237">
        <v>3</v>
      </c>
      <c r="N37" s="55">
        <v>1</v>
      </c>
      <c r="O37" s="237">
        <v>0.2</v>
      </c>
      <c r="P37" s="237">
        <v>0.15</v>
      </c>
      <c r="Q37" s="57">
        <f t="shared" si="0"/>
        <v>0.17499999999999999</v>
      </c>
      <c r="R37" s="55">
        <v>14.5</v>
      </c>
      <c r="S37" s="237">
        <v>130</v>
      </c>
      <c r="T37" s="77">
        <f t="shared" si="1"/>
        <v>25</v>
      </c>
      <c r="U37" s="55">
        <v>105</v>
      </c>
      <c r="V37" s="58">
        <f t="shared" si="2"/>
        <v>2625</v>
      </c>
      <c r="W37" s="237">
        <v>3</v>
      </c>
      <c r="X37" s="55" t="s">
        <v>46</v>
      </c>
      <c r="Y37" s="55" t="s">
        <v>55</v>
      </c>
      <c r="Z37" s="55" t="s">
        <v>64</v>
      </c>
      <c r="AA37" s="55" t="s">
        <v>97</v>
      </c>
      <c r="AB37" s="55" t="s">
        <v>341</v>
      </c>
      <c r="AE37" s="253"/>
      <c r="AF37" s="253"/>
      <c r="AG37" s="253"/>
      <c r="AH37" s="253"/>
      <c r="AI37" s="253"/>
      <c r="AJ37" s="253"/>
      <c r="AK37" s="253"/>
      <c r="AL37" s="253"/>
      <c r="AM37" s="253"/>
      <c r="AN37" s="253"/>
      <c r="AO37" s="253"/>
      <c r="AP37" s="253"/>
      <c r="AQ37" s="253"/>
      <c r="AR37" s="253"/>
      <c r="AS37" s="253"/>
      <c r="AT37" s="253"/>
      <c r="AU37" s="253"/>
      <c r="AV37" s="253"/>
      <c r="AW37" s="253"/>
    </row>
    <row r="38" spans="1:49" x14ac:dyDescent="0.15">
      <c r="A38" s="55" t="s">
        <v>41</v>
      </c>
      <c r="B38" s="237" t="s">
        <v>339</v>
      </c>
      <c r="C38" s="152">
        <v>2018</v>
      </c>
      <c r="D38" s="56" t="s">
        <v>348</v>
      </c>
      <c r="E38" s="237" t="s">
        <v>293</v>
      </c>
      <c r="F38" s="55" t="s">
        <v>298</v>
      </c>
      <c r="G38" s="55" t="s">
        <v>42</v>
      </c>
      <c r="H38" s="55" t="s">
        <v>157</v>
      </c>
      <c r="I38" s="55" t="s">
        <v>155</v>
      </c>
      <c r="J38" s="55" t="s">
        <v>38</v>
      </c>
      <c r="K38" s="55" t="s">
        <v>156</v>
      </c>
      <c r="L38" s="237">
        <v>1</v>
      </c>
      <c r="M38" s="55"/>
      <c r="N38" s="55">
        <v>6</v>
      </c>
      <c r="O38" s="55">
        <v>0.25</v>
      </c>
      <c r="P38" s="55">
        <v>0.15</v>
      </c>
      <c r="Q38" s="57">
        <f t="shared" si="0"/>
        <v>0.2</v>
      </c>
      <c r="R38" s="237">
        <v>14.3</v>
      </c>
      <c r="S38" s="237">
        <v>128</v>
      </c>
      <c r="T38" s="77">
        <f t="shared" si="1"/>
        <v>27</v>
      </c>
      <c r="U38" s="55">
        <v>626</v>
      </c>
      <c r="V38" s="78">
        <f t="shared" si="2"/>
        <v>2817</v>
      </c>
      <c r="W38" s="55">
        <v>3</v>
      </c>
      <c r="X38" s="55" t="s">
        <v>46</v>
      </c>
      <c r="Y38" s="55" t="s">
        <v>55</v>
      </c>
      <c r="Z38" s="55" t="s">
        <v>64</v>
      </c>
      <c r="AA38" s="55" t="s">
        <v>97</v>
      </c>
      <c r="AB38" s="55" t="s">
        <v>341</v>
      </c>
      <c r="AE38" s="256"/>
      <c r="AF38" s="253"/>
      <c r="AG38" s="257"/>
      <c r="AH38" s="257"/>
      <c r="AI38" s="253"/>
      <c r="AJ38" s="253"/>
      <c r="AK38" s="253"/>
      <c r="AL38" s="253"/>
      <c r="AM38" s="253"/>
      <c r="AN38" s="253"/>
      <c r="AO38" s="253"/>
      <c r="AP38" s="253"/>
      <c r="AQ38" s="253"/>
      <c r="AR38" s="257"/>
      <c r="AS38" s="253"/>
      <c r="AT38" s="253"/>
      <c r="AU38" s="253"/>
      <c r="AV38" s="253"/>
      <c r="AW38" s="253"/>
    </row>
    <row r="39" spans="1:49" x14ac:dyDescent="0.15">
      <c r="A39" s="55" t="s">
        <v>41</v>
      </c>
      <c r="B39" s="237" t="s">
        <v>339</v>
      </c>
      <c r="C39" s="152">
        <v>2018</v>
      </c>
      <c r="D39" s="56" t="s">
        <v>348</v>
      </c>
      <c r="E39" s="237" t="s">
        <v>293</v>
      </c>
      <c r="F39" s="55" t="s">
        <v>298</v>
      </c>
      <c r="G39" s="55" t="s">
        <v>42</v>
      </c>
      <c r="H39" s="55" t="s">
        <v>157</v>
      </c>
      <c r="I39" s="55" t="s">
        <v>155</v>
      </c>
      <c r="J39" s="55" t="s">
        <v>38</v>
      </c>
      <c r="K39" s="55" t="s">
        <v>156</v>
      </c>
      <c r="L39" s="237">
        <v>2</v>
      </c>
      <c r="N39" s="55">
        <v>6</v>
      </c>
      <c r="O39" s="55">
        <v>0.35</v>
      </c>
      <c r="P39" s="55">
        <v>0.2</v>
      </c>
      <c r="Q39" s="57">
        <f t="shared" si="0"/>
        <v>0.27500000000000002</v>
      </c>
      <c r="R39" s="237">
        <v>13.8</v>
      </c>
      <c r="S39" s="237">
        <v>123</v>
      </c>
      <c r="T39" s="77">
        <f t="shared" si="1"/>
        <v>27</v>
      </c>
      <c r="U39" s="55">
        <v>626</v>
      </c>
      <c r="V39" s="78">
        <f t="shared" si="2"/>
        <v>2817</v>
      </c>
      <c r="W39" s="55">
        <v>3</v>
      </c>
      <c r="X39" s="55" t="s">
        <v>46</v>
      </c>
      <c r="Y39" s="55" t="s">
        <v>55</v>
      </c>
      <c r="Z39" s="55" t="s">
        <v>64</v>
      </c>
      <c r="AA39" s="55" t="s">
        <v>97</v>
      </c>
      <c r="AB39" s="55" t="s">
        <v>341</v>
      </c>
      <c r="AE39" s="256"/>
      <c r="AF39" s="253"/>
      <c r="AG39" s="257"/>
      <c r="AH39" s="257"/>
      <c r="AI39" s="253"/>
      <c r="AJ39" s="253"/>
      <c r="AK39" s="253"/>
      <c r="AL39" s="253"/>
      <c r="AM39" s="253"/>
      <c r="AN39" s="253"/>
      <c r="AO39" s="253"/>
      <c r="AP39" s="253"/>
      <c r="AQ39" s="253"/>
      <c r="AR39" s="257"/>
      <c r="AS39" s="253"/>
      <c r="AT39" s="253"/>
      <c r="AU39" s="253"/>
      <c r="AV39" s="253"/>
      <c r="AW39" s="253"/>
    </row>
    <row r="40" spans="1:49" x14ac:dyDescent="0.15">
      <c r="A40" s="55" t="s">
        <v>41</v>
      </c>
      <c r="B40" s="237" t="s">
        <v>339</v>
      </c>
      <c r="C40" s="152">
        <v>2018</v>
      </c>
      <c r="D40" s="56" t="s">
        <v>348</v>
      </c>
      <c r="E40" s="237" t="s">
        <v>293</v>
      </c>
      <c r="F40" s="55" t="s">
        <v>298</v>
      </c>
      <c r="G40" s="55" t="s">
        <v>42</v>
      </c>
      <c r="H40" s="55" t="s">
        <v>157</v>
      </c>
      <c r="I40" s="55" t="s">
        <v>155</v>
      </c>
      <c r="J40" s="55" t="s">
        <v>38</v>
      </c>
      <c r="K40" s="55" t="s">
        <v>156</v>
      </c>
      <c r="L40" s="237">
        <v>3</v>
      </c>
      <c r="N40" s="55">
        <v>6</v>
      </c>
      <c r="O40" s="55">
        <v>0.4</v>
      </c>
      <c r="P40" s="55">
        <v>0.2</v>
      </c>
      <c r="Q40" s="57">
        <f t="shared" si="0"/>
        <v>0.30000000000000004</v>
      </c>
      <c r="R40" s="237">
        <v>14.7</v>
      </c>
      <c r="S40" s="237">
        <v>124</v>
      </c>
      <c r="T40" s="77">
        <f t="shared" si="1"/>
        <v>27</v>
      </c>
      <c r="U40" s="55">
        <v>626</v>
      </c>
      <c r="V40" s="78">
        <f t="shared" si="2"/>
        <v>2817</v>
      </c>
      <c r="W40" s="237">
        <v>3</v>
      </c>
      <c r="X40" s="55" t="s">
        <v>46</v>
      </c>
      <c r="Y40" s="55" t="s">
        <v>55</v>
      </c>
      <c r="Z40" s="55" t="s">
        <v>64</v>
      </c>
      <c r="AA40" s="55" t="s">
        <v>97</v>
      </c>
      <c r="AB40" s="55" t="s">
        <v>341</v>
      </c>
      <c r="AE40" s="256"/>
      <c r="AF40" s="253"/>
      <c r="AG40" s="257"/>
      <c r="AH40" s="257"/>
      <c r="AI40" s="253"/>
      <c r="AJ40" s="253"/>
      <c r="AK40" s="253"/>
      <c r="AL40" s="253"/>
      <c r="AM40" s="253"/>
      <c r="AN40" s="253"/>
      <c r="AO40" s="253"/>
      <c r="AP40" s="253"/>
      <c r="AQ40" s="253"/>
      <c r="AR40" s="257"/>
      <c r="AS40" s="253"/>
      <c r="AT40" s="253"/>
      <c r="AU40" s="253"/>
      <c r="AV40" s="253"/>
      <c r="AW40" s="253"/>
    </row>
    <row r="41" spans="1:49" x14ac:dyDescent="0.15">
      <c r="A41" s="55" t="s">
        <v>41</v>
      </c>
      <c r="B41" s="237" t="s">
        <v>339</v>
      </c>
      <c r="C41" s="152">
        <v>2018</v>
      </c>
      <c r="D41" s="56" t="s">
        <v>348</v>
      </c>
      <c r="E41" s="237" t="s">
        <v>293</v>
      </c>
      <c r="F41" s="55" t="s">
        <v>298</v>
      </c>
      <c r="G41" s="55" t="s">
        <v>42</v>
      </c>
      <c r="H41" s="55" t="s">
        <v>157</v>
      </c>
      <c r="I41" s="55" t="s">
        <v>155</v>
      </c>
      <c r="J41" s="55" t="s">
        <v>38</v>
      </c>
      <c r="K41" s="55" t="s">
        <v>156</v>
      </c>
      <c r="L41" s="237">
        <v>1</v>
      </c>
      <c r="M41" s="55"/>
      <c r="N41" s="55">
        <v>8</v>
      </c>
      <c r="O41" s="55">
        <v>0.45</v>
      </c>
      <c r="P41" s="55">
        <v>0.6</v>
      </c>
      <c r="Q41" s="258">
        <f t="shared" si="0"/>
        <v>0.52500000000000002</v>
      </c>
      <c r="R41" s="55">
        <v>15.4</v>
      </c>
      <c r="S41" s="55">
        <v>121</v>
      </c>
      <c r="T41" s="77">
        <f t="shared" si="1"/>
        <v>27</v>
      </c>
      <c r="U41" s="55">
        <v>1058</v>
      </c>
      <c r="V41" s="78">
        <f t="shared" si="2"/>
        <v>3570.75</v>
      </c>
      <c r="W41" s="55">
        <v>1</v>
      </c>
      <c r="X41" s="55" t="s">
        <v>46</v>
      </c>
      <c r="Y41" s="55" t="s">
        <v>55</v>
      </c>
      <c r="Z41" s="55" t="s">
        <v>64</v>
      </c>
      <c r="AA41" s="55" t="s">
        <v>97</v>
      </c>
      <c r="AB41" s="55" t="s">
        <v>341</v>
      </c>
      <c r="AE41" s="256"/>
      <c r="AF41" s="253"/>
      <c r="AG41" s="253"/>
      <c r="AH41" s="253"/>
      <c r="AI41" s="253"/>
      <c r="AJ41" s="253"/>
      <c r="AK41" s="253"/>
      <c r="AL41" s="253"/>
      <c r="AM41" s="253"/>
      <c r="AN41" s="253"/>
      <c r="AO41" s="253"/>
      <c r="AP41" s="257"/>
      <c r="AQ41" s="253"/>
      <c r="AR41" s="257"/>
      <c r="AS41" s="253"/>
      <c r="AT41" s="253"/>
      <c r="AU41" s="253"/>
      <c r="AV41" s="253"/>
      <c r="AW41" s="253"/>
    </row>
    <row r="42" spans="1:49" x14ac:dyDescent="0.15">
      <c r="A42" s="55" t="s">
        <v>41</v>
      </c>
      <c r="B42" s="237" t="s">
        <v>339</v>
      </c>
      <c r="C42" s="152">
        <v>2018</v>
      </c>
      <c r="D42" s="56" t="s">
        <v>348</v>
      </c>
      <c r="E42" s="237" t="s">
        <v>293</v>
      </c>
      <c r="F42" s="55" t="s">
        <v>298</v>
      </c>
      <c r="G42" s="55" t="s">
        <v>42</v>
      </c>
      <c r="H42" s="55" t="s">
        <v>157</v>
      </c>
      <c r="I42" s="55" t="s">
        <v>155</v>
      </c>
      <c r="J42" s="55" t="s">
        <v>38</v>
      </c>
      <c r="K42" s="55" t="s">
        <v>156</v>
      </c>
      <c r="L42" s="237">
        <v>2</v>
      </c>
      <c r="N42" s="55">
        <v>8</v>
      </c>
      <c r="O42" s="55">
        <v>0.25</v>
      </c>
      <c r="P42" s="55">
        <v>0.6</v>
      </c>
      <c r="Q42" s="82">
        <f t="shared" si="0"/>
        <v>0.42499999999999999</v>
      </c>
      <c r="R42" s="55">
        <v>14.7</v>
      </c>
      <c r="S42" s="55">
        <v>120</v>
      </c>
      <c r="T42" s="77">
        <f t="shared" si="1"/>
        <v>30</v>
      </c>
      <c r="U42" s="55">
        <v>1058</v>
      </c>
      <c r="V42" s="78">
        <f t="shared" si="2"/>
        <v>3967.5</v>
      </c>
      <c r="W42" s="55">
        <v>1</v>
      </c>
      <c r="X42" s="55" t="s">
        <v>46</v>
      </c>
      <c r="Y42" s="55" t="s">
        <v>55</v>
      </c>
      <c r="Z42" s="55" t="s">
        <v>64</v>
      </c>
      <c r="AA42" s="55" t="s">
        <v>97</v>
      </c>
      <c r="AB42" s="55" t="s">
        <v>341</v>
      </c>
      <c r="AE42" s="256"/>
      <c r="AF42" s="253"/>
      <c r="AG42" s="253"/>
      <c r="AH42" s="253"/>
      <c r="AI42" s="253"/>
      <c r="AJ42" s="253"/>
      <c r="AK42" s="253"/>
      <c r="AL42" s="253"/>
      <c r="AM42" s="253"/>
      <c r="AN42" s="253"/>
      <c r="AO42" s="253"/>
      <c r="AP42" s="257"/>
      <c r="AQ42" s="253"/>
      <c r="AR42" s="257"/>
      <c r="AS42" s="253"/>
      <c r="AT42" s="253"/>
      <c r="AU42" s="253"/>
      <c r="AV42" s="253"/>
      <c r="AW42" s="253"/>
    </row>
    <row r="43" spans="1:49" x14ac:dyDescent="0.15">
      <c r="A43" s="55" t="s">
        <v>41</v>
      </c>
      <c r="B43" s="237" t="s">
        <v>339</v>
      </c>
      <c r="C43" s="152">
        <v>2018</v>
      </c>
      <c r="D43" s="56" t="s">
        <v>348</v>
      </c>
      <c r="E43" s="237" t="s">
        <v>293</v>
      </c>
      <c r="F43" s="55" t="s">
        <v>298</v>
      </c>
      <c r="G43" s="55" t="s">
        <v>42</v>
      </c>
      <c r="H43" s="55" t="s">
        <v>157</v>
      </c>
      <c r="I43" s="55" t="s">
        <v>155</v>
      </c>
      <c r="J43" s="55" t="s">
        <v>38</v>
      </c>
      <c r="K43" s="55" t="s">
        <v>156</v>
      </c>
      <c r="L43" s="237">
        <v>3</v>
      </c>
      <c r="N43" s="55">
        <v>8</v>
      </c>
      <c r="O43" s="55">
        <v>0.25</v>
      </c>
      <c r="P43" s="55">
        <v>0.3</v>
      </c>
      <c r="Q43" s="82">
        <f t="shared" si="0"/>
        <v>0.27500000000000002</v>
      </c>
      <c r="R43" s="55">
        <v>13.2</v>
      </c>
      <c r="S43" s="55">
        <v>127</v>
      </c>
      <c r="T43" s="77">
        <f t="shared" si="1"/>
        <v>27</v>
      </c>
      <c r="U43" s="55">
        <v>1058</v>
      </c>
      <c r="V43" s="78">
        <f t="shared" si="2"/>
        <v>3570.75</v>
      </c>
      <c r="W43" s="237">
        <v>1</v>
      </c>
      <c r="X43" s="55" t="s">
        <v>46</v>
      </c>
      <c r="Y43" s="55" t="s">
        <v>55</v>
      </c>
      <c r="Z43" s="55" t="s">
        <v>64</v>
      </c>
      <c r="AA43" s="55" t="s">
        <v>97</v>
      </c>
      <c r="AB43" s="55" t="s">
        <v>341</v>
      </c>
      <c r="AE43" s="256"/>
      <c r="AF43" s="253"/>
      <c r="AG43" s="253"/>
      <c r="AH43" s="253"/>
      <c r="AI43" s="253"/>
      <c r="AJ43" s="253"/>
      <c r="AK43" s="253"/>
      <c r="AL43" s="253"/>
      <c r="AM43" s="253"/>
      <c r="AN43" s="253"/>
      <c r="AO43" s="253"/>
      <c r="AP43" s="257"/>
      <c r="AQ43" s="253"/>
      <c r="AR43" s="257"/>
      <c r="AS43" s="253"/>
      <c r="AT43" s="253"/>
      <c r="AU43" s="253"/>
      <c r="AV43" s="253"/>
      <c r="AW43" s="253"/>
    </row>
    <row r="44" spans="1:49" x14ac:dyDescent="0.15">
      <c r="A44" s="55" t="s">
        <v>41</v>
      </c>
      <c r="B44" s="237" t="s">
        <v>339</v>
      </c>
      <c r="C44" s="152">
        <v>2018</v>
      </c>
      <c r="D44" s="56" t="s">
        <v>348</v>
      </c>
      <c r="E44" s="237" t="s">
        <v>293</v>
      </c>
      <c r="F44" s="237" t="s">
        <v>299</v>
      </c>
      <c r="G44" s="55" t="s">
        <v>42</v>
      </c>
      <c r="H44" s="55" t="s">
        <v>157</v>
      </c>
      <c r="I44" s="55" t="s">
        <v>155</v>
      </c>
      <c r="J44" s="55" t="s">
        <v>38</v>
      </c>
      <c r="K44" s="55" t="s">
        <v>156</v>
      </c>
      <c r="L44" s="237">
        <v>1</v>
      </c>
      <c r="M44" s="55"/>
      <c r="N44" s="55">
        <v>1</v>
      </c>
      <c r="O44" s="237">
        <v>0.45</v>
      </c>
      <c r="P44" s="237">
        <v>0.5</v>
      </c>
      <c r="Q44" s="57">
        <f t="shared" si="0"/>
        <v>0.47499999999999998</v>
      </c>
      <c r="R44" s="237">
        <v>14.6</v>
      </c>
      <c r="S44" s="55">
        <v>121</v>
      </c>
      <c r="T44" s="77">
        <f t="shared" si="1"/>
        <v>27</v>
      </c>
      <c r="U44" s="55">
        <v>149</v>
      </c>
      <c r="V44" s="78">
        <f t="shared" si="2"/>
        <v>4023</v>
      </c>
      <c r="W44" s="55">
        <v>4</v>
      </c>
      <c r="X44" s="55" t="s">
        <v>46</v>
      </c>
      <c r="Y44" s="55" t="s">
        <v>64</v>
      </c>
      <c r="Z44" s="55" t="s">
        <v>97</v>
      </c>
      <c r="AA44" s="55" t="s">
        <v>86</v>
      </c>
      <c r="AB44" s="55" t="s">
        <v>341</v>
      </c>
      <c r="AE44" s="253"/>
      <c r="AF44" s="253"/>
      <c r="AG44" s="253"/>
      <c r="AH44" s="253"/>
      <c r="AI44" s="253"/>
      <c r="AJ44" s="253"/>
      <c r="AK44" s="253"/>
      <c r="AL44" s="253"/>
      <c r="AM44" s="253"/>
      <c r="AN44" s="253"/>
      <c r="AO44" s="253"/>
      <c r="AP44" s="253"/>
      <c r="AQ44" s="253"/>
      <c r="AR44" s="253"/>
      <c r="AS44" s="253"/>
      <c r="AT44" s="253"/>
      <c r="AU44" s="253"/>
      <c r="AV44" s="253"/>
      <c r="AW44" s="253"/>
    </row>
    <row r="45" spans="1:49" x14ac:dyDescent="0.15">
      <c r="A45" s="55" t="s">
        <v>41</v>
      </c>
      <c r="B45" s="237" t="s">
        <v>339</v>
      </c>
      <c r="C45" s="152">
        <v>2018</v>
      </c>
      <c r="D45" s="56" t="s">
        <v>348</v>
      </c>
      <c r="E45" s="237" t="s">
        <v>293</v>
      </c>
      <c r="F45" s="237" t="s">
        <v>299</v>
      </c>
      <c r="G45" s="55" t="s">
        <v>42</v>
      </c>
      <c r="H45" s="55" t="s">
        <v>157</v>
      </c>
      <c r="I45" s="55" t="s">
        <v>155</v>
      </c>
      <c r="J45" s="55" t="s">
        <v>38</v>
      </c>
      <c r="K45" s="55" t="s">
        <v>156</v>
      </c>
      <c r="L45" s="237">
        <v>2</v>
      </c>
      <c r="N45" s="55">
        <v>1</v>
      </c>
      <c r="O45" s="237">
        <v>0.2</v>
      </c>
      <c r="P45" s="237">
        <v>0.4</v>
      </c>
      <c r="Q45" s="57">
        <f t="shared" si="0"/>
        <v>0.30000000000000004</v>
      </c>
      <c r="R45" s="237">
        <v>14.8</v>
      </c>
      <c r="S45" s="55">
        <v>124</v>
      </c>
      <c r="T45" s="77">
        <f t="shared" si="1"/>
        <v>27</v>
      </c>
      <c r="U45" s="55">
        <v>149</v>
      </c>
      <c r="V45" s="58">
        <f t="shared" si="2"/>
        <v>4023</v>
      </c>
      <c r="W45" s="237">
        <v>4</v>
      </c>
      <c r="X45" s="55" t="s">
        <v>46</v>
      </c>
      <c r="Y45" s="55" t="s">
        <v>64</v>
      </c>
      <c r="Z45" s="55" t="s">
        <v>97</v>
      </c>
      <c r="AA45" s="55" t="s">
        <v>86</v>
      </c>
      <c r="AB45" s="55" t="s">
        <v>341</v>
      </c>
      <c r="AE45" s="253"/>
      <c r="AF45" s="253"/>
      <c r="AG45" s="253"/>
      <c r="AH45" s="253"/>
      <c r="AI45" s="253"/>
      <c r="AJ45" s="253"/>
      <c r="AK45" s="253"/>
      <c r="AL45" s="253"/>
      <c r="AM45" s="253"/>
      <c r="AN45" s="253"/>
      <c r="AO45" s="253"/>
      <c r="AP45" s="253"/>
      <c r="AQ45" s="253"/>
      <c r="AR45" s="253"/>
      <c r="AS45" s="253"/>
      <c r="AT45" s="253"/>
      <c r="AU45" s="253"/>
      <c r="AV45" s="253"/>
      <c r="AW45" s="253"/>
    </row>
    <row r="46" spans="1:49" x14ac:dyDescent="0.15">
      <c r="A46" s="55" t="s">
        <v>41</v>
      </c>
      <c r="B46" s="237" t="s">
        <v>339</v>
      </c>
      <c r="C46" s="152">
        <v>2018</v>
      </c>
      <c r="D46" s="56" t="s">
        <v>348</v>
      </c>
      <c r="E46" s="237" t="s">
        <v>293</v>
      </c>
      <c r="F46" s="237" t="s">
        <v>299</v>
      </c>
      <c r="G46" s="55" t="s">
        <v>42</v>
      </c>
      <c r="H46" s="55" t="s">
        <v>157</v>
      </c>
      <c r="I46" s="55" t="s">
        <v>155</v>
      </c>
      <c r="J46" s="55" t="s">
        <v>38</v>
      </c>
      <c r="K46" s="55" t="s">
        <v>156</v>
      </c>
      <c r="L46" s="237">
        <v>3</v>
      </c>
      <c r="N46" s="55">
        <v>1</v>
      </c>
      <c r="O46" s="237">
        <v>0.5</v>
      </c>
      <c r="P46" s="237">
        <v>0.55000000000000004</v>
      </c>
      <c r="Q46" s="57">
        <f t="shared" si="0"/>
        <v>0.52500000000000002</v>
      </c>
      <c r="R46" s="55">
        <v>14</v>
      </c>
      <c r="S46" s="55">
        <v>120</v>
      </c>
      <c r="T46" s="77">
        <f t="shared" si="1"/>
        <v>30</v>
      </c>
      <c r="U46" s="55">
        <v>149</v>
      </c>
      <c r="V46" s="58">
        <f t="shared" si="2"/>
        <v>4470</v>
      </c>
      <c r="W46" s="237">
        <v>4</v>
      </c>
      <c r="X46" s="55" t="s">
        <v>46</v>
      </c>
      <c r="Y46" s="55" t="s">
        <v>64</v>
      </c>
      <c r="Z46" s="55" t="s">
        <v>97</v>
      </c>
      <c r="AA46" s="55" t="s">
        <v>86</v>
      </c>
      <c r="AB46" s="55" t="s">
        <v>341</v>
      </c>
      <c r="AE46" s="253"/>
      <c r="AF46" s="253"/>
      <c r="AG46" s="253"/>
      <c r="AH46" s="253"/>
      <c r="AI46" s="253"/>
      <c r="AJ46" s="253"/>
      <c r="AK46" s="253"/>
      <c r="AL46" s="253"/>
      <c r="AM46" s="253"/>
      <c r="AN46" s="253"/>
      <c r="AO46" s="253"/>
      <c r="AP46" s="253"/>
      <c r="AQ46" s="253"/>
      <c r="AR46" s="253"/>
      <c r="AS46" s="253"/>
      <c r="AT46" s="253"/>
      <c r="AU46" s="253"/>
      <c r="AV46" s="253"/>
      <c r="AW46" s="253"/>
    </row>
    <row r="47" spans="1:49" x14ac:dyDescent="0.15">
      <c r="A47" s="55" t="s">
        <v>41</v>
      </c>
      <c r="B47" s="237" t="s">
        <v>339</v>
      </c>
      <c r="C47" s="152">
        <v>2018</v>
      </c>
      <c r="D47" s="56" t="s">
        <v>348</v>
      </c>
      <c r="E47" s="237" t="s">
        <v>293</v>
      </c>
      <c r="F47" s="237" t="s">
        <v>299</v>
      </c>
      <c r="G47" s="55" t="s">
        <v>42</v>
      </c>
      <c r="H47" s="55" t="s">
        <v>157</v>
      </c>
      <c r="I47" s="55" t="s">
        <v>155</v>
      </c>
      <c r="J47" s="55" t="s">
        <v>38</v>
      </c>
      <c r="K47" s="55" t="s">
        <v>156</v>
      </c>
      <c r="L47" s="237">
        <v>1</v>
      </c>
      <c r="M47" s="55"/>
      <c r="N47" s="55">
        <v>3</v>
      </c>
      <c r="O47" s="55">
        <v>0.65</v>
      </c>
      <c r="P47" s="55">
        <v>0.5</v>
      </c>
      <c r="Q47" s="82">
        <f t="shared" si="0"/>
        <v>0.57499999999999996</v>
      </c>
      <c r="R47" s="55">
        <v>13.7</v>
      </c>
      <c r="S47" s="55">
        <v>149</v>
      </c>
      <c r="T47" s="77">
        <f t="shared" si="1"/>
        <v>22</v>
      </c>
      <c r="U47" s="55">
        <v>429</v>
      </c>
      <c r="V47" s="78">
        <f t="shared" si="2"/>
        <v>3146</v>
      </c>
      <c r="W47" s="55">
        <v>3</v>
      </c>
      <c r="X47" s="55" t="s">
        <v>46</v>
      </c>
      <c r="Y47" s="55" t="s">
        <v>64</v>
      </c>
      <c r="Z47" s="55" t="s">
        <v>97</v>
      </c>
      <c r="AA47" s="55" t="s">
        <v>86</v>
      </c>
      <c r="AB47" s="55" t="s">
        <v>341</v>
      </c>
      <c r="AE47" s="253"/>
      <c r="AF47" s="253"/>
      <c r="AG47" s="253"/>
      <c r="AH47" s="253"/>
      <c r="AI47" s="253"/>
      <c r="AJ47" s="253"/>
      <c r="AK47" s="253"/>
      <c r="AL47" s="253"/>
      <c r="AM47" s="253"/>
      <c r="AN47" s="253"/>
      <c r="AO47" s="253"/>
      <c r="AP47" s="253"/>
      <c r="AQ47" s="253"/>
      <c r="AR47" s="253"/>
      <c r="AS47" s="253"/>
      <c r="AT47" s="253"/>
      <c r="AU47" s="253"/>
      <c r="AV47" s="253"/>
      <c r="AW47" s="253"/>
    </row>
    <row r="48" spans="1:49" x14ac:dyDescent="0.15">
      <c r="A48" s="55" t="s">
        <v>41</v>
      </c>
      <c r="B48" s="237" t="s">
        <v>339</v>
      </c>
      <c r="C48" s="152">
        <v>2018</v>
      </c>
      <c r="D48" s="56" t="s">
        <v>348</v>
      </c>
      <c r="E48" s="237" t="s">
        <v>293</v>
      </c>
      <c r="F48" s="237" t="s">
        <v>299</v>
      </c>
      <c r="G48" s="55" t="s">
        <v>42</v>
      </c>
      <c r="H48" s="55" t="s">
        <v>157</v>
      </c>
      <c r="I48" s="55" t="s">
        <v>155</v>
      </c>
      <c r="J48" s="55" t="s">
        <v>38</v>
      </c>
      <c r="K48" s="55" t="s">
        <v>156</v>
      </c>
      <c r="L48" s="237">
        <v>2</v>
      </c>
      <c r="N48" s="55">
        <v>3</v>
      </c>
      <c r="O48" s="55">
        <v>0.75</v>
      </c>
      <c r="P48" s="55">
        <v>0.45</v>
      </c>
      <c r="Q48" s="82">
        <f t="shared" si="0"/>
        <v>0.6</v>
      </c>
      <c r="R48" s="55">
        <v>15.7</v>
      </c>
      <c r="S48" s="55">
        <v>159</v>
      </c>
      <c r="T48" s="77">
        <f t="shared" si="1"/>
        <v>22</v>
      </c>
      <c r="U48" s="55">
        <v>429</v>
      </c>
      <c r="V48" s="78">
        <f t="shared" si="2"/>
        <v>3146</v>
      </c>
      <c r="W48" s="55">
        <v>3</v>
      </c>
      <c r="X48" s="55" t="s">
        <v>46</v>
      </c>
      <c r="Y48" s="55" t="s">
        <v>64</v>
      </c>
      <c r="Z48" s="55" t="s">
        <v>97</v>
      </c>
      <c r="AA48" s="55" t="s">
        <v>86</v>
      </c>
      <c r="AB48" s="55" t="s">
        <v>341</v>
      </c>
    </row>
    <row r="49" spans="1:30" x14ac:dyDescent="0.15">
      <c r="A49" s="55" t="s">
        <v>41</v>
      </c>
      <c r="B49" s="237" t="s">
        <v>339</v>
      </c>
      <c r="C49" s="152">
        <v>2018</v>
      </c>
      <c r="D49" s="56" t="s">
        <v>348</v>
      </c>
      <c r="E49" s="237" t="s">
        <v>293</v>
      </c>
      <c r="F49" s="237" t="s">
        <v>299</v>
      </c>
      <c r="G49" s="55" t="s">
        <v>42</v>
      </c>
      <c r="H49" s="55" t="s">
        <v>157</v>
      </c>
      <c r="I49" s="55" t="s">
        <v>155</v>
      </c>
      <c r="J49" s="55" t="s">
        <v>38</v>
      </c>
      <c r="K49" s="55" t="s">
        <v>156</v>
      </c>
      <c r="L49" s="237">
        <v>3</v>
      </c>
      <c r="N49" s="55">
        <v>3</v>
      </c>
      <c r="O49" s="55">
        <v>0.45</v>
      </c>
      <c r="P49" s="259">
        <v>0.65</v>
      </c>
      <c r="Q49" s="258">
        <f t="shared" si="0"/>
        <v>0.55000000000000004</v>
      </c>
      <c r="R49" s="55">
        <v>14.2</v>
      </c>
      <c r="S49" s="55">
        <v>141</v>
      </c>
      <c r="T49" s="77">
        <f t="shared" si="1"/>
        <v>22</v>
      </c>
      <c r="U49" s="55">
        <v>429</v>
      </c>
      <c r="V49" s="78">
        <f t="shared" si="2"/>
        <v>3146</v>
      </c>
      <c r="W49" s="237">
        <v>3</v>
      </c>
      <c r="X49" s="55" t="s">
        <v>46</v>
      </c>
      <c r="Y49" s="55" t="s">
        <v>64</v>
      </c>
      <c r="Z49" s="55" t="s">
        <v>97</v>
      </c>
      <c r="AA49" s="55" t="s">
        <v>86</v>
      </c>
      <c r="AB49" s="55" t="s">
        <v>341</v>
      </c>
    </row>
    <row r="50" spans="1:30" x14ac:dyDescent="0.15">
      <c r="A50" s="55" t="s">
        <v>41</v>
      </c>
      <c r="B50" s="237" t="s">
        <v>339</v>
      </c>
      <c r="C50" s="152">
        <v>2018</v>
      </c>
      <c r="D50" s="56" t="s">
        <v>348</v>
      </c>
      <c r="E50" s="237" t="s">
        <v>293</v>
      </c>
      <c r="F50" s="237" t="s">
        <v>299</v>
      </c>
      <c r="G50" s="55" t="s">
        <v>42</v>
      </c>
      <c r="H50" s="55" t="s">
        <v>168</v>
      </c>
      <c r="I50" s="55" t="s">
        <v>155</v>
      </c>
      <c r="J50" s="55" t="s">
        <v>38</v>
      </c>
      <c r="K50" s="55" t="s">
        <v>156</v>
      </c>
      <c r="L50" s="237">
        <v>1</v>
      </c>
      <c r="M50" s="55"/>
      <c r="N50" s="55">
        <v>1</v>
      </c>
      <c r="O50" s="55">
        <v>0.7</v>
      </c>
      <c r="P50" s="55">
        <v>0.65</v>
      </c>
      <c r="Q50" s="258">
        <f t="shared" si="0"/>
        <v>0.67500000000000004</v>
      </c>
      <c r="R50" s="55">
        <v>12.9</v>
      </c>
      <c r="S50" s="55">
        <v>124</v>
      </c>
      <c r="T50" s="77">
        <f t="shared" si="1"/>
        <v>27</v>
      </c>
      <c r="U50" s="55">
        <v>149</v>
      </c>
      <c r="V50" s="78">
        <f t="shared" si="2"/>
        <v>4023</v>
      </c>
      <c r="W50" s="55">
        <v>1</v>
      </c>
      <c r="X50" s="55" t="s">
        <v>46</v>
      </c>
      <c r="Y50" s="55" t="s">
        <v>64</v>
      </c>
      <c r="Z50" s="55" t="s">
        <v>97</v>
      </c>
      <c r="AA50" s="55" t="s">
        <v>86</v>
      </c>
      <c r="AB50" s="55" t="s">
        <v>341</v>
      </c>
    </row>
    <row r="51" spans="1:30" x14ac:dyDescent="0.15">
      <c r="A51" s="55" t="s">
        <v>41</v>
      </c>
      <c r="B51" s="237" t="s">
        <v>339</v>
      </c>
      <c r="C51" s="152">
        <v>2018</v>
      </c>
      <c r="D51" s="56" t="s">
        <v>348</v>
      </c>
      <c r="E51" s="237" t="s">
        <v>293</v>
      </c>
      <c r="F51" s="237" t="s">
        <v>299</v>
      </c>
      <c r="G51" s="55" t="s">
        <v>42</v>
      </c>
      <c r="H51" s="55" t="s">
        <v>168</v>
      </c>
      <c r="I51" s="55" t="s">
        <v>155</v>
      </c>
      <c r="J51" s="55" t="s">
        <v>38</v>
      </c>
      <c r="K51" s="55" t="s">
        <v>156</v>
      </c>
      <c r="L51" s="237">
        <v>2</v>
      </c>
      <c r="N51" s="55">
        <v>1</v>
      </c>
      <c r="O51" s="55">
        <v>0.65</v>
      </c>
      <c r="P51" s="55">
        <v>0.75</v>
      </c>
      <c r="Q51" s="258">
        <f t="shared" si="0"/>
        <v>0.7</v>
      </c>
      <c r="R51" s="55">
        <v>12.8</v>
      </c>
      <c r="S51" s="55">
        <v>127</v>
      </c>
      <c r="T51" s="77">
        <f t="shared" si="1"/>
        <v>27</v>
      </c>
      <c r="U51" s="55">
        <v>149</v>
      </c>
      <c r="V51" s="58">
        <f t="shared" si="2"/>
        <v>4023</v>
      </c>
      <c r="W51" s="237">
        <v>1</v>
      </c>
      <c r="X51" s="55" t="s">
        <v>46</v>
      </c>
      <c r="Y51" s="55" t="s">
        <v>64</v>
      </c>
      <c r="Z51" s="55" t="s">
        <v>97</v>
      </c>
      <c r="AA51" s="55" t="s">
        <v>86</v>
      </c>
      <c r="AB51" s="55" t="s">
        <v>341</v>
      </c>
    </row>
    <row r="52" spans="1:30" x14ac:dyDescent="0.15">
      <c r="A52" s="55" t="s">
        <v>41</v>
      </c>
      <c r="B52" s="237" t="s">
        <v>339</v>
      </c>
      <c r="C52" s="152">
        <v>2018</v>
      </c>
      <c r="D52" s="56" t="s">
        <v>348</v>
      </c>
      <c r="E52" s="237" t="s">
        <v>293</v>
      </c>
      <c r="F52" s="237" t="s">
        <v>299</v>
      </c>
      <c r="G52" s="55" t="s">
        <v>42</v>
      </c>
      <c r="H52" s="55" t="s">
        <v>168</v>
      </c>
      <c r="I52" s="55" t="s">
        <v>155</v>
      </c>
      <c r="J52" s="55" t="s">
        <v>38</v>
      </c>
      <c r="K52" s="55" t="s">
        <v>156</v>
      </c>
      <c r="L52" s="237">
        <v>3</v>
      </c>
      <c r="N52" s="55">
        <v>1</v>
      </c>
      <c r="O52" s="55">
        <v>1</v>
      </c>
      <c r="P52" s="259">
        <v>0.95</v>
      </c>
      <c r="Q52" s="258">
        <f t="shared" si="0"/>
        <v>0.97499999999999998</v>
      </c>
      <c r="R52" s="55">
        <v>14.1</v>
      </c>
      <c r="S52" s="55">
        <v>120</v>
      </c>
      <c r="T52" s="77">
        <f t="shared" si="1"/>
        <v>30</v>
      </c>
      <c r="U52" s="55">
        <v>149</v>
      </c>
      <c r="V52" s="58">
        <f t="shared" si="2"/>
        <v>4470</v>
      </c>
      <c r="W52" s="237">
        <v>1</v>
      </c>
      <c r="X52" s="55" t="s">
        <v>46</v>
      </c>
      <c r="Y52" s="55" t="s">
        <v>64</v>
      </c>
      <c r="Z52" s="55" t="s">
        <v>97</v>
      </c>
      <c r="AA52" s="55" t="s">
        <v>86</v>
      </c>
      <c r="AB52" s="55" t="s">
        <v>341</v>
      </c>
    </row>
    <row r="53" spans="1:30" x14ac:dyDescent="0.15">
      <c r="A53" s="55" t="s">
        <v>41</v>
      </c>
      <c r="B53" s="237" t="s">
        <v>339</v>
      </c>
      <c r="C53" s="152">
        <v>2018</v>
      </c>
      <c r="D53" s="56" t="s">
        <v>348</v>
      </c>
      <c r="E53" s="237" t="s">
        <v>293</v>
      </c>
      <c r="F53" s="237" t="s">
        <v>299</v>
      </c>
      <c r="G53" s="55" t="s">
        <v>42</v>
      </c>
      <c r="H53" s="55" t="s">
        <v>168</v>
      </c>
      <c r="I53" s="55" t="s">
        <v>155</v>
      </c>
      <c r="J53" s="55" t="s">
        <v>38</v>
      </c>
      <c r="K53" s="55" t="s">
        <v>156</v>
      </c>
      <c r="L53" s="237">
        <v>1</v>
      </c>
      <c r="N53" s="55">
        <v>3</v>
      </c>
      <c r="O53" s="55">
        <v>0.45</v>
      </c>
      <c r="P53" s="55">
        <v>0.6</v>
      </c>
      <c r="Q53" s="258">
        <f t="shared" si="0"/>
        <v>0.52500000000000002</v>
      </c>
      <c r="R53" s="55">
        <v>16.399999999999999</v>
      </c>
      <c r="S53" s="55">
        <v>126</v>
      </c>
      <c r="T53" s="57">
        <f t="shared" si="1"/>
        <v>27</v>
      </c>
      <c r="U53" s="55">
        <v>537</v>
      </c>
      <c r="V53" s="58">
        <f t="shared" si="2"/>
        <v>4833</v>
      </c>
      <c r="W53" s="237">
        <v>3</v>
      </c>
      <c r="X53" s="55" t="s">
        <v>46</v>
      </c>
      <c r="Y53" s="55" t="s">
        <v>64</v>
      </c>
      <c r="Z53" s="55" t="s">
        <v>97</v>
      </c>
      <c r="AA53" s="55" t="s">
        <v>86</v>
      </c>
      <c r="AB53" s="55" t="s">
        <v>341</v>
      </c>
      <c r="AC53" s="55"/>
      <c r="AD53" s="55"/>
    </row>
    <row r="54" spans="1:30" x14ac:dyDescent="0.15">
      <c r="A54" s="55" t="s">
        <v>41</v>
      </c>
      <c r="B54" s="237" t="s">
        <v>339</v>
      </c>
      <c r="C54" s="152">
        <v>2018</v>
      </c>
      <c r="D54" s="56" t="s">
        <v>348</v>
      </c>
      <c r="E54" s="237" t="s">
        <v>293</v>
      </c>
      <c r="F54" s="237" t="s">
        <v>299</v>
      </c>
      <c r="G54" s="55" t="s">
        <v>42</v>
      </c>
      <c r="H54" s="55" t="s">
        <v>168</v>
      </c>
      <c r="I54" s="55" t="s">
        <v>155</v>
      </c>
      <c r="J54" s="55" t="s">
        <v>38</v>
      </c>
      <c r="K54" s="55" t="s">
        <v>156</v>
      </c>
      <c r="L54" s="237">
        <v>2</v>
      </c>
      <c r="N54" s="55">
        <v>3</v>
      </c>
      <c r="O54" s="55">
        <v>0.5</v>
      </c>
      <c r="P54" s="55">
        <v>0.35</v>
      </c>
      <c r="Q54" s="258">
        <f t="shared" si="0"/>
        <v>0.42499999999999999</v>
      </c>
      <c r="R54" s="55">
        <v>14.7</v>
      </c>
      <c r="S54" s="55">
        <v>137</v>
      </c>
      <c r="T54" s="57">
        <f t="shared" si="1"/>
        <v>25</v>
      </c>
      <c r="U54" s="55">
        <v>537</v>
      </c>
      <c r="V54" s="58">
        <f t="shared" si="2"/>
        <v>4475</v>
      </c>
      <c r="W54" s="237">
        <v>3</v>
      </c>
      <c r="X54" s="55" t="s">
        <v>46</v>
      </c>
      <c r="Y54" s="55" t="s">
        <v>64</v>
      </c>
      <c r="Z54" s="55" t="s">
        <v>97</v>
      </c>
      <c r="AA54" s="55" t="s">
        <v>86</v>
      </c>
      <c r="AB54" s="55" t="s">
        <v>341</v>
      </c>
    </row>
    <row r="55" spans="1:30" x14ac:dyDescent="0.15">
      <c r="A55" s="55" t="s">
        <v>41</v>
      </c>
      <c r="B55" s="237" t="s">
        <v>339</v>
      </c>
      <c r="C55" s="152">
        <v>2018</v>
      </c>
      <c r="D55" s="56" t="s">
        <v>348</v>
      </c>
      <c r="E55" s="237" t="s">
        <v>293</v>
      </c>
      <c r="F55" s="237" t="s">
        <v>299</v>
      </c>
      <c r="G55" s="55" t="s">
        <v>42</v>
      </c>
      <c r="H55" s="55" t="s">
        <v>168</v>
      </c>
      <c r="I55" s="55" t="s">
        <v>155</v>
      </c>
      <c r="J55" s="55" t="s">
        <v>38</v>
      </c>
      <c r="K55" s="55" t="s">
        <v>156</v>
      </c>
      <c r="L55" s="237">
        <v>3</v>
      </c>
      <c r="N55" s="55">
        <v>3</v>
      </c>
      <c r="O55" s="55">
        <v>0.35</v>
      </c>
      <c r="P55" s="55">
        <v>0.35</v>
      </c>
      <c r="Q55" s="258">
        <f t="shared" si="0"/>
        <v>0.35</v>
      </c>
      <c r="R55" s="55">
        <v>13.7</v>
      </c>
      <c r="S55" s="55">
        <v>134</v>
      </c>
      <c r="T55" s="57">
        <f t="shared" si="1"/>
        <v>25</v>
      </c>
      <c r="U55" s="55">
        <v>537</v>
      </c>
      <c r="V55" s="58">
        <f t="shared" si="2"/>
        <v>4475</v>
      </c>
      <c r="W55" s="237">
        <v>3</v>
      </c>
      <c r="X55" s="55" t="s">
        <v>46</v>
      </c>
      <c r="Y55" s="55" t="s">
        <v>64</v>
      </c>
      <c r="Z55" s="55" t="s">
        <v>97</v>
      </c>
      <c r="AA55" s="55" t="s">
        <v>86</v>
      </c>
      <c r="AB55" s="55" t="s">
        <v>341</v>
      </c>
    </row>
    <row r="56" spans="1:30" x14ac:dyDescent="0.15">
      <c r="A56" s="55" t="s">
        <v>41</v>
      </c>
      <c r="B56" s="237" t="s">
        <v>339</v>
      </c>
      <c r="C56" s="152">
        <v>2018</v>
      </c>
      <c r="D56" s="56" t="s">
        <v>348</v>
      </c>
      <c r="E56" s="237" t="s">
        <v>294</v>
      </c>
      <c r="F56" s="237" t="s">
        <v>298</v>
      </c>
      <c r="G56" s="55" t="s">
        <v>42</v>
      </c>
      <c r="H56" s="55" t="s">
        <v>168</v>
      </c>
      <c r="I56" s="55" t="s">
        <v>155</v>
      </c>
      <c r="J56" s="55" t="s">
        <v>38</v>
      </c>
      <c r="K56" s="55" t="s">
        <v>156</v>
      </c>
      <c r="L56" s="237">
        <v>1</v>
      </c>
      <c r="N56" s="237">
        <v>3</v>
      </c>
      <c r="O56" s="55">
        <v>0.75</v>
      </c>
      <c r="P56" s="55">
        <v>0.8</v>
      </c>
      <c r="Q56" s="82">
        <f t="shared" si="0"/>
        <v>0.77500000000000002</v>
      </c>
      <c r="R56" s="55">
        <v>16.8</v>
      </c>
      <c r="S56" s="55">
        <v>16.8</v>
      </c>
      <c r="T56" s="57">
        <f t="shared" si="1"/>
        <v>50</v>
      </c>
      <c r="U56" s="237">
        <v>645</v>
      </c>
      <c r="V56" s="58">
        <f t="shared" si="2"/>
        <v>10750</v>
      </c>
      <c r="W56" s="237">
        <v>3</v>
      </c>
      <c r="X56" s="55" t="s">
        <v>46</v>
      </c>
      <c r="Y56" s="55" t="s">
        <v>55</v>
      </c>
      <c r="Z56" s="55" t="s">
        <v>86</v>
      </c>
      <c r="AA56" s="55" t="s">
        <v>97</v>
      </c>
      <c r="AB56" s="55" t="s">
        <v>341</v>
      </c>
      <c r="AC56" s="55"/>
      <c r="AD56" s="55"/>
    </row>
    <row r="57" spans="1:30" x14ac:dyDescent="0.15">
      <c r="A57" s="55" t="s">
        <v>41</v>
      </c>
      <c r="B57" s="237" t="s">
        <v>339</v>
      </c>
      <c r="C57" s="152">
        <v>2018</v>
      </c>
      <c r="D57" s="56" t="s">
        <v>348</v>
      </c>
      <c r="E57" s="237" t="s">
        <v>294</v>
      </c>
      <c r="F57" s="237" t="s">
        <v>298</v>
      </c>
      <c r="G57" s="55" t="s">
        <v>42</v>
      </c>
      <c r="H57" s="55" t="s">
        <v>168</v>
      </c>
      <c r="I57" s="55" t="s">
        <v>155</v>
      </c>
      <c r="J57" s="55" t="s">
        <v>38</v>
      </c>
      <c r="K57" s="55" t="s">
        <v>156</v>
      </c>
      <c r="L57" s="237">
        <v>2</v>
      </c>
      <c r="N57" s="237">
        <v>3</v>
      </c>
      <c r="O57" s="55">
        <v>0.85</v>
      </c>
      <c r="P57" s="55">
        <v>0.75</v>
      </c>
      <c r="Q57" s="82">
        <f t="shared" si="0"/>
        <v>0.8</v>
      </c>
      <c r="R57" s="55">
        <v>14.9</v>
      </c>
      <c r="S57" s="55">
        <v>170</v>
      </c>
      <c r="T57" s="57">
        <f t="shared" si="1"/>
        <v>22</v>
      </c>
      <c r="U57" s="237">
        <v>645</v>
      </c>
      <c r="V57" s="58">
        <f t="shared" si="2"/>
        <v>4730</v>
      </c>
      <c r="W57" s="237">
        <v>3</v>
      </c>
      <c r="X57" s="55" t="s">
        <v>46</v>
      </c>
      <c r="Y57" s="55" t="s">
        <v>55</v>
      </c>
      <c r="Z57" s="55" t="s">
        <v>86</v>
      </c>
      <c r="AA57" s="55" t="s">
        <v>97</v>
      </c>
      <c r="AB57" s="55" t="s">
        <v>341</v>
      </c>
    </row>
    <row r="58" spans="1:30" x14ac:dyDescent="0.15">
      <c r="A58" s="55" t="s">
        <v>41</v>
      </c>
      <c r="B58" s="237" t="s">
        <v>339</v>
      </c>
      <c r="C58" s="152">
        <v>2018</v>
      </c>
      <c r="D58" s="56" t="s">
        <v>348</v>
      </c>
      <c r="E58" s="237" t="s">
        <v>294</v>
      </c>
      <c r="F58" s="237" t="s">
        <v>298</v>
      </c>
      <c r="G58" s="55" t="s">
        <v>42</v>
      </c>
      <c r="H58" s="55" t="s">
        <v>168</v>
      </c>
      <c r="I58" s="55" t="s">
        <v>155</v>
      </c>
      <c r="J58" s="55" t="s">
        <v>38</v>
      </c>
      <c r="K58" s="55" t="s">
        <v>156</v>
      </c>
      <c r="L58" s="237">
        <v>3</v>
      </c>
      <c r="N58" s="237">
        <v>3</v>
      </c>
      <c r="O58" s="55">
        <v>0.65</v>
      </c>
      <c r="P58" s="55">
        <v>0.7</v>
      </c>
      <c r="Q58" s="82">
        <f t="shared" si="0"/>
        <v>0.67500000000000004</v>
      </c>
      <c r="R58" s="55">
        <v>13.3</v>
      </c>
      <c r="S58" s="55">
        <v>179</v>
      </c>
      <c r="T58" s="57">
        <f t="shared" si="1"/>
        <v>22</v>
      </c>
      <c r="U58" s="237">
        <v>645</v>
      </c>
      <c r="V58" s="58">
        <f t="shared" si="2"/>
        <v>4730</v>
      </c>
      <c r="W58" s="237">
        <v>3</v>
      </c>
      <c r="X58" s="55" t="s">
        <v>46</v>
      </c>
      <c r="Y58" s="55" t="s">
        <v>55</v>
      </c>
      <c r="Z58" s="55" t="s">
        <v>86</v>
      </c>
      <c r="AA58" s="55" t="s">
        <v>97</v>
      </c>
      <c r="AB58" s="55" t="s">
        <v>341</v>
      </c>
    </row>
    <row r="59" spans="1:30" x14ac:dyDescent="0.15">
      <c r="A59" s="55" t="s">
        <v>41</v>
      </c>
      <c r="B59" s="237" t="s">
        <v>339</v>
      </c>
      <c r="C59" s="152">
        <v>2018</v>
      </c>
      <c r="D59" s="56" t="s">
        <v>348</v>
      </c>
      <c r="E59" s="237" t="s">
        <v>294</v>
      </c>
      <c r="F59" s="237" t="s">
        <v>298</v>
      </c>
      <c r="G59" s="55" t="s">
        <v>42</v>
      </c>
      <c r="H59" s="55" t="s">
        <v>168</v>
      </c>
      <c r="I59" s="55" t="s">
        <v>155</v>
      </c>
      <c r="J59" s="55" t="s">
        <v>38</v>
      </c>
      <c r="K59" s="55" t="s">
        <v>156</v>
      </c>
      <c r="L59" s="237">
        <v>1</v>
      </c>
      <c r="N59" s="237">
        <v>4</v>
      </c>
      <c r="O59" s="55">
        <v>0.35</v>
      </c>
      <c r="P59" s="55">
        <v>0.5</v>
      </c>
      <c r="Q59" s="82">
        <f t="shared" si="0"/>
        <v>0.42499999999999999</v>
      </c>
      <c r="R59" s="55">
        <v>14.1</v>
      </c>
      <c r="S59" s="55">
        <v>125</v>
      </c>
      <c r="T59" s="57">
        <f t="shared" si="1"/>
        <v>27</v>
      </c>
      <c r="U59" s="237">
        <v>645</v>
      </c>
      <c r="V59" s="58">
        <f t="shared" si="2"/>
        <v>4353.75</v>
      </c>
      <c r="W59" s="237">
        <v>3</v>
      </c>
      <c r="X59" s="55" t="s">
        <v>46</v>
      </c>
      <c r="Y59" s="55" t="s">
        <v>55</v>
      </c>
      <c r="Z59" s="55" t="s">
        <v>86</v>
      </c>
      <c r="AA59" s="55" t="s">
        <v>97</v>
      </c>
      <c r="AB59" s="55" t="s">
        <v>341</v>
      </c>
      <c r="AC59" s="55"/>
      <c r="AD59" s="55"/>
    </row>
    <row r="60" spans="1:30" x14ac:dyDescent="0.15">
      <c r="A60" s="55" t="s">
        <v>41</v>
      </c>
      <c r="B60" s="237" t="s">
        <v>339</v>
      </c>
      <c r="C60" s="152">
        <v>2018</v>
      </c>
      <c r="D60" s="56" t="s">
        <v>348</v>
      </c>
      <c r="E60" s="237" t="s">
        <v>294</v>
      </c>
      <c r="F60" s="237" t="s">
        <v>298</v>
      </c>
      <c r="G60" s="55" t="s">
        <v>42</v>
      </c>
      <c r="H60" s="55" t="s">
        <v>168</v>
      </c>
      <c r="I60" s="55" t="s">
        <v>155</v>
      </c>
      <c r="J60" s="55" t="s">
        <v>38</v>
      </c>
      <c r="K60" s="55" t="s">
        <v>156</v>
      </c>
      <c r="L60" s="237">
        <v>2</v>
      </c>
      <c r="N60" s="237">
        <v>4</v>
      </c>
      <c r="O60" s="55">
        <v>0.65</v>
      </c>
      <c r="P60" s="55">
        <v>0.5</v>
      </c>
      <c r="Q60" s="82">
        <f t="shared" si="0"/>
        <v>0.57499999999999996</v>
      </c>
      <c r="R60" s="55">
        <v>14.9</v>
      </c>
      <c r="S60" s="55">
        <v>134</v>
      </c>
      <c r="T60" s="57">
        <f t="shared" si="1"/>
        <v>25</v>
      </c>
      <c r="U60" s="237">
        <v>645</v>
      </c>
      <c r="V60" s="58">
        <f t="shared" si="2"/>
        <v>4031.25</v>
      </c>
      <c r="W60" s="237">
        <v>3</v>
      </c>
      <c r="X60" s="55" t="s">
        <v>46</v>
      </c>
      <c r="Y60" s="55" t="s">
        <v>55</v>
      </c>
      <c r="Z60" s="55" t="s">
        <v>86</v>
      </c>
      <c r="AA60" s="55" t="s">
        <v>97</v>
      </c>
      <c r="AB60" s="55" t="s">
        <v>341</v>
      </c>
    </row>
    <row r="61" spans="1:30" x14ac:dyDescent="0.15">
      <c r="A61" s="55" t="s">
        <v>41</v>
      </c>
      <c r="B61" s="237" t="s">
        <v>339</v>
      </c>
      <c r="C61" s="152">
        <v>2018</v>
      </c>
      <c r="D61" s="56" t="s">
        <v>348</v>
      </c>
      <c r="E61" s="237" t="s">
        <v>294</v>
      </c>
      <c r="F61" s="237" t="s">
        <v>298</v>
      </c>
      <c r="G61" s="55" t="s">
        <v>42</v>
      </c>
      <c r="H61" s="55" t="s">
        <v>168</v>
      </c>
      <c r="I61" s="55" t="s">
        <v>155</v>
      </c>
      <c r="J61" s="55" t="s">
        <v>38</v>
      </c>
      <c r="K61" s="55" t="s">
        <v>156</v>
      </c>
      <c r="L61" s="237">
        <v>3</v>
      </c>
      <c r="N61" s="237">
        <v>4</v>
      </c>
      <c r="O61" s="55">
        <v>0.45</v>
      </c>
      <c r="P61" s="55">
        <v>0.5</v>
      </c>
      <c r="Q61" s="82">
        <f t="shared" si="0"/>
        <v>0.47499999999999998</v>
      </c>
      <c r="R61" s="55">
        <v>15.1</v>
      </c>
      <c r="S61" s="55">
        <v>124</v>
      </c>
      <c r="T61" s="57">
        <f t="shared" si="1"/>
        <v>27</v>
      </c>
      <c r="U61" s="237">
        <v>645</v>
      </c>
      <c r="V61" s="58">
        <f t="shared" si="2"/>
        <v>4353.75</v>
      </c>
      <c r="W61" s="237">
        <v>3</v>
      </c>
      <c r="X61" s="55" t="s">
        <v>46</v>
      </c>
      <c r="Y61" s="55" t="s">
        <v>55</v>
      </c>
      <c r="Z61" s="55" t="s">
        <v>86</v>
      </c>
      <c r="AA61" s="55" t="s">
        <v>97</v>
      </c>
      <c r="AB61" s="55" t="s">
        <v>341</v>
      </c>
    </row>
    <row r="62" spans="1:30" x14ac:dyDescent="0.15">
      <c r="A62" s="55" t="s">
        <v>41</v>
      </c>
      <c r="B62" s="237" t="s">
        <v>339</v>
      </c>
      <c r="C62" s="152">
        <v>2018</v>
      </c>
      <c r="D62" s="56" t="s">
        <v>348</v>
      </c>
      <c r="E62" s="237" t="s">
        <v>294</v>
      </c>
      <c r="F62" s="237" t="s">
        <v>298</v>
      </c>
      <c r="G62" s="55" t="s">
        <v>42</v>
      </c>
      <c r="H62" s="55" t="s">
        <v>168</v>
      </c>
      <c r="I62" s="55" t="s">
        <v>155</v>
      </c>
      <c r="J62" s="55" t="s">
        <v>38</v>
      </c>
      <c r="K62" s="55" t="s">
        <v>156</v>
      </c>
      <c r="L62" s="237">
        <v>1</v>
      </c>
      <c r="N62" s="55">
        <v>1</v>
      </c>
      <c r="O62" s="55">
        <v>0.5</v>
      </c>
      <c r="P62" s="55">
        <v>0.55000000000000004</v>
      </c>
      <c r="Q62" s="82">
        <f t="shared" si="0"/>
        <v>0.52500000000000002</v>
      </c>
      <c r="R62" s="55">
        <v>15.9</v>
      </c>
      <c r="S62" s="55">
        <v>151</v>
      </c>
      <c r="T62" s="57">
        <f t="shared" si="1"/>
        <v>22</v>
      </c>
      <c r="U62" s="237">
        <v>138</v>
      </c>
      <c r="V62" s="58">
        <f t="shared" si="2"/>
        <v>3036</v>
      </c>
      <c r="W62" s="237">
        <v>1</v>
      </c>
      <c r="X62" s="55" t="s">
        <v>46</v>
      </c>
      <c r="Y62" s="55" t="s">
        <v>55</v>
      </c>
      <c r="Z62" s="55" t="s">
        <v>86</v>
      </c>
      <c r="AA62" s="55" t="s">
        <v>97</v>
      </c>
      <c r="AB62" s="55" t="s">
        <v>341</v>
      </c>
      <c r="AC62" s="55"/>
      <c r="AD62" s="55"/>
    </row>
    <row r="63" spans="1:30" x14ac:dyDescent="0.15">
      <c r="A63" s="55" t="s">
        <v>41</v>
      </c>
      <c r="B63" s="237" t="s">
        <v>339</v>
      </c>
      <c r="C63" s="152">
        <v>2018</v>
      </c>
      <c r="D63" s="56" t="s">
        <v>348</v>
      </c>
      <c r="E63" s="237" t="s">
        <v>294</v>
      </c>
      <c r="F63" s="237" t="s">
        <v>298</v>
      </c>
      <c r="G63" s="55" t="s">
        <v>42</v>
      </c>
      <c r="H63" s="55" t="s">
        <v>168</v>
      </c>
      <c r="I63" s="55" t="s">
        <v>155</v>
      </c>
      <c r="J63" s="55" t="s">
        <v>38</v>
      </c>
      <c r="K63" s="55" t="s">
        <v>156</v>
      </c>
      <c r="L63" s="237">
        <v>2</v>
      </c>
      <c r="N63" s="55">
        <v>1</v>
      </c>
      <c r="O63" s="55">
        <v>0.25</v>
      </c>
      <c r="P63" s="55">
        <v>0.65</v>
      </c>
      <c r="Q63" s="82">
        <f t="shared" si="0"/>
        <v>0.45</v>
      </c>
      <c r="R63" s="55">
        <v>16.399999999999999</v>
      </c>
      <c r="S63" s="55">
        <v>155</v>
      </c>
      <c r="T63" s="57">
        <f t="shared" si="1"/>
        <v>22</v>
      </c>
      <c r="U63" s="237">
        <v>138</v>
      </c>
      <c r="V63" s="58">
        <f t="shared" si="2"/>
        <v>3036</v>
      </c>
      <c r="W63" s="237">
        <v>1</v>
      </c>
      <c r="X63" s="55" t="s">
        <v>46</v>
      </c>
      <c r="Y63" s="55" t="s">
        <v>55</v>
      </c>
      <c r="Z63" s="55" t="s">
        <v>86</v>
      </c>
      <c r="AA63" s="55" t="s">
        <v>97</v>
      </c>
      <c r="AB63" s="55" t="s">
        <v>341</v>
      </c>
    </row>
    <row r="64" spans="1:30" x14ac:dyDescent="0.15">
      <c r="A64" s="55" t="s">
        <v>41</v>
      </c>
      <c r="B64" s="237" t="s">
        <v>339</v>
      </c>
      <c r="C64" s="152">
        <v>2018</v>
      </c>
      <c r="D64" s="56" t="s">
        <v>348</v>
      </c>
      <c r="E64" s="237" t="s">
        <v>294</v>
      </c>
      <c r="F64" s="237" t="s">
        <v>298</v>
      </c>
      <c r="G64" s="55" t="s">
        <v>42</v>
      </c>
      <c r="H64" s="55" t="s">
        <v>168</v>
      </c>
      <c r="I64" s="55" t="s">
        <v>155</v>
      </c>
      <c r="J64" s="55" t="s">
        <v>38</v>
      </c>
      <c r="K64" s="55" t="s">
        <v>156</v>
      </c>
      <c r="L64" s="237">
        <v>3</v>
      </c>
      <c r="N64" s="55">
        <v>1</v>
      </c>
      <c r="O64" s="55">
        <v>0.65</v>
      </c>
      <c r="P64" s="55">
        <v>0.45</v>
      </c>
      <c r="Q64" s="82">
        <f t="shared" si="0"/>
        <v>0.55000000000000004</v>
      </c>
      <c r="R64" s="55">
        <v>15.1</v>
      </c>
      <c r="S64" s="55">
        <v>160</v>
      </c>
      <c r="T64" s="57">
        <f t="shared" si="1"/>
        <v>22</v>
      </c>
      <c r="U64" s="237">
        <v>138</v>
      </c>
      <c r="V64" s="58">
        <f t="shared" si="2"/>
        <v>3036</v>
      </c>
      <c r="W64" s="237">
        <v>1</v>
      </c>
      <c r="X64" s="55" t="s">
        <v>46</v>
      </c>
      <c r="Y64" s="55" t="s">
        <v>55</v>
      </c>
      <c r="Z64" s="55" t="s">
        <v>86</v>
      </c>
      <c r="AA64" s="55" t="s">
        <v>97</v>
      </c>
      <c r="AB64" s="55" t="s">
        <v>341</v>
      </c>
    </row>
    <row r="65" spans="1:30" x14ac:dyDescent="0.15">
      <c r="A65" s="55" t="s">
        <v>41</v>
      </c>
      <c r="B65" s="237" t="s">
        <v>339</v>
      </c>
      <c r="C65" s="152">
        <v>2018</v>
      </c>
      <c r="D65" s="56" t="s">
        <v>348</v>
      </c>
      <c r="E65" s="237" t="s">
        <v>294</v>
      </c>
      <c r="F65" s="237" t="s">
        <v>298</v>
      </c>
      <c r="G65" s="55" t="s">
        <v>42</v>
      </c>
      <c r="H65" s="55" t="s">
        <v>168</v>
      </c>
      <c r="I65" s="55" t="s">
        <v>155</v>
      </c>
      <c r="J65" s="55" t="s">
        <v>38</v>
      </c>
      <c r="K65" s="55" t="s">
        <v>156</v>
      </c>
      <c r="L65" s="237">
        <v>1</v>
      </c>
      <c r="N65" s="55">
        <v>8</v>
      </c>
      <c r="O65" s="55">
        <v>0.5</v>
      </c>
      <c r="P65" s="55">
        <v>0.5</v>
      </c>
      <c r="Q65" s="82">
        <f t="shared" si="0"/>
        <v>0.5</v>
      </c>
      <c r="R65" s="55">
        <v>14.7</v>
      </c>
      <c r="S65" s="55">
        <v>128</v>
      </c>
      <c r="T65" s="57">
        <f t="shared" si="1"/>
        <v>27</v>
      </c>
      <c r="U65" s="237">
        <v>1058</v>
      </c>
      <c r="V65" s="58">
        <f t="shared" si="2"/>
        <v>3570.75</v>
      </c>
      <c r="W65" s="237">
        <v>2</v>
      </c>
      <c r="X65" s="55" t="s">
        <v>46</v>
      </c>
      <c r="Y65" s="55" t="s">
        <v>55</v>
      </c>
      <c r="Z65" s="55" t="s">
        <v>86</v>
      </c>
      <c r="AA65" s="55" t="s">
        <v>97</v>
      </c>
      <c r="AB65" s="55" t="s">
        <v>341</v>
      </c>
    </row>
    <row r="66" spans="1:30" x14ac:dyDescent="0.15">
      <c r="A66" s="55" t="s">
        <v>41</v>
      </c>
      <c r="B66" s="237" t="s">
        <v>339</v>
      </c>
      <c r="C66" s="152">
        <v>2018</v>
      </c>
      <c r="D66" s="56" t="s">
        <v>348</v>
      </c>
      <c r="E66" s="237" t="s">
        <v>294</v>
      </c>
      <c r="F66" s="237" t="s">
        <v>298</v>
      </c>
      <c r="G66" s="55" t="s">
        <v>42</v>
      </c>
      <c r="H66" s="55" t="s">
        <v>168</v>
      </c>
      <c r="I66" s="55" t="s">
        <v>155</v>
      </c>
      <c r="J66" s="55" t="s">
        <v>38</v>
      </c>
      <c r="K66" s="55" t="s">
        <v>156</v>
      </c>
      <c r="L66" s="237">
        <v>2</v>
      </c>
      <c r="N66" s="55">
        <v>8</v>
      </c>
      <c r="O66" s="55">
        <v>0.95</v>
      </c>
      <c r="P66" s="55">
        <v>0.8</v>
      </c>
      <c r="Q66" s="82">
        <f t="shared" ref="Q66:Q129" si="3">IF(OR(O66="",P66=""),"",AVERAGE(O66,P66))</f>
        <v>0.875</v>
      </c>
      <c r="R66" s="55">
        <v>14.8</v>
      </c>
      <c r="S66" s="55">
        <v>134</v>
      </c>
      <c r="T66" s="57">
        <f t="shared" ref="T66:T129" si="4">IF(H66="","",IF(OR(H66="GREEN",H66="GK"),IF(S66&gt;=$AX$2,VLOOKUP(S66,$AX$2:$AY$10,2,1),""),IF(S66&gt;=$AZ$2,VLOOKUP(S66,$AZ$2:$BA$10,2,1),"")))</f>
        <v>25</v>
      </c>
      <c r="U66" s="237">
        <v>1058</v>
      </c>
      <c r="V66" s="58">
        <f t="shared" ref="V66:V129" si="5">IF(OR(N66="",U66="",T66=""),"",U66/N66*T66)</f>
        <v>3306.25</v>
      </c>
      <c r="W66" s="237">
        <v>2</v>
      </c>
      <c r="X66" s="55" t="s">
        <v>46</v>
      </c>
      <c r="Y66" s="55" t="s">
        <v>55</v>
      </c>
      <c r="Z66" s="55" t="s">
        <v>86</v>
      </c>
      <c r="AA66" s="55" t="s">
        <v>97</v>
      </c>
      <c r="AB66" s="55" t="s">
        <v>341</v>
      </c>
    </row>
    <row r="67" spans="1:30" x14ac:dyDescent="0.15">
      <c r="A67" s="55" t="s">
        <v>41</v>
      </c>
      <c r="B67" s="237" t="s">
        <v>339</v>
      </c>
      <c r="C67" s="152">
        <v>2018</v>
      </c>
      <c r="D67" s="56" t="s">
        <v>348</v>
      </c>
      <c r="E67" s="237" t="s">
        <v>294</v>
      </c>
      <c r="F67" s="237" t="s">
        <v>298</v>
      </c>
      <c r="G67" s="55" t="s">
        <v>42</v>
      </c>
      <c r="H67" s="55" t="s">
        <v>168</v>
      </c>
      <c r="I67" s="55" t="s">
        <v>155</v>
      </c>
      <c r="J67" s="55" t="s">
        <v>38</v>
      </c>
      <c r="K67" s="55" t="s">
        <v>156</v>
      </c>
      <c r="L67" s="237">
        <v>3</v>
      </c>
      <c r="N67" s="55">
        <v>8</v>
      </c>
      <c r="O67" s="55">
        <v>0.45</v>
      </c>
      <c r="P67" s="55">
        <v>0.65</v>
      </c>
      <c r="Q67" s="82">
        <f t="shared" si="3"/>
        <v>0.55000000000000004</v>
      </c>
      <c r="R67" s="55">
        <v>15.8</v>
      </c>
      <c r="S67" s="55">
        <v>133</v>
      </c>
      <c r="T67" s="57">
        <f t="shared" si="4"/>
        <v>25</v>
      </c>
      <c r="U67" s="237">
        <v>1058</v>
      </c>
      <c r="V67" s="58">
        <f t="shared" si="5"/>
        <v>3306.25</v>
      </c>
      <c r="W67" s="237">
        <v>2</v>
      </c>
      <c r="X67" s="55" t="s">
        <v>46</v>
      </c>
      <c r="Y67" s="55" t="s">
        <v>55</v>
      </c>
      <c r="Z67" s="55" t="s">
        <v>86</v>
      </c>
      <c r="AA67" s="55" t="s">
        <v>97</v>
      </c>
      <c r="AB67" s="55" t="s">
        <v>341</v>
      </c>
    </row>
    <row r="68" spans="1:30" x14ac:dyDescent="0.15">
      <c r="A68" s="55" t="s">
        <v>41</v>
      </c>
      <c r="B68" s="237" t="s">
        <v>339</v>
      </c>
      <c r="C68" s="152">
        <v>2018</v>
      </c>
      <c r="D68" s="56" t="s">
        <v>348</v>
      </c>
      <c r="E68" s="237" t="s">
        <v>294</v>
      </c>
      <c r="F68" s="237" t="s">
        <v>298</v>
      </c>
      <c r="G68" s="55" t="s">
        <v>42</v>
      </c>
      <c r="H68" s="55" t="s">
        <v>157</v>
      </c>
      <c r="I68" s="55" t="s">
        <v>155</v>
      </c>
      <c r="J68" s="55" t="s">
        <v>38</v>
      </c>
      <c r="K68" s="55" t="s">
        <v>156</v>
      </c>
      <c r="L68" s="237">
        <v>1</v>
      </c>
      <c r="N68" s="237">
        <v>1</v>
      </c>
      <c r="O68" s="55">
        <v>0.6</v>
      </c>
      <c r="P68" s="55">
        <v>0.9</v>
      </c>
      <c r="Q68" s="82">
        <f t="shared" si="3"/>
        <v>0.75</v>
      </c>
      <c r="R68" s="55">
        <v>15.2</v>
      </c>
      <c r="S68" s="55">
        <v>120</v>
      </c>
      <c r="T68" s="57">
        <f t="shared" si="4"/>
        <v>30</v>
      </c>
      <c r="U68" s="237">
        <v>108</v>
      </c>
      <c r="V68" s="58">
        <f t="shared" si="5"/>
        <v>3240</v>
      </c>
      <c r="W68" s="237">
        <v>1</v>
      </c>
      <c r="X68" s="55" t="s">
        <v>46</v>
      </c>
      <c r="Y68" s="55" t="s">
        <v>55</v>
      </c>
      <c r="Z68" s="55" t="s">
        <v>86</v>
      </c>
      <c r="AA68" s="55" t="s">
        <v>97</v>
      </c>
      <c r="AB68" s="55" t="s">
        <v>341</v>
      </c>
    </row>
    <row r="69" spans="1:30" x14ac:dyDescent="0.15">
      <c r="A69" s="55" t="s">
        <v>41</v>
      </c>
      <c r="B69" s="237" t="s">
        <v>339</v>
      </c>
      <c r="C69" s="152">
        <v>2018</v>
      </c>
      <c r="D69" s="56" t="s">
        <v>348</v>
      </c>
      <c r="E69" s="237" t="s">
        <v>294</v>
      </c>
      <c r="F69" s="237" t="s">
        <v>298</v>
      </c>
      <c r="G69" s="55" t="s">
        <v>42</v>
      </c>
      <c r="H69" s="55" t="s">
        <v>157</v>
      </c>
      <c r="I69" s="55" t="s">
        <v>155</v>
      </c>
      <c r="J69" s="55" t="s">
        <v>38</v>
      </c>
      <c r="K69" s="55" t="s">
        <v>156</v>
      </c>
      <c r="L69" s="237">
        <v>2</v>
      </c>
      <c r="N69" s="237">
        <v>1</v>
      </c>
      <c r="O69" s="55">
        <v>0.5</v>
      </c>
      <c r="P69" s="55">
        <v>0.85</v>
      </c>
      <c r="Q69" s="82">
        <f t="shared" si="3"/>
        <v>0.67500000000000004</v>
      </c>
      <c r="R69" s="55">
        <v>14.7</v>
      </c>
      <c r="S69" s="55">
        <v>117</v>
      </c>
      <c r="T69" s="57">
        <f t="shared" si="4"/>
        <v>30</v>
      </c>
      <c r="U69" s="237">
        <v>108</v>
      </c>
      <c r="V69" s="58">
        <f t="shared" si="5"/>
        <v>3240</v>
      </c>
      <c r="W69" s="237">
        <v>1</v>
      </c>
      <c r="X69" s="55" t="s">
        <v>46</v>
      </c>
      <c r="Y69" s="55" t="s">
        <v>55</v>
      </c>
      <c r="Z69" s="55" t="s">
        <v>86</v>
      </c>
      <c r="AA69" s="55" t="s">
        <v>97</v>
      </c>
      <c r="AB69" s="55" t="s">
        <v>341</v>
      </c>
    </row>
    <row r="70" spans="1:30" x14ac:dyDescent="0.15">
      <c r="A70" s="55" t="s">
        <v>41</v>
      </c>
      <c r="B70" s="237" t="s">
        <v>339</v>
      </c>
      <c r="C70" s="152">
        <v>2018</v>
      </c>
      <c r="D70" s="56" t="s">
        <v>348</v>
      </c>
      <c r="E70" s="237" t="s">
        <v>294</v>
      </c>
      <c r="F70" s="237" t="s">
        <v>298</v>
      </c>
      <c r="G70" s="55" t="s">
        <v>42</v>
      </c>
      <c r="H70" s="55" t="s">
        <v>157</v>
      </c>
      <c r="I70" s="55" t="s">
        <v>155</v>
      </c>
      <c r="J70" s="55" t="s">
        <v>38</v>
      </c>
      <c r="K70" s="55" t="s">
        <v>156</v>
      </c>
      <c r="L70" s="237">
        <v>3</v>
      </c>
      <c r="N70" s="237">
        <v>1</v>
      </c>
      <c r="O70" s="55">
        <v>0.7</v>
      </c>
      <c r="P70" s="55">
        <v>0.65</v>
      </c>
      <c r="Q70" s="82">
        <f t="shared" si="3"/>
        <v>0.67500000000000004</v>
      </c>
      <c r="R70" s="55">
        <v>17</v>
      </c>
      <c r="S70" s="55">
        <v>118</v>
      </c>
      <c r="T70" s="57">
        <f t="shared" si="4"/>
        <v>30</v>
      </c>
      <c r="U70" s="237">
        <v>108</v>
      </c>
      <c r="V70" s="58">
        <f t="shared" si="5"/>
        <v>3240</v>
      </c>
      <c r="W70" s="237">
        <v>1</v>
      </c>
      <c r="X70" s="55" t="s">
        <v>46</v>
      </c>
      <c r="Y70" s="55" t="s">
        <v>55</v>
      </c>
      <c r="Z70" s="55" t="s">
        <v>86</v>
      </c>
      <c r="AA70" s="55" t="s">
        <v>97</v>
      </c>
      <c r="AB70" s="55" t="s">
        <v>341</v>
      </c>
    </row>
    <row r="71" spans="1:30" x14ac:dyDescent="0.15">
      <c r="A71" s="55" t="s">
        <v>41</v>
      </c>
      <c r="B71" s="237" t="s">
        <v>339</v>
      </c>
      <c r="C71" s="152">
        <v>2018</v>
      </c>
      <c r="D71" s="56" t="s">
        <v>348</v>
      </c>
      <c r="E71" s="237" t="s">
        <v>294</v>
      </c>
      <c r="F71" s="237" t="s">
        <v>298</v>
      </c>
      <c r="G71" s="55" t="s">
        <v>42</v>
      </c>
      <c r="H71" s="55" t="s">
        <v>157</v>
      </c>
      <c r="I71" s="55" t="s">
        <v>155</v>
      </c>
      <c r="J71" s="55" t="s">
        <v>38</v>
      </c>
      <c r="K71" s="55" t="s">
        <v>156</v>
      </c>
      <c r="L71" s="237">
        <v>1</v>
      </c>
      <c r="N71" s="237">
        <v>4</v>
      </c>
      <c r="O71" s="55">
        <v>0.8</v>
      </c>
      <c r="P71" s="55">
        <v>0.95</v>
      </c>
      <c r="Q71" s="82">
        <f t="shared" si="3"/>
        <v>0.875</v>
      </c>
      <c r="R71" s="55">
        <v>14.8</v>
      </c>
      <c r="S71" s="55">
        <v>132</v>
      </c>
      <c r="T71" s="57">
        <f t="shared" si="4"/>
        <v>25</v>
      </c>
      <c r="U71" s="237">
        <v>429</v>
      </c>
      <c r="V71" s="58">
        <f t="shared" si="5"/>
        <v>2681.25</v>
      </c>
      <c r="W71" s="237">
        <v>3</v>
      </c>
      <c r="X71" s="55" t="s">
        <v>46</v>
      </c>
      <c r="Y71" s="55" t="s">
        <v>55</v>
      </c>
      <c r="Z71" s="55" t="s">
        <v>86</v>
      </c>
      <c r="AA71" s="55" t="s">
        <v>97</v>
      </c>
      <c r="AB71" s="55" t="s">
        <v>341</v>
      </c>
    </row>
    <row r="72" spans="1:30" x14ac:dyDescent="0.15">
      <c r="A72" s="55" t="s">
        <v>41</v>
      </c>
      <c r="B72" s="237" t="s">
        <v>339</v>
      </c>
      <c r="C72" s="152">
        <v>2018</v>
      </c>
      <c r="D72" s="56" t="s">
        <v>348</v>
      </c>
      <c r="E72" s="237" t="s">
        <v>294</v>
      </c>
      <c r="F72" s="237" t="s">
        <v>298</v>
      </c>
      <c r="G72" s="55" t="s">
        <v>42</v>
      </c>
      <c r="H72" s="55" t="s">
        <v>157</v>
      </c>
      <c r="I72" s="55" t="s">
        <v>155</v>
      </c>
      <c r="J72" s="55" t="s">
        <v>38</v>
      </c>
      <c r="K72" s="55" t="s">
        <v>156</v>
      </c>
      <c r="L72" s="237">
        <v>2</v>
      </c>
      <c r="N72" s="237">
        <v>4</v>
      </c>
      <c r="O72" s="55">
        <v>0.5</v>
      </c>
      <c r="P72" s="55">
        <v>0.6</v>
      </c>
      <c r="Q72" s="82">
        <f t="shared" si="3"/>
        <v>0.55000000000000004</v>
      </c>
      <c r="R72" s="55">
        <v>15.1</v>
      </c>
      <c r="S72" s="55">
        <v>130</v>
      </c>
      <c r="T72" s="57">
        <f t="shared" si="4"/>
        <v>25</v>
      </c>
      <c r="U72" s="237">
        <v>429</v>
      </c>
      <c r="V72" s="58">
        <f t="shared" si="5"/>
        <v>2681.25</v>
      </c>
      <c r="W72" s="237">
        <v>3</v>
      </c>
      <c r="X72" s="55" t="s">
        <v>46</v>
      </c>
      <c r="Y72" s="55" t="s">
        <v>55</v>
      </c>
      <c r="Z72" s="55" t="s">
        <v>86</v>
      </c>
      <c r="AA72" s="55" t="s">
        <v>97</v>
      </c>
      <c r="AB72" s="55" t="s">
        <v>341</v>
      </c>
    </row>
    <row r="73" spans="1:30" x14ac:dyDescent="0.15">
      <c r="A73" s="55" t="s">
        <v>41</v>
      </c>
      <c r="B73" s="237" t="s">
        <v>339</v>
      </c>
      <c r="C73" s="152">
        <v>2018</v>
      </c>
      <c r="D73" s="56" t="s">
        <v>348</v>
      </c>
      <c r="E73" s="237" t="s">
        <v>294</v>
      </c>
      <c r="F73" s="237" t="s">
        <v>298</v>
      </c>
      <c r="G73" s="55" t="s">
        <v>42</v>
      </c>
      <c r="H73" s="55" t="s">
        <v>157</v>
      </c>
      <c r="I73" s="55" t="s">
        <v>155</v>
      </c>
      <c r="J73" s="55" t="s">
        <v>38</v>
      </c>
      <c r="K73" s="55" t="s">
        <v>156</v>
      </c>
      <c r="L73" s="237">
        <v>3</v>
      </c>
      <c r="N73" s="237">
        <v>4</v>
      </c>
      <c r="O73" s="55">
        <v>0.45</v>
      </c>
      <c r="P73" s="55">
        <v>0.55000000000000004</v>
      </c>
      <c r="Q73" s="82">
        <f t="shared" si="3"/>
        <v>0.5</v>
      </c>
      <c r="R73" s="55">
        <v>14</v>
      </c>
      <c r="S73" s="55">
        <v>122</v>
      </c>
      <c r="T73" s="57">
        <f t="shared" si="4"/>
        <v>27</v>
      </c>
      <c r="U73" s="237">
        <v>429</v>
      </c>
      <c r="V73" s="58">
        <f t="shared" si="5"/>
        <v>2895.75</v>
      </c>
      <c r="W73" s="237">
        <v>3</v>
      </c>
      <c r="X73" s="55" t="s">
        <v>46</v>
      </c>
      <c r="Y73" s="55" t="s">
        <v>55</v>
      </c>
      <c r="Z73" s="55" t="s">
        <v>86</v>
      </c>
      <c r="AA73" s="55" t="s">
        <v>97</v>
      </c>
      <c r="AB73" s="55" t="s">
        <v>341</v>
      </c>
    </row>
    <row r="74" spans="1:30" x14ac:dyDescent="0.15">
      <c r="A74" s="55" t="s">
        <v>41</v>
      </c>
      <c r="B74" s="237" t="s">
        <v>339</v>
      </c>
      <c r="C74" s="152">
        <v>2018</v>
      </c>
      <c r="D74" s="56" t="s">
        <v>348</v>
      </c>
      <c r="E74" s="237" t="s">
        <v>294</v>
      </c>
      <c r="F74" s="237" t="s">
        <v>298</v>
      </c>
      <c r="G74" s="55" t="s">
        <v>42</v>
      </c>
      <c r="H74" s="55" t="s">
        <v>157</v>
      </c>
      <c r="I74" s="55" t="s">
        <v>155</v>
      </c>
      <c r="J74" s="55" t="s">
        <v>38</v>
      </c>
      <c r="K74" s="55" t="s">
        <v>156</v>
      </c>
      <c r="L74" s="237">
        <v>1</v>
      </c>
      <c r="N74" s="237">
        <v>10</v>
      </c>
      <c r="O74" s="55">
        <v>0.5</v>
      </c>
      <c r="P74" s="55">
        <v>0.7</v>
      </c>
      <c r="Q74" s="82">
        <f t="shared" si="3"/>
        <v>0.6</v>
      </c>
      <c r="R74" s="55">
        <v>16.5</v>
      </c>
      <c r="S74" s="55">
        <v>127</v>
      </c>
      <c r="T74" s="57">
        <f t="shared" si="4"/>
        <v>27</v>
      </c>
      <c r="U74" s="237">
        <v>1058</v>
      </c>
      <c r="V74" s="58">
        <f t="shared" si="5"/>
        <v>2856.6</v>
      </c>
      <c r="W74" s="237">
        <v>2</v>
      </c>
      <c r="X74" s="55" t="s">
        <v>46</v>
      </c>
      <c r="Y74" s="55" t="s">
        <v>55</v>
      </c>
      <c r="Z74" s="55" t="s">
        <v>86</v>
      </c>
      <c r="AA74" s="55" t="s">
        <v>97</v>
      </c>
      <c r="AB74" s="55" t="s">
        <v>341</v>
      </c>
    </row>
    <row r="75" spans="1:30" x14ac:dyDescent="0.15">
      <c r="A75" s="55" t="s">
        <v>41</v>
      </c>
      <c r="B75" s="237" t="s">
        <v>339</v>
      </c>
      <c r="C75" s="152">
        <v>2018</v>
      </c>
      <c r="D75" s="56" t="s">
        <v>348</v>
      </c>
      <c r="E75" s="237" t="s">
        <v>294</v>
      </c>
      <c r="F75" s="237" t="s">
        <v>298</v>
      </c>
      <c r="G75" s="55" t="s">
        <v>42</v>
      </c>
      <c r="H75" s="55" t="s">
        <v>157</v>
      </c>
      <c r="I75" s="55" t="s">
        <v>155</v>
      </c>
      <c r="J75" s="55" t="s">
        <v>38</v>
      </c>
      <c r="K75" s="55" t="s">
        <v>156</v>
      </c>
      <c r="L75" s="237">
        <v>2</v>
      </c>
      <c r="N75" s="237">
        <v>10</v>
      </c>
      <c r="O75" s="55">
        <v>0.2</v>
      </c>
      <c r="P75" s="55">
        <v>0.3</v>
      </c>
      <c r="Q75" s="82">
        <f t="shared" si="3"/>
        <v>0.25</v>
      </c>
      <c r="R75" s="55">
        <v>15.2</v>
      </c>
      <c r="S75" s="55">
        <v>124</v>
      </c>
      <c r="T75" s="57">
        <f t="shared" si="4"/>
        <v>27</v>
      </c>
      <c r="U75" s="237">
        <v>1058</v>
      </c>
      <c r="V75" s="58">
        <f t="shared" si="5"/>
        <v>2856.6</v>
      </c>
      <c r="W75" s="237">
        <v>2</v>
      </c>
      <c r="X75" s="55" t="s">
        <v>46</v>
      </c>
      <c r="Y75" s="55" t="s">
        <v>55</v>
      </c>
      <c r="Z75" s="55" t="s">
        <v>86</v>
      </c>
      <c r="AA75" s="55" t="s">
        <v>97</v>
      </c>
      <c r="AB75" s="55" t="s">
        <v>341</v>
      </c>
    </row>
    <row r="76" spans="1:30" x14ac:dyDescent="0.15">
      <c r="A76" s="55" t="s">
        <v>41</v>
      </c>
      <c r="B76" s="237" t="s">
        <v>339</v>
      </c>
      <c r="C76" s="152">
        <v>2018</v>
      </c>
      <c r="D76" s="56" t="s">
        <v>348</v>
      </c>
      <c r="E76" s="237" t="s">
        <v>294</v>
      </c>
      <c r="F76" s="237" t="s">
        <v>298</v>
      </c>
      <c r="G76" s="55" t="s">
        <v>42</v>
      </c>
      <c r="H76" s="55" t="s">
        <v>157</v>
      </c>
      <c r="I76" s="55" t="s">
        <v>155</v>
      </c>
      <c r="J76" s="55" t="s">
        <v>38</v>
      </c>
      <c r="K76" s="55" t="s">
        <v>156</v>
      </c>
      <c r="L76" s="237">
        <v>3</v>
      </c>
      <c r="N76" s="237">
        <v>10</v>
      </c>
      <c r="O76" s="55">
        <v>0.3</v>
      </c>
      <c r="P76" s="55">
        <v>0.25</v>
      </c>
      <c r="Q76" s="82">
        <f t="shared" si="3"/>
        <v>0.27500000000000002</v>
      </c>
      <c r="R76" s="55">
        <v>15.4</v>
      </c>
      <c r="S76" s="55">
        <v>122</v>
      </c>
      <c r="T76" s="57">
        <f t="shared" si="4"/>
        <v>27</v>
      </c>
      <c r="U76" s="237">
        <v>1058</v>
      </c>
      <c r="V76" s="58">
        <f t="shared" si="5"/>
        <v>2856.6</v>
      </c>
      <c r="W76" s="237">
        <v>2</v>
      </c>
      <c r="X76" s="55" t="s">
        <v>46</v>
      </c>
      <c r="Y76" s="55" t="s">
        <v>55</v>
      </c>
      <c r="Z76" s="55" t="s">
        <v>86</v>
      </c>
      <c r="AA76" s="55" t="s">
        <v>97</v>
      </c>
      <c r="AB76" s="55" t="s">
        <v>341</v>
      </c>
    </row>
    <row r="77" spans="1:30" x14ac:dyDescent="0.15">
      <c r="A77" s="55" t="s">
        <v>41</v>
      </c>
      <c r="B77" s="237" t="s">
        <v>339</v>
      </c>
      <c r="C77" s="152">
        <v>2018</v>
      </c>
      <c r="D77" s="56" t="s">
        <v>348</v>
      </c>
      <c r="E77" s="237" t="s">
        <v>294</v>
      </c>
      <c r="F77" s="237" t="s">
        <v>300</v>
      </c>
      <c r="G77" s="55" t="s">
        <v>42</v>
      </c>
      <c r="H77" s="55" t="s">
        <v>157</v>
      </c>
      <c r="I77" s="55" t="s">
        <v>155</v>
      </c>
      <c r="J77" s="55" t="s">
        <v>38</v>
      </c>
      <c r="K77" s="55" t="s">
        <v>156</v>
      </c>
      <c r="L77" s="237">
        <v>1</v>
      </c>
      <c r="N77" s="55">
        <v>1</v>
      </c>
      <c r="O77" s="55">
        <v>0.6</v>
      </c>
      <c r="P77" s="55">
        <v>0.5</v>
      </c>
      <c r="Q77" s="82">
        <f t="shared" si="3"/>
        <v>0.55000000000000004</v>
      </c>
      <c r="R77" s="55">
        <v>16</v>
      </c>
      <c r="S77" s="55">
        <v>120</v>
      </c>
      <c r="T77" s="57">
        <f t="shared" si="4"/>
        <v>30</v>
      </c>
      <c r="U77" s="237">
        <v>108</v>
      </c>
      <c r="V77" s="58">
        <f t="shared" si="5"/>
        <v>3240</v>
      </c>
      <c r="W77" s="237">
        <v>1</v>
      </c>
      <c r="X77" s="55" t="s">
        <v>46</v>
      </c>
      <c r="Y77" s="55" t="s">
        <v>97</v>
      </c>
      <c r="Z77" s="55" t="s">
        <v>55</v>
      </c>
      <c r="AA77" s="55" t="s">
        <v>64</v>
      </c>
      <c r="AB77" s="55" t="s">
        <v>341</v>
      </c>
      <c r="AC77" s="55"/>
      <c r="AD77" s="55"/>
    </row>
    <row r="78" spans="1:30" x14ac:dyDescent="0.15">
      <c r="A78" s="55" t="s">
        <v>41</v>
      </c>
      <c r="B78" s="237" t="s">
        <v>339</v>
      </c>
      <c r="C78" s="152">
        <v>2018</v>
      </c>
      <c r="D78" s="56" t="s">
        <v>348</v>
      </c>
      <c r="E78" s="237" t="s">
        <v>294</v>
      </c>
      <c r="F78" s="237" t="s">
        <v>300</v>
      </c>
      <c r="G78" s="55" t="s">
        <v>42</v>
      </c>
      <c r="H78" s="55" t="s">
        <v>157</v>
      </c>
      <c r="I78" s="55" t="s">
        <v>155</v>
      </c>
      <c r="J78" s="55" t="s">
        <v>38</v>
      </c>
      <c r="K78" s="55" t="s">
        <v>156</v>
      </c>
      <c r="L78" s="237">
        <v>2</v>
      </c>
      <c r="N78" s="55">
        <v>1</v>
      </c>
      <c r="O78" s="55">
        <v>0.5</v>
      </c>
      <c r="P78" s="55">
        <v>0.35</v>
      </c>
      <c r="Q78" s="82">
        <f t="shared" si="3"/>
        <v>0.42499999999999999</v>
      </c>
      <c r="R78" s="55">
        <v>14.5</v>
      </c>
      <c r="S78" s="55">
        <v>131</v>
      </c>
      <c r="T78" s="57">
        <f t="shared" si="4"/>
        <v>25</v>
      </c>
      <c r="U78" s="237">
        <v>108</v>
      </c>
      <c r="V78" s="58">
        <f t="shared" si="5"/>
        <v>2700</v>
      </c>
      <c r="W78" s="237">
        <v>1</v>
      </c>
      <c r="X78" s="55" t="s">
        <v>46</v>
      </c>
      <c r="Y78" s="55" t="s">
        <v>97</v>
      </c>
      <c r="Z78" s="55" t="s">
        <v>55</v>
      </c>
      <c r="AA78" s="55" t="s">
        <v>64</v>
      </c>
      <c r="AB78" s="55" t="s">
        <v>341</v>
      </c>
      <c r="AC78" s="55"/>
      <c r="AD78" s="55"/>
    </row>
    <row r="79" spans="1:30" x14ac:dyDescent="0.15">
      <c r="A79" s="55" t="s">
        <v>41</v>
      </c>
      <c r="B79" s="237" t="s">
        <v>339</v>
      </c>
      <c r="C79" s="152">
        <v>2018</v>
      </c>
      <c r="D79" s="56" t="s">
        <v>348</v>
      </c>
      <c r="E79" s="237" t="s">
        <v>294</v>
      </c>
      <c r="F79" s="237" t="s">
        <v>300</v>
      </c>
      <c r="G79" s="55" t="s">
        <v>42</v>
      </c>
      <c r="H79" s="55" t="s">
        <v>157</v>
      </c>
      <c r="I79" s="55" t="s">
        <v>155</v>
      </c>
      <c r="J79" s="55" t="s">
        <v>38</v>
      </c>
      <c r="K79" s="55" t="s">
        <v>156</v>
      </c>
      <c r="L79" s="237">
        <v>3</v>
      </c>
      <c r="N79" s="55">
        <v>1</v>
      </c>
      <c r="O79" s="55">
        <v>0.5</v>
      </c>
      <c r="P79" s="55">
        <v>0.4</v>
      </c>
      <c r="Q79" s="82">
        <f t="shared" si="3"/>
        <v>0.45</v>
      </c>
      <c r="R79" s="55">
        <v>14.8</v>
      </c>
      <c r="S79" s="55">
        <v>127</v>
      </c>
      <c r="T79" s="57">
        <f t="shared" si="4"/>
        <v>27</v>
      </c>
      <c r="U79" s="55">
        <v>108</v>
      </c>
      <c r="V79" s="58">
        <f t="shared" si="5"/>
        <v>2916</v>
      </c>
      <c r="W79" s="237">
        <v>1</v>
      </c>
      <c r="X79" s="55" t="s">
        <v>46</v>
      </c>
      <c r="Y79" s="55" t="s">
        <v>97</v>
      </c>
      <c r="Z79" s="55" t="s">
        <v>55</v>
      </c>
      <c r="AA79" s="55" t="s">
        <v>64</v>
      </c>
      <c r="AB79" s="55" t="s">
        <v>341</v>
      </c>
      <c r="AC79" s="55"/>
      <c r="AD79" s="55"/>
    </row>
    <row r="80" spans="1:30" x14ac:dyDescent="0.15">
      <c r="A80" s="55" t="s">
        <v>41</v>
      </c>
      <c r="B80" s="237" t="s">
        <v>339</v>
      </c>
      <c r="C80" s="152">
        <v>2018</v>
      </c>
      <c r="D80" s="56" t="s">
        <v>348</v>
      </c>
      <c r="E80" s="237" t="s">
        <v>294</v>
      </c>
      <c r="F80" s="237" t="s">
        <v>300</v>
      </c>
      <c r="G80" s="55" t="s">
        <v>42</v>
      </c>
      <c r="H80" s="55" t="s">
        <v>168</v>
      </c>
      <c r="I80" s="55" t="s">
        <v>155</v>
      </c>
      <c r="J80" s="55" t="s">
        <v>38</v>
      </c>
      <c r="K80" s="55" t="s">
        <v>156</v>
      </c>
      <c r="L80" s="237">
        <v>1</v>
      </c>
      <c r="N80" s="55">
        <v>1</v>
      </c>
      <c r="O80" s="55">
        <v>0.85</v>
      </c>
      <c r="P80" s="55">
        <v>0.7</v>
      </c>
      <c r="Q80" s="82">
        <f t="shared" si="3"/>
        <v>0.77499999999999991</v>
      </c>
      <c r="R80" s="55">
        <v>13.3</v>
      </c>
      <c r="S80" s="55">
        <v>139</v>
      </c>
      <c r="T80" s="57">
        <f t="shared" si="4"/>
        <v>22</v>
      </c>
      <c r="U80" s="237">
        <v>159</v>
      </c>
      <c r="V80" s="58">
        <f t="shared" si="5"/>
        <v>3498</v>
      </c>
      <c r="W80" s="237">
        <v>1</v>
      </c>
      <c r="X80" s="55" t="s">
        <v>46</v>
      </c>
      <c r="Y80" s="55" t="s">
        <v>97</v>
      </c>
      <c r="Z80" s="55" t="s">
        <v>55</v>
      </c>
      <c r="AA80" s="55" t="s">
        <v>64</v>
      </c>
      <c r="AB80" s="55" t="s">
        <v>341</v>
      </c>
    </row>
    <row r="81" spans="1:30" x14ac:dyDescent="0.15">
      <c r="A81" s="55" t="s">
        <v>41</v>
      </c>
      <c r="B81" s="237" t="s">
        <v>339</v>
      </c>
      <c r="C81" s="152">
        <v>2018</v>
      </c>
      <c r="D81" s="56" t="s">
        <v>348</v>
      </c>
      <c r="E81" s="237" t="s">
        <v>294</v>
      </c>
      <c r="F81" s="237" t="s">
        <v>300</v>
      </c>
      <c r="G81" s="55" t="s">
        <v>42</v>
      </c>
      <c r="H81" s="55" t="s">
        <v>168</v>
      </c>
      <c r="I81" s="55" t="s">
        <v>155</v>
      </c>
      <c r="J81" s="55" t="s">
        <v>38</v>
      </c>
      <c r="K81" s="55" t="s">
        <v>156</v>
      </c>
      <c r="L81" s="237">
        <v>2</v>
      </c>
      <c r="N81" s="55">
        <v>1</v>
      </c>
      <c r="O81" s="55">
        <v>0.9</v>
      </c>
      <c r="P81" s="55">
        <v>0.7</v>
      </c>
      <c r="Q81" s="82">
        <f t="shared" si="3"/>
        <v>0.8</v>
      </c>
      <c r="R81" s="55">
        <v>15.5</v>
      </c>
      <c r="S81" s="55">
        <v>128</v>
      </c>
      <c r="T81" s="57">
        <f t="shared" si="4"/>
        <v>27</v>
      </c>
      <c r="U81" s="237">
        <v>159</v>
      </c>
      <c r="V81" s="58">
        <f t="shared" si="5"/>
        <v>4293</v>
      </c>
      <c r="W81" s="237">
        <v>1</v>
      </c>
      <c r="X81" s="55" t="s">
        <v>46</v>
      </c>
      <c r="Y81" s="55" t="s">
        <v>97</v>
      </c>
      <c r="Z81" s="55" t="s">
        <v>55</v>
      </c>
      <c r="AA81" s="55" t="s">
        <v>64</v>
      </c>
      <c r="AB81" s="55" t="s">
        <v>341</v>
      </c>
    </row>
    <row r="82" spans="1:30" x14ac:dyDescent="0.15">
      <c r="A82" s="55" t="s">
        <v>41</v>
      </c>
      <c r="B82" s="237" t="s">
        <v>339</v>
      </c>
      <c r="C82" s="152">
        <v>2018</v>
      </c>
      <c r="D82" s="56" t="s">
        <v>348</v>
      </c>
      <c r="E82" s="237" t="s">
        <v>294</v>
      </c>
      <c r="F82" s="237" t="s">
        <v>300</v>
      </c>
      <c r="G82" s="55" t="s">
        <v>42</v>
      </c>
      <c r="H82" s="55" t="s">
        <v>168</v>
      </c>
      <c r="I82" s="55" t="s">
        <v>155</v>
      </c>
      <c r="J82" s="55" t="s">
        <v>38</v>
      </c>
      <c r="K82" s="55" t="s">
        <v>156</v>
      </c>
      <c r="L82" s="237">
        <v>3</v>
      </c>
      <c r="N82" s="55">
        <v>1</v>
      </c>
      <c r="O82" s="55">
        <v>0.65</v>
      </c>
      <c r="P82" s="55">
        <v>0.5</v>
      </c>
      <c r="Q82" s="82">
        <f t="shared" si="3"/>
        <v>0.57499999999999996</v>
      </c>
      <c r="R82" s="55">
        <v>15.1</v>
      </c>
      <c r="S82" s="55">
        <v>131</v>
      </c>
      <c r="T82" s="57">
        <f t="shared" si="4"/>
        <v>25</v>
      </c>
      <c r="U82" s="55">
        <v>159</v>
      </c>
      <c r="V82" s="58">
        <f t="shared" si="5"/>
        <v>3975</v>
      </c>
      <c r="W82" s="237">
        <v>1</v>
      </c>
      <c r="X82" s="55" t="s">
        <v>46</v>
      </c>
      <c r="Y82" s="55" t="s">
        <v>97</v>
      </c>
      <c r="Z82" s="55" t="s">
        <v>55</v>
      </c>
      <c r="AA82" s="55" t="s">
        <v>64</v>
      </c>
      <c r="AB82" s="55" t="s">
        <v>341</v>
      </c>
    </row>
    <row r="83" spans="1:30" x14ac:dyDescent="0.15">
      <c r="A83" s="55" t="s">
        <v>41</v>
      </c>
      <c r="B83" s="237" t="s">
        <v>339</v>
      </c>
      <c r="C83" s="152">
        <v>2018</v>
      </c>
      <c r="D83" s="56" t="s">
        <v>348</v>
      </c>
      <c r="E83" s="237" t="s">
        <v>294</v>
      </c>
      <c r="F83" s="237" t="s">
        <v>300</v>
      </c>
      <c r="G83" s="55" t="s">
        <v>42</v>
      </c>
      <c r="H83" s="55" t="s">
        <v>168</v>
      </c>
      <c r="I83" s="55" t="s">
        <v>155</v>
      </c>
      <c r="J83" s="55" t="s">
        <v>38</v>
      </c>
      <c r="K83" s="55" t="s">
        <v>156</v>
      </c>
      <c r="L83" s="237">
        <v>1</v>
      </c>
      <c r="N83" s="237">
        <v>8</v>
      </c>
      <c r="O83" s="55">
        <v>0.8</v>
      </c>
      <c r="P83" s="55">
        <v>0.6</v>
      </c>
      <c r="Q83" s="82">
        <f t="shared" si="3"/>
        <v>0.7</v>
      </c>
      <c r="R83" s="55">
        <v>17</v>
      </c>
      <c r="S83" s="55">
        <v>129</v>
      </c>
      <c r="T83" s="57">
        <f t="shared" si="4"/>
        <v>25</v>
      </c>
      <c r="U83" s="237">
        <v>1069</v>
      </c>
      <c r="V83" s="58">
        <f t="shared" si="5"/>
        <v>3340.625</v>
      </c>
      <c r="W83" s="237">
        <v>4</v>
      </c>
      <c r="X83" s="55" t="s">
        <v>46</v>
      </c>
      <c r="Y83" s="55" t="s">
        <v>97</v>
      </c>
      <c r="Z83" s="55" t="s">
        <v>55</v>
      </c>
      <c r="AA83" s="55" t="s">
        <v>64</v>
      </c>
      <c r="AB83" s="55" t="s">
        <v>341</v>
      </c>
      <c r="AC83" s="55"/>
      <c r="AD83" s="55"/>
    </row>
    <row r="84" spans="1:30" x14ac:dyDescent="0.15">
      <c r="A84" s="55" t="s">
        <v>41</v>
      </c>
      <c r="B84" s="237" t="s">
        <v>339</v>
      </c>
      <c r="C84" s="152">
        <v>2018</v>
      </c>
      <c r="D84" s="56" t="s">
        <v>348</v>
      </c>
      <c r="E84" s="237" t="s">
        <v>294</v>
      </c>
      <c r="F84" s="237" t="s">
        <v>300</v>
      </c>
      <c r="G84" s="55" t="s">
        <v>42</v>
      </c>
      <c r="H84" s="55" t="s">
        <v>168</v>
      </c>
      <c r="I84" s="55" t="s">
        <v>155</v>
      </c>
      <c r="J84" s="55" t="s">
        <v>38</v>
      </c>
      <c r="K84" s="55" t="s">
        <v>156</v>
      </c>
      <c r="L84" s="237">
        <v>2</v>
      </c>
      <c r="N84" s="237">
        <v>8</v>
      </c>
      <c r="O84" s="55">
        <v>0.95</v>
      </c>
      <c r="P84" s="55">
        <v>0.75</v>
      </c>
      <c r="Q84" s="82">
        <f t="shared" si="3"/>
        <v>0.85</v>
      </c>
      <c r="R84" s="55">
        <v>15.4</v>
      </c>
      <c r="S84" s="55">
        <v>133</v>
      </c>
      <c r="T84" s="57">
        <f t="shared" si="4"/>
        <v>25</v>
      </c>
      <c r="U84" s="237">
        <v>1069</v>
      </c>
      <c r="V84" s="58">
        <f t="shared" si="5"/>
        <v>3340.625</v>
      </c>
      <c r="W84" s="237">
        <v>4</v>
      </c>
      <c r="X84" s="55" t="s">
        <v>46</v>
      </c>
      <c r="Y84" s="55" t="s">
        <v>97</v>
      </c>
      <c r="Z84" s="55" t="s">
        <v>55</v>
      </c>
      <c r="AA84" s="55" t="s">
        <v>64</v>
      </c>
      <c r="AB84" s="55" t="s">
        <v>341</v>
      </c>
      <c r="AC84" s="55"/>
      <c r="AD84" s="55"/>
    </row>
    <row r="85" spans="1:30" x14ac:dyDescent="0.15">
      <c r="A85" s="55" t="s">
        <v>41</v>
      </c>
      <c r="B85" s="237" t="s">
        <v>339</v>
      </c>
      <c r="C85" s="152">
        <v>2018</v>
      </c>
      <c r="D85" s="56" t="s">
        <v>348</v>
      </c>
      <c r="E85" s="237" t="s">
        <v>294</v>
      </c>
      <c r="F85" s="237" t="s">
        <v>300</v>
      </c>
      <c r="G85" s="55" t="s">
        <v>42</v>
      </c>
      <c r="H85" s="55" t="s">
        <v>168</v>
      </c>
      <c r="I85" s="55" t="s">
        <v>155</v>
      </c>
      <c r="J85" s="55" t="s">
        <v>38</v>
      </c>
      <c r="K85" s="55" t="s">
        <v>156</v>
      </c>
      <c r="L85" s="237">
        <v>3</v>
      </c>
      <c r="N85" s="237">
        <v>8</v>
      </c>
      <c r="O85" s="55">
        <v>0.2</v>
      </c>
      <c r="P85" s="55">
        <v>0.2</v>
      </c>
      <c r="Q85" s="82">
        <f t="shared" si="3"/>
        <v>0.2</v>
      </c>
      <c r="R85" s="55">
        <v>15.2</v>
      </c>
      <c r="S85" s="55">
        <v>124</v>
      </c>
      <c r="T85" s="57">
        <f t="shared" si="4"/>
        <v>27</v>
      </c>
      <c r="U85" s="237">
        <v>1069</v>
      </c>
      <c r="V85" s="58">
        <f t="shared" si="5"/>
        <v>3607.875</v>
      </c>
      <c r="W85" s="237">
        <v>4</v>
      </c>
      <c r="X85" s="55" t="s">
        <v>46</v>
      </c>
      <c r="Y85" s="55" t="s">
        <v>97</v>
      </c>
      <c r="Z85" s="55" t="s">
        <v>55</v>
      </c>
      <c r="AA85" s="55" t="s">
        <v>64</v>
      </c>
      <c r="AB85" s="55" t="s">
        <v>341</v>
      </c>
      <c r="AC85" s="55"/>
      <c r="AD85" s="55"/>
    </row>
    <row r="86" spans="1:30" x14ac:dyDescent="0.15">
      <c r="A86" s="55" t="s">
        <v>41</v>
      </c>
      <c r="B86" s="237" t="s">
        <v>339</v>
      </c>
      <c r="C86" s="152">
        <v>2018</v>
      </c>
      <c r="D86" s="56" t="s">
        <v>348</v>
      </c>
      <c r="E86" s="237" t="s">
        <v>294</v>
      </c>
      <c r="F86" s="237" t="s">
        <v>300</v>
      </c>
      <c r="G86" s="55" t="s">
        <v>42</v>
      </c>
      <c r="H86" s="55" t="s">
        <v>157</v>
      </c>
      <c r="I86" s="55" t="s">
        <v>155</v>
      </c>
      <c r="J86" s="55" t="s">
        <v>38</v>
      </c>
      <c r="K86" s="55" t="s">
        <v>156</v>
      </c>
      <c r="L86" s="237">
        <v>1</v>
      </c>
      <c r="N86" s="55">
        <v>4</v>
      </c>
      <c r="O86" s="55">
        <v>0.25</v>
      </c>
      <c r="P86" s="55">
        <v>0.2</v>
      </c>
      <c r="Q86" s="82">
        <f t="shared" si="3"/>
        <v>0.22500000000000001</v>
      </c>
      <c r="R86" s="55">
        <v>15.2</v>
      </c>
      <c r="S86" s="55">
        <v>110</v>
      </c>
      <c r="T86" s="57">
        <f t="shared" si="4"/>
        <v>33</v>
      </c>
      <c r="U86" s="237">
        <v>429</v>
      </c>
      <c r="V86" s="58">
        <f t="shared" si="5"/>
        <v>3539.25</v>
      </c>
      <c r="W86" s="237">
        <v>2</v>
      </c>
      <c r="X86" s="55" t="s">
        <v>46</v>
      </c>
      <c r="Y86" s="55" t="s">
        <v>97</v>
      </c>
      <c r="Z86" s="55" t="s">
        <v>55</v>
      </c>
      <c r="AA86" s="55" t="s">
        <v>64</v>
      </c>
      <c r="AB86" s="55" t="s">
        <v>341</v>
      </c>
      <c r="AC86" s="55"/>
      <c r="AD86" s="55"/>
    </row>
    <row r="87" spans="1:30" x14ac:dyDescent="0.15">
      <c r="A87" s="55" t="s">
        <v>41</v>
      </c>
      <c r="B87" s="237" t="s">
        <v>339</v>
      </c>
      <c r="C87" s="152">
        <v>2018</v>
      </c>
      <c r="D87" s="56" t="s">
        <v>348</v>
      </c>
      <c r="E87" s="237" t="s">
        <v>294</v>
      </c>
      <c r="F87" s="237" t="s">
        <v>300</v>
      </c>
      <c r="G87" s="55" t="s">
        <v>42</v>
      </c>
      <c r="H87" s="55" t="s">
        <v>157</v>
      </c>
      <c r="I87" s="55" t="s">
        <v>155</v>
      </c>
      <c r="J87" s="55" t="s">
        <v>38</v>
      </c>
      <c r="K87" s="55" t="s">
        <v>156</v>
      </c>
      <c r="L87" s="237">
        <v>2</v>
      </c>
      <c r="N87" s="55">
        <v>4</v>
      </c>
      <c r="O87" s="55">
        <v>0.3</v>
      </c>
      <c r="P87" s="55">
        <v>0.2</v>
      </c>
      <c r="Q87" s="82">
        <f t="shared" si="3"/>
        <v>0.25</v>
      </c>
      <c r="R87" s="55">
        <v>13.9</v>
      </c>
      <c r="S87" s="55">
        <v>121</v>
      </c>
      <c r="T87" s="57">
        <f t="shared" si="4"/>
        <v>27</v>
      </c>
      <c r="U87" s="237">
        <v>429</v>
      </c>
      <c r="V87" s="58">
        <f t="shared" si="5"/>
        <v>2895.75</v>
      </c>
      <c r="W87" s="237">
        <v>2</v>
      </c>
      <c r="X87" s="55" t="s">
        <v>46</v>
      </c>
      <c r="Y87" s="55" t="s">
        <v>97</v>
      </c>
      <c r="Z87" s="55" t="s">
        <v>55</v>
      </c>
      <c r="AA87" s="55" t="s">
        <v>64</v>
      </c>
      <c r="AB87" s="55" t="s">
        <v>341</v>
      </c>
      <c r="AC87" s="55"/>
      <c r="AD87" s="55"/>
    </row>
    <row r="88" spans="1:30" x14ac:dyDescent="0.15">
      <c r="A88" s="55" t="s">
        <v>41</v>
      </c>
      <c r="B88" s="237" t="s">
        <v>339</v>
      </c>
      <c r="C88" s="152">
        <v>2018</v>
      </c>
      <c r="D88" s="56" t="s">
        <v>348</v>
      </c>
      <c r="E88" s="237" t="s">
        <v>294</v>
      </c>
      <c r="F88" s="237" t="s">
        <v>300</v>
      </c>
      <c r="G88" s="55" t="s">
        <v>42</v>
      </c>
      <c r="H88" s="55" t="s">
        <v>157</v>
      </c>
      <c r="I88" s="55" t="s">
        <v>155</v>
      </c>
      <c r="J88" s="55" t="s">
        <v>38</v>
      </c>
      <c r="K88" s="55" t="s">
        <v>156</v>
      </c>
      <c r="L88" s="237">
        <v>3</v>
      </c>
      <c r="N88" s="55">
        <v>4</v>
      </c>
      <c r="O88" s="55">
        <v>0.5</v>
      </c>
      <c r="P88" s="55">
        <v>0.6</v>
      </c>
      <c r="Q88" s="57">
        <f t="shared" si="3"/>
        <v>0.55000000000000004</v>
      </c>
      <c r="R88" s="237">
        <v>14.5</v>
      </c>
      <c r="S88" s="55">
        <v>118</v>
      </c>
      <c r="T88" s="57">
        <f t="shared" si="4"/>
        <v>30</v>
      </c>
      <c r="U88" s="55">
        <v>429</v>
      </c>
      <c r="V88" s="58">
        <f t="shared" si="5"/>
        <v>3217.5</v>
      </c>
      <c r="W88" s="237">
        <v>2</v>
      </c>
      <c r="X88" s="55" t="s">
        <v>46</v>
      </c>
      <c r="Y88" s="55" t="s">
        <v>97</v>
      </c>
      <c r="Z88" s="55" t="s">
        <v>55</v>
      </c>
      <c r="AA88" s="55" t="s">
        <v>64</v>
      </c>
      <c r="AB88" s="55" t="s">
        <v>341</v>
      </c>
      <c r="AC88" s="55"/>
      <c r="AD88" s="55"/>
    </row>
    <row r="89" spans="1:30" x14ac:dyDescent="0.15">
      <c r="A89" s="55" t="s">
        <v>41</v>
      </c>
      <c r="B89" s="237" t="s">
        <v>339</v>
      </c>
      <c r="C89" s="152">
        <v>2018</v>
      </c>
      <c r="D89" s="56" t="s">
        <v>348</v>
      </c>
      <c r="E89" s="237" t="s">
        <v>294</v>
      </c>
      <c r="F89" s="237" t="s">
        <v>300</v>
      </c>
      <c r="G89" s="55" t="s">
        <v>42</v>
      </c>
      <c r="H89" s="55" t="s">
        <v>168</v>
      </c>
      <c r="I89" s="55" t="s">
        <v>155</v>
      </c>
      <c r="J89" s="55" t="s">
        <v>38</v>
      </c>
      <c r="K89" s="55" t="s">
        <v>156</v>
      </c>
      <c r="L89" s="237">
        <v>1</v>
      </c>
      <c r="N89" s="237">
        <v>4</v>
      </c>
      <c r="O89" s="55">
        <v>0.4</v>
      </c>
      <c r="P89" s="55">
        <v>0.5</v>
      </c>
      <c r="Q89" s="57">
        <f t="shared" si="3"/>
        <v>0.45</v>
      </c>
      <c r="R89" s="237">
        <v>16</v>
      </c>
      <c r="S89" s="55">
        <v>118</v>
      </c>
      <c r="T89" s="57">
        <f t="shared" si="4"/>
        <v>30</v>
      </c>
      <c r="U89" s="237">
        <v>626</v>
      </c>
      <c r="V89" s="58">
        <f t="shared" si="5"/>
        <v>4695</v>
      </c>
      <c r="W89" s="237">
        <v>2</v>
      </c>
      <c r="X89" s="55" t="s">
        <v>46</v>
      </c>
      <c r="Y89" s="55" t="s">
        <v>97</v>
      </c>
      <c r="Z89" s="55" t="s">
        <v>55</v>
      </c>
      <c r="AA89" s="55" t="s">
        <v>64</v>
      </c>
      <c r="AB89" s="55" t="s">
        <v>341</v>
      </c>
      <c r="AC89" s="55"/>
      <c r="AD89" s="55"/>
    </row>
    <row r="90" spans="1:30" x14ac:dyDescent="0.15">
      <c r="A90" s="55" t="s">
        <v>41</v>
      </c>
      <c r="B90" s="237" t="s">
        <v>339</v>
      </c>
      <c r="C90" s="152">
        <v>2018</v>
      </c>
      <c r="D90" s="56" t="s">
        <v>348</v>
      </c>
      <c r="E90" s="237" t="s">
        <v>294</v>
      </c>
      <c r="F90" s="237" t="s">
        <v>300</v>
      </c>
      <c r="G90" s="55" t="s">
        <v>42</v>
      </c>
      <c r="H90" s="55" t="s">
        <v>168</v>
      </c>
      <c r="I90" s="55" t="s">
        <v>155</v>
      </c>
      <c r="J90" s="55" t="s">
        <v>38</v>
      </c>
      <c r="K90" s="55" t="s">
        <v>156</v>
      </c>
      <c r="L90" s="237">
        <v>2</v>
      </c>
      <c r="N90" s="237">
        <v>4</v>
      </c>
      <c r="O90" s="55">
        <v>0.7</v>
      </c>
      <c r="P90" s="55">
        <v>0.65</v>
      </c>
      <c r="Q90" s="57">
        <f t="shared" si="3"/>
        <v>0.67500000000000004</v>
      </c>
      <c r="R90" s="237">
        <v>14.2</v>
      </c>
      <c r="S90" s="55">
        <v>126</v>
      </c>
      <c r="T90" s="57">
        <f t="shared" si="4"/>
        <v>27</v>
      </c>
      <c r="U90" s="237">
        <v>626</v>
      </c>
      <c r="V90" s="58">
        <f t="shared" si="5"/>
        <v>4225.5</v>
      </c>
      <c r="W90" s="237">
        <v>2</v>
      </c>
      <c r="X90" s="55" t="s">
        <v>46</v>
      </c>
      <c r="Y90" s="55" t="s">
        <v>97</v>
      </c>
      <c r="Z90" s="55" t="s">
        <v>55</v>
      </c>
      <c r="AA90" s="55" t="s">
        <v>64</v>
      </c>
      <c r="AB90" s="55" t="s">
        <v>341</v>
      </c>
      <c r="AC90" s="55"/>
      <c r="AD90" s="55"/>
    </row>
    <row r="91" spans="1:30" x14ac:dyDescent="0.15">
      <c r="A91" s="55" t="s">
        <v>41</v>
      </c>
      <c r="B91" s="237" t="s">
        <v>339</v>
      </c>
      <c r="C91" s="152">
        <v>2018</v>
      </c>
      <c r="D91" s="56" t="s">
        <v>348</v>
      </c>
      <c r="E91" s="237" t="s">
        <v>294</v>
      </c>
      <c r="F91" s="237" t="s">
        <v>300</v>
      </c>
      <c r="G91" s="55" t="s">
        <v>42</v>
      </c>
      <c r="H91" s="55" t="s">
        <v>168</v>
      </c>
      <c r="I91" s="55" t="s">
        <v>155</v>
      </c>
      <c r="J91" s="55" t="s">
        <v>38</v>
      </c>
      <c r="K91" s="55" t="s">
        <v>156</v>
      </c>
      <c r="L91" s="237">
        <v>3</v>
      </c>
      <c r="N91" s="237">
        <v>4</v>
      </c>
      <c r="O91" s="55">
        <v>0.5</v>
      </c>
      <c r="P91" s="55">
        <v>0.45</v>
      </c>
      <c r="Q91" s="57">
        <f t="shared" si="3"/>
        <v>0.47499999999999998</v>
      </c>
      <c r="R91" s="237">
        <v>14.1</v>
      </c>
      <c r="S91" s="55">
        <v>123</v>
      </c>
      <c r="T91" s="57">
        <f t="shared" si="4"/>
        <v>27</v>
      </c>
      <c r="U91" s="237">
        <v>626</v>
      </c>
      <c r="V91" s="58">
        <f t="shared" si="5"/>
        <v>4225.5</v>
      </c>
      <c r="W91" s="237">
        <v>2</v>
      </c>
      <c r="X91" s="55" t="s">
        <v>46</v>
      </c>
      <c r="Y91" s="55" t="s">
        <v>97</v>
      </c>
      <c r="Z91" s="55" t="s">
        <v>55</v>
      </c>
      <c r="AA91" s="55" t="s">
        <v>64</v>
      </c>
      <c r="AB91" s="55" t="s">
        <v>341</v>
      </c>
      <c r="AC91" s="55"/>
      <c r="AD91" s="55"/>
    </row>
    <row r="92" spans="1:30" x14ac:dyDescent="0.15">
      <c r="A92" s="55" t="s">
        <v>41</v>
      </c>
      <c r="B92" s="237" t="s">
        <v>339</v>
      </c>
      <c r="C92" s="152">
        <v>2018</v>
      </c>
      <c r="D92" s="56" t="s">
        <v>348</v>
      </c>
      <c r="E92" s="55" t="s">
        <v>296</v>
      </c>
      <c r="F92" s="237" t="s">
        <v>301</v>
      </c>
      <c r="G92" s="55" t="s">
        <v>42</v>
      </c>
      <c r="H92" s="55" t="s">
        <v>157</v>
      </c>
      <c r="I92" s="55" t="s">
        <v>155</v>
      </c>
      <c r="J92" s="55" t="s">
        <v>38</v>
      </c>
      <c r="K92" s="55" t="s">
        <v>156</v>
      </c>
      <c r="L92" s="237">
        <v>1</v>
      </c>
      <c r="N92" s="237">
        <v>1</v>
      </c>
      <c r="O92" s="55">
        <v>0.15</v>
      </c>
      <c r="P92" s="55">
        <v>0.2</v>
      </c>
      <c r="Q92" s="57">
        <f t="shared" si="3"/>
        <v>0.17499999999999999</v>
      </c>
      <c r="R92" s="55">
        <v>14.5</v>
      </c>
      <c r="S92" s="237">
        <v>157</v>
      </c>
      <c r="T92" s="57">
        <f t="shared" si="4"/>
        <v>22</v>
      </c>
      <c r="U92" s="237">
        <v>159</v>
      </c>
      <c r="V92" s="58">
        <f t="shared" si="5"/>
        <v>3498</v>
      </c>
      <c r="W92" s="237">
        <v>2</v>
      </c>
      <c r="X92" s="55" t="s">
        <v>46</v>
      </c>
      <c r="Y92" s="55" t="s">
        <v>69</v>
      </c>
      <c r="Z92" s="55" t="s">
        <v>97</v>
      </c>
      <c r="AA92" s="55" t="s">
        <v>86</v>
      </c>
      <c r="AB92" s="55" t="s">
        <v>341</v>
      </c>
      <c r="AC92" s="55"/>
      <c r="AD92" s="55"/>
    </row>
    <row r="93" spans="1:30" x14ac:dyDescent="0.15">
      <c r="A93" s="55" t="s">
        <v>41</v>
      </c>
      <c r="B93" s="237" t="s">
        <v>339</v>
      </c>
      <c r="C93" s="152">
        <v>2018</v>
      </c>
      <c r="D93" s="56" t="s">
        <v>348</v>
      </c>
      <c r="E93" s="55" t="s">
        <v>296</v>
      </c>
      <c r="F93" s="237" t="s">
        <v>301</v>
      </c>
      <c r="G93" s="55" t="s">
        <v>42</v>
      </c>
      <c r="H93" s="55" t="s">
        <v>157</v>
      </c>
      <c r="I93" s="55" t="s">
        <v>155</v>
      </c>
      <c r="J93" s="55" t="s">
        <v>38</v>
      </c>
      <c r="K93" s="55" t="s">
        <v>156</v>
      </c>
      <c r="L93" s="237">
        <v>2</v>
      </c>
      <c r="N93" s="237">
        <v>1</v>
      </c>
      <c r="O93" s="55">
        <v>0.2</v>
      </c>
      <c r="P93" s="55">
        <v>0.35</v>
      </c>
      <c r="Q93" s="57">
        <f t="shared" si="3"/>
        <v>0.27500000000000002</v>
      </c>
      <c r="R93" s="55">
        <v>13.8</v>
      </c>
      <c r="S93" s="237">
        <v>158</v>
      </c>
      <c r="T93" s="57">
        <f t="shared" si="4"/>
        <v>22</v>
      </c>
      <c r="U93" s="237">
        <v>159</v>
      </c>
      <c r="V93" s="58">
        <f t="shared" si="5"/>
        <v>3498</v>
      </c>
      <c r="W93" s="237">
        <v>2</v>
      </c>
      <c r="X93" s="55" t="s">
        <v>46</v>
      </c>
      <c r="Y93" s="55" t="s">
        <v>69</v>
      </c>
      <c r="Z93" s="55" t="s">
        <v>97</v>
      </c>
      <c r="AA93" s="55" t="s">
        <v>86</v>
      </c>
      <c r="AB93" s="55" t="s">
        <v>341</v>
      </c>
      <c r="AC93" s="55"/>
      <c r="AD93" s="55"/>
    </row>
    <row r="94" spans="1:30" x14ac:dyDescent="0.15">
      <c r="A94" s="55" t="s">
        <v>41</v>
      </c>
      <c r="B94" s="237" t="s">
        <v>339</v>
      </c>
      <c r="C94" s="152">
        <v>2018</v>
      </c>
      <c r="D94" s="56" t="s">
        <v>348</v>
      </c>
      <c r="E94" s="55" t="s">
        <v>296</v>
      </c>
      <c r="F94" s="237" t="s">
        <v>301</v>
      </c>
      <c r="G94" s="55" t="s">
        <v>42</v>
      </c>
      <c r="H94" s="55" t="s">
        <v>157</v>
      </c>
      <c r="I94" s="55" t="s">
        <v>155</v>
      </c>
      <c r="J94" s="55" t="s">
        <v>38</v>
      </c>
      <c r="K94" s="55" t="s">
        <v>156</v>
      </c>
      <c r="L94" s="237">
        <v>3</v>
      </c>
      <c r="N94" s="237">
        <v>1</v>
      </c>
      <c r="O94" s="55">
        <v>0.2</v>
      </c>
      <c r="P94" s="55">
        <v>0.25</v>
      </c>
      <c r="Q94" s="57">
        <f t="shared" si="3"/>
        <v>0.22500000000000001</v>
      </c>
      <c r="R94" s="55">
        <v>16.399999999999999</v>
      </c>
      <c r="S94" s="237">
        <v>161</v>
      </c>
      <c r="T94" s="57">
        <f t="shared" si="4"/>
        <v>22</v>
      </c>
      <c r="U94" s="237">
        <v>159</v>
      </c>
      <c r="V94" s="58">
        <f t="shared" si="5"/>
        <v>3498</v>
      </c>
      <c r="W94" s="237">
        <v>2</v>
      </c>
      <c r="X94" s="55" t="s">
        <v>46</v>
      </c>
      <c r="Y94" s="55" t="s">
        <v>69</v>
      </c>
      <c r="Z94" s="55" t="s">
        <v>97</v>
      </c>
      <c r="AA94" s="55" t="s">
        <v>86</v>
      </c>
      <c r="AB94" s="55" t="s">
        <v>341</v>
      </c>
      <c r="AC94" s="55"/>
      <c r="AD94" s="55"/>
    </row>
    <row r="95" spans="1:30" x14ac:dyDescent="0.15">
      <c r="A95" s="55" t="s">
        <v>41</v>
      </c>
      <c r="B95" s="237" t="s">
        <v>339</v>
      </c>
      <c r="C95" s="152">
        <v>2018</v>
      </c>
      <c r="D95" s="56" t="s">
        <v>348</v>
      </c>
      <c r="E95" s="55" t="s">
        <v>296</v>
      </c>
      <c r="F95" s="237" t="s">
        <v>301</v>
      </c>
      <c r="G95" s="55" t="s">
        <v>42</v>
      </c>
      <c r="H95" s="55" t="s">
        <v>157</v>
      </c>
      <c r="I95" s="55" t="s">
        <v>155</v>
      </c>
      <c r="J95" s="55" t="s">
        <v>38</v>
      </c>
      <c r="K95" s="55" t="s">
        <v>156</v>
      </c>
      <c r="L95" s="237">
        <v>1</v>
      </c>
      <c r="N95" s="237">
        <v>5</v>
      </c>
      <c r="O95" s="55">
        <v>0.35</v>
      </c>
      <c r="P95" s="55">
        <v>0.4</v>
      </c>
      <c r="Q95" s="57">
        <f t="shared" si="3"/>
        <v>0.375</v>
      </c>
      <c r="R95" s="55">
        <v>16.100000000000001</v>
      </c>
      <c r="S95" s="237">
        <v>157</v>
      </c>
      <c r="T95" s="57">
        <f t="shared" si="4"/>
        <v>22</v>
      </c>
      <c r="U95" s="237">
        <v>537</v>
      </c>
      <c r="V95" s="58">
        <f t="shared" si="5"/>
        <v>2362.8000000000002</v>
      </c>
      <c r="W95" s="237">
        <v>1</v>
      </c>
      <c r="X95" s="55" t="s">
        <v>46</v>
      </c>
      <c r="Y95" s="55" t="s">
        <v>69</v>
      </c>
      <c r="Z95" s="55" t="s">
        <v>97</v>
      </c>
      <c r="AA95" s="55" t="s">
        <v>86</v>
      </c>
      <c r="AB95" s="55" t="s">
        <v>341</v>
      </c>
      <c r="AC95" s="55"/>
      <c r="AD95" s="55"/>
    </row>
    <row r="96" spans="1:30" x14ac:dyDescent="0.15">
      <c r="A96" s="55" t="s">
        <v>41</v>
      </c>
      <c r="B96" s="237" t="s">
        <v>339</v>
      </c>
      <c r="C96" s="152">
        <v>2018</v>
      </c>
      <c r="D96" s="56" t="s">
        <v>348</v>
      </c>
      <c r="E96" s="55" t="s">
        <v>296</v>
      </c>
      <c r="F96" s="237" t="s">
        <v>301</v>
      </c>
      <c r="G96" s="55" t="s">
        <v>42</v>
      </c>
      <c r="H96" s="55" t="s">
        <v>157</v>
      </c>
      <c r="I96" s="55" t="s">
        <v>155</v>
      </c>
      <c r="J96" s="55" t="s">
        <v>38</v>
      </c>
      <c r="K96" s="55" t="s">
        <v>156</v>
      </c>
      <c r="L96" s="237">
        <v>2</v>
      </c>
      <c r="N96" s="237">
        <v>5</v>
      </c>
      <c r="O96" s="237">
        <v>0.5</v>
      </c>
      <c r="P96" s="237">
        <v>0.5</v>
      </c>
      <c r="Q96" s="258">
        <f t="shared" si="3"/>
        <v>0.5</v>
      </c>
      <c r="R96" s="237">
        <v>12.8</v>
      </c>
      <c r="S96" s="55">
        <v>158</v>
      </c>
      <c r="T96" s="57">
        <f t="shared" si="4"/>
        <v>22</v>
      </c>
      <c r="U96" s="237">
        <v>537</v>
      </c>
      <c r="V96" s="58">
        <f t="shared" si="5"/>
        <v>2362.8000000000002</v>
      </c>
      <c r="W96" s="237">
        <v>1</v>
      </c>
      <c r="X96" s="55" t="s">
        <v>46</v>
      </c>
      <c r="Y96" s="55" t="s">
        <v>69</v>
      </c>
      <c r="Z96" s="55" t="s">
        <v>97</v>
      </c>
      <c r="AA96" s="55" t="s">
        <v>86</v>
      </c>
      <c r="AB96" s="55" t="s">
        <v>341</v>
      </c>
      <c r="AC96" s="55"/>
      <c r="AD96" s="55"/>
    </row>
    <row r="97" spans="1:30" x14ac:dyDescent="0.15">
      <c r="A97" s="55" t="s">
        <v>41</v>
      </c>
      <c r="B97" s="237" t="s">
        <v>339</v>
      </c>
      <c r="C97" s="152">
        <v>2018</v>
      </c>
      <c r="D97" s="56" t="s">
        <v>348</v>
      </c>
      <c r="E97" s="55" t="s">
        <v>296</v>
      </c>
      <c r="F97" s="237" t="s">
        <v>301</v>
      </c>
      <c r="G97" s="55" t="s">
        <v>42</v>
      </c>
      <c r="H97" s="55" t="s">
        <v>157</v>
      </c>
      <c r="I97" s="55" t="s">
        <v>155</v>
      </c>
      <c r="J97" s="55" t="s">
        <v>38</v>
      </c>
      <c r="K97" s="55" t="s">
        <v>156</v>
      </c>
      <c r="L97" s="237">
        <v>3</v>
      </c>
      <c r="N97" s="237">
        <v>5</v>
      </c>
      <c r="O97" s="237">
        <v>0.5</v>
      </c>
      <c r="P97" s="237">
        <v>0.35</v>
      </c>
      <c r="Q97" s="258">
        <f t="shared" si="3"/>
        <v>0.42499999999999999</v>
      </c>
      <c r="R97" s="237">
        <v>15.1</v>
      </c>
      <c r="S97" s="55">
        <v>164</v>
      </c>
      <c r="T97" s="57">
        <f t="shared" si="4"/>
        <v>22</v>
      </c>
      <c r="U97" s="237">
        <v>537</v>
      </c>
      <c r="V97" s="58">
        <f t="shared" si="5"/>
        <v>2362.8000000000002</v>
      </c>
      <c r="W97" s="237">
        <v>1</v>
      </c>
      <c r="X97" s="55" t="s">
        <v>46</v>
      </c>
      <c r="Y97" s="55" t="s">
        <v>69</v>
      </c>
      <c r="Z97" s="55" t="s">
        <v>97</v>
      </c>
      <c r="AA97" s="55" t="s">
        <v>86</v>
      </c>
      <c r="AB97" s="55" t="s">
        <v>341</v>
      </c>
      <c r="AC97" s="55"/>
      <c r="AD97" s="55"/>
    </row>
    <row r="98" spans="1:30" x14ac:dyDescent="0.15">
      <c r="A98" s="55" t="s">
        <v>41</v>
      </c>
      <c r="B98" s="237" t="s">
        <v>339</v>
      </c>
      <c r="C98" s="152">
        <v>2018</v>
      </c>
      <c r="D98" s="56" t="s">
        <v>348</v>
      </c>
      <c r="E98" s="55" t="s">
        <v>296</v>
      </c>
      <c r="F98" s="237" t="s">
        <v>301</v>
      </c>
      <c r="G98" s="55" t="s">
        <v>42</v>
      </c>
      <c r="H98" s="55" t="s">
        <v>168</v>
      </c>
      <c r="I98" s="55" t="s">
        <v>155</v>
      </c>
      <c r="J98" s="55" t="s">
        <v>38</v>
      </c>
      <c r="K98" s="55" t="s">
        <v>156</v>
      </c>
      <c r="L98" s="237">
        <v>1</v>
      </c>
      <c r="N98" s="237">
        <v>1</v>
      </c>
      <c r="O98" s="237">
        <v>0.5</v>
      </c>
      <c r="P98" s="237">
        <v>0.5</v>
      </c>
      <c r="Q98" s="258">
        <f t="shared" si="3"/>
        <v>0.5</v>
      </c>
      <c r="R98" s="237">
        <v>15.4</v>
      </c>
      <c r="S98" s="55">
        <v>167</v>
      </c>
      <c r="T98" s="57">
        <f t="shared" si="4"/>
        <v>22</v>
      </c>
      <c r="U98" s="237">
        <v>159</v>
      </c>
      <c r="V98" s="58">
        <f t="shared" si="5"/>
        <v>3498</v>
      </c>
      <c r="W98" s="237">
        <v>3</v>
      </c>
      <c r="X98" s="55" t="s">
        <v>46</v>
      </c>
      <c r="Y98" s="55" t="s">
        <v>69</v>
      </c>
      <c r="Z98" s="55" t="s">
        <v>97</v>
      </c>
      <c r="AA98" s="55" t="s">
        <v>86</v>
      </c>
      <c r="AB98" s="55" t="s">
        <v>341</v>
      </c>
      <c r="AC98" s="55"/>
      <c r="AD98" s="55"/>
    </row>
    <row r="99" spans="1:30" x14ac:dyDescent="0.15">
      <c r="A99" s="55" t="s">
        <v>41</v>
      </c>
      <c r="B99" s="237" t="s">
        <v>339</v>
      </c>
      <c r="C99" s="152">
        <v>2018</v>
      </c>
      <c r="D99" s="56" t="s">
        <v>348</v>
      </c>
      <c r="E99" s="55" t="s">
        <v>296</v>
      </c>
      <c r="F99" s="237" t="s">
        <v>301</v>
      </c>
      <c r="G99" s="55" t="s">
        <v>42</v>
      </c>
      <c r="H99" s="55" t="s">
        <v>168</v>
      </c>
      <c r="I99" s="55" t="s">
        <v>155</v>
      </c>
      <c r="J99" s="55" t="s">
        <v>38</v>
      </c>
      <c r="K99" s="55" t="s">
        <v>156</v>
      </c>
      <c r="L99" s="237">
        <v>2</v>
      </c>
      <c r="N99" s="237">
        <v>1</v>
      </c>
      <c r="O99" s="237">
        <v>0.45</v>
      </c>
      <c r="P99" s="237">
        <v>0.45</v>
      </c>
      <c r="Q99" s="82">
        <f t="shared" si="3"/>
        <v>0.45</v>
      </c>
      <c r="R99" s="55">
        <v>14.8</v>
      </c>
      <c r="S99" s="55">
        <v>140</v>
      </c>
      <c r="T99" s="57">
        <f t="shared" si="4"/>
        <v>22</v>
      </c>
      <c r="U99" s="237">
        <v>159</v>
      </c>
      <c r="V99" s="58">
        <f t="shared" si="5"/>
        <v>3498</v>
      </c>
      <c r="W99" s="237">
        <v>3</v>
      </c>
      <c r="X99" s="55" t="s">
        <v>46</v>
      </c>
      <c r="Y99" s="55" t="s">
        <v>69</v>
      </c>
      <c r="Z99" s="55" t="s">
        <v>97</v>
      </c>
      <c r="AA99" s="55" t="s">
        <v>86</v>
      </c>
      <c r="AB99" s="55" t="s">
        <v>341</v>
      </c>
      <c r="AC99" s="55"/>
      <c r="AD99" s="55"/>
    </row>
    <row r="100" spans="1:30" x14ac:dyDescent="0.15">
      <c r="A100" s="55" t="s">
        <v>41</v>
      </c>
      <c r="B100" s="237" t="s">
        <v>339</v>
      </c>
      <c r="C100" s="152">
        <v>2018</v>
      </c>
      <c r="D100" s="56" t="s">
        <v>348</v>
      </c>
      <c r="E100" s="55" t="s">
        <v>296</v>
      </c>
      <c r="F100" s="237" t="s">
        <v>301</v>
      </c>
      <c r="G100" s="55" t="s">
        <v>42</v>
      </c>
      <c r="H100" s="55" t="s">
        <v>168</v>
      </c>
      <c r="I100" s="55" t="s">
        <v>155</v>
      </c>
      <c r="J100" s="55" t="s">
        <v>38</v>
      </c>
      <c r="K100" s="55" t="s">
        <v>156</v>
      </c>
      <c r="L100" s="237">
        <v>3</v>
      </c>
      <c r="N100" s="237">
        <v>1</v>
      </c>
      <c r="O100" s="237">
        <v>0.2</v>
      </c>
      <c r="P100" s="237">
        <v>0.3</v>
      </c>
      <c r="Q100" s="82">
        <f t="shared" si="3"/>
        <v>0.25</v>
      </c>
      <c r="R100" s="55">
        <v>15</v>
      </c>
      <c r="S100" s="55">
        <v>149</v>
      </c>
      <c r="T100" s="57">
        <f t="shared" si="4"/>
        <v>22</v>
      </c>
      <c r="U100" s="237">
        <v>159</v>
      </c>
      <c r="V100" s="58">
        <f t="shared" si="5"/>
        <v>3498</v>
      </c>
      <c r="W100" s="237">
        <v>3</v>
      </c>
      <c r="X100" s="55" t="s">
        <v>46</v>
      </c>
      <c r="Y100" s="55" t="s">
        <v>69</v>
      </c>
      <c r="Z100" s="55" t="s">
        <v>97</v>
      </c>
      <c r="AA100" s="55" t="s">
        <v>86</v>
      </c>
      <c r="AB100" s="55" t="s">
        <v>341</v>
      </c>
      <c r="AC100" s="55"/>
      <c r="AD100" s="55"/>
    </row>
    <row r="101" spans="1:30" x14ac:dyDescent="0.15">
      <c r="A101" s="55" t="s">
        <v>41</v>
      </c>
      <c r="B101" s="237" t="s">
        <v>339</v>
      </c>
      <c r="C101" s="152">
        <v>2018</v>
      </c>
      <c r="D101" s="56" t="s">
        <v>348</v>
      </c>
      <c r="E101" s="55" t="s">
        <v>296</v>
      </c>
      <c r="F101" s="237" t="s">
        <v>301</v>
      </c>
      <c r="G101" s="55" t="s">
        <v>42</v>
      </c>
      <c r="H101" s="55" t="s">
        <v>168</v>
      </c>
      <c r="I101" s="55" t="s">
        <v>155</v>
      </c>
      <c r="J101" s="55" t="s">
        <v>38</v>
      </c>
      <c r="K101" s="55" t="s">
        <v>156</v>
      </c>
      <c r="L101" s="237">
        <v>1</v>
      </c>
      <c r="N101" s="237">
        <v>3</v>
      </c>
      <c r="O101" s="55">
        <v>0.25</v>
      </c>
      <c r="P101" s="55">
        <v>0.15</v>
      </c>
      <c r="Q101" s="82">
        <f t="shared" si="3"/>
        <v>0.2</v>
      </c>
      <c r="R101" s="237">
        <v>13.5</v>
      </c>
      <c r="S101" s="55">
        <v>160</v>
      </c>
      <c r="T101" s="57">
        <f t="shared" si="4"/>
        <v>22</v>
      </c>
      <c r="U101" s="237">
        <v>537</v>
      </c>
      <c r="V101" s="58">
        <f t="shared" si="5"/>
        <v>3938</v>
      </c>
      <c r="W101" s="237">
        <v>2</v>
      </c>
      <c r="X101" s="55" t="s">
        <v>46</v>
      </c>
      <c r="Y101" s="55" t="s">
        <v>69</v>
      </c>
      <c r="Z101" s="55" t="s">
        <v>97</v>
      </c>
      <c r="AA101" s="55" t="s">
        <v>86</v>
      </c>
      <c r="AB101" s="55" t="s">
        <v>341</v>
      </c>
    </row>
    <row r="102" spans="1:30" x14ac:dyDescent="0.15">
      <c r="A102" s="55" t="s">
        <v>41</v>
      </c>
      <c r="B102" s="237" t="s">
        <v>339</v>
      </c>
      <c r="C102" s="152">
        <v>2018</v>
      </c>
      <c r="D102" s="56" t="s">
        <v>348</v>
      </c>
      <c r="E102" s="55" t="s">
        <v>296</v>
      </c>
      <c r="F102" s="237" t="s">
        <v>301</v>
      </c>
      <c r="G102" s="55" t="s">
        <v>42</v>
      </c>
      <c r="H102" s="55" t="s">
        <v>168</v>
      </c>
      <c r="I102" s="55" t="s">
        <v>155</v>
      </c>
      <c r="J102" s="55" t="s">
        <v>38</v>
      </c>
      <c r="K102" s="55" t="s">
        <v>156</v>
      </c>
      <c r="L102" s="237">
        <v>2</v>
      </c>
      <c r="N102" s="237">
        <v>3</v>
      </c>
      <c r="O102" s="55">
        <v>0.5</v>
      </c>
      <c r="P102" s="55">
        <v>0.35</v>
      </c>
      <c r="Q102" s="258">
        <f t="shared" si="3"/>
        <v>0.42499999999999999</v>
      </c>
      <c r="R102" s="237">
        <v>14.5</v>
      </c>
      <c r="S102" s="55">
        <v>149</v>
      </c>
      <c r="T102" s="57">
        <f t="shared" si="4"/>
        <v>22</v>
      </c>
      <c r="U102" s="237">
        <v>537</v>
      </c>
      <c r="V102" s="58">
        <f t="shared" si="5"/>
        <v>3938</v>
      </c>
      <c r="W102" s="237">
        <v>2</v>
      </c>
      <c r="X102" s="55" t="s">
        <v>46</v>
      </c>
      <c r="Y102" s="55" t="s">
        <v>69</v>
      </c>
      <c r="Z102" s="55" t="s">
        <v>97</v>
      </c>
      <c r="AA102" s="55" t="s">
        <v>86</v>
      </c>
      <c r="AB102" s="55" t="s">
        <v>341</v>
      </c>
    </row>
    <row r="103" spans="1:30" x14ac:dyDescent="0.15">
      <c r="A103" s="55" t="s">
        <v>41</v>
      </c>
      <c r="B103" s="237" t="s">
        <v>339</v>
      </c>
      <c r="C103" s="152">
        <v>2018</v>
      </c>
      <c r="D103" s="56" t="s">
        <v>348</v>
      </c>
      <c r="E103" s="55" t="s">
        <v>296</v>
      </c>
      <c r="F103" s="237" t="s">
        <v>301</v>
      </c>
      <c r="G103" s="55" t="s">
        <v>42</v>
      </c>
      <c r="H103" s="55" t="s">
        <v>168</v>
      </c>
      <c r="I103" s="55" t="s">
        <v>155</v>
      </c>
      <c r="J103" s="55" t="s">
        <v>38</v>
      </c>
      <c r="K103" s="55" t="s">
        <v>156</v>
      </c>
      <c r="L103" s="237">
        <v>3</v>
      </c>
      <c r="N103" s="237">
        <v>3</v>
      </c>
      <c r="O103" s="55">
        <v>0.45</v>
      </c>
      <c r="P103" s="55">
        <v>0.4</v>
      </c>
      <c r="Q103" s="82">
        <f t="shared" si="3"/>
        <v>0.42500000000000004</v>
      </c>
      <c r="R103" s="237">
        <v>12.8</v>
      </c>
      <c r="S103" s="55">
        <v>150</v>
      </c>
      <c r="T103" s="57">
        <f t="shared" si="4"/>
        <v>22</v>
      </c>
      <c r="U103" s="237">
        <v>537</v>
      </c>
      <c r="V103" s="58">
        <f t="shared" si="5"/>
        <v>3938</v>
      </c>
      <c r="W103" s="237">
        <v>2</v>
      </c>
      <c r="X103" s="55" t="s">
        <v>46</v>
      </c>
      <c r="Y103" s="55" t="s">
        <v>69</v>
      </c>
      <c r="Z103" s="55" t="s">
        <v>97</v>
      </c>
      <c r="AA103" s="55" t="s">
        <v>86</v>
      </c>
      <c r="AB103" s="55" t="s">
        <v>341</v>
      </c>
    </row>
    <row r="104" spans="1:30" x14ac:dyDescent="0.15">
      <c r="A104" s="55" t="s">
        <v>41</v>
      </c>
      <c r="B104" s="237" t="s">
        <v>339</v>
      </c>
      <c r="C104" s="152">
        <v>2018</v>
      </c>
      <c r="D104" s="56" t="s">
        <v>348</v>
      </c>
      <c r="E104" s="55" t="s">
        <v>296</v>
      </c>
      <c r="F104" s="237" t="s">
        <v>302</v>
      </c>
      <c r="G104" s="55" t="s">
        <v>42</v>
      </c>
      <c r="H104" s="55" t="s">
        <v>157</v>
      </c>
      <c r="I104" s="55" t="s">
        <v>155</v>
      </c>
      <c r="J104" s="55" t="s">
        <v>38</v>
      </c>
      <c r="K104" s="55" t="s">
        <v>156</v>
      </c>
      <c r="L104" s="237">
        <v>1</v>
      </c>
      <c r="N104" s="237">
        <v>1</v>
      </c>
      <c r="O104" s="55">
        <v>0.3</v>
      </c>
      <c r="P104" s="55">
        <v>0.25</v>
      </c>
      <c r="Q104" s="82">
        <f t="shared" si="3"/>
        <v>0.27500000000000002</v>
      </c>
      <c r="R104" s="237">
        <v>15.4</v>
      </c>
      <c r="S104" s="55">
        <v>127</v>
      </c>
      <c r="T104" s="57">
        <f t="shared" si="4"/>
        <v>27</v>
      </c>
      <c r="U104" s="237">
        <v>105</v>
      </c>
      <c r="V104" s="58">
        <f t="shared" si="5"/>
        <v>2835</v>
      </c>
      <c r="W104" s="237">
        <v>3</v>
      </c>
      <c r="X104" s="55" t="s">
        <v>46</v>
      </c>
      <c r="Y104" s="55" t="s">
        <v>97</v>
      </c>
      <c r="Z104" s="55" t="s">
        <v>86</v>
      </c>
      <c r="AA104" s="55" t="s">
        <v>69</v>
      </c>
      <c r="AB104" s="55" t="s">
        <v>341</v>
      </c>
    </row>
    <row r="105" spans="1:30" x14ac:dyDescent="0.15">
      <c r="A105" s="55" t="s">
        <v>41</v>
      </c>
      <c r="B105" s="237" t="s">
        <v>339</v>
      </c>
      <c r="C105" s="152">
        <v>2018</v>
      </c>
      <c r="D105" s="56" t="s">
        <v>348</v>
      </c>
      <c r="E105" s="55" t="s">
        <v>296</v>
      </c>
      <c r="F105" s="237" t="s">
        <v>302</v>
      </c>
      <c r="G105" s="55" t="s">
        <v>42</v>
      </c>
      <c r="H105" s="55" t="s">
        <v>157</v>
      </c>
      <c r="I105" s="55" t="s">
        <v>155</v>
      </c>
      <c r="J105" s="55" t="s">
        <v>38</v>
      </c>
      <c r="K105" s="55" t="s">
        <v>156</v>
      </c>
      <c r="L105" s="237">
        <v>2</v>
      </c>
      <c r="N105" s="237">
        <v>1</v>
      </c>
      <c r="O105" s="55">
        <v>0.6</v>
      </c>
      <c r="P105" s="55">
        <v>0.4</v>
      </c>
      <c r="Q105" s="82">
        <f t="shared" si="3"/>
        <v>0.5</v>
      </c>
      <c r="R105" s="55">
        <v>14.1</v>
      </c>
      <c r="S105" s="55">
        <v>130</v>
      </c>
      <c r="T105" s="57">
        <f t="shared" si="4"/>
        <v>25</v>
      </c>
      <c r="U105" s="237">
        <v>105</v>
      </c>
      <c r="V105" s="58">
        <f t="shared" si="5"/>
        <v>2625</v>
      </c>
      <c r="W105" s="237">
        <v>3</v>
      </c>
      <c r="X105" s="55" t="s">
        <v>46</v>
      </c>
      <c r="Y105" s="55" t="s">
        <v>97</v>
      </c>
      <c r="Z105" s="55" t="s">
        <v>86</v>
      </c>
      <c r="AA105" s="55" t="s">
        <v>69</v>
      </c>
      <c r="AB105" s="55" t="s">
        <v>341</v>
      </c>
    </row>
    <row r="106" spans="1:30" x14ac:dyDescent="0.15">
      <c r="A106" s="55" t="s">
        <v>41</v>
      </c>
      <c r="B106" s="237" t="s">
        <v>339</v>
      </c>
      <c r="C106" s="152">
        <v>2018</v>
      </c>
      <c r="D106" s="56" t="s">
        <v>348</v>
      </c>
      <c r="E106" s="55" t="s">
        <v>296</v>
      </c>
      <c r="F106" s="237" t="s">
        <v>302</v>
      </c>
      <c r="G106" s="55" t="s">
        <v>42</v>
      </c>
      <c r="H106" s="55" t="s">
        <v>157</v>
      </c>
      <c r="I106" s="55" t="s">
        <v>155</v>
      </c>
      <c r="J106" s="55" t="s">
        <v>38</v>
      </c>
      <c r="K106" s="55" t="s">
        <v>156</v>
      </c>
      <c r="L106" s="237">
        <v>3</v>
      </c>
      <c r="N106" s="237">
        <v>1</v>
      </c>
      <c r="O106" s="55">
        <v>0.5</v>
      </c>
      <c r="P106" s="55">
        <v>0.45</v>
      </c>
      <c r="Q106" s="82">
        <f t="shared" si="3"/>
        <v>0.47499999999999998</v>
      </c>
      <c r="R106" s="55">
        <v>13.7</v>
      </c>
      <c r="S106" s="55">
        <v>133</v>
      </c>
      <c r="T106" s="57">
        <f t="shared" si="4"/>
        <v>25</v>
      </c>
      <c r="U106" s="237">
        <v>105</v>
      </c>
      <c r="V106" s="58">
        <f t="shared" si="5"/>
        <v>2625</v>
      </c>
      <c r="W106" s="237">
        <v>3</v>
      </c>
      <c r="X106" s="55" t="s">
        <v>46</v>
      </c>
      <c r="Y106" s="55" t="s">
        <v>97</v>
      </c>
      <c r="Z106" s="55" t="s">
        <v>86</v>
      </c>
      <c r="AA106" s="55" t="s">
        <v>69</v>
      </c>
      <c r="AB106" s="55" t="s">
        <v>341</v>
      </c>
    </row>
    <row r="107" spans="1:30" x14ac:dyDescent="0.15">
      <c r="A107" s="55" t="s">
        <v>41</v>
      </c>
      <c r="B107" s="237" t="s">
        <v>339</v>
      </c>
      <c r="C107" s="152">
        <v>2018</v>
      </c>
      <c r="D107" s="56" t="s">
        <v>348</v>
      </c>
      <c r="E107" s="55" t="s">
        <v>296</v>
      </c>
      <c r="F107" s="237" t="s">
        <v>302</v>
      </c>
      <c r="G107" s="55" t="s">
        <v>42</v>
      </c>
      <c r="H107" s="55" t="s">
        <v>157</v>
      </c>
      <c r="I107" s="55" t="s">
        <v>155</v>
      </c>
      <c r="J107" s="55" t="s">
        <v>38</v>
      </c>
      <c r="K107" s="55" t="s">
        <v>156</v>
      </c>
      <c r="L107" s="237">
        <v>1</v>
      </c>
      <c r="N107" s="237">
        <v>3</v>
      </c>
      <c r="O107" s="55">
        <v>0.65</v>
      </c>
      <c r="P107" s="55">
        <v>0.75</v>
      </c>
      <c r="Q107" s="82">
        <f t="shared" si="3"/>
        <v>0.7</v>
      </c>
      <c r="R107" s="237">
        <v>12.8</v>
      </c>
      <c r="S107" s="55">
        <v>147</v>
      </c>
      <c r="T107" s="57">
        <f t="shared" si="4"/>
        <v>22</v>
      </c>
      <c r="U107" s="237">
        <v>537</v>
      </c>
      <c r="V107" s="58">
        <f t="shared" si="5"/>
        <v>3938</v>
      </c>
      <c r="W107" s="237">
        <v>2</v>
      </c>
      <c r="X107" s="55" t="s">
        <v>46</v>
      </c>
      <c r="Y107" s="55" t="s">
        <v>97</v>
      </c>
      <c r="Z107" s="55" t="s">
        <v>86</v>
      </c>
      <c r="AA107" s="55" t="s">
        <v>69</v>
      </c>
      <c r="AB107" s="55" t="s">
        <v>341</v>
      </c>
    </row>
    <row r="108" spans="1:30" x14ac:dyDescent="0.15">
      <c r="A108" s="55" t="s">
        <v>41</v>
      </c>
      <c r="B108" s="237" t="s">
        <v>339</v>
      </c>
      <c r="C108" s="152">
        <v>2018</v>
      </c>
      <c r="D108" s="56" t="s">
        <v>348</v>
      </c>
      <c r="E108" s="55" t="s">
        <v>296</v>
      </c>
      <c r="F108" s="237" t="s">
        <v>302</v>
      </c>
      <c r="G108" s="55" t="s">
        <v>42</v>
      </c>
      <c r="H108" s="55" t="s">
        <v>157</v>
      </c>
      <c r="I108" s="55" t="s">
        <v>155</v>
      </c>
      <c r="J108" s="55" t="s">
        <v>38</v>
      </c>
      <c r="K108" s="55" t="s">
        <v>156</v>
      </c>
      <c r="L108" s="237">
        <v>2</v>
      </c>
      <c r="N108" s="237">
        <v>3</v>
      </c>
      <c r="O108" s="55">
        <v>0.7</v>
      </c>
      <c r="P108" s="55">
        <v>0.85</v>
      </c>
      <c r="Q108" s="82">
        <f t="shared" si="3"/>
        <v>0.77499999999999991</v>
      </c>
      <c r="R108" s="55">
        <v>14.4</v>
      </c>
      <c r="S108" s="55">
        <v>140</v>
      </c>
      <c r="T108" s="57">
        <f t="shared" si="4"/>
        <v>22</v>
      </c>
      <c r="U108" s="237">
        <v>537</v>
      </c>
      <c r="V108" s="58">
        <f t="shared" si="5"/>
        <v>3938</v>
      </c>
      <c r="W108" s="237">
        <v>2</v>
      </c>
      <c r="X108" s="55" t="s">
        <v>46</v>
      </c>
      <c r="Y108" s="55" t="s">
        <v>97</v>
      </c>
      <c r="Z108" s="55" t="s">
        <v>86</v>
      </c>
      <c r="AA108" s="55" t="s">
        <v>69</v>
      </c>
      <c r="AB108" s="55" t="s">
        <v>341</v>
      </c>
    </row>
    <row r="109" spans="1:30" x14ac:dyDescent="0.15">
      <c r="A109" s="55" t="s">
        <v>41</v>
      </c>
      <c r="B109" s="237" t="s">
        <v>339</v>
      </c>
      <c r="C109" s="152">
        <v>2018</v>
      </c>
      <c r="D109" s="56" t="s">
        <v>348</v>
      </c>
      <c r="E109" s="55" t="s">
        <v>296</v>
      </c>
      <c r="F109" s="237" t="s">
        <v>302</v>
      </c>
      <c r="G109" s="55" t="s">
        <v>42</v>
      </c>
      <c r="H109" s="55" t="s">
        <v>157</v>
      </c>
      <c r="I109" s="55" t="s">
        <v>155</v>
      </c>
      <c r="J109" s="55" t="s">
        <v>38</v>
      </c>
      <c r="K109" s="55" t="s">
        <v>156</v>
      </c>
      <c r="L109" s="237">
        <v>3</v>
      </c>
      <c r="N109" s="237">
        <v>3</v>
      </c>
      <c r="O109" s="55">
        <v>0.5</v>
      </c>
      <c r="P109" s="55">
        <v>0.7</v>
      </c>
      <c r="Q109" s="82">
        <f t="shared" si="3"/>
        <v>0.6</v>
      </c>
      <c r="R109" s="55">
        <v>13.6</v>
      </c>
      <c r="S109" s="55">
        <v>138</v>
      </c>
      <c r="T109" s="57">
        <f t="shared" si="4"/>
        <v>22</v>
      </c>
      <c r="U109" s="237">
        <v>537</v>
      </c>
      <c r="V109" s="58">
        <f t="shared" si="5"/>
        <v>3938</v>
      </c>
      <c r="W109" s="237">
        <v>2</v>
      </c>
      <c r="X109" s="55" t="s">
        <v>46</v>
      </c>
      <c r="Y109" s="55" t="s">
        <v>97</v>
      </c>
      <c r="Z109" s="55" t="s">
        <v>86</v>
      </c>
      <c r="AA109" s="55" t="s">
        <v>69</v>
      </c>
      <c r="AB109" s="55" t="s">
        <v>341</v>
      </c>
    </row>
    <row r="110" spans="1:30" x14ac:dyDescent="0.15">
      <c r="A110" s="55" t="s">
        <v>41</v>
      </c>
      <c r="B110" s="237" t="s">
        <v>339</v>
      </c>
      <c r="C110" s="152">
        <v>2018</v>
      </c>
      <c r="D110" s="56" t="s">
        <v>348</v>
      </c>
      <c r="E110" s="55" t="s">
        <v>296</v>
      </c>
      <c r="F110" s="237" t="s">
        <v>302</v>
      </c>
      <c r="G110" s="55" t="s">
        <v>42</v>
      </c>
      <c r="H110" s="55" t="s">
        <v>168</v>
      </c>
      <c r="I110" s="55" t="s">
        <v>155</v>
      </c>
      <c r="J110" s="55" t="s">
        <v>38</v>
      </c>
      <c r="K110" s="55" t="s">
        <v>156</v>
      </c>
      <c r="L110" s="237">
        <v>1</v>
      </c>
      <c r="N110" s="55">
        <v>1</v>
      </c>
      <c r="O110" s="55">
        <v>0.65</v>
      </c>
      <c r="P110" s="55">
        <v>0.5</v>
      </c>
      <c r="Q110" s="82">
        <f t="shared" si="3"/>
        <v>0.57499999999999996</v>
      </c>
      <c r="R110" s="55">
        <v>15</v>
      </c>
      <c r="S110" s="55">
        <v>131</v>
      </c>
      <c r="T110" s="57">
        <f t="shared" si="4"/>
        <v>25</v>
      </c>
      <c r="U110" s="237">
        <v>159</v>
      </c>
      <c r="V110" s="58">
        <f t="shared" si="5"/>
        <v>3975</v>
      </c>
      <c r="W110" s="237">
        <v>3</v>
      </c>
      <c r="X110" s="55" t="s">
        <v>46</v>
      </c>
      <c r="Y110" s="55" t="s">
        <v>97</v>
      </c>
      <c r="Z110" s="55" t="s">
        <v>86</v>
      </c>
      <c r="AA110" s="55" t="s">
        <v>69</v>
      </c>
      <c r="AB110" s="55" t="s">
        <v>341</v>
      </c>
    </row>
    <row r="111" spans="1:30" x14ac:dyDescent="0.15">
      <c r="A111" s="55" t="s">
        <v>41</v>
      </c>
      <c r="B111" s="237" t="s">
        <v>339</v>
      </c>
      <c r="C111" s="152">
        <v>2018</v>
      </c>
      <c r="D111" s="56" t="s">
        <v>348</v>
      </c>
      <c r="E111" s="55" t="s">
        <v>296</v>
      </c>
      <c r="F111" s="237" t="s">
        <v>302</v>
      </c>
      <c r="G111" s="55" t="s">
        <v>42</v>
      </c>
      <c r="H111" s="55" t="s">
        <v>168</v>
      </c>
      <c r="I111" s="55" t="s">
        <v>155</v>
      </c>
      <c r="J111" s="55" t="s">
        <v>38</v>
      </c>
      <c r="K111" s="55" t="s">
        <v>156</v>
      </c>
      <c r="L111" s="237">
        <v>2</v>
      </c>
      <c r="N111" s="55">
        <v>1</v>
      </c>
      <c r="O111" s="237">
        <v>0.8</v>
      </c>
      <c r="P111" s="237">
        <v>0.95</v>
      </c>
      <c r="Q111" s="82">
        <f t="shared" si="3"/>
        <v>0.875</v>
      </c>
      <c r="R111" s="55">
        <v>14.8</v>
      </c>
      <c r="S111" s="55">
        <v>132</v>
      </c>
      <c r="T111" s="57">
        <f t="shared" si="4"/>
        <v>25</v>
      </c>
      <c r="U111" s="237">
        <v>159</v>
      </c>
      <c r="V111" s="58">
        <f t="shared" si="5"/>
        <v>3975</v>
      </c>
      <c r="W111" s="237">
        <v>3</v>
      </c>
      <c r="X111" s="55" t="s">
        <v>46</v>
      </c>
      <c r="Y111" s="55" t="s">
        <v>97</v>
      </c>
      <c r="Z111" s="55" t="s">
        <v>86</v>
      </c>
      <c r="AA111" s="55" t="s">
        <v>69</v>
      </c>
      <c r="AB111" s="55" t="s">
        <v>341</v>
      </c>
    </row>
    <row r="112" spans="1:30" x14ac:dyDescent="0.15">
      <c r="A112" s="55" t="s">
        <v>41</v>
      </c>
      <c r="B112" s="237" t="s">
        <v>339</v>
      </c>
      <c r="C112" s="152">
        <v>2018</v>
      </c>
      <c r="D112" s="56" t="s">
        <v>348</v>
      </c>
      <c r="E112" s="55" t="s">
        <v>296</v>
      </c>
      <c r="F112" s="237" t="s">
        <v>302</v>
      </c>
      <c r="G112" s="55" t="s">
        <v>42</v>
      </c>
      <c r="H112" s="55" t="s">
        <v>168</v>
      </c>
      <c r="I112" s="55" t="s">
        <v>155</v>
      </c>
      <c r="J112" s="55" t="s">
        <v>38</v>
      </c>
      <c r="K112" s="55" t="s">
        <v>156</v>
      </c>
      <c r="L112" s="237">
        <v>3</v>
      </c>
      <c r="N112" s="237">
        <v>1</v>
      </c>
      <c r="O112" s="237">
        <v>0.65</v>
      </c>
      <c r="P112" s="237">
        <v>0.7</v>
      </c>
      <c r="Q112" s="82">
        <f t="shared" si="3"/>
        <v>0.67500000000000004</v>
      </c>
      <c r="R112" s="55">
        <v>15.1</v>
      </c>
      <c r="S112" s="55">
        <v>127</v>
      </c>
      <c r="T112" s="57">
        <f t="shared" si="4"/>
        <v>27</v>
      </c>
      <c r="U112" s="237">
        <v>159</v>
      </c>
      <c r="V112" s="58">
        <f t="shared" si="5"/>
        <v>4293</v>
      </c>
      <c r="W112" s="237">
        <v>3</v>
      </c>
      <c r="X112" s="55" t="s">
        <v>46</v>
      </c>
      <c r="Y112" s="55" t="s">
        <v>97</v>
      </c>
      <c r="Z112" s="55" t="s">
        <v>86</v>
      </c>
      <c r="AA112" s="55" t="s">
        <v>69</v>
      </c>
      <c r="AB112" s="55" t="s">
        <v>341</v>
      </c>
    </row>
    <row r="113" spans="1:28" x14ac:dyDescent="0.15">
      <c r="A113" s="55" t="s">
        <v>41</v>
      </c>
      <c r="B113" s="237" t="s">
        <v>339</v>
      </c>
      <c r="C113" s="152">
        <v>2018</v>
      </c>
      <c r="D113" s="56" t="s">
        <v>348</v>
      </c>
      <c r="E113" s="55" t="s">
        <v>296</v>
      </c>
      <c r="F113" s="237" t="s">
        <v>302</v>
      </c>
      <c r="G113" s="55" t="s">
        <v>42</v>
      </c>
      <c r="H113" s="55" t="s">
        <v>168</v>
      </c>
      <c r="I113" s="55" t="s">
        <v>155</v>
      </c>
      <c r="J113" s="55" t="s">
        <v>38</v>
      </c>
      <c r="K113" s="55" t="s">
        <v>156</v>
      </c>
      <c r="L113" s="237">
        <v>1</v>
      </c>
      <c r="N113" s="55">
        <v>3</v>
      </c>
      <c r="O113" s="237">
        <v>0.8</v>
      </c>
      <c r="P113" s="237">
        <v>0.9</v>
      </c>
      <c r="Q113" s="82">
        <f t="shared" si="3"/>
        <v>0.85000000000000009</v>
      </c>
      <c r="R113" s="55">
        <v>15</v>
      </c>
      <c r="S113" s="55">
        <v>162</v>
      </c>
      <c r="T113" s="57">
        <f t="shared" si="4"/>
        <v>22</v>
      </c>
      <c r="U113" s="237">
        <v>537</v>
      </c>
      <c r="V113" s="58">
        <f t="shared" si="5"/>
        <v>3938</v>
      </c>
      <c r="W113" s="237">
        <v>3</v>
      </c>
      <c r="X113" s="55" t="s">
        <v>46</v>
      </c>
      <c r="Y113" s="55" t="s">
        <v>97</v>
      </c>
      <c r="Z113" s="55" t="s">
        <v>86</v>
      </c>
      <c r="AA113" s="55" t="s">
        <v>69</v>
      </c>
      <c r="AB113" s="55" t="s">
        <v>341</v>
      </c>
    </row>
    <row r="114" spans="1:28" x14ac:dyDescent="0.15">
      <c r="A114" s="55" t="s">
        <v>41</v>
      </c>
      <c r="B114" s="237" t="s">
        <v>339</v>
      </c>
      <c r="C114" s="152">
        <v>2018</v>
      </c>
      <c r="D114" s="56" t="s">
        <v>348</v>
      </c>
      <c r="E114" s="55" t="s">
        <v>296</v>
      </c>
      <c r="F114" s="237" t="s">
        <v>302</v>
      </c>
      <c r="G114" s="55" t="s">
        <v>42</v>
      </c>
      <c r="H114" s="55" t="s">
        <v>168</v>
      </c>
      <c r="I114" s="55" t="s">
        <v>155</v>
      </c>
      <c r="J114" s="55" t="s">
        <v>38</v>
      </c>
      <c r="K114" s="55" t="s">
        <v>156</v>
      </c>
      <c r="L114" s="237">
        <v>2</v>
      </c>
      <c r="N114" s="55">
        <v>3</v>
      </c>
      <c r="O114" s="237">
        <v>0.65</v>
      </c>
      <c r="P114" s="237">
        <v>0.6</v>
      </c>
      <c r="Q114" s="82">
        <f t="shared" si="3"/>
        <v>0.625</v>
      </c>
      <c r="R114" s="237">
        <v>16.100000000000001</v>
      </c>
      <c r="S114" s="55">
        <v>149</v>
      </c>
      <c r="T114" s="57">
        <f t="shared" si="4"/>
        <v>22</v>
      </c>
      <c r="U114" s="237">
        <v>537</v>
      </c>
      <c r="V114" s="58">
        <f t="shared" si="5"/>
        <v>3938</v>
      </c>
      <c r="W114" s="237">
        <v>3</v>
      </c>
      <c r="X114" s="55" t="s">
        <v>46</v>
      </c>
      <c r="Y114" s="55" t="s">
        <v>97</v>
      </c>
      <c r="Z114" s="55" t="s">
        <v>86</v>
      </c>
      <c r="AA114" s="55" t="s">
        <v>69</v>
      </c>
      <c r="AB114" s="55" t="s">
        <v>341</v>
      </c>
    </row>
    <row r="115" spans="1:28" x14ac:dyDescent="0.15">
      <c r="A115" s="55" t="s">
        <v>41</v>
      </c>
      <c r="B115" s="237" t="s">
        <v>339</v>
      </c>
      <c r="C115" s="152">
        <v>2018</v>
      </c>
      <c r="D115" s="56" t="s">
        <v>348</v>
      </c>
      <c r="E115" s="55" t="s">
        <v>296</v>
      </c>
      <c r="F115" s="237" t="s">
        <v>302</v>
      </c>
      <c r="G115" s="55" t="s">
        <v>42</v>
      </c>
      <c r="H115" s="55" t="s">
        <v>168</v>
      </c>
      <c r="I115" s="55" t="s">
        <v>155</v>
      </c>
      <c r="J115" s="55" t="s">
        <v>38</v>
      </c>
      <c r="K115" s="55" t="s">
        <v>156</v>
      </c>
      <c r="L115" s="237">
        <v>3</v>
      </c>
      <c r="N115" s="237">
        <v>3</v>
      </c>
      <c r="O115" s="237">
        <v>0.7</v>
      </c>
      <c r="P115" s="237">
        <v>0.5</v>
      </c>
      <c r="Q115" s="82">
        <f t="shared" si="3"/>
        <v>0.6</v>
      </c>
      <c r="R115" s="237">
        <v>15.1</v>
      </c>
      <c r="S115" s="55">
        <v>154</v>
      </c>
      <c r="T115" s="57">
        <f t="shared" si="4"/>
        <v>22</v>
      </c>
      <c r="U115" s="237">
        <v>537</v>
      </c>
      <c r="V115" s="58">
        <f t="shared" si="5"/>
        <v>3938</v>
      </c>
      <c r="W115" s="237">
        <v>3</v>
      </c>
      <c r="X115" s="55" t="s">
        <v>46</v>
      </c>
      <c r="Y115" s="55" t="s">
        <v>97</v>
      </c>
      <c r="Z115" s="55" t="s">
        <v>86</v>
      </c>
      <c r="AA115" s="55" t="s">
        <v>69</v>
      </c>
      <c r="AB115" s="55" t="s">
        <v>341</v>
      </c>
    </row>
    <row r="116" spans="1:28" x14ac:dyDescent="0.15">
      <c r="A116" s="55" t="s">
        <v>41</v>
      </c>
      <c r="B116" s="237" t="s">
        <v>339</v>
      </c>
      <c r="C116" s="152">
        <v>2018</v>
      </c>
      <c r="D116" s="56" t="s">
        <v>348</v>
      </c>
      <c r="E116" s="237" t="s">
        <v>297</v>
      </c>
      <c r="F116" s="237" t="s">
        <v>303</v>
      </c>
      <c r="G116" s="55" t="s">
        <v>42</v>
      </c>
      <c r="H116" s="55" t="s">
        <v>157</v>
      </c>
      <c r="I116" s="55" t="s">
        <v>155</v>
      </c>
      <c r="J116" s="55" t="s">
        <v>38</v>
      </c>
      <c r="K116" s="55" t="s">
        <v>156</v>
      </c>
      <c r="L116" s="237">
        <v>1</v>
      </c>
      <c r="N116" s="237">
        <v>1</v>
      </c>
      <c r="O116" s="237">
        <v>0.7</v>
      </c>
      <c r="P116" s="237">
        <v>0.8</v>
      </c>
      <c r="Q116" s="82">
        <f t="shared" si="3"/>
        <v>0.75</v>
      </c>
      <c r="R116" s="237">
        <v>13.4</v>
      </c>
      <c r="S116" s="55">
        <v>120</v>
      </c>
      <c r="T116" s="57">
        <f t="shared" si="4"/>
        <v>30</v>
      </c>
      <c r="U116" s="237">
        <v>138</v>
      </c>
      <c r="V116" s="58">
        <f t="shared" si="5"/>
        <v>4140</v>
      </c>
      <c r="W116" s="237">
        <v>3</v>
      </c>
      <c r="X116" s="55" t="s">
        <v>46</v>
      </c>
      <c r="Y116" s="55" t="s">
        <v>55</v>
      </c>
      <c r="Z116" s="55" t="s">
        <v>64</v>
      </c>
      <c r="AA116" s="55" t="s">
        <v>97</v>
      </c>
      <c r="AB116" s="55" t="s">
        <v>341</v>
      </c>
    </row>
    <row r="117" spans="1:28" x14ac:dyDescent="0.15">
      <c r="A117" s="55" t="s">
        <v>41</v>
      </c>
      <c r="B117" s="237" t="s">
        <v>339</v>
      </c>
      <c r="C117" s="152">
        <v>2018</v>
      </c>
      <c r="D117" s="56" t="s">
        <v>348</v>
      </c>
      <c r="E117" s="237" t="s">
        <v>297</v>
      </c>
      <c r="F117" s="237" t="s">
        <v>303</v>
      </c>
      <c r="G117" s="55" t="s">
        <v>42</v>
      </c>
      <c r="H117" s="55" t="s">
        <v>157</v>
      </c>
      <c r="I117" s="55" t="s">
        <v>155</v>
      </c>
      <c r="J117" s="55" t="s">
        <v>38</v>
      </c>
      <c r="K117" s="55" t="s">
        <v>156</v>
      </c>
      <c r="L117" s="237">
        <v>2</v>
      </c>
      <c r="N117" s="237">
        <v>1</v>
      </c>
      <c r="O117" s="55">
        <v>0.45</v>
      </c>
      <c r="P117" s="55">
        <v>0.6</v>
      </c>
      <c r="Q117" s="82">
        <f t="shared" si="3"/>
        <v>0.52500000000000002</v>
      </c>
      <c r="R117" s="237">
        <v>14.1</v>
      </c>
      <c r="S117" s="55">
        <v>122</v>
      </c>
      <c r="T117" s="57">
        <f t="shared" si="4"/>
        <v>27</v>
      </c>
      <c r="U117" s="237">
        <v>138</v>
      </c>
      <c r="V117" s="58">
        <f t="shared" si="5"/>
        <v>3726</v>
      </c>
      <c r="W117" s="237">
        <v>3</v>
      </c>
      <c r="X117" s="55" t="s">
        <v>46</v>
      </c>
      <c r="Y117" s="55" t="s">
        <v>55</v>
      </c>
      <c r="Z117" s="55" t="s">
        <v>64</v>
      </c>
      <c r="AA117" s="55" t="s">
        <v>97</v>
      </c>
      <c r="AB117" s="55" t="s">
        <v>341</v>
      </c>
    </row>
    <row r="118" spans="1:28" x14ac:dyDescent="0.15">
      <c r="A118" s="55" t="s">
        <v>41</v>
      </c>
      <c r="B118" s="237" t="s">
        <v>339</v>
      </c>
      <c r="C118" s="152">
        <v>2018</v>
      </c>
      <c r="D118" s="56" t="s">
        <v>348</v>
      </c>
      <c r="E118" s="237" t="s">
        <v>297</v>
      </c>
      <c r="F118" s="237" t="s">
        <v>303</v>
      </c>
      <c r="G118" s="55" t="s">
        <v>42</v>
      </c>
      <c r="H118" s="55" t="s">
        <v>157</v>
      </c>
      <c r="I118" s="55" t="s">
        <v>155</v>
      </c>
      <c r="J118" s="55" t="s">
        <v>38</v>
      </c>
      <c r="K118" s="55" t="s">
        <v>156</v>
      </c>
      <c r="L118" s="237">
        <v>3</v>
      </c>
      <c r="N118" s="237">
        <v>1</v>
      </c>
      <c r="O118" s="55">
        <v>0.7</v>
      </c>
      <c r="P118" s="55">
        <v>0.55000000000000004</v>
      </c>
      <c r="Q118" s="82">
        <f t="shared" si="3"/>
        <v>0.625</v>
      </c>
      <c r="R118" s="237">
        <v>13.5</v>
      </c>
      <c r="S118" s="55">
        <v>117</v>
      </c>
      <c r="T118" s="57">
        <f t="shared" si="4"/>
        <v>30</v>
      </c>
      <c r="U118" s="237">
        <v>138</v>
      </c>
      <c r="V118" s="58">
        <f t="shared" si="5"/>
        <v>4140</v>
      </c>
      <c r="W118" s="237">
        <v>3</v>
      </c>
      <c r="X118" s="55" t="s">
        <v>46</v>
      </c>
      <c r="Y118" s="55" t="s">
        <v>55</v>
      </c>
      <c r="Z118" s="55" t="s">
        <v>64</v>
      </c>
      <c r="AA118" s="55" t="s">
        <v>97</v>
      </c>
      <c r="AB118" s="55" t="s">
        <v>341</v>
      </c>
    </row>
    <row r="119" spans="1:28" x14ac:dyDescent="0.15">
      <c r="A119" s="55" t="s">
        <v>41</v>
      </c>
      <c r="B119" s="237" t="s">
        <v>339</v>
      </c>
      <c r="C119" s="152">
        <v>2018</v>
      </c>
      <c r="D119" s="56" t="s">
        <v>348</v>
      </c>
      <c r="E119" s="237" t="s">
        <v>297</v>
      </c>
      <c r="F119" s="237" t="s">
        <v>303</v>
      </c>
      <c r="G119" s="55" t="s">
        <v>42</v>
      </c>
      <c r="H119" s="55" t="s">
        <v>157</v>
      </c>
      <c r="I119" s="55" t="s">
        <v>155</v>
      </c>
      <c r="J119" s="55" t="s">
        <v>38</v>
      </c>
      <c r="K119" s="55" t="s">
        <v>156</v>
      </c>
      <c r="L119" s="237">
        <v>1</v>
      </c>
      <c r="N119" s="237">
        <v>4</v>
      </c>
      <c r="O119" s="55">
        <v>0.6</v>
      </c>
      <c r="P119" s="55">
        <v>0.55000000000000004</v>
      </c>
      <c r="Q119" s="82">
        <f t="shared" si="3"/>
        <v>0.57499999999999996</v>
      </c>
      <c r="R119" s="237">
        <v>15.8</v>
      </c>
      <c r="S119" s="55">
        <v>135</v>
      </c>
      <c r="T119" s="57">
        <f t="shared" si="4"/>
        <v>25</v>
      </c>
      <c r="U119" s="237">
        <v>537</v>
      </c>
      <c r="V119" s="58">
        <f t="shared" si="5"/>
        <v>3356.25</v>
      </c>
      <c r="W119" s="237">
        <v>2</v>
      </c>
      <c r="X119" s="55" t="s">
        <v>46</v>
      </c>
      <c r="Y119" s="55" t="s">
        <v>55</v>
      </c>
      <c r="Z119" s="55" t="s">
        <v>64</v>
      </c>
      <c r="AA119" s="55" t="s">
        <v>97</v>
      </c>
      <c r="AB119" s="55" t="s">
        <v>341</v>
      </c>
    </row>
    <row r="120" spans="1:28" x14ac:dyDescent="0.15">
      <c r="A120" s="55" t="s">
        <v>41</v>
      </c>
      <c r="B120" s="237" t="s">
        <v>339</v>
      </c>
      <c r="C120" s="152">
        <v>2018</v>
      </c>
      <c r="D120" s="56" t="s">
        <v>348</v>
      </c>
      <c r="E120" s="237" t="s">
        <v>297</v>
      </c>
      <c r="F120" s="237" t="s">
        <v>303</v>
      </c>
      <c r="G120" s="55" t="s">
        <v>42</v>
      </c>
      <c r="H120" s="55" t="s">
        <v>157</v>
      </c>
      <c r="I120" s="55" t="s">
        <v>155</v>
      </c>
      <c r="J120" s="55" t="s">
        <v>38</v>
      </c>
      <c r="K120" s="55" t="s">
        <v>156</v>
      </c>
      <c r="L120" s="237">
        <v>2</v>
      </c>
      <c r="N120" s="237">
        <v>4</v>
      </c>
      <c r="O120" s="55">
        <v>0.45</v>
      </c>
      <c r="P120" s="55">
        <v>0.4</v>
      </c>
      <c r="Q120" s="82">
        <f t="shared" si="3"/>
        <v>0.42500000000000004</v>
      </c>
      <c r="R120" s="237">
        <v>15.1</v>
      </c>
      <c r="S120" s="55">
        <v>131</v>
      </c>
      <c r="T120" s="57">
        <f t="shared" si="4"/>
        <v>25</v>
      </c>
      <c r="U120" s="237">
        <v>537</v>
      </c>
      <c r="V120" s="58">
        <f t="shared" si="5"/>
        <v>3356.25</v>
      </c>
      <c r="W120" s="237">
        <v>2</v>
      </c>
      <c r="X120" s="55" t="s">
        <v>46</v>
      </c>
      <c r="Y120" s="55" t="s">
        <v>55</v>
      </c>
      <c r="Z120" s="55" t="s">
        <v>64</v>
      </c>
      <c r="AA120" s="55" t="s">
        <v>97</v>
      </c>
      <c r="AB120" s="55" t="s">
        <v>341</v>
      </c>
    </row>
    <row r="121" spans="1:28" x14ac:dyDescent="0.15">
      <c r="A121" s="55" t="s">
        <v>41</v>
      </c>
      <c r="B121" s="237" t="s">
        <v>339</v>
      </c>
      <c r="C121" s="152">
        <v>2018</v>
      </c>
      <c r="D121" s="56" t="s">
        <v>348</v>
      </c>
      <c r="E121" s="237" t="s">
        <v>297</v>
      </c>
      <c r="F121" s="237" t="s">
        <v>303</v>
      </c>
      <c r="G121" s="55" t="s">
        <v>42</v>
      </c>
      <c r="H121" s="55" t="s">
        <v>157</v>
      </c>
      <c r="I121" s="55" t="s">
        <v>155</v>
      </c>
      <c r="J121" s="55" t="s">
        <v>38</v>
      </c>
      <c r="K121" s="55" t="s">
        <v>156</v>
      </c>
      <c r="L121" s="237">
        <v>3</v>
      </c>
      <c r="N121" s="237">
        <v>4</v>
      </c>
      <c r="O121" s="55">
        <v>0.5</v>
      </c>
      <c r="P121" s="55">
        <v>0.5</v>
      </c>
      <c r="Q121" s="82">
        <f t="shared" si="3"/>
        <v>0.5</v>
      </c>
      <c r="R121" s="237">
        <v>14.1</v>
      </c>
      <c r="S121" s="55">
        <v>133</v>
      </c>
      <c r="T121" s="57">
        <f t="shared" si="4"/>
        <v>25</v>
      </c>
      <c r="U121" s="237">
        <v>537</v>
      </c>
      <c r="V121" s="58">
        <f t="shared" si="5"/>
        <v>3356.25</v>
      </c>
      <c r="W121" s="237">
        <v>2</v>
      </c>
      <c r="X121" s="55" t="s">
        <v>46</v>
      </c>
      <c r="Y121" s="55" t="s">
        <v>55</v>
      </c>
      <c r="Z121" s="55" t="s">
        <v>64</v>
      </c>
      <c r="AA121" s="55" t="s">
        <v>97</v>
      </c>
      <c r="AB121" s="55" t="s">
        <v>341</v>
      </c>
    </row>
    <row r="122" spans="1:28" x14ac:dyDescent="0.15">
      <c r="A122" s="55" t="s">
        <v>41</v>
      </c>
      <c r="B122" s="237" t="s">
        <v>339</v>
      </c>
      <c r="C122" s="152">
        <v>2018</v>
      </c>
      <c r="D122" s="56" t="s">
        <v>348</v>
      </c>
      <c r="E122" s="237" t="s">
        <v>297</v>
      </c>
      <c r="F122" s="237" t="s">
        <v>303</v>
      </c>
      <c r="G122" s="55" t="s">
        <v>42</v>
      </c>
      <c r="H122" s="55" t="s">
        <v>157</v>
      </c>
      <c r="I122" s="55" t="s">
        <v>155</v>
      </c>
      <c r="J122" s="55" t="s">
        <v>38</v>
      </c>
      <c r="K122" s="55" t="s">
        <v>156</v>
      </c>
      <c r="L122" s="237">
        <v>1</v>
      </c>
      <c r="N122" s="237">
        <v>6</v>
      </c>
      <c r="O122" s="55">
        <v>0.25</v>
      </c>
      <c r="P122" s="55">
        <v>0.2</v>
      </c>
      <c r="Q122" s="82">
        <f t="shared" si="3"/>
        <v>0.22500000000000001</v>
      </c>
      <c r="R122" s="237">
        <v>16.399999999999999</v>
      </c>
      <c r="S122" s="55">
        <v>80</v>
      </c>
      <c r="T122" s="57">
        <f t="shared" si="4"/>
        <v>39</v>
      </c>
      <c r="U122" s="237">
        <v>429</v>
      </c>
      <c r="V122" s="58">
        <f t="shared" si="5"/>
        <v>2788.5</v>
      </c>
      <c r="W122" s="237">
        <v>3</v>
      </c>
      <c r="X122" s="55" t="s">
        <v>46</v>
      </c>
      <c r="Y122" s="55" t="s">
        <v>55</v>
      </c>
      <c r="Z122" s="55" t="s">
        <v>64</v>
      </c>
      <c r="AA122" s="55" t="s">
        <v>97</v>
      </c>
      <c r="AB122" s="55" t="s">
        <v>341</v>
      </c>
    </row>
    <row r="123" spans="1:28" x14ac:dyDescent="0.15">
      <c r="A123" s="55" t="s">
        <v>41</v>
      </c>
      <c r="B123" s="237" t="s">
        <v>339</v>
      </c>
      <c r="C123" s="152">
        <v>2018</v>
      </c>
      <c r="D123" s="56" t="s">
        <v>348</v>
      </c>
      <c r="E123" s="237" t="s">
        <v>297</v>
      </c>
      <c r="F123" s="237" t="s">
        <v>303</v>
      </c>
      <c r="G123" s="55" t="s">
        <v>42</v>
      </c>
      <c r="H123" s="55" t="s">
        <v>157</v>
      </c>
      <c r="I123" s="55" t="s">
        <v>155</v>
      </c>
      <c r="J123" s="55" t="s">
        <v>38</v>
      </c>
      <c r="K123" s="55" t="s">
        <v>156</v>
      </c>
      <c r="L123" s="237">
        <v>2</v>
      </c>
      <c r="N123" s="237">
        <v>6</v>
      </c>
      <c r="O123" s="55">
        <v>0.15</v>
      </c>
      <c r="P123" s="55">
        <v>0.2</v>
      </c>
      <c r="Q123" s="82">
        <f t="shared" si="3"/>
        <v>0.17499999999999999</v>
      </c>
      <c r="R123" s="237">
        <v>14</v>
      </c>
      <c r="S123" s="55">
        <v>84</v>
      </c>
      <c r="T123" s="57">
        <f t="shared" si="4"/>
        <v>36</v>
      </c>
      <c r="U123" s="237">
        <v>429</v>
      </c>
      <c r="V123" s="58">
        <f t="shared" si="5"/>
        <v>2574</v>
      </c>
      <c r="W123" s="237">
        <v>3</v>
      </c>
      <c r="X123" s="55" t="s">
        <v>46</v>
      </c>
      <c r="Y123" s="55" t="s">
        <v>55</v>
      </c>
      <c r="Z123" s="55" t="s">
        <v>64</v>
      </c>
      <c r="AA123" s="55" t="s">
        <v>97</v>
      </c>
      <c r="AB123" s="55" t="s">
        <v>341</v>
      </c>
    </row>
    <row r="124" spans="1:28" x14ac:dyDescent="0.15">
      <c r="A124" s="55" t="s">
        <v>41</v>
      </c>
      <c r="B124" s="237" t="s">
        <v>339</v>
      </c>
      <c r="C124" s="152">
        <v>2018</v>
      </c>
      <c r="D124" s="56" t="s">
        <v>348</v>
      </c>
      <c r="E124" s="237" t="s">
        <v>297</v>
      </c>
      <c r="F124" s="237" t="s">
        <v>303</v>
      </c>
      <c r="G124" s="55" t="s">
        <v>42</v>
      </c>
      <c r="H124" s="55" t="s">
        <v>157</v>
      </c>
      <c r="I124" s="55" t="s">
        <v>155</v>
      </c>
      <c r="J124" s="55" t="s">
        <v>38</v>
      </c>
      <c r="K124" s="55" t="s">
        <v>156</v>
      </c>
      <c r="L124" s="237">
        <v>3</v>
      </c>
      <c r="N124" s="237">
        <v>6</v>
      </c>
      <c r="O124" s="55">
        <v>0.3</v>
      </c>
      <c r="P124" s="55">
        <v>0.2</v>
      </c>
      <c r="Q124" s="82">
        <f t="shared" si="3"/>
        <v>0.25</v>
      </c>
      <c r="R124" s="237">
        <v>15.7</v>
      </c>
      <c r="S124" s="55">
        <v>89</v>
      </c>
      <c r="T124" s="57">
        <f t="shared" si="4"/>
        <v>36</v>
      </c>
      <c r="U124" s="237">
        <v>429</v>
      </c>
      <c r="V124" s="58">
        <f t="shared" si="5"/>
        <v>2574</v>
      </c>
      <c r="W124" s="237">
        <v>3</v>
      </c>
      <c r="X124" s="55" t="s">
        <v>46</v>
      </c>
      <c r="Y124" s="55" t="s">
        <v>55</v>
      </c>
      <c r="Z124" s="55" t="s">
        <v>64</v>
      </c>
      <c r="AA124" s="55" t="s">
        <v>97</v>
      </c>
      <c r="AB124" s="55" t="s">
        <v>341</v>
      </c>
    </row>
    <row r="125" spans="1:28" x14ac:dyDescent="0.15">
      <c r="A125" s="55" t="s">
        <v>41</v>
      </c>
      <c r="B125" s="237" t="s">
        <v>339</v>
      </c>
      <c r="C125" s="152">
        <v>2018</v>
      </c>
      <c r="D125" s="56" t="s">
        <v>348</v>
      </c>
      <c r="E125" s="237" t="s">
        <v>297</v>
      </c>
      <c r="F125" s="237" t="s">
        <v>303</v>
      </c>
      <c r="G125" s="55" t="s">
        <v>42</v>
      </c>
      <c r="H125" s="55" t="s">
        <v>168</v>
      </c>
      <c r="I125" s="55" t="s">
        <v>155</v>
      </c>
      <c r="J125" s="55" t="s">
        <v>38</v>
      </c>
      <c r="K125" s="55" t="s">
        <v>156</v>
      </c>
      <c r="L125" s="237">
        <v>1</v>
      </c>
      <c r="N125" s="237">
        <v>1</v>
      </c>
      <c r="O125" s="237">
        <v>0.7</v>
      </c>
      <c r="P125" s="237">
        <v>0.95</v>
      </c>
      <c r="Q125" s="57">
        <f t="shared" si="3"/>
        <v>0.82499999999999996</v>
      </c>
      <c r="R125" s="237">
        <v>14.4</v>
      </c>
      <c r="S125" s="237">
        <v>131</v>
      </c>
      <c r="T125" s="57">
        <f t="shared" si="4"/>
        <v>25</v>
      </c>
      <c r="U125" s="237">
        <v>138</v>
      </c>
      <c r="V125" s="58">
        <f t="shared" si="5"/>
        <v>3450</v>
      </c>
      <c r="W125" s="237">
        <v>4</v>
      </c>
      <c r="X125" s="55" t="s">
        <v>46</v>
      </c>
      <c r="Y125" s="55" t="s">
        <v>55</v>
      </c>
      <c r="Z125" s="55" t="s">
        <v>64</v>
      </c>
      <c r="AA125" s="55" t="s">
        <v>97</v>
      </c>
      <c r="AB125" s="55" t="s">
        <v>341</v>
      </c>
    </row>
    <row r="126" spans="1:28" x14ac:dyDescent="0.15">
      <c r="A126" s="55" t="s">
        <v>41</v>
      </c>
      <c r="B126" s="237" t="s">
        <v>339</v>
      </c>
      <c r="C126" s="152">
        <v>2018</v>
      </c>
      <c r="D126" s="56" t="s">
        <v>348</v>
      </c>
      <c r="E126" s="237" t="s">
        <v>297</v>
      </c>
      <c r="F126" s="237" t="s">
        <v>303</v>
      </c>
      <c r="G126" s="55" t="s">
        <v>42</v>
      </c>
      <c r="H126" s="55" t="s">
        <v>168</v>
      </c>
      <c r="I126" s="55" t="s">
        <v>155</v>
      </c>
      <c r="J126" s="55" t="s">
        <v>38</v>
      </c>
      <c r="K126" s="55" t="s">
        <v>156</v>
      </c>
      <c r="L126" s="237">
        <v>2</v>
      </c>
      <c r="N126" s="237">
        <v>1</v>
      </c>
      <c r="O126" s="237">
        <v>0.65</v>
      </c>
      <c r="P126" s="237">
        <v>0.7</v>
      </c>
      <c r="Q126" s="57">
        <f t="shared" si="3"/>
        <v>0.67500000000000004</v>
      </c>
      <c r="R126" s="237">
        <v>14.9</v>
      </c>
      <c r="S126" s="237">
        <v>127</v>
      </c>
      <c r="T126" s="57">
        <f t="shared" si="4"/>
        <v>27</v>
      </c>
      <c r="U126" s="237">
        <v>138</v>
      </c>
      <c r="V126" s="58">
        <f t="shared" si="5"/>
        <v>3726</v>
      </c>
      <c r="W126" s="237">
        <v>4</v>
      </c>
      <c r="X126" s="55" t="s">
        <v>46</v>
      </c>
      <c r="Y126" s="55" t="s">
        <v>55</v>
      </c>
      <c r="Z126" s="55" t="s">
        <v>64</v>
      </c>
      <c r="AA126" s="55" t="s">
        <v>97</v>
      </c>
      <c r="AB126" s="55" t="s">
        <v>341</v>
      </c>
    </row>
    <row r="127" spans="1:28" x14ac:dyDescent="0.15">
      <c r="A127" s="55" t="s">
        <v>41</v>
      </c>
      <c r="B127" s="237" t="s">
        <v>339</v>
      </c>
      <c r="C127" s="152">
        <v>2018</v>
      </c>
      <c r="D127" s="56" t="s">
        <v>348</v>
      </c>
      <c r="E127" s="237" t="s">
        <v>297</v>
      </c>
      <c r="F127" s="237" t="s">
        <v>303</v>
      </c>
      <c r="G127" s="55" t="s">
        <v>42</v>
      </c>
      <c r="H127" s="55" t="s">
        <v>168</v>
      </c>
      <c r="I127" s="55" t="s">
        <v>155</v>
      </c>
      <c r="J127" s="55" t="s">
        <v>38</v>
      </c>
      <c r="K127" s="55" t="s">
        <v>156</v>
      </c>
      <c r="L127" s="237">
        <v>3</v>
      </c>
      <c r="N127" s="237">
        <v>1</v>
      </c>
      <c r="O127" s="237">
        <v>0.5</v>
      </c>
      <c r="P127" s="237">
        <v>0.5</v>
      </c>
      <c r="Q127" s="57">
        <f t="shared" si="3"/>
        <v>0.5</v>
      </c>
      <c r="R127" s="237">
        <v>16.5</v>
      </c>
      <c r="S127" s="237">
        <v>125</v>
      </c>
      <c r="T127" s="57">
        <f t="shared" si="4"/>
        <v>27</v>
      </c>
      <c r="U127" s="237">
        <v>138</v>
      </c>
      <c r="V127" s="58">
        <f t="shared" si="5"/>
        <v>3726</v>
      </c>
      <c r="W127" s="237">
        <v>4</v>
      </c>
      <c r="X127" s="55" t="s">
        <v>46</v>
      </c>
      <c r="Y127" s="55" t="s">
        <v>55</v>
      </c>
      <c r="Z127" s="55" t="s">
        <v>64</v>
      </c>
      <c r="AA127" s="55" t="s">
        <v>97</v>
      </c>
      <c r="AB127" s="55" t="s">
        <v>341</v>
      </c>
    </row>
    <row r="128" spans="1:28" x14ac:dyDescent="0.15">
      <c r="A128" s="55" t="s">
        <v>41</v>
      </c>
      <c r="B128" s="237" t="s">
        <v>339</v>
      </c>
      <c r="C128" s="152">
        <v>2018</v>
      </c>
      <c r="D128" s="56" t="s">
        <v>348</v>
      </c>
      <c r="E128" s="237" t="s">
        <v>297</v>
      </c>
      <c r="F128" s="237" t="s">
        <v>303</v>
      </c>
      <c r="G128" s="55" t="s">
        <v>42</v>
      </c>
      <c r="H128" s="55" t="s">
        <v>168</v>
      </c>
      <c r="I128" s="55" t="s">
        <v>155</v>
      </c>
      <c r="J128" s="55" t="s">
        <v>38</v>
      </c>
      <c r="K128" s="55" t="s">
        <v>156</v>
      </c>
      <c r="L128" s="237">
        <v>1</v>
      </c>
      <c r="N128" s="237">
        <v>4</v>
      </c>
      <c r="O128" s="237">
        <v>0.4</v>
      </c>
      <c r="P128" s="237">
        <v>0.6</v>
      </c>
      <c r="Q128" s="57">
        <f t="shared" si="3"/>
        <v>0.5</v>
      </c>
      <c r="R128" s="237">
        <v>16.7</v>
      </c>
      <c r="S128" s="237">
        <v>135</v>
      </c>
      <c r="T128" s="57">
        <f t="shared" si="4"/>
        <v>25</v>
      </c>
      <c r="U128" s="237">
        <v>537</v>
      </c>
      <c r="V128" s="58">
        <f t="shared" si="5"/>
        <v>3356.25</v>
      </c>
      <c r="W128" s="237">
        <v>3</v>
      </c>
      <c r="X128" s="55" t="s">
        <v>46</v>
      </c>
      <c r="Y128" s="55" t="s">
        <v>55</v>
      </c>
      <c r="Z128" s="55" t="s">
        <v>64</v>
      </c>
      <c r="AA128" s="55" t="s">
        <v>97</v>
      </c>
      <c r="AB128" s="55" t="s">
        <v>341</v>
      </c>
    </row>
    <row r="129" spans="1:28" x14ac:dyDescent="0.15">
      <c r="A129" s="55" t="s">
        <v>41</v>
      </c>
      <c r="B129" s="237" t="s">
        <v>339</v>
      </c>
      <c r="C129" s="152">
        <v>2018</v>
      </c>
      <c r="D129" s="56" t="s">
        <v>348</v>
      </c>
      <c r="E129" s="237" t="s">
        <v>297</v>
      </c>
      <c r="F129" s="237" t="s">
        <v>303</v>
      </c>
      <c r="G129" s="55" t="s">
        <v>42</v>
      </c>
      <c r="H129" s="55" t="s">
        <v>168</v>
      </c>
      <c r="I129" s="55" t="s">
        <v>155</v>
      </c>
      <c r="J129" s="55" t="s">
        <v>38</v>
      </c>
      <c r="K129" s="55" t="s">
        <v>156</v>
      </c>
      <c r="L129" s="237">
        <v>2</v>
      </c>
      <c r="N129" s="237">
        <v>4</v>
      </c>
      <c r="O129" s="237">
        <v>0.25</v>
      </c>
      <c r="P129" s="237">
        <v>0.3</v>
      </c>
      <c r="Q129" s="57">
        <f t="shared" si="3"/>
        <v>0.27500000000000002</v>
      </c>
      <c r="R129" s="237">
        <v>14</v>
      </c>
      <c r="S129" s="237">
        <v>129</v>
      </c>
      <c r="T129" s="57">
        <f t="shared" si="4"/>
        <v>25</v>
      </c>
      <c r="U129" s="237">
        <v>537</v>
      </c>
      <c r="V129" s="58">
        <f t="shared" si="5"/>
        <v>3356.25</v>
      </c>
      <c r="W129" s="237">
        <v>3</v>
      </c>
      <c r="X129" s="55" t="s">
        <v>46</v>
      </c>
      <c r="Y129" s="55" t="s">
        <v>55</v>
      </c>
      <c r="Z129" s="55" t="s">
        <v>64</v>
      </c>
      <c r="AA129" s="55" t="s">
        <v>97</v>
      </c>
      <c r="AB129" s="55" t="s">
        <v>341</v>
      </c>
    </row>
    <row r="130" spans="1:28" x14ac:dyDescent="0.15">
      <c r="A130" s="55" t="s">
        <v>41</v>
      </c>
      <c r="B130" s="237" t="s">
        <v>339</v>
      </c>
      <c r="C130" s="152">
        <v>2018</v>
      </c>
      <c r="D130" s="56" t="s">
        <v>348</v>
      </c>
      <c r="E130" s="237" t="s">
        <v>297</v>
      </c>
      <c r="F130" s="237" t="s">
        <v>303</v>
      </c>
      <c r="G130" s="55" t="s">
        <v>42</v>
      </c>
      <c r="H130" s="55" t="s">
        <v>168</v>
      </c>
      <c r="I130" s="55" t="s">
        <v>155</v>
      </c>
      <c r="J130" s="55" t="s">
        <v>38</v>
      </c>
      <c r="K130" s="55" t="s">
        <v>156</v>
      </c>
      <c r="L130" s="237">
        <v>3</v>
      </c>
      <c r="N130" s="237">
        <v>4</v>
      </c>
      <c r="O130" s="237">
        <v>0.65</v>
      </c>
      <c r="P130" s="237">
        <v>0.5</v>
      </c>
      <c r="Q130" s="57">
        <f t="shared" ref="Q130:Q193" si="6">IF(OR(O130="",P130=""),"",AVERAGE(O130,P130))</f>
        <v>0.57499999999999996</v>
      </c>
      <c r="R130" s="237">
        <v>15.5</v>
      </c>
      <c r="S130" s="237">
        <v>134</v>
      </c>
      <c r="T130" s="57">
        <f t="shared" ref="T130:T193" si="7">IF(H130="","",IF(OR(H130="GREEN",H130="GK"),IF(S130&gt;=$AX$2,VLOOKUP(S130,$AX$2:$AY$10,2,1),""),IF(S130&gt;=$AZ$2,VLOOKUP(S130,$AZ$2:$BA$10,2,1),"")))</f>
        <v>25</v>
      </c>
      <c r="U130" s="237">
        <v>537</v>
      </c>
      <c r="V130" s="58">
        <f t="shared" ref="V130:V193" si="8">IF(OR(N130="",U130="",T130=""),"",U130/N130*T130)</f>
        <v>3356.25</v>
      </c>
      <c r="W130" s="237">
        <v>3</v>
      </c>
      <c r="X130" s="55" t="s">
        <v>46</v>
      </c>
      <c r="Y130" s="55" t="s">
        <v>55</v>
      </c>
      <c r="Z130" s="55" t="s">
        <v>64</v>
      </c>
      <c r="AA130" s="55" t="s">
        <v>97</v>
      </c>
      <c r="AB130" s="55" t="s">
        <v>341</v>
      </c>
    </row>
    <row r="131" spans="1:28" x14ac:dyDescent="0.15">
      <c r="A131" s="55" t="s">
        <v>41</v>
      </c>
      <c r="B131" s="237" t="s">
        <v>339</v>
      </c>
      <c r="C131" s="152">
        <v>2018</v>
      </c>
      <c r="D131" s="56" t="s">
        <v>348</v>
      </c>
      <c r="E131" s="237" t="s">
        <v>175</v>
      </c>
      <c r="F131" s="237" t="s">
        <v>304</v>
      </c>
      <c r="G131" s="55" t="s">
        <v>42</v>
      </c>
      <c r="H131" s="55" t="s">
        <v>168</v>
      </c>
      <c r="I131" s="55" t="s">
        <v>155</v>
      </c>
      <c r="J131" s="55" t="s">
        <v>38</v>
      </c>
      <c r="K131" s="55" t="s">
        <v>156</v>
      </c>
      <c r="L131" s="237">
        <v>1</v>
      </c>
      <c r="N131" s="237">
        <v>1</v>
      </c>
      <c r="O131" s="237">
        <v>0.3</v>
      </c>
      <c r="P131" s="237">
        <v>0.45</v>
      </c>
      <c r="Q131" s="57">
        <f t="shared" si="6"/>
        <v>0.375</v>
      </c>
      <c r="R131" s="237">
        <v>15.6</v>
      </c>
      <c r="S131" s="237">
        <v>140</v>
      </c>
      <c r="T131" s="57">
        <f t="shared" si="7"/>
        <v>22</v>
      </c>
      <c r="U131" s="237">
        <v>137</v>
      </c>
      <c r="V131" s="58">
        <f t="shared" si="8"/>
        <v>3014</v>
      </c>
      <c r="W131" s="237">
        <v>4</v>
      </c>
      <c r="X131" s="55" t="s">
        <v>46</v>
      </c>
      <c r="Y131" s="55" t="s">
        <v>69</v>
      </c>
      <c r="Z131" s="55" t="s">
        <v>55</v>
      </c>
      <c r="AA131" s="55" t="s">
        <v>64</v>
      </c>
      <c r="AB131" s="55" t="s">
        <v>341</v>
      </c>
    </row>
    <row r="132" spans="1:28" x14ac:dyDescent="0.15">
      <c r="A132" s="55" t="s">
        <v>41</v>
      </c>
      <c r="B132" s="237" t="s">
        <v>339</v>
      </c>
      <c r="C132" s="152">
        <v>2018</v>
      </c>
      <c r="D132" s="56" t="s">
        <v>348</v>
      </c>
      <c r="E132" s="237" t="s">
        <v>175</v>
      </c>
      <c r="F132" s="237" t="s">
        <v>304</v>
      </c>
      <c r="G132" s="55" t="s">
        <v>42</v>
      </c>
      <c r="H132" s="55" t="s">
        <v>168</v>
      </c>
      <c r="I132" s="55" t="s">
        <v>155</v>
      </c>
      <c r="J132" s="55" t="s">
        <v>38</v>
      </c>
      <c r="K132" s="55" t="s">
        <v>156</v>
      </c>
      <c r="L132" s="237">
        <v>2</v>
      </c>
      <c r="N132" s="237">
        <v>1</v>
      </c>
      <c r="O132" s="237">
        <v>0.25</v>
      </c>
      <c r="P132" s="237">
        <v>0.25</v>
      </c>
      <c r="Q132" s="57">
        <f t="shared" si="6"/>
        <v>0.25</v>
      </c>
      <c r="R132" s="237">
        <v>14.9</v>
      </c>
      <c r="S132" s="237">
        <v>142</v>
      </c>
      <c r="T132" s="57">
        <f t="shared" si="7"/>
        <v>22</v>
      </c>
      <c r="U132" s="237">
        <v>137</v>
      </c>
      <c r="V132" s="58">
        <f t="shared" si="8"/>
        <v>3014</v>
      </c>
      <c r="W132" s="237">
        <v>4</v>
      </c>
      <c r="X132" s="55" t="s">
        <v>46</v>
      </c>
      <c r="Y132" s="55" t="s">
        <v>69</v>
      </c>
      <c r="Z132" s="55" t="s">
        <v>55</v>
      </c>
      <c r="AA132" s="55" t="s">
        <v>64</v>
      </c>
      <c r="AB132" s="55" t="s">
        <v>341</v>
      </c>
    </row>
    <row r="133" spans="1:28" x14ac:dyDescent="0.15">
      <c r="A133" s="55" t="s">
        <v>41</v>
      </c>
      <c r="B133" s="237" t="s">
        <v>339</v>
      </c>
      <c r="C133" s="152">
        <v>2018</v>
      </c>
      <c r="D133" s="56" t="s">
        <v>348</v>
      </c>
      <c r="E133" s="237" t="s">
        <v>175</v>
      </c>
      <c r="F133" s="237" t="s">
        <v>304</v>
      </c>
      <c r="G133" s="55" t="s">
        <v>42</v>
      </c>
      <c r="H133" s="55" t="s">
        <v>168</v>
      </c>
      <c r="I133" s="55" t="s">
        <v>155</v>
      </c>
      <c r="J133" s="55" t="s">
        <v>38</v>
      </c>
      <c r="K133" s="55" t="s">
        <v>156</v>
      </c>
      <c r="L133" s="237">
        <v>3</v>
      </c>
      <c r="N133" s="237">
        <v>1</v>
      </c>
      <c r="O133" s="55">
        <v>0.45</v>
      </c>
      <c r="P133" s="55">
        <v>0.5</v>
      </c>
      <c r="Q133" s="82">
        <f t="shared" si="6"/>
        <v>0.47499999999999998</v>
      </c>
      <c r="R133" s="55">
        <v>16.399999999999999</v>
      </c>
      <c r="S133" s="55">
        <v>150</v>
      </c>
      <c r="T133" s="57">
        <f t="shared" si="7"/>
        <v>22</v>
      </c>
      <c r="U133" s="237">
        <v>137</v>
      </c>
      <c r="V133" s="58">
        <f t="shared" si="8"/>
        <v>3014</v>
      </c>
      <c r="W133" s="237">
        <v>4</v>
      </c>
      <c r="X133" s="55" t="s">
        <v>46</v>
      </c>
      <c r="Y133" s="55" t="s">
        <v>69</v>
      </c>
      <c r="Z133" s="55" t="s">
        <v>55</v>
      </c>
      <c r="AA133" s="55" t="s">
        <v>64</v>
      </c>
      <c r="AB133" s="55" t="s">
        <v>341</v>
      </c>
    </row>
    <row r="134" spans="1:28" x14ac:dyDescent="0.15">
      <c r="A134" s="55" t="s">
        <v>41</v>
      </c>
      <c r="B134" s="237" t="s">
        <v>339</v>
      </c>
      <c r="C134" s="152">
        <v>2018</v>
      </c>
      <c r="D134" s="56" t="s">
        <v>348</v>
      </c>
      <c r="E134" s="237" t="s">
        <v>175</v>
      </c>
      <c r="F134" s="237" t="s">
        <v>304</v>
      </c>
      <c r="G134" s="55" t="s">
        <v>42</v>
      </c>
      <c r="H134" s="55" t="s">
        <v>157</v>
      </c>
      <c r="I134" s="55" t="s">
        <v>155</v>
      </c>
      <c r="J134" s="55" t="s">
        <v>38</v>
      </c>
      <c r="K134" s="55" t="s">
        <v>156</v>
      </c>
      <c r="L134" s="237">
        <v>1</v>
      </c>
      <c r="N134" s="237">
        <v>1</v>
      </c>
      <c r="O134" s="55">
        <v>0.65</v>
      </c>
      <c r="P134" s="55">
        <v>0.45</v>
      </c>
      <c r="Q134" s="258">
        <f t="shared" si="6"/>
        <v>0.55000000000000004</v>
      </c>
      <c r="R134" s="55">
        <v>14.2</v>
      </c>
      <c r="S134" s="55">
        <v>138</v>
      </c>
      <c r="T134" s="57">
        <f t="shared" si="7"/>
        <v>22</v>
      </c>
      <c r="U134" s="237">
        <v>137</v>
      </c>
      <c r="V134" s="58">
        <f t="shared" si="8"/>
        <v>3014</v>
      </c>
      <c r="W134" s="237">
        <v>3</v>
      </c>
      <c r="X134" s="55" t="s">
        <v>46</v>
      </c>
      <c r="Y134" s="55" t="s">
        <v>69</v>
      </c>
      <c r="Z134" s="55" t="s">
        <v>55</v>
      </c>
      <c r="AA134" s="55" t="s">
        <v>64</v>
      </c>
      <c r="AB134" s="55" t="s">
        <v>341</v>
      </c>
    </row>
    <row r="135" spans="1:28" x14ac:dyDescent="0.15">
      <c r="A135" s="55" t="s">
        <v>41</v>
      </c>
      <c r="B135" s="237" t="s">
        <v>339</v>
      </c>
      <c r="C135" s="152">
        <v>2018</v>
      </c>
      <c r="D135" s="56" t="s">
        <v>348</v>
      </c>
      <c r="E135" s="237" t="s">
        <v>175</v>
      </c>
      <c r="F135" s="237" t="s">
        <v>304</v>
      </c>
      <c r="G135" s="55" t="s">
        <v>42</v>
      </c>
      <c r="H135" s="55" t="s">
        <v>157</v>
      </c>
      <c r="I135" s="55" t="s">
        <v>155</v>
      </c>
      <c r="J135" s="55" t="s">
        <v>38</v>
      </c>
      <c r="K135" s="55" t="s">
        <v>156</v>
      </c>
      <c r="L135" s="237">
        <v>2</v>
      </c>
      <c r="N135" s="237">
        <v>1</v>
      </c>
      <c r="O135" s="55">
        <v>0.7</v>
      </c>
      <c r="P135" s="55">
        <v>0.65</v>
      </c>
      <c r="Q135" s="258">
        <f t="shared" si="6"/>
        <v>0.67500000000000004</v>
      </c>
      <c r="R135" s="55">
        <v>14.3</v>
      </c>
      <c r="S135" s="55">
        <v>129</v>
      </c>
      <c r="T135" s="57">
        <f t="shared" si="7"/>
        <v>25</v>
      </c>
      <c r="U135" s="237">
        <v>137</v>
      </c>
      <c r="V135" s="58">
        <f t="shared" si="8"/>
        <v>3425</v>
      </c>
      <c r="W135" s="237">
        <v>3</v>
      </c>
      <c r="X135" s="55" t="s">
        <v>46</v>
      </c>
      <c r="Y135" s="55" t="s">
        <v>69</v>
      </c>
      <c r="Z135" s="55" t="s">
        <v>55</v>
      </c>
      <c r="AA135" s="55" t="s">
        <v>64</v>
      </c>
      <c r="AB135" s="55" t="s">
        <v>341</v>
      </c>
    </row>
    <row r="136" spans="1:28" x14ac:dyDescent="0.15">
      <c r="A136" s="55" t="s">
        <v>41</v>
      </c>
      <c r="B136" s="237" t="s">
        <v>339</v>
      </c>
      <c r="C136" s="152">
        <v>2018</v>
      </c>
      <c r="D136" s="56" t="s">
        <v>348</v>
      </c>
      <c r="E136" s="237" t="s">
        <v>175</v>
      </c>
      <c r="F136" s="237" t="s">
        <v>304</v>
      </c>
      <c r="G136" s="55" t="s">
        <v>42</v>
      </c>
      <c r="H136" s="55" t="s">
        <v>157</v>
      </c>
      <c r="I136" s="55" t="s">
        <v>155</v>
      </c>
      <c r="J136" s="55" t="s">
        <v>38</v>
      </c>
      <c r="K136" s="55" t="s">
        <v>156</v>
      </c>
      <c r="L136" s="237">
        <v>3</v>
      </c>
      <c r="N136" s="237">
        <v>1</v>
      </c>
      <c r="O136" s="55">
        <v>0.65</v>
      </c>
      <c r="P136" s="55">
        <v>0.6</v>
      </c>
      <c r="Q136" s="258">
        <f t="shared" si="6"/>
        <v>0.625</v>
      </c>
      <c r="R136" s="55">
        <v>16.100000000000001</v>
      </c>
      <c r="S136" s="55">
        <v>134</v>
      </c>
      <c r="T136" s="57">
        <f t="shared" si="7"/>
        <v>25</v>
      </c>
      <c r="U136" s="237">
        <v>137</v>
      </c>
      <c r="V136" s="58">
        <f t="shared" si="8"/>
        <v>3425</v>
      </c>
      <c r="W136" s="237">
        <v>3</v>
      </c>
      <c r="X136" s="55" t="s">
        <v>46</v>
      </c>
      <c r="Y136" s="55" t="s">
        <v>69</v>
      </c>
      <c r="Z136" s="55" t="s">
        <v>55</v>
      </c>
      <c r="AA136" s="55" t="s">
        <v>64</v>
      </c>
      <c r="AB136" s="55" t="s">
        <v>341</v>
      </c>
    </row>
    <row r="137" spans="1:28" x14ac:dyDescent="0.15">
      <c r="A137" s="55" t="s">
        <v>41</v>
      </c>
      <c r="B137" s="237" t="s">
        <v>339</v>
      </c>
      <c r="C137" s="152">
        <v>2018</v>
      </c>
      <c r="D137" s="56" t="s">
        <v>348</v>
      </c>
      <c r="E137" s="237" t="s">
        <v>175</v>
      </c>
      <c r="F137" s="237" t="s">
        <v>304</v>
      </c>
      <c r="G137" s="55" t="s">
        <v>42</v>
      </c>
      <c r="H137" s="55" t="s">
        <v>157</v>
      </c>
      <c r="I137" s="55" t="s">
        <v>155</v>
      </c>
      <c r="J137" s="55" t="s">
        <v>38</v>
      </c>
      <c r="K137" s="55" t="s">
        <v>156</v>
      </c>
      <c r="L137" s="237">
        <v>1</v>
      </c>
      <c r="N137" s="237">
        <v>4</v>
      </c>
      <c r="O137" s="55">
        <v>0.8</v>
      </c>
      <c r="P137" s="55">
        <v>0.55000000000000004</v>
      </c>
      <c r="Q137" s="82">
        <f t="shared" si="6"/>
        <v>0.67500000000000004</v>
      </c>
      <c r="R137" s="55">
        <v>12.8</v>
      </c>
      <c r="S137" s="55">
        <v>148</v>
      </c>
      <c r="T137" s="57">
        <f t="shared" si="7"/>
        <v>22</v>
      </c>
      <c r="U137" s="237">
        <v>471</v>
      </c>
      <c r="V137" s="58">
        <f t="shared" si="8"/>
        <v>2590.5</v>
      </c>
      <c r="W137" s="237">
        <v>2</v>
      </c>
      <c r="X137" s="55" t="s">
        <v>46</v>
      </c>
      <c r="Y137" s="55" t="s">
        <v>69</v>
      </c>
      <c r="Z137" s="55" t="s">
        <v>55</v>
      </c>
      <c r="AA137" s="55" t="s">
        <v>64</v>
      </c>
      <c r="AB137" s="55" t="s">
        <v>341</v>
      </c>
    </row>
    <row r="138" spans="1:28" x14ac:dyDescent="0.15">
      <c r="A138" s="55" t="s">
        <v>41</v>
      </c>
      <c r="B138" s="237" t="s">
        <v>339</v>
      </c>
      <c r="C138" s="152">
        <v>2018</v>
      </c>
      <c r="D138" s="56" t="s">
        <v>348</v>
      </c>
      <c r="E138" s="237" t="s">
        <v>175</v>
      </c>
      <c r="F138" s="237" t="s">
        <v>304</v>
      </c>
      <c r="G138" s="55" t="s">
        <v>42</v>
      </c>
      <c r="H138" s="55" t="s">
        <v>157</v>
      </c>
      <c r="I138" s="55" t="s">
        <v>155</v>
      </c>
      <c r="J138" s="55" t="s">
        <v>38</v>
      </c>
      <c r="K138" s="55" t="s">
        <v>156</v>
      </c>
      <c r="L138" s="237">
        <v>2</v>
      </c>
      <c r="N138" s="237">
        <v>4</v>
      </c>
      <c r="O138" s="55">
        <v>0.5</v>
      </c>
      <c r="P138" s="55">
        <v>0.45</v>
      </c>
      <c r="Q138" s="82">
        <f t="shared" si="6"/>
        <v>0.47499999999999998</v>
      </c>
      <c r="R138" s="55">
        <v>17.100000000000001</v>
      </c>
      <c r="S138" s="55">
        <v>138</v>
      </c>
      <c r="T138" s="57">
        <f t="shared" si="7"/>
        <v>22</v>
      </c>
      <c r="U138" s="237">
        <v>471</v>
      </c>
      <c r="V138" s="58">
        <f t="shared" si="8"/>
        <v>2590.5</v>
      </c>
      <c r="W138" s="237">
        <v>2</v>
      </c>
      <c r="X138" s="55" t="s">
        <v>46</v>
      </c>
      <c r="Y138" s="55" t="s">
        <v>69</v>
      </c>
      <c r="Z138" s="55" t="s">
        <v>55</v>
      </c>
      <c r="AA138" s="55" t="s">
        <v>64</v>
      </c>
      <c r="AB138" s="55" t="s">
        <v>341</v>
      </c>
    </row>
    <row r="139" spans="1:28" x14ac:dyDescent="0.15">
      <c r="A139" s="55" t="s">
        <v>41</v>
      </c>
      <c r="B139" s="237" t="s">
        <v>339</v>
      </c>
      <c r="C139" s="152">
        <v>2018</v>
      </c>
      <c r="D139" s="56" t="s">
        <v>348</v>
      </c>
      <c r="E139" s="237" t="s">
        <v>175</v>
      </c>
      <c r="F139" s="237" t="s">
        <v>304</v>
      </c>
      <c r="G139" s="55" t="s">
        <v>42</v>
      </c>
      <c r="H139" s="55" t="s">
        <v>157</v>
      </c>
      <c r="I139" s="55" t="s">
        <v>155</v>
      </c>
      <c r="J139" s="55" t="s">
        <v>38</v>
      </c>
      <c r="K139" s="55" t="s">
        <v>156</v>
      </c>
      <c r="L139" s="237">
        <v>3</v>
      </c>
      <c r="N139" s="237">
        <v>4</v>
      </c>
      <c r="O139" s="55">
        <v>0.35</v>
      </c>
      <c r="P139" s="55">
        <v>0.4</v>
      </c>
      <c r="Q139" s="82">
        <f t="shared" si="6"/>
        <v>0.375</v>
      </c>
      <c r="R139" s="55">
        <v>14</v>
      </c>
      <c r="S139" s="55">
        <v>134</v>
      </c>
      <c r="T139" s="57">
        <f t="shared" si="7"/>
        <v>25</v>
      </c>
      <c r="U139" s="237">
        <v>471</v>
      </c>
      <c r="V139" s="58">
        <f t="shared" si="8"/>
        <v>2943.75</v>
      </c>
      <c r="W139" s="237">
        <v>2</v>
      </c>
      <c r="X139" s="55" t="s">
        <v>46</v>
      </c>
      <c r="Y139" s="55" t="s">
        <v>69</v>
      </c>
      <c r="Z139" s="55" t="s">
        <v>55</v>
      </c>
      <c r="AA139" s="55" t="s">
        <v>64</v>
      </c>
      <c r="AB139" s="55" t="s">
        <v>341</v>
      </c>
    </row>
    <row r="140" spans="1:28" x14ac:dyDescent="0.15">
      <c r="A140" s="55" t="s">
        <v>41</v>
      </c>
      <c r="B140" s="237" t="s">
        <v>339</v>
      </c>
      <c r="C140" s="152">
        <v>2018</v>
      </c>
      <c r="D140" s="56" t="s">
        <v>348</v>
      </c>
      <c r="E140" s="237" t="s">
        <v>295</v>
      </c>
      <c r="F140" s="237" t="s">
        <v>300</v>
      </c>
      <c r="G140" s="55" t="s">
        <v>42</v>
      </c>
      <c r="H140" s="55" t="s">
        <v>168</v>
      </c>
      <c r="I140" s="55" t="s">
        <v>155</v>
      </c>
      <c r="J140" s="55" t="s">
        <v>38</v>
      </c>
      <c r="K140" s="55" t="s">
        <v>156</v>
      </c>
      <c r="L140" s="237">
        <v>1</v>
      </c>
      <c r="N140" s="237">
        <v>1</v>
      </c>
      <c r="O140" s="55">
        <v>0.4</v>
      </c>
      <c r="P140" s="55">
        <v>0.35</v>
      </c>
      <c r="Q140" s="82">
        <f t="shared" si="6"/>
        <v>0.375</v>
      </c>
      <c r="R140" s="55">
        <v>14.1</v>
      </c>
      <c r="S140" s="55">
        <v>121</v>
      </c>
      <c r="T140" s="57">
        <f t="shared" si="7"/>
        <v>27</v>
      </c>
      <c r="U140" s="237">
        <v>104</v>
      </c>
      <c r="V140" s="58">
        <f t="shared" si="8"/>
        <v>2808</v>
      </c>
      <c r="W140" s="237">
        <v>4</v>
      </c>
      <c r="X140" s="55" t="s">
        <v>46</v>
      </c>
      <c r="Y140" s="55" t="s">
        <v>97</v>
      </c>
      <c r="Z140" s="55" t="s">
        <v>55</v>
      </c>
      <c r="AA140" s="55" t="s">
        <v>69</v>
      </c>
      <c r="AB140" s="55" t="s">
        <v>341</v>
      </c>
    </row>
    <row r="141" spans="1:28" x14ac:dyDescent="0.15">
      <c r="A141" s="55" t="s">
        <v>41</v>
      </c>
      <c r="B141" s="237" t="s">
        <v>339</v>
      </c>
      <c r="C141" s="152">
        <v>2018</v>
      </c>
      <c r="D141" s="56" t="s">
        <v>348</v>
      </c>
      <c r="E141" s="237" t="s">
        <v>295</v>
      </c>
      <c r="F141" s="237" t="s">
        <v>300</v>
      </c>
      <c r="G141" s="55" t="s">
        <v>42</v>
      </c>
      <c r="H141" s="55" t="s">
        <v>168</v>
      </c>
      <c r="I141" s="55" t="s">
        <v>155</v>
      </c>
      <c r="J141" s="55" t="s">
        <v>38</v>
      </c>
      <c r="K141" s="55" t="s">
        <v>156</v>
      </c>
      <c r="L141" s="237">
        <v>2</v>
      </c>
      <c r="N141" s="237">
        <v>1</v>
      </c>
      <c r="O141" s="55">
        <v>0.2</v>
      </c>
      <c r="P141" s="55">
        <v>0.2</v>
      </c>
      <c r="Q141" s="82">
        <f t="shared" si="6"/>
        <v>0.2</v>
      </c>
      <c r="R141" s="55">
        <v>14.3</v>
      </c>
      <c r="S141" s="55">
        <v>117</v>
      </c>
      <c r="T141" s="57">
        <f t="shared" si="7"/>
        <v>30</v>
      </c>
      <c r="U141" s="237">
        <v>104</v>
      </c>
      <c r="V141" s="58">
        <f t="shared" si="8"/>
        <v>3120</v>
      </c>
      <c r="W141" s="237">
        <v>4</v>
      </c>
      <c r="X141" s="55" t="s">
        <v>46</v>
      </c>
      <c r="Y141" s="55" t="s">
        <v>97</v>
      </c>
      <c r="Z141" s="55" t="s">
        <v>55</v>
      </c>
      <c r="AA141" s="55" t="s">
        <v>69</v>
      </c>
      <c r="AB141" s="55" t="s">
        <v>341</v>
      </c>
    </row>
    <row r="142" spans="1:28" x14ac:dyDescent="0.15">
      <c r="A142" s="55" t="s">
        <v>41</v>
      </c>
      <c r="B142" s="237" t="s">
        <v>339</v>
      </c>
      <c r="C142" s="152">
        <v>2018</v>
      </c>
      <c r="D142" s="56" t="s">
        <v>348</v>
      </c>
      <c r="E142" s="237" t="s">
        <v>295</v>
      </c>
      <c r="F142" s="237" t="s">
        <v>300</v>
      </c>
      <c r="G142" s="55" t="s">
        <v>42</v>
      </c>
      <c r="H142" s="55" t="s">
        <v>168</v>
      </c>
      <c r="I142" s="55" t="s">
        <v>155</v>
      </c>
      <c r="J142" s="55" t="s">
        <v>38</v>
      </c>
      <c r="K142" s="55" t="s">
        <v>156</v>
      </c>
      <c r="L142" s="237">
        <v>3</v>
      </c>
      <c r="N142" s="237">
        <v>1</v>
      </c>
      <c r="O142" s="55">
        <v>0.4</v>
      </c>
      <c r="P142" s="55">
        <v>0.2</v>
      </c>
      <c r="Q142" s="82">
        <f t="shared" si="6"/>
        <v>0.30000000000000004</v>
      </c>
      <c r="R142" s="55">
        <v>15.4</v>
      </c>
      <c r="S142" s="55">
        <v>125</v>
      </c>
      <c r="T142" s="57">
        <f t="shared" si="7"/>
        <v>27</v>
      </c>
      <c r="U142" s="237">
        <v>104</v>
      </c>
      <c r="V142" s="58">
        <f t="shared" si="8"/>
        <v>2808</v>
      </c>
      <c r="W142" s="237">
        <v>4</v>
      </c>
      <c r="X142" s="55" t="s">
        <v>46</v>
      </c>
      <c r="Y142" s="55" t="s">
        <v>97</v>
      </c>
      <c r="Z142" s="55" t="s">
        <v>55</v>
      </c>
      <c r="AA142" s="55" t="s">
        <v>69</v>
      </c>
      <c r="AB142" s="55" t="s">
        <v>341</v>
      </c>
    </row>
    <row r="143" spans="1:28" x14ac:dyDescent="0.15">
      <c r="A143" s="55" t="s">
        <v>41</v>
      </c>
      <c r="B143" s="237" t="s">
        <v>339</v>
      </c>
      <c r="C143" s="152">
        <v>2018</v>
      </c>
      <c r="D143" s="56" t="s">
        <v>348</v>
      </c>
      <c r="E143" s="237" t="s">
        <v>295</v>
      </c>
      <c r="F143" s="237" t="s">
        <v>300</v>
      </c>
      <c r="G143" s="55" t="s">
        <v>42</v>
      </c>
      <c r="H143" s="55" t="s">
        <v>157</v>
      </c>
      <c r="I143" s="55" t="s">
        <v>155</v>
      </c>
      <c r="J143" s="55" t="s">
        <v>38</v>
      </c>
      <c r="K143" s="55" t="s">
        <v>156</v>
      </c>
      <c r="L143" s="237">
        <v>1</v>
      </c>
      <c r="N143" s="237">
        <v>1</v>
      </c>
      <c r="O143" s="55">
        <v>0.25</v>
      </c>
      <c r="P143" s="55">
        <v>0.2</v>
      </c>
      <c r="Q143" s="57">
        <f t="shared" si="6"/>
        <v>0.22500000000000001</v>
      </c>
      <c r="R143" s="237">
        <v>16.8</v>
      </c>
      <c r="S143" s="55">
        <v>115</v>
      </c>
      <c r="T143" s="57">
        <f t="shared" si="7"/>
        <v>30</v>
      </c>
      <c r="U143" s="237">
        <v>104</v>
      </c>
      <c r="V143" s="58">
        <f t="shared" si="8"/>
        <v>3120</v>
      </c>
      <c r="W143" s="237">
        <v>3</v>
      </c>
      <c r="X143" s="55" t="s">
        <v>46</v>
      </c>
      <c r="Y143" s="55" t="s">
        <v>97</v>
      </c>
      <c r="Z143" s="55" t="s">
        <v>55</v>
      </c>
      <c r="AA143" s="55" t="s">
        <v>69</v>
      </c>
      <c r="AB143" s="55" t="s">
        <v>341</v>
      </c>
    </row>
    <row r="144" spans="1:28" x14ac:dyDescent="0.15">
      <c r="A144" s="55" t="s">
        <v>41</v>
      </c>
      <c r="B144" s="237" t="s">
        <v>339</v>
      </c>
      <c r="C144" s="152">
        <v>2018</v>
      </c>
      <c r="D144" s="56" t="s">
        <v>348</v>
      </c>
      <c r="E144" s="237" t="s">
        <v>295</v>
      </c>
      <c r="F144" s="237" t="s">
        <v>300</v>
      </c>
      <c r="G144" s="55" t="s">
        <v>42</v>
      </c>
      <c r="H144" s="55" t="s">
        <v>157</v>
      </c>
      <c r="I144" s="55" t="s">
        <v>155</v>
      </c>
      <c r="J144" s="55" t="s">
        <v>38</v>
      </c>
      <c r="K144" s="55" t="s">
        <v>156</v>
      </c>
      <c r="L144" s="237">
        <v>2</v>
      </c>
      <c r="N144" s="237">
        <v>1</v>
      </c>
      <c r="O144" s="55">
        <v>0.45</v>
      </c>
      <c r="P144" s="55">
        <v>0.6</v>
      </c>
      <c r="Q144" s="57">
        <f t="shared" si="6"/>
        <v>0.52500000000000002</v>
      </c>
      <c r="R144" s="237">
        <v>14.7</v>
      </c>
      <c r="S144" s="55">
        <v>114</v>
      </c>
      <c r="T144" s="57">
        <f t="shared" si="7"/>
        <v>30</v>
      </c>
      <c r="U144" s="237">
        <v>104</v>
      </c>
      <c r="V144" s="58">
        <f t="shared" si="8"/>
        <v>3120</v>
      </c>
      <c r="W144" s="237">
        <v>3</v>
      </c>
      <c r="X144" s="55" t="s">
        <v>46</v>
      </c>
      <c r="Y144" s="55" t="s">
        <v>97</v>
      </c>
      <c r="Z144" s="55" t="s">
        <v>55</v>
      </c>
      <c r="AA144" s="55" t="s">
        <v>69</v>
      </c>
      <c r="AB144" s="55" t="s">
        <v>341</v>
      </c>
    </row>
    <row r="145" spans="1:28" x14ac:dyDescent="0.15">
      <c r="A145" s="55" t="s">
        <v>41</v>
      </c>
      <c r="B145" s="237" t="s">
        <v>339</v>
      </c>
      <c r="C145" s="152">
        <v>2018</v>
      </c>
      <c r="D145" s="56" t="s">
        <v>348</v>
      </c>
      <c r="E145" s="237" t="s">
        <v>295</v>
      </c>
      <c r="F145" s="237" t="s">
        <v>300</v>
      </c>
      <c r="G145" s="55" t="s">
        <v>42</v>
      </c>
      <c r="H145" s="55" t="s">
        <v>157</v>
      </c>
      <c r="I145" s="55" t="s">
        <v>155</v>
      </c>
      <c r="J145" s="55" t="s">
        <v>38</v>
      </c>
      <c r="K145" s="55" t="s">
        <v>156</v>
      </c>
      <c r="L145" s="237">
        <v>3</v>
      </c>
      <c r="N145" s="237">
        <v>1</v>
      </c>
      <c r="O145" s="55">
        <v>0.6</v>
      </c>
      <c r="P145" s="55">
        <v>0.55000000000000004</v>
      </c>
      <c r="Q145" s="57">
        <f t="shared" si="6"/>
        <v>0.57499999999999996</v>
      </c>
      <c r="R145" s="237">
        <v>14.9</v>
      </c>
      <c r="S145" s="55">
        <v>118</v>
      </c>
      <c r="T145" s="57">
        <f t="shared" si="7"/>
        <v>30</v>
      </c>
      <c r="U145" s="237">
        <v>104</v>
      </c>
      <c r="V145" s="58">
        <f t="shared" si="8"/>
        <v>3120</v>
      </c>
      <c r="W145" s="237">
        <v>3</v>
      </c>
      <c r="X145" s="55" t="s">
        <v>46</v>
      </c>
      <c r="Y145" s="55" t="s">
        <v>97</v>
      </c>
      <c r="Z145" s="55" t="s">
        <v>55</v>
      </c>
      <c r="AA145" s="55" t="s">
        <v>69</v>
      </c>
      <c r="AB145" s="55" t="s">
        <v>341</v>
      </c>
    </row>
    <row r="146" spans="1:28" x14ac:dyDescent="0.15">
      <c r="A146" s="55" t="s">
        <v>41</v>
      </c>
      <c r="B146" s="237" t="s">
        <v>339</v>
      </c>
      <c r="C146" s="152">
        <v>2018</v>
      </c>
      <c r="D146" s="56" t="s">
        <v>348</v>
      </c>
      <c r="E146" s="237" t="s">
        <v>295</v>
      </c>
      <c r="F146" s="237" t="s">
        <v>300</v>
      </c>
      <c r="G146" s="55" t="s">
        <v>42</v>
      </c>
      <c r="H146" s="55" t="s">
        <v>157</v>
      </c>
      <c r="I146" s="55" t="s">
        <v>155</v>
      </c>
      <c r="J146" s="55" t="s">
        <v>38</v>
      </c>
      <c r="K146" s="55" t="s">
        <v>156</v>
      </c>
      <c r="L146" s="237">
        <v>1</v>
      </c>
      <c r="N146" s="237">
        <v>6</v>
      </c>
      <c r="O146" s="55">
        <v>0.5</v>
      </c>
      <c r="P146" s="55">
        <v>0.7</v>
      </c>
      <c r="Q146" s="57">
        <f t="shared" si="6"/>
        <v>0.6</v>
      </c>
      <c r="R146" s="237">
        <v>14.1</v>
      </c>
      <c r="S146" s="55">
        <v>88</v>
      </c>
      <c r="T146" s="57">
        <f t="shared" si="7"/>
        <v>36</v>
      </c>
      <c r="U146" s="237">
        <v>428</v>
      </c>
      <c r="V146" s="58">
        <f t="shared" si="8"/>
        <v>2568</v>
      </c>
      <c r="W146" s="237">
        <v>3</v>
      </c>
      <c r="X146" s="55" t="s">
        <v>46</v>
      </c>
      <c r="Y146" s="55" t="s">
        <v>97</v>
      </c>
      <c r="Z146" s="55" t="s">
        <v>55</v>
      </c>
      <c r="AA146" s="55" t="s">
        <v>69</v>
      </c>
      <c r="AB146" s="55" t="s">
        <v>341</v>
      </c>
    </row>
    <row r="147" spans="1:28" x14ac:dyDescent="0.15">
      <c r="A147" s="55" t="s">
        <v>41</v>
      </c>
      <c r="B147" s="237" t="s">
        <v>339</v>
      </c>
      <c r="C147" s="152">
        <v>2018</v>
      </c>
      <c r="D147" s="56" t="s">
        <v>348</v>
      </c>
      <c r="E147" s="237" t="s">
        <v>295</v>
      </c>
      <c r="F147" s="237" t="s">
        <v>300</v>
      </c>
      <c r="G147" s="55" t="s">
        <v>42</v>
      </c>
      <c r="H147" s="55" t="s">
        <v>157</v>
      </c>
      <c r="I147" s="55" t="s">
        <v>155</v>
      </c>
      <c r="J147" s="55" t="s">
        <v>38</v>
      </c>
      <c r="K147" s="55" t="s">
        <v>156</v>
      </c>
      <c r="L147" s="237">
        <v>2</v>
      </c>
      <c r="N147" s="237">
        <v>6</v>
      </c>
      <c r="O147" s="55">
        <v>0.75</v>
      </c>
      <c r="P147" s="55">
        <v>0.8</v>
      </c>
      <c r="Q147" s="57">
        <f t="shared" si="6"/>
        <v>0.77500000000000002</v>
      </c>
      <c r="R147" s="237">
        <v>13.8</v>
      </c>
      <c r="S147" s="55">
        <v>90</v>
      </c>
      <c r="T147" s="57">
        <f t="shared" si="7"/>
        <v>36</v>
      </c>
      <c r="U147" s="237">
        <v>428</v>
      </c>
      <c r="V147" s="58">
        <f t="shared" si="8"/>
        <v>2568</v>
      </c>
      <c r="W147" s="237">
        <v>3</v>
      </c>
      <c r="X147" s="55" t="s">
        <v>46</v>
      </c>
      <c r="Y147" s="55" t="s">
        <v>97</v>
      </c>
      <c r="Z147" s="55" t="s">
        <v>55</v>
      </c>
      <c r="AA147" s="55" t="s">
        <v>69</v>
      </c>
      <c r="AB147" s="55" t="s">
        <v>341</v>
      </c>
    </row>
    <row r="148" spans="1:28" x14ac:dyDescent="0.15">
      <c r="A148" s="55" t="s">
        <v>41</v>
      </c>
      <c r="B148" s="237" t="s">
        <v>339</v>
      </c>
      <c r="C148" s="152">
        <v>2018</v>
      </c>
      <c r="D148" s="56" t="s">
        <v>348</v>
      </c>
      <c r="E148" s="237" t="s">
        <v>295</v>
      </c>
      <c r="F148" s="237" t="s">
        <v>300</v>
      </c>
      <c r="G148" s="55" t="s">
        <v>42</v>
      </c>
      <c r="H148" s="55" t="s">
        <v>157</v>
      </c>
      <c r="I148" s="55" t="s">
        <v>155</v>
      </c>
      <c r="J148" s="55" t="s">
        <v>38</v>
      </c>
      <c r="K148" s="55" t="s">
        <v>156</v>
      </c>
      <c r="L148" s="237">
        <v>3</v>
      </c>
      <c r="N148" s="237">
        <v>6</v>
      </c>
      <c r="O148" s="55">
        <v>0.9</v>
      </c>
      <c r="P148" s="55">
        <v>0.85</v>
      </c>
      <c r="Q148" s="57">
        <f t="shared" si="6"/>
        <v>0.875</v>
      </c>
      <c r="R148" s="237">
        <v>14.7</v>
      </c>
      <c r="S148" s="55">
        <v>86</v>
      </c>
      <c r="T148" s="57">
        <f t="shared" si="7"/>
        <v>36</v>
      </c>
      <c r="U148" s="237">
        <v>428</v>
      </c>
      <c r="V148" s="58">
        <f t="shared" si="8"/>
        <v>2568</v>
      </c>
      <c r="W148" s="237">
        <v>3</v>
      </c>
      <c r="X148" s="55" t="s">
        <v>46</v>
      </c>
      <c r="Y148" s="55" t="s">
        <v>97</v>
      </c>
      <c r="Z148" s="55" t="s">
        <v>55</v>
      </c>
      <c r="AA148" s="55" t="s">
        <v>69</v>
      </c>
      <c r="AB148" s="55" t="s">
        <v>341</v>
      </c>
    </row>
    <row r="149" spans="1:28" x14ac:dyDescent="0.15">
      <c r="K149" s="55"/>
      <c r="Y149" s="55"/>
    </row>
    <row r="150" spans="1:28" x14ac:dyDescent="0.15">
      <c r="K150" s="55"/>
      <c r="Y150" s="55"/>
    </row>
    <row r="151" spans="1:28" x14ac:dyDescent="0.15">
      <c r="K151" s="55"/>
      <c r="Y151" s="55"/>
    </row>
    <row r="152" spans="1:28" x14ac:dyDescent="0.15">
      <c r="K152" s="55"/>
      <c r="Y152" s="55"/>
    </row>
    <row r="153" spans="1:28" x14ac:dyDescent="0.15">
      <c r="K153" s="55"/>
      <c r="Y153" s="55"/>
    </row>
    <row r="154" spans="1:28" x14ac:dyDescent="0.15">
      <c r="K154" s="55"/>
      <c r="Y154" s="55"/>
    </row>
    <row r="155" spans="1:28" x14ac:dyDescent="0.15">
      <c r="K155" s="55"/>
      <c r="Y155" s="55"/>
    </row>
    <row r="156" spans="1:28" x14ac:dyDescent="0.15">
      <c r="K156" s="55"/>
      <c r="Y156" s="55"/>
    </row>
    <row r="157" spans="1:28" x14ac:dyDescent="0.15">
      <c r="K157" s="55"/>
      <c r="Y157" s="55"/>
    </row>
    <row r="158" spans="1:28" x14ac:dyDescent="0.15">
      <c r="K158" s="55"/>
      <c r="Y158" s="55"/>
    </row>
    <row r="159" spans="1:28" x14ac:dyDescent="0.15">
      <c r="K159" s="55"/>
      <c r="Y159" s="55"/>
    </row>
    <row r="160" spans="1:28" x14ac:dyDescent="0.15">
      <c r="K160" s="55"/>
      <c r="Y160" s="55"/>
    </row>
    <row r="161" spans="11:25" x14ac:dyDescent="0.15">
      <c r="K161" s="55"/>
      <c r="Y161" s="55"/>
    </row>
    <row r="162" spans="11:25" x14ac:dyDescent="0.15">
      <c r="K162" s="55"/>
      <c r="Y162" s="55"/>
    </row>
    <row r="163" spans="11:25" x14ac:dyDescent="0.15">
      <c r="K163" s="55"/>
      <c r="Y163" s="55"/>
    </row>
    <row r="164" spans="11:25" x14ac:dyDescent="0.15">
      <c r="K164" s="55"/>
      <c r="Y164" s="55"/>
    </row>
    <row r="165" spans="11:25" x14ac:dyDescent="0.15">
      <c r="K165" s="55"/>
      <c r="Y165" s="55"/>
    </row>
    <row r="166" spans="11:25" x14ac:dyDescent="0.15">
      <c r="Y166" s="55"/>
    </row>
  </sheetData>
  <autoFilter ref="A1:BA148"/>
  <dataConsolidate/>
  <phoneticPr fontId="3"/>
  <dataValidations count="13">
    <dataValidation operator="equal" allowBlank="1" showInputMessage="1" showErrorMessage="1" sqref="B2:B148"/>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65">
      <formula1>$AR$2:$AR$23</formula1>
    </dataValidation>
    <dataValidation type="list" allowBlank="1" showInputMessage="1" showErrorMessage="1" sqref="J2:J349">
      <formula1>$AP$2:$AP$19</formula1>
    </dataValidation>
    <dataValidation type="list" allowBlank="1" showInputMessage="1" showErrorMessage="1" sqref="A2:A349">
      <formula1>$AE$2:$AE$16</formula1>
    </dataValidation>
    <dataValidation type="list" allowBlank="1" showInputMessage="1" showErrorMessage="1" sqref="X2:X349">
      <formula1>$AT$2:$AT$3</formula1>
    </dataValidation>
    <dataValidation type="list" allowBlank="1" showInputMessage="1" showErrorMessage="1" sqref="I2:I349">
      <formula1>$AN$5:$AN$6</formula1>
    </dataValidation>
    <dataValidation type="list" allowBlank="1" showInputMessage="1" showErrorMessage="1" sqref="G2:G349">
      <formula1>$AJ$2:$AJ$4</formula1>
    </dataValidation>
    <dataValidation type="list" allowBlank="1" showInputMessage="1" showErrorMessage="1" sqref="H2:H349">
      <formula1>$AL$2:$AL$8</formula1>
    </dataValidation>
    <dataValidation type="decimal" allowBlank="1" showInputMessage="1" showErrorMessage="1" error="硬度を正しく入力して下さい。" sqref="O2:P349">
      <formula1>0</formula1>
      <formula2>7</formula2>
    </dataValidation>
    <dataValidation type="list" allowBlank="1" showInputMessage="1" showErrorMessage="1" sqref="K166:K349">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G84" sqref="G84"/>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362</v>
      </c>
      <c r="D1" s="203" t="s">
        <v>3</v>
      </c>
      <c r="E1" s="84" t="s">
        <v>4</v>
      </c>
      <c r="F1" s="84" t="s">
        <v>5</v>
      </c>
      <c r="G1" s="84" t="s">
        <v>6</v>
      </c>
      <c r="H1" s="84" t="s">
        <v>7</v>
      </c>
      <c r="I1" s="84" t="s">
        <v>8</v>
      </c>
      <c r="J1" s="84" t="s">
        <v>9</v>
      </c>
      <c r="K1" s="84" t="s">
        <v>10</v>
      </c>
      <c r="L1" s="203" t="s">
        <v>363</v>
      </c>
      <c r="M1" s="203" t="s">
        <v>12</v>
      </c>
      <c r="N1" s="203" t="s">
        <v>13</v>
      </c>
      <c r="O1" s="203" t="s">
        <v>364</v>
      </c>
      <c r="P1" s="203" t="s">
        <v>365</v>
      </c>
      <c r="Q1" s="204" t="s">
        <v>16</v>
      </c>
      <c r="R1" s="203" t="s">
        <v>366</v>
      </c>
      <c r="S1" s="203" t="s">
        <v>367</v>
      </c>
      <c r="T1" s="204" t="s">
        <v>19</v>
      </c>
      <c r="U1" s="205" t="s">
        <v>108</v>
      </c>
      <c r="V1" s="206" t="s">
        <v>20</v>
      </c>
      <c r="W1" s="203" t="s">
        <v>21</v>
      </c>
      <c r="X1" s="84" t="s">
        <v>22</v>
      </c>
      <c r="Y1" s="84" t="s">
        <v>23</v>
      </c>
      <c r="Z1" s="84" t="s">
        <v>24</v>
      </c>
      <c r="AA1" s="85" t="s">
        <v>25</v>
      </c>
      <c r="AB1" s="207" t="s">
        <v>368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369</v>
      </c>
      <c r="AY1" s="214" t="s">
        <v>370</v>
      </c>
      <c r="AZ1" s="214" t="s">
        <v>371</v>
      </c>
      <c r="BA1" s="215" t="s">
        <v>372</v>
      </c>
    </row>
    <row r="2" spans="1:53" s="216" customFormat="1" x14ac:dyDescent="0.15">
      <c r="A2" s="55" t="s">
        <v>56</v>
      </c>
      <c r="B2" s="55" t="s">
        <v>373</v>
      </c>
      <c r="C2" s="216">
        <v>2018</v>
      </c>
      <c r="D2" s="86" t="s">
        <v>374</v>
      </c>
      <c r="E2" s="216" t="s">
        <v>375</v>
      </c>
      <c r="F2" s="216" t="s">
        <v>176</v>
      </c>
      <c r="G2" s="55" t="s">
        <v>42</v>
      </c>
      <c r="H2" s="216" t="s">
        <v>157</v>
      </c>
      <c r="I2" s="55" t="s">
        <v>155</v>
      </c>
      <c r="J2" s="216" t="s">
        <v>38</v>
      </c>
      <c r="K2" s="216" t="s">
        <v>156</v>
      </c>
      <c r="L2" s="216">
        <v>1</v>
      </c>
      <c r="N2" s="208">
        <v>1</v>
      </c>
      <c r="O2" s="216">
        <v>0.6</v>
      </c>
      <c r="P2" s="208">
        <v>0.6</v>
      </c>
      <c r="Q2" s="245">
        <f>IF(OR(O2="",P2=""),"",AVERAGE(O2,P2))</f>
        <v>0.6</v>
      </c>
      <c r="R2" s="216">
        <v>17.100000000000001</v>
      </c>
      <c r="S2" s="216">
        <v>131</v>
      </c>
      <c r="T2" s="217">
        <f>IF(H2="","",IF(OR(H2="GREEN",H2="GK"),IF(S2&gt;=$AX$2,VLOOKUP(S2,$AX$2:$AY$10,2,1),""),IF(S2&gt;=$AZ$2,VLOOKUP(S2,$AZ$2:$BA$10,2,1),"")))</f>
        <v>25</v>
      </c>
      <c r="U2" s="216">
        <v>108</v>
      </c>
      <c r="V2" s="217">
        <f>IF(OR(N2="",U2="",T2=""),"",U2/N2*T2)</f>
        <v>2700</v>
      </c>
      <c r="W2" s="216">
        <v>3</v>
      </c>
      <c r="X2" s="55" t="s">
        <v>46</v>
      </c>
      <c r="Y2" s="55" t="s">
        <v>55</v>
      </c>
      <c r="Z2" s="216" t="s">
        <v>78</v>
      </c>
      <c r="AA2" s="55" t="s">
        <v>90</v>
      </c>
      <c r="AB2" s="216" t="s">
        <v>341</v>
      </c>
      <c r="AE2" s="218" t="s">
        <v>35</v>
      </c>
      <c r="AG2" s="231" t="s">
        <v>376</v>
      </c>
      <c r="AH2" s="87" t="s">
        <v>176</v>
      </c>
      <c r="AJ2" s="219" t="s">
        <v>36</v>
      </c>
      <c r="AL2" s="219" t="s">
        <v>127</v>
      </c>
      <c r="AN2" s="219" t="s">
        <v>37</v>
      </c>
      <c r="AP2" s="219" t="s">
        <v>38</v>
      </c>
      <c r="AR2" s="219" t="s">
        <v>377</v>
      </c>
      <c r="AT2" s="219" t="s">
        <v>39</v>
      </c>
      <c r="AV2" s="219" t="s">
        <v>40</v>
      </c>
      <c r="AX2" s="220">
        <v>1</v>
      </c>
      <c r="AY2" s="221">
        <v>50</v>
      </c>
      <c r="AZ2" s="221">
        <v>1</v>
      </c>
      <c r="BA2" s="222">
        <v>50</v>
      </c>
    </row>
    <row r="3" spans="1:53" x14ac:dyDescent="0.15">
      <c r="A3" s="55" t="s">
        <v>56</v>
      </c>
      <c r="B3" s="55" t="s">
        <v>373</v>
      </c>
      <c r="C3" s="216">
        <v>2018</v>
      </c>
      <c r="D3" s="86" t="s">
        <v>374</v>
      </c>
      <c r="E3" s="216" t="s">
        <v>375</v>
      </c>
      <c r="F3" s="216" t="s">
        <v>176</v>
      </c>
      <c r="G3" s="55" t="s">
        <v>42</v>
      </c>
      <c r="H3" s="216" t="s">
        <v>157</v>
      </c>
      <c r="I3" s="55" t="s">
        <v>155</v>
      </c>
      <c r="J3" s="216" t="s">
        <v>38</v>
      </c>
      <c r="K3" s="216" t="s">
        <v>156</v>
      </c>
      <c r="L3" s="208">
        <v>2</v>
      </c>
      <c r="N3" s="208">
        <v>1</v>
      </c>
      <c r="O3" s="208">
        <v>0.8</v>
      </c>
      <c r="P3" s="208">
        <v>0.75</v>
      </c>
      <c r="Q3" s="245">
        <f>IF(OR(O3="",P3=""),"",AVERAGE(O3,P3))</f>
        <v>0.77500000000000002</v>
      </c>
      <c r="R3" s="208">
        <v>13.7</v>
      </c>
      <c r="S3" s="208">
        <v>133</v>
      </c>
      <c r="T3" s="217">
        <f>IF(H3="","",IF(OR(H3="GREEN",H3="GK"),IF(S3&gt;=$AX$2,VLOOKUP(S3,$AX$2:$AY$10,2,1),""),IF(S3&gt;=$AZ$2,VLOOKUP(S3,$AZ$2:$BA$10,2,1),"")))</f>
        <v>25</v>
      </c>
      <c r="U3" s="208">
        <v>108</v>
      </c>
      <c r="V3" s="217">
        <f>IF(OR(N3="",U3="",T3=""),"",U3/N3*T3)</f>
        <v>2700</v>
      </c>
      <c r="W3" s="208">
        <v>3</v>
      </c>
      <c r="X3" s="55" t="s">
        <v>46</v>
      </c>
      <c r="Y3" s="55" t="s">
        <v>55</v>
      </c>
      <c r="Z3" s="216" t="s">
        <v>78</v>
      </c>
      <c r="AA3" s="55" t="s">
        <v>90</v>
      </c>
      <c r="AB3" s="216" t="s">
        <v>341</v>
      </c>
      <c r="AE3" s="223" t="s">
        <v>41</v>
      </c>
      <c r="AG3" s="231" t="s">
        <v>376</v>
      </c>
      <c r="AH3" s="87" t="s">
        <v>177</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373</v>
      </c>
      <c r="C4" s="216">
        <v>2018</v>
      </c>
      <c r="D4" s="86" t="s">
        <v>374</v>
      </c>
      <c r="E4" s="216" t="s">
        <v>375</v>
      </c>
      <c r="F4" s="216" t="s">
        <v>176</v>
      </c>
      <c r="G4" s="55" t="s">
        <v>42</v>
      </c>
      <c r="H4" s="216" t="s">
        <v>157</v>
      </c>
      <c r="I4" s="55" t="s">
        <v>155</v>
      </c>
      <c r="J4" s="216" t="s">
        <v>38</v>
      </c>
      <c r="K4" s="216" t="s">
        <v>156</v>
      </c>
      <c r="L4" s="208">
        <v>3</v>
      </c>
      <c r="N4" s="208">
        <v>1</v>
      </c>
      <c r="O4" s="208">
        <v>0.65</v>
      </c>
      <c r="P4" s="208">
        <v>0.7</v>
      </c>
      <c r="Q4" s="245">
        <f>IF(OR(O4="",P4=""),"",AVERAGE(O4,P4))</f>
        <v>0.67500000000000004</v>
      </c>
      <c r="R4" s="208">
        <v>13</v>
      </c>
      <c r="S4" s="208">
        <v>137</v>
      </c>
      <c r="T4" s="217">
        <f>IF(H4="","",IF(OR(H4="GREEN",H4="GK"),IF(S4&gt;=$AX$2,VLOOKUP(S4,$AX$2:$AY$10,2,1),""),IF(S4&gt;=$AZ$2,VLOOKUP(S4,$AZ$2:$BA$10,2,1),"")))</f>
        <v>25</v>
      </c>
      <c r="U4" s="208">
        <v>108</v>
      </c>
      <c r="V4" s="217">
        <f>IF(OR(N4="",U4="",T4=""),"",U4/N4*T4)</f>
        <v>2700</v>
      </c>
      <c r="W4" s="208">
        <v>3</v>
      </c>
      <c r="X4" s="55" t="s">
        <v>46</v>
      </c>
      <c r="Y4" s="55" t="s">
        <v>55</v>
      </c>
      <c r="Z4" s="216" t="s">
        <v>78</v>
      </c>
      <c r="AA4" s="55" t="s">
        <v>90</v>
      </c>
      <c r="AB4" s="216" t="s">
        <v>341</v>
      </c>
      <c r="AE4" s="223" t="s">
        <v>34</v>
      </c>
      <c r="AG4" s="231" t="s">
        <v>378</v>
      </c>
      <c r="AH4" s="87" t="s">
        <v>379</v>
      </c>
      <c r="AJ4" s="228" t="s">
        <v>48</v>
      </c>
      <c r="AL4" s="228" t="s">
        <v>178</v>
      </c>
      <c r="AN4" s="229" t="s">
        <v>49</v>
      </c>
      <c r="AP4" s="224" t="s">
        <v>380</v>
      </c>
      <c r="AR4" s="238" t="s">
        <v>381</v>
      </c>
      <c r="AT4" s="229"/>
      <c r="AV4" s="224" t="s">
        <v>50</v>
      </c>
      <c r="AX4" s="225">
        <v>75</v>
      </c>
      <c r="AY4" s="226">
        <v>42</v>
      </c>
      <c r="AZ4" s="226">
        <v>76</v>
      </c>
      <c r="BA4" s="227">
        <v>39</v>
      </c>
    </row>
    <row r="5" spans="1:53" x14ac:dyDescent="0.15">
      <c r="A5" s="55" t="s">
        <v>56</v>
      </c>
      <c r="B5" s="55" t="s">
        <v>373</v>
      </c>
      <c r="C5" s="216">
        <v>2018</v>
      </c>
      <c r="D5" s="86" t="s">
        <v>374</v>
      </c>
      <c r="E5" s="216" t="s">
        <v>375</v>
      </c>
      <c r="F5" s="216" t="s">
        <v>176</v>
      </c>
      <c r="G5" s="55" t="s">
        <v>42</v>
      </c>
      <c r="H5" s="216" t="s">
        <v>168</v>
      </c>
      <c r="I5" s="55" t="s">
        <v>155</v>
      </c>
      <c r="J5" s="216" t="s">
        <v>38</v>
      </c>
      <c r="K5" s="216" t="s">
        <v>156</v>
      </c>
      <c r="L5" s="208">
        <v>1</v>
      </c>
      <c r="N5" s="208">
        <v>1</v>
      </c>
      <c r="O5" s="208">
        <v>0.75</v>
      </c>
      <c r="P5" s="208">
        <v>0.6</v>
      </c>
      <c r="Q5" s="245">
        <f t="shared" ref="Q5:Q68" si="0">IF(OR(O5="",P5=""),"",AVERAGE(O5,P5))</f>
        <v>0.67500000000000004</v>
      </c>
      <c r="R5" s="208">
        <v>14.3</v>
      </c>
      <c r="S5" s="208">
        <v>143</v>
      </c>
      <c r="T5" s="217">
        <f t="shared" ref="T5:T68" si="1">IF(H5="","",IF(OR(H5="GREEN",H5="GK"),IF(S5&gt;=$AX$2,VLOOKUP(S5,$AX$2:$AY$10,2,1),""),IF(S5&gt;=$AZ$2,VLOOKUP(S5,$AZ$2:$BA$10,2,1),"")))</f>
        <v>22</v>
      </c>
      <c r="U5" s="208">
        <v>108</v>
      </c>
      <c r="V5" s="217">
        <f t="shared" ref="V5:V68" si="2">IF(OR(N5="",U5="",T5=""),"",U5/N5*T5)</f>
        <v>2376</v>
      </c>
      <c r="W5" s="208">
        <v>6</v>
      </c>
      <c r="X5" s="55" t="s">
        <v>46</v>
      </c>
      <c r="Y5" s="55" t="s">
        <v>55</v>
      </c>
      <c r="Z5" s="216" t="s">
        <v>78</v>
      </c>
      <c r="AA5" s="55" t="s">
        <v>90</v>
      </c>
      <c r="AB5" s="216" t="s">
        <v>341</v>
      </c>
      <c r="AE5" s="223" t="s">
        <v>51</v>
      </c>
      <c r="AG5" s="231" t="s">
        <v>382</v>
      </c>
      <c r="AH5" s="87" t="s">
        <v>383</v>
      </c>
      <c r="AJ5" s="229"/>
      <c r="AL5" s="230" t="s">
        <v>384</v>
      </c>
      <c r="AN5" s="230" t="s">
        <v>385</v>
      </c>
      <c r="AP5" s="224" t="s">
        <v>386</v>
      </c>
      <c r="AR5" s="238" t="s">
        <v>54</v>
      </c>
      <c r="AV5" s="224" t="s">
        <v>55</v>
      </c>
      <c r="AX5" s="225">
        <v>84</v>
      </c>
      <c r="AY5" s="226">
        <v>39</v>
      </c>
      <c r="AZ5" s="226">
        <v>84</v>
      </c>
      <c r="BA5" s="227">
        <v>36</v>
      </c>
    </row>
    <row r="6" spans="1:53" x14ac:dyDescent="0.15">
      <c r="A6" s="55" t="s">
        <v>56</v>
      </c>
      <c r="B6" s="55" t="s">
        <v>373</v>
      </c>
      <c r="C6" s="216">
        <v>2018</v>
      </c>
      <c r="D6" s="86" t="s">
        <v>374</v>
      </c>
      <c r="E6" s="216" t="s">
        <v>375</v>
      </c>
      <c r="F6" s="216" t="s">
        <v>176</v>
      </c>
      <c r="G6" s="55" t="s">
        <v>42</v>
      </c>
      <c r="H6" s="216" t="s">
        <v>168</v>
      </c>
      <c r="I6" s="55" t="s">
        <v>155</v>
      </c>
      <c r="J6" s="216" t="s">
        <v>38</v>
      </c>
      <c r="K6" s="216" t="s">
        <v>156</v>
      </c>
      <c r="L6" s="208">
        <v>2</v>
      </c>
      <c r="N6" s="208">
        <v>1</v>
      </c>
      <c r="O6" s="208">
        <v>0.75</v>
      </c>
      <c r="P6" s="208">
        <v>0.7</v>
      </c>
      <c r="Q6" s="245">
        <f t="shared" si="0"/>
        <v>0.72499999999999998</v>
      </c>
      <c r="R6" s="208">
        <v>12.1</v>
      </c>
      <c r="S6" s="208">
        <v>147</v>
      </c>
      <c r="T6" s="217">
        <f t="shared" si="1"/>
        <v>22</v>
      </c>
      <c r="U6" s="208">
        <v>108</v>
      </c>
      <c r="V6" s="217">
        <f t="shared" si="2"/>
        <v>2376</v>
      </c>
      <c r="W6" s="208">
        <v>6</v>
      </c>
      <c r="X6" s="55" t="s">
        <v>46</v>
      </c>
      <c r="Y6" s="55" t="s">
        <v>55</v>
      </c>
      <c r="Z6" s="216" t="s">
        <v>78</v>
      </c>
      <c r="AA6" s="55" t="s">
        <v>90</v>
      </c>
      <c r="AB6" s="216" t="s">
        <v>341</v>
      </c>
      <c r="AE6" s="223" t="s">
        <v>56</v>
      </c>
      <c r="AG6" s="231" t="s">
        <v>387</v>
      </c>
      <c r="AH6" s="87" t="s">
        <v>383</v>
      </c>
      <c r="AL6" s="230" t="s">
        <v>388</v>
      </c>
      <c r="AN6" s="230" t="s">
        <v>389</v>
      </c>
      <c r="AP6" s="224" t="s">
        <v>53</v>
      </c>
      <c r="AR6" s="238" t="s">
        <v>59</v>
      </c>
      <c r="AV6" s="224" t="s">
        <v>60</v>
      </c>
      <c r="AX6" s="225">
        <v>97</v>
      </c>
      <c r="AY6" s="226">
        <v>36</v>
      </c>
      <c r="AZ6" s="226">
        <v>99</v>
      </c>
      <c r="BA6" s="227">
        <v>33</v>
      </c>
    </row>
    <row r="7" spans="1:53" x14ac:dyDescent="0.15">
      <c r="A7" s="55" t="s">
        <v>56</v>
      </c>
      <c r="B7" s="55" t="s">
        <v>373</v>
      </c>
      <c r="C7" s="216">
        <v>2018</v>
      </c>
      <c r="D7" s="86" t="s">
        <v>374</v>
      </c>
      <c r="E7" s="216" t="s">
        <v>375</v>
      </c>
      <c r="F7" s="216" t="s">
        <v>176</v>
      </c>
      <c r="G7" s="55" t="s">
        <v>42</v>
      </c>
      <c r="H7" s="216" t="s">
        <v>168</v>
      </c>
      <c r="I7" s="55" t="s">
        <v>155</v>
      </c>
      <c r="J7" s="216" t="s">
        <v>38</v>
      </c>
      <c r="K7" s="216" t="s">
        <v>156</v>
      </c>
      <c r="L7" s="208">
        <v>3</v>
      </c>
      <c r="N7" s="208">
        <v>1</v>
      </c>
      <c r="O7" s="208">
        <v>0.75</v>
      </c>
      <c r="P7" s="208">
        <v>0.7</v>
      </c>
      <c r="Q7" s="245">
        <f t="shared" si="0"/>
        <v>0.72499999999999998</v>
      </c>
      <c r="R7" s="208">
        <v>17.8</v>
      </c>
      <c r="S7" s="208">
        <v>139</v>
      </c>
      <c r="T7" s="217">
        <f t="shared" si="1"/>
        <v>22</v>
      </c>
      <c r="U7" s="208">
        <v>108</v>
      </c>
      <c r="V7" s="217">
        <f t="shared" si="2"/>
        <v>2376</v>
      </c>
      <c r="W7" s="208">
        <v>6</v>
      </c>
      <c r="X7" s="55" t="s">
        <v>46</v>
      </c>
      <c r="Y7" s="55" t="s">
        <v>55</v>
      </c>
      <c r="Z7" s="216" t="s">
        <v>78</v>
      </c>
      <c r="AA7" s="55" t="s">
        <v>90</v>
      </c>
      <c r="AB7" s="216" t="s">
        <v>341</v>
      </c>
      <c r="AE7" s="223" t="s">
        <v>61</v>
      </c>
      <c r="AG7" s="231" t="s">
        <v>390</v>
      </c>
      <c r="AH7" s="87" t="s">
        <v>179</v>
      </c>
      <c r="AL7" s="88" t="s">
        <v>391</v>
      </c>
      <c r="AP7" s="224" t="s">
        <v>58</v>
      </c>
      <c r="AR7" s="231" t="s">
        <v>122</v>
      </c>
      <c r="AV7" s="224" t="s">
        <v>64</v>
      </c>
      <c r="AX7" s="225">
        <v>109</v>
      </c>
      <c r="AY7" s="226">
        <v>33</v>
      </c>
      <c r="AZ7" s="226">
        <v>113</v>
      </c>
      <c r="BA7" s="227">
        <v>30</v>
      </c>
    </row>
    <row r="8" spans="1:53" x14ac:dyDescent="0.15">
      <c r="A8" s="55" t="s">
        <v>56</v>
      </c>
      <c r="B8" s="55" t="s">
        <v>392</v>
      </c>
      <c r="C8" s="216">
        <v>2018</v>
      </c>
      <c r="D8" s="86" t="s">
        <v>393</v>
      </c>
      <c r="E8" s="216" t="s">
        <v>375</v>
      </c>
      <c r="F8" s="216" t="s">
        <v>177</v>
      </c>
      <c r="G8" s="55" t="s">
        <v>42</v>
      </c>
      <c r="H8" s="216" t="s">
        <v>157</v>
      </c>
      <c r="I8" s="55" t="s">
        <v>155</v>
      </c>
      <c r="J8" s="216" t="s">
        <v>38</v>
      </c>
      <c r="K8" s="216" t="s">
        <v>156</v>
      </c>
      <c r="L8" s="208">
        <v>1</v>
      </c>
      <c r="N8" s="208">
        <v>1</v>
      </c>
      <c r="O8" s="208">
        <v>0.8</v>
      </c>
      <c r="P8" s="208">
        <v>0.75</v>
      </c>
      <c r="Q8" s="245">
        <f t="shared" si="0"/>
        <v>0.77500000000000002</v>
      </c>
      <c r="R8" s="208">
        <v>12.5</v>
      </c>
      <c r="S8" s="208">
        <v>136</v>
      </c>
      <c r="T8" s="217">
        <f t="shared" si="1"/>
        <v>25</v>
      </c>
      <c r="U8" s="208">
        <v>108</v>
      </c>
      <c r="V8" s="217">
        <f t="shared" si="2"/>
        <v>2700</v>
      </c>
      <c r="W8" s="208">
        <v>6</v>
      </c>
      <c r="X8" s="55" t="s">
        <v>46</v>
      </c>
      <c r="Y8" s="55" t="s">
        <v>55</v>
      </c>
      <c r="Z8" s="216" t="s">
        <v>97</v>
      </c>
      <c r="AA8" s="55" t="s">
        <v>78</v>
      </c>
      <c r="AB8" s="216" t="s">
        <v>341</v>
      </c>
      <c r="AE8" s="223" t="s">
        <v>59</v>
      </c>
      <c r="AG8" s="231" t="s">
        <v>394</v>
      </c>
      <c r="AH8" s="87" t="s">
        <v>179</v>
      </c>
      <c r="AL8" s="88" t="s">
        <v>358</v>
      </c>
      <c r="AP8" s="224" t="s">
        <v>62</v>
      </c>
      <c r="AR8" s="238" t="s">
        <v>81</v>
      </c>
      <c r="AV8" s="224" t="s">
        <v>97</v>
      </c>
      <c r="AX8" s="225">
        <v>119</v>
      </c>
      <c r="AY8" s="226">
        <v>30</v>
      </c>
      <c r="AZ8" s="226">
        <v>121</v>
      </c>
      <c r="BA8" s="227">
        <v>27</v>
      </c>
    </row>
    <row r="9" spans="1:53" x14ac:dyDescent="0.15">
      <c r="A9" s="55" t="s">
        <v>56</v>
      </c>
      <c r="B9" s="55" t="s">
        <v>392</v>
      </c>
      <c r="C9" s="216">
        <v>2018</v>
      </c>
      <c r="D9" s="86" t="s">
        <v>393</v>
      </c>
      <c r="E9" s="216" t="s">
        <v>375</v>
      </c>
      <c r="F9" s="216" t="s">
        <v>177</v>
      </c>
      <c r="G9" s="55" t="s">
        <v>42</v>
      </c>
      <c r="H9" s="216" t="s">
        <v>157</v>
      </c>
      <c r="I9" s="55" t="s">
        <v>155</v>
      </c>
      <c r="J9" s="216" t="s">
        <v>38</v>
      </c>
      <c r="K9" s="216" t="s">
        <v>156</v>
      </c>
      <c r="L9" s="208">
        <v>2</v>
      </c>
      <c r="N9" s="208">
        <v>1</v>
      </c>
      <c r="O9" s="208">
        <v>0.65</v>
      </c>
      <c r="P9" s="208">
        <v>0.7</v>
      </c>
      <c r="Q9" s="245">
        <f t="shared" si="0"/>
        <v>0.67500000000000004</v>
      </c>
      <c r="R9" s="208">
        <v>12.3</v>
      </c>
      <c r="S9" s="208">
        <v>143</v>
      </c>
      <c r="T9" s="217">
        <f t="shared" si="1"/>
        <v>22</v>
      </c>
      <c r="U9" s="208">
        <v>108</v>
      </c>
      <c r="V9" s="217">
        <f t="shared" si="2"/>
        <v>2376</v>
      </c>
      <c r="W9" s="208">
        <v>6</v>
      </c>
      <c r="X9" s="55" t="s">
        <v>46</v>
      </c>
      <c r="Y9" s="55" t="s">
        <v>55</v>
      </c>
      <c r="Z9" s="216" t="s">
        <v>97</v>
      </c>
      <c r="AA9" s="55" t="s">
        <v>78</v>
      </c>
      <c r="AB9" s="216" t="s">
        <v>341</v>
      </c>
      <c r="AE9" s="223" t="s">
        <v>98</v>
      </c>
      <c r="AG9" s="231" t="s">
        <v>180</v>
      </c>
      <c r="AH9" s="231" t="s">
        <v>177</v>
      </c>
      <c r="AL9" s="230"/>
      <c r="AP9" s="224" t="s">
        <v>95</v>
      </c>
      <c r="AR9" s="231" t="s">
        <v>89</v>
      </c>
      <c r="AV9" s="224" t="s">
        <v>102</v>
      </c>
      <c r="AX9" s="225">
        <v>128</v>
      </c>
      <c r="AY9" s="226">
        <v>27</v>
      </c>
      <c r="AZ9" s="226">
        <v>129</v>
      </c>
      <c r="BA9" s="227">
        <v>25</v>
      </c>
    </row>
    <row r="10" spans="1:53" x14ac:dyDescent="0.15">
      <c r="A10" s="55" t="s">
        <v>56</v>
      </c>
      <c r="B10" s="55" t="s">
        <v>395</v>
      </c>
      <c r="C10" s="216">
        <v>2018</v>
      </c>
      <c r="D10" s="86" t="s">
        <v>396</v>
      </c>
      <c r="E10" s="216" t="s">
        <v>375</v>
      </c>
      <c r="F10" s="216" t="s">
        <v>177</v>
      </c>
      <c r="G10" s="55" t="s">
        <v>42</v>
      </c>
      <c r="H10" s="216" t="s">
        <v>157</v>
      </c>
      <c r="I10" s="55" t="s">
        <v>155</v>
      </c>
      <c r="J10" s="216" t="s">
        <v>38</v>
      </c>
      <c r="K10" s="216" t="s">
        <v>156</v>
      </c>
      <c r="L10" s="208">
        <v>3</v>
      </c>
      <c r="N10" s="208">
        <v>1</v>
      </c>
      <c r="O10" s="208">
        <v>0.55000000000000004</v>
      </c>
      <c r="P10" s="208">
        <v>0.55000000000000004</v>
      </c>
      <c r="Q10" s="245">
        <f t="shared" si="0"/>
        <v>0.55000000000000004</v>
      </c>
      <c r="R10" s="208">
        <v>12.6</v>
      </c>
      <c r="S10" s="208">
        <v>135</v>
      </c>
      <c r="T10" s="217">
        <f t="shared" si="1"/>
        <v>25</v>
      </c>
      <c r="U10" s="208">
        <v>108</v>
      </c>
      <c r="V10" s="217">
        <f t="shared" si="2"/>
        <v>2700</v>
      </c>
      <c r="W10" s="208">
        <v>6</v>
      </c>
      <c r="X10" s="55" t="s">
        <v>46</v>
      </c>
      <c r="Y10" s="55" t="s">
        <v>55</v>
      </c>
      <c r="Z10" s="216" t="s">
        <v>97</v>
      </c>
      <c r="AA10" s="55" t="s">
        <v>78</v>
      </c>
      <c r="AB10" s="216" t="s">
        <v>341</v>
      </c>
      <c r="AE10" s="223" t="s">
        <v>103</v>
      </c>
      <c r="AG10" s="231" t="s">
        <v>397</v>
      </c>
      <c r="AH10" s="87" t="s">
        <v>398</v>
      </c>
      <c r="AL10" s="88"/>
      <c r="AP10" s="224" t="s">
        <v>100</v>
      </c>
      <c r="AR10" s="231" t="s">
        <v>123</v>
      </c>
      <c r="AV10" s="224" t="s">
        <v>106</v>
      </c>
      <c r="AX10" s="225">
        <v>138</v>
      </c>
      <c r="AY10" s="226">
        <v>25</v>
      </c>
      <c r="AZ10" s="226">
        <v>138</v>
      </c>
      <c r="BA10" s="227">
        <v>22</v>
      </c>
    </row>
    <row r="11" spans="1:53" x14ac:dyDescent="0.15">
      <c r="A11" s="55" t="s">
        <v>56</v>
      </c>
      <c r="B11" s="55" t="s">
        <v>395</v>
      </c>
      <c r="C11" s="216">
        <v>2018</v>
      </c>
      <c r="D11" s="86" t="s">
        <v>396</v>
      </c>
      <c r="E11" s="216" t="s">
        <v>375</v>
      </c>
      <c r="F11" s="216" t="s">
        <v>177</v>
      </c>
      <c r="G11" s="55" t="s">
        <v>42</v>
      </c>
      <c r="H11" s="216" t="s">
        <v>168</v>
      </c>
      <c r="I11" s="55" t="s">
        <v>155</v>
      </c>
      <c r="J11" s="216" t="s">
        <v>38</v>
      </c>
      <c r="K11" s="216" t="s">
        <v>156</v>
      </c>
      <c r="L11" s="208">
        <v>1</v>
      </c>
      <c r="N11" s="208">
        <v>1</v>
      </c>
      <c r="O11" s="208">
        <v>0.85</v>
      </c>
      <c r="P11" s="208">
        <v>0.9</v>
      </c>
      <c r="Q11" s="245">
        <f t="shared" si="0"/>
        <v>0.875</v>
      </c>
      <c r="R11" s="208">
        <v>17.3</v>
      </c>
      <c r="S11" s="208">
        <v>142</v>
      </c>
      <c r="T11" s="217">
        <f t="shared" si="1"/>
        <v>22</v>
      </c>
      <c r="U11" s="208">
        <v>108</v>
      </c>
      <c r="V11" s="217">
        <f t="shared" si="2"/>
        <v>2376</v>
      </c>
      <c r="W11" s="208">
        <v>8</v>
      </c>
      <c r="X11" s="55" t="s">
        <v>46</v>
      </c>
      <c r="Y11" s="55" t="s">
        <v>55</v>
      </c>
      <c r="Z11" s="216" t="s">
        <v>97</v>
      </c>
      <c r="AA11" s="55" t="s">
        <v>78</v>
      </c>
      <c r="AB11" s="216" t="s">
        <v>341</v>
      </c>
      <c r="AE11" s="223" t="s">
        <v>65</v>
      </c>
      <c r="AG11" s="231" t="s">
        <v>399</v>
      </c>
      <c r="AH11" s="87" t="s">
        <v>398</v>
      </c>
      <c r="AJ11" s="88"/>
      <c r="AP11" s="224" t="s">
        <v>104</v>
      </c>
      <c r="AR11" s="231" t="s">
        <v>87</v>
      </c>
      <c r="AV11" s="224" t="s">
        <v>69</v>
      </c>
    </row>
    <row r="12" spans="1:53" x14ac:dyDescent="0.15">
      <c r="A12" s="55" t="s">
        <v>56</v>
      </c>
      <c r="B12" s="55" t="s">
        <v>400</v>
      </c>
      <c r="C12" s="216">
        <v>2018</v>
      </c>
      <c r="D12" s="86" t="s">
        <v>401</v>
      </c>
      <c r="E12" s="216" t="s">
        <v>375</v>
      </c>
      <c r="F12" s="216" t="s">
        <v>177</v>
      </c>
      <c r="G12" s="55" t="s">
        <v>42</v>
      </c>
      <c r="H12" s="216" t="s">
        <v>168</v>
      </c>
      <c r="I12" s="55" t="s">
        <v>155</v>
      </c>
      <c r="J12" s="216" t="s">
        <v>38</v>
      </c>
      <c r="K12" s="216" t="s">
        <v>156</v>
      </c>
      <c r="L12" s="208">
        <v>2</v>
      </c>
      <c r="N12" s="208">
        <v>1</v>
      </c>
      <c r="O12" s="208">
        <v>0.85</v>
      </c>
      <c r="P12" s="208">
        <v>0.85</v>
      </c>
      <c r="Q12" s="245">
        <f t="shared" si="0"/>
        <v>0.85</v>
      </c>
      <c r="R12" s="208">
        <v>13.1</v>
      </c>
      <c r="S12" s="208">
        <v>146</v>
      </c>
      <c r="T12" s="217">
        <f t="shared" si="1"/>
        <v>22</v>
      </c>
      <c r="U12" s="208">
        <v>108</v>
      </c>
      <c r="V12" s="217">
        <f t="shared" si="2"/>
        <v>2376</v>
      </c>
      <c r="W12" s="208">
        <v>8</v>
      </c>
      <c r="X12" s="55" t="s">
        <v>46</v>
      </c>
      <c r="Y12" s="55" t="s">
        <v>55</v>
      </c>
      <c r="Z12" s="216" t="s">
        <v>97</v>
      </c>
      <c r="AA12" s="55" t="s">
        <v>78</v>
      </c>
      <c r="AB12" s="216" t="s">
        <v>341</v>
      </c>
      <c r="AE12" s="223" t="s">
        <v>70</v>
      </c>
      <c r="AG12" s="231" t="s">
        <v>402</v>
      </c>
      <c r="AH12" s="87" t="s">
        <v>403</v>
      </c>
      <c r="AJ12" s="88"/>
      <c r="AP12" s="224" t="s">
        <v>67</v>
      </c>
      <c r="AR12" s="231" t="s">
        <v>124</v>
      </c>
      <c r="AV12" s="224" t="s">
        <v>72</v>
      </c>
    </row>
    <row r="13" spans="1:53" x14ac:dyDescent="0.15">
      <c r="A13" s="55" t="s">
        <v>56</v>
      </c>
      <c r="B13" s="55" t="s">
        <v>404</v>
      </c>
      <c r="C13" s="216">
        <v>2018</v>
      </c>
      <c r="D13" s="86" t="s">
        <v>405</v>
      </c>
      <c r="E13" s="216" t="s">
        <v>375</v>
      </c>
      <c r="F13" s="216" t="s">
        <v>177</v>
      </c>
      <c r="G13" s="55" t="s">
        <v>42</v>
      </c>
      <c r="H13" s="216" t="s">
        <v>168</v>
      </c>
      <c r="I13" s="55" t="s">
        <v>155</v>
      </c>
      <c r="J13" s="216" t="s">
        <v>38</v>
      </c>
      <c r="K13" s="216" t="s">
        <v>156</v>
      </c>
      <c r="L13" s="208">
        <v>3</v>
      </c>
      <c r="N13" s="208">
        <v>1</v>
      </c>
      <c r="O13" s="208">
        <v>0.85</v>
      </c>
      <c r="P13" s="208">
        <v>0.85</v>
      </c>
      <c r="Q13" s="245">
        <f t="shared" si="0"/>
        <v>0.85</v>
      </c>
      <c r="R13" s="237">
        <v>13.2</v>
      </c>
      <c r="S13" s="208">
        <v>141</v>
      </c>
      <c r="T13" s="217">
        <f t="shared" si="1"/>
        <v>22</v>
      </c>
      <c r="U13" s="208">
        <v>108</v>
      </c>
      <c r="V13" s="217">
        <f t="shared" si="2"/>
        <v>2376</v>
      </c>
      <c r="W13" s="208">
        <v>8</v>
      </c>
      <c r="X13" s="55" t="s">
        <v>46</v>
      </c>
      <c r="Y13" s="55" t="s">
        <v>55</v>
      </c>
      <c r="Z13" s="216" t="s">
        <v>97</v>
      </c>
      <c r="AA13" s="55" t="s">
        <v>78</v>
      </c>
      <c r="AB13" s="216" t="s">
        <v>341</v>
      </c>
      <c r="AE13" s="223" t="s">
        <v>73</v>
      </c>
      <c r="AP13" s="224" t="s">
        <v>71</v>
      </c>
      <c r="AR13" s="231" t="s">
        <v>103</v>
      </c>
      <c r="AV13" s="224" t="s">
        <v>75</v>
      </c>
    </row>
    <row r="14" spans="1:53" x14ac:dyDescent="0.15">
      <c r="A14" s="55" t="s">
        <v>56</v>
      </c>
      <c r="B14" s="55" t="s">
        <v>406</v>
      </c>
      <c r="C14" s="216">
        <v>2018</v>
      </c>
      <c r="D14" s="86" t="s">
        <v>407</v>
      </c>
      <c r="E14" s="216" t="s">
        <v>408</v>
      </c>
      <c r="F14" s="216" t="s">
        <v>409</v>
      </c>
      <c r="G14" s="55" t="s">
        <v>42</v>
      </c>
      <c r="H14" s="216" t="s">
        <v>216</v>
      </c>
      <c r="I14" s="55" t="s">
        <v>155</v>
      </c>
      <c r="J14" s="216" t="s">
        <v>38</v>
      </c>
      <c r="K14" s="216" t="s">
        <v>156</v>
      </c>
      <c r="L14" s="208">
        <v>1</v>
      </c>
      <c r="N14" s="208">
        <v>1</v>
      </c>
      <c r="O14" s="208">
        <v>0.5</v>
      </c>
      <c r="P14" s="208">
        <v>0.6</v>
      </c>
      <c r="Q14" s="245">
        <f t="shared" si="0"/>
        <v>0.55000000000000004</v>
      </c>
      <c r="R14" s="208">
        <v>17.2</v>
      </c>
      <c r="S14" s="208">
        <v>119</v>
      </c>
      <c r="T14" s="217">
        <f t="shared" si="1"/>
        <v>30</v>
      </c>
      <c r="U14" s="208">
        <v>138</v>
      </c>
      <c r="V14" s="217">
        <f t="shared" si="2"/>
        <v>4140</v>
      </c>
      <c r="W14" s="208">
        <v>2</v>
      </c>
      <c r="X14" s="55" t="s">
        <v>46</v>
      </c>
      <c r="Y14" s="55" t="s">
        <v>55</v>
      </c>
      <c r="Z14" s="216" t="s">
        <v>78</v>
      </c>
      <c r="AA14" s="55" t="s">
        <v>97</v>
      </c>
      <c r="AB14" s="216" t="s">
        <v>341</v>
      </c>
      <c r="AE14" s="223" t="s">
        <v>76</v>
      </c>
      <c r="AP14" s="224" t="s">
        <v>74</v>
      </c>
      <c r="AR14" s="231" t="s">
        <v>125</v>
      </c>
      <c r="AV14" s="224" t="s">
        <v>78</v>
      </c>
    </row>
    <row r="15" spans="1:53" x14ac:dyDescent="0.15">
      <c r="A15" s="55" t="s">
        <v>56</v>
      </c>
      <c r="B15" s="55" t="s">
        <v>406</v>
      </c>
      <c r="C15" s="216">
        <v>2018</v>
      </c>
      <c r="D15" s="86" t="s">
        <v>407</v>
      </c>
      <c r="E15" s="216" t="s">
        <v>408</v>
      </c>
      <c r="F15" s="216" t="s">
        <v>409</v>
      </c>
      <c r="G15" s="55" t="s">
        <v>42</v>
      </c>
      <c r="H15" s="216" t="s">
        <v>216</v>
      </c>
      <c r="I15" s="55" t="s">
        <v>155</v>
      </c>
      <c r="J15" s="216" t="s">
        <v>38</v>
      </c>
      <c r="K15" s="216" t="s">
        <v>156</v>
      </c>
      <c r="L15" s="208">
        <v>2</v>
      </c>
      <c r="N15" s="208">
        <v>1</v>
      </c>
      <c r="O15" s="208">
        <v>0.5</v>
      </c>
      <c r="P15" s="208">
        <v>0.5</v>
      </c>
      <c r="Q15" s="245">
        <f t="shared" si="0"/>
        <v>0.5</v>
      </c>
      <c r="R15" s="208">
        <v>17.2</v>
      </c>
      <c r="S15" s="208">
        <v>124</v>
      </c>
      <c r="T15" s="217">
        <f t="shared" si="1"/>
        <v>27</v>
      </c>
      <c r="U15" s="208">
        <v>138</v>
      </c>
      <c r="V15" s="217">
        <f t="shared" si="2"/>
        <v>3726</v>
      </c>
      <c r="W15" s="208">
        <v>2</v>
      </c>
      <c r="X15" s="55" t="s">
        <v>46</v>
      </c>
      <c r="Y15" s="55" t="s">
        <v>55</v>
      </c>
      <c r="Z15" s="216" t="s">
        <v>78</v>
      </c>
      <c r="AA15" s="55" t="s">
        <v>97</v>
      </c>
      <c r="AB15" s="216" t="s">
        <v>341</v>
      </c>
      <c r="AE15" s="223" t="s">
        <v>79</v>
      </c>
      <c r="AP15" s="224" t="s">
        <v>77</v>
      </c>
      <c r="AR15" s="231" t="s">
        <v>94</v>
      </c>
      <c r="AV15" s="224" t="s">
        <v>107</v>
      </c>
    </row>
    <row r="16" spans="1:53" x14ac:dyDescent="0.15">
      <c r="A16" s="55" t="s">
        <v>56</v>
      </c>
      <c r="B16" s="55" t="s">
        <v>410</v>
      </c>
      <c r="C16" s="216">
        <v>2018</v>
      </c>
      <c r="D16" s="86" t="s">
        <v>411</v>
      </c>
      <c r="E16" s="216" t="s">
        <v>408</v>
      </c>
      <c r="F16" s="216" t="s">
        <v>409</v>
      </c>
      <c r="G16" s="55" t="s">
        <v>42</v>
      </c>
      <c r="H16" s="216" t="s">
        <v>216</v>
      </c>
      <c r="I16" s="55" t="s">
        <v>155</v>
      </c>
      <c r="J16" s="216" t="s">
        <v>38</v>
      </c>
      <c r="K16" s="216" t="s">
        <v>156</v>
      </c>
      <c r="L16" s="208">
        <v>3</v>
      </c>
      <c r="N16" s="208">
        <v>1</v>
      </c>
      <c r="O16" s="208">
        <v>0.5</v>
      </c>
      <c r="P16" s="208">
        <v>0.5</v>
      </c>
      <c r="Q16" s="245">
        <f t="shared" si="0"/>
        <v>0.5</v>
      </c>
      <c r="R16" s="237">
        <v>17</v>
      </c>
      <c r="S16" s="208">
        <v>125</v>
      </c>
      <c r="T16" s="217">
        <f t="shared" si="1"/>
        <v>27</v>
      </c>
      <c r="U16" s="208">
        <v>138</v>
      </c>
      <c r="V16" s="217">
        <f t="shared" si="2"/>
        <v>3726</v>
      </c>
      <c r="W16" s="208">
        <v>2</v>
      </c>
      <c r="X16" s="55" t="s">
        <v>46</v>
      </c>
      <c r="Y16" s="55" t="s">
        <v>55</v>
      </c>
      <c r="Z16" s="216" t="s">
        <v>78</v>
      </c>
      <c r="AA16" s="55" t="s">
        <v>97</v>
      </c>
      <c r="AB16" s="216" t="s">
        <v>341</v>
      </c>
      <c r="AE16" s="223" t="s">
        <v>82</v>
      </c>
      <c r="AP16" s="224" t="s">
        <v>80</v>
      </c>
      <c r="AR16" s="238" t="s">
        <v>63</v>
      </c>
      <c r="AV16" s="224" t="s">
        <v>84</v>
      </c>
    </row>
    <row r="17" spans="1:48" x14ac:dyDescent="0.15">
      <c r="A17" s="55" t="s">
        <v>56</v>
      </c>
      <c r="B17" s="55" t="s">
        <v>410</v>
      </c>
      <c r="C17" s="216">
        <v>2018</v>
      </c>
      <c r="D17" s="86" t="s">
        <v>411</v>
      </c>
      <c r="E17" s="216" t="s">
        <v>408</v>
      </c>
      <c r="F17" s="216" t="s">
        <v>409</v>
      </c>
      <c r="G17" s="55" t="s">
        <v>42</v>
      </c>
      <c r="H17" s="216" t="s">
        <v>168</v>
      </c>
      <c r="I17" s="55" t="s">
        <v>155</v>
      </c>
      <c r="J17" s="216" t="s">
        <v>38</v>
      </c>
      <c r="K17" s="216" t="s">
        <v>156</v>
      </c>
      <c r="L17" s="208">
        <v>1</v>
      </c>
      <c r="N17" s="208">
        <v>1</v>
      </c>
      <c r="O17" s="208">
        <v>0.65</v>
      </c>
      <c r="P17" s="208">
        <v>0.65</v>
      </c>
      <c r="Q17" s="245">
        <f t="shared" si="0"/>
        <v>0.65</v>
      </c>
      <c r="R17" s="208">
        <v>14.5</v>
      </c>
      <c r="S17" s="208">
        <v>144</v>
      </c>
      <c r="T17" s="217">
        <f t="shared" si="1"/>
        <v>22</v>
      </c>
      <c r="U17" s="208">
        <v>138</v>
      </c>
      <c r="V17" s="217">
        <f t="shared" si="2"/>
        <v>3036</v>
      </c>
      <c r="W17" s="208">
        <v>2</v>
      </c>
      <c r="X17" s="55" t="s">
        <v>46</v>
      </c>
      <c r="Y17" s="55" t="s">
        <v>55</v>
      </c>
      <c r="Z17" s="216" t="s">
        <v>78</v>
      </c>
      <c r="AA17" s="55" t="s">
        <v>97</v>
      </c>
      <c r="AB17" s="216" t="s">
        <v>341</v>
      </c>
      <c r="AE17" s="223" t="s">
        <v>85</v>
      </c>
      <c r="AP17" s="239" t="s">
        <v>110</v>
      </c>
      <c r="AR17" s="238" t="s">
        <v>96</v>
      </c>
      <c r="AV17" s="224" t="s">
        <v>86</v>
      </c>
    </row>
    <row r="18" spans="1:48" x14ac:dyDescent="0.15">
      <c r="A18" s="55" t="s">
        <v>56</v>
      </c>
      <c r="B18" s="55" t="s">
        <v>410</v>
      </c>
      <c r="C18" s="216">
        <v>2018</v>
      </c>
      <c r="D18" s="86" t="s">
        <v>411</v>
      </c>
      <c r="E18" s="216" t="s">
        <v>408</v>
      </c>
      <c r="F18" s="216" t="s">
        <v>409</v>
      </c>
      <c r="G18" s="55" t="s">
        <v>42</v>
      </c>
      <c r="H18" s="216" t="s">
        <v>168</v>
      </c>
      <c r="I18" s="55" t="s">
        <v>155</v>
      </c>
      <c r="J18" s="216" t="s">
        <v>38</v>
      </c>
      <c r="K18" s="216" t="s">
        <v>156</v>
      </c>
      <c r="L18" s="208">
        <v>2</v>
      </c>
      <c r="N18" s="208">
        <v>1</v>
      </c>
      <c r="O18" s="208">
        <v>0.6</v>
      </c>
      <c r="P18" s="208">
        <v>0.6</v>
      </c>
      <c r="Q18" s="245">
        <f t="shared" si="0"/>
        <v>0.6</v>
      </c>
      <c r="R18" s="208">
        <v>15.3</v>
      </c>
      <c r="S18" s="208">
        <v>137</v>
      </c>
      <c r="T18" s="217">
        <f t="shared" si="1"/>
        <v>25</v>
      </c>
      <c r="U18" s="208">
        <v>138</v>
      </c>
      <c r="V18" s="217">
        <f t="shared" si="2"/>
        <v>3450</v>
      </c>
      <c r="W18" s="208">
        <v>2</v>
      </c>
      <c r="X18" s="55" t="s">
        <v>46</v>
      </c>
      <c r="Y18" s="55" t="s">
        <v>55</v>
      </c>
      <c r="Z18" s="216" t="s">
        <v>78</v>
      </c>
      <c r="AA18" s="55" t="s">
        <v>97</v>
      </c>
      <c r="AB18" s="216" t="s">
        <v>341</v>
      </c>
      <c r="AE18" s="223" t="s">
        <v>87</v>
      </c>
      <c r="AP18" s="239" t="s">
        <v>111</v>
      </c>
      <c r="AR18" s="238" t="s">
        <v>101</v>
      </c>
      <c r="AV18" s="224" t="s">
        <v>88</v>
      </c>
    </row>
    <row r="19" spans="1:48" x14ac:dyDescent="0.15">
      <c r="A19" s="55" t="s">
        <v>56</v>
      </c>
      <c r="B19" s="55" t="s">
        <v>400</v>
      </c>
      <c r="C19" s="216">
        <v>2018</v>
      </c>
      <c r="D19" s="86" t="s">
        <v>401</v>
      </c>
      <c r="E19" s="216" t="s">
        <v>408</v>
      </c>
      <c r="F19" s="216" t="s">
        <v>409</v>
      </c>
      <c r="G19" s="55" t="s">
        <v>42</v>
      </c>
      <c r="H19" s="216" t="s">
        <v>168</v>
      </c>
      <c r="I19" s="55" t="s">
        <v>155</v>
      </c>
      <c r="J19" s="216" t="s">
        <v>38</v>
      </c>
      <c r="K19" s="216" t="s">
        <v>156</v>
      </c>
      <c r="L19" s="208">
        <v>3</v>
      </c>
      <c r="N19" s="208">
        <v>1</v>
      </c>
      <c r="O19" s="208">
        <v>0.6</v>
      </c>
      <c r="P19" s="208">
        <v>0.6</v>
      </c>
      <c r="Q19" s="245">
        <f t="shared" si="0"/>
        <v>0.6</v>
      </c>
      <c r="R19" s="237">
        <v>17.8</v>
      </c>
      <c r="S19" s="208">
        <v>140</v>
      </c>
      <c r="T19" s="217">
        <f t="shared" si="1"/>
        <v>22</v>
      </c>
      <c r="U19" s="208">
        <v>138</v>
      </c>
      <c r="V19" s="217">
        <f t="shared" si="2"/>
        <v>3036</v>
      </c>
      <c r="W19" s="208">
        <v>2</v>
      </c>
      <c r="X19" s="55" t="s">
        <v>46</v>
      </c>
      <c r="Y19" s="55" t="s">
        <v>55</v>
      </c>
      <c r="Z19" s="216" t="s">
        <v>78</v>
      </c>
      <c r="AA19" s="55" t="s">
        <v>97</v>
      </c>
      <c r="AB19" s="216" t="s">
        <v>341</v>
      </c>
      <c r="AE19" s="236" t="s">
        <v>89</v>
      </c>
      <c r="AP19" s="239" t="s">
        <v>112</v>
      </c>
      <c r="AR19" s="231" t="s">
        <v>126</v>
      </c>
      <c r="AV19" s="224" t="s">
        <v>90</v>
      </c>
    </row>
    <row r="20" spans="1:48" x14ac:dyDescent="0.15">
      <c r="A20" s="55" t="s">
        <v>56</v>
      </c>
      <c r="B20" s="55" t="s">
        <v>400</v>
      </c>
      <c r="C20" s="216">
        <v>2018</v>
      </c>
      <c r="D20" s="86" t="s">
        <v>401</v>
      </c>
      <c r="E20" s="216" t="s">
        <v>412</v>
      </c>
      <c r="F20" s="216" t="s">
        <v>413</v>
      </c>
      <c r="G20" s="55" t="s">
        <v>42</v>
      </c>
      <c r="H20" s="216" t="s">
        <v>157</v>
      </c>
      <c r="I20" s="55" t="s">
        <v>155</v>
      </c>
      <c r="J20" s="216" t="s">
        <v>38</v>
      </c>
      <c r="K20" s="216" t="s">
        <v>156</v>
      </c>
      <c r="L20" s="208">
        <v>1</v>
      </c>
      <c r="N20" s="208">
        <v>1</v>
      </c>
      <c r="O20" s="208">
        <v>0.9</v>
      </c>
      <c r="P20" s="208">
        <v>1</v>
      </c>
      <c r="Q20" s="245">
        <f t="shared" si="0"/>
        <v>0.95</v>
      </c>
      <c r="R20" s="208">
        <v>12.7</v>
      </c>
      <c r="S20" s="208">
        <v>123</v>
      </c>
      <c r="T20" s="217">
        <f t="shared" si="1"/>
        <v>27</v>
      </c>
      <c r="U20" s="208">
        <v>96</v>
      </c>
      <c r="V20" s="217">
        <f t="shared" si="2"/>
        <v>2592</v>
      </c>
      <c r="W20" s="208">
        <v>2</v>
      </c>
      <c r="X20" s="55" t="s">
        <v>46</v>
      </c>
      <c r="Y20" s="55" t="s">
        <v>69</v>
      </c>
      <c r="Z20" s="208" t="s">
        <v>78</v>
      </c>
      <c r="AA20" s="55" t="s">
        <v>86</v>
      </c>
      <c r="AB20" s="216" t="s">
        <v>341</v>
      </c>
      <c r="AP20" s="239" t="s">
        <v>113</v>
      </c>
      <c r="AR20" s="238" t="s">
        <v>105</v>
      </c>
      <c r="AV20" s="228" t="s">
        <v>359</v>
      </c>
    </row>
    <row r="21" spans="1:48" x14ac:dyDescent="0.15">
      <c r="A21" s="55" t="s">
        <v>56</v>
      </c>
      <c r="B21" s="55" t="s">
        <v>400</v>
      </c>
      <c r="C21" s="216">
        <v>2018</v>
      </c>
      <c r="D21" s="86" t="s">
        <v>401</v>
      </c>
      <c r="E21" s="216" t="s">
        <v>412</v>
      </c>
      <c r="F21" s="216" t="s">
        <v>413</v>
      </c>
      <c r="G21" s="55" t="s">
        <v>42</v>
      </c>
      <c r="H21" s="216" t="s">
        <v>157</v>
      </c>
      <c r="I21" s="55" t="s">
        <v>155</v>
      </c>
      <c r="J21" s="216" t="s">
        <v>38</v>
      </c>
      <c r="K21" s="216" t="s">
        <v>156</v>
      </c>
      <c r="L21" s="208">
        <v>2</v>
      </c>
      <c r="N21" s="208">
        <v>1</v>
      </c>
      <c r="O21" s="208">
        <v>0.85</v>
      </c>
      <c r="P21" s="208">
        <v>1</v>
      </c>
      <c r="Q21" s="245">
        <f t="shared" si="0"/>
        <v>0.92500000000000004</v>
      </c>
      <c r="R21" s="208">
        <v>13.4</v>
      </c>
      <c r="S21" s="208">
        <v>121</v>
      </c>
      <c r="T21" s="217">
        <f t="shared" si="1"/>
        <v>27</v>
      </c>
      <c r="U21" s="208">
        <v>96</v>
      </c>
      <c r="V21" s="217">
        <f t="shared" si="2"/>
        <v>2592</v>
      </c>
      <c r="W21" s="208">
        <v>2</v>
      </c>
      <c r="X21" s="55" t="s">
        <v>46</v>
      </c>
      <c r="Y21" s="55" t="s">
        <v>69</v>
      </c>
      <c r="Z21" s="208" t="s">
        <v>78</v>
      </c>
      <c r="AA21" s="55" t="s">
        <v>86</v>
      </c>
      <c r="AB21" s="216" t="s">
        <v>341</v>
      </c>
      <c r="AP21" s="239" t="s">
        <v>114</v>
      </c>
      <c r="AR21" s="238" t="s">
        <v>68</v>
      </c>
      <c r="AV21" s="229" t="s">
        <v>414</v>
      </c>
    </row>
    <row r="22" spans="1:48" x14ac:dyDescent="0.15">
      <c r="A22" s="55" t="s">
        <v>56</v>
      </c>
      <c r="B22" s="55" t="s">
        <v>400</v>
      </c>
      <c r="C22" s="216">
        <v>2018</v>
      </c>
      <c r="D22" s="86" t="s">
        <v>401</v>
      </c>
      <c r="E22" s="216" t="s">
        <v>412</v>
      </c>
      <c r="F22" s="216" t="s">
        <v>413</v>
      </c>
      <c r="G22" s="55" t="s">
        <v>42</v>
      </c>
      <c r="H22" s="216" t="s">
        <v>157</v>
      </c>
      <c r="I22" s="55" t="s">
        <v>155</v>
      </c>
      <c r="J22" s="216" t="s">
        <v>38</v>
      </c>
      <c r="K22" s="216" t="s">
        <v>156</v>
      </c>
      <c r="L22" s="208">
        <v>3</v>
      </c>
      <c r="N22" s="208">
        <v>1</v>
      </c>
      <c r="O22" s="208">
        <v>0.9</v>
      </c>
      <c r="P22" s="208">
        <v>0.9</v>
      </c>
      <c r="Q22" s="245">
        <f t="shared" si="0"/>
        <v>0.9</v>
      </c>
      <c r="R22" s="237">
        <v>11.3</v>
      </c>
      <c r="S22" s="208">
        <v>124</v>
      </c>
      <c r="T22" s="217">
        <f t="shared" si="1"/>
        <v>27</v>
      </c>
      <c r="U22" s="208">
        <v>96</v>
      </c>
      <c r="V22" s="217">
        <f t="shared" si="2"/>
        <v>2592</v>
      </c>
      <c r="W22" s="208">
        <v>2</v>
      </c>
      <c r="X22" s="55" t="s">
        <v>46</v>
      </c>
      <c r="Y22" s="55" t="s">
        <v>69</v>
      </c>
      <c r="Z22" s="208" t="s">
        <v>78</v>
      </c>
      <c r="AA22" s="55" t="s">
        <v>86</v>
      </c>
      <c r="AB22" s="216" t="s">
        <v>341</v>
      </c>
      <c r="AP22" s="239" t="s">
        <v>115</v>
      </c>
      <c r="AR22" s="238" t="s">
        <v>83</v>
      </c>
    </row>
    <row r="23" spans="1:48" x14ac:dyDescent="0.15">
      <c r="A23" s="55" t="s">
        <v>56</v>
      </c>
      <c r="B23" s="55" t="s">
        <v>400</v>
      </c>
      <c r="C23" s="216">
        <v>2018</v>
      </c>
      <c r="D23" s="86" t="s">
        <v>401</v>
      </c>
      <c r="E23" s="216" t="s">
        <v>412</v>
      </c>
      <c r="F23" s="216" t="s">
        <v>413</v>
      </c>
      <c r="G23" s="55" t="s">
        <v>42</v>
      </c>
      <c r="H23" s="216" t="s">
        <v>168</v>
      </c>
      <c r="I23" s="55" t="s">
        <v>155</v>
      </c>
      <c r="J23" s="216" t="s">
        <v>38</v>
      </c>
      <c r="K23" s="216" t="s">
        <v>156</v>
      </c>
      <c r="L23" s="208">
        <v>1</v>
      </c>
      <c r="N23" s="208">
        <v>1</v>
      </c>
      <c r="O23" s="208">
        <v>0.8</v>
      </c>
      <c r="P23" s="208">
        <v>0.85</v>
      </c>
      <c r="Q23" s="245">
        <f t="shared" si="0"/>
        <v>0.82499999999999996</v>
      </c>
      <c r="R23" s="208">
        <v>15.7</v>
      </c>
      <c r="S23" s="208">
        <v>118</v>
      </c>
      <c r="T23" s="217">
        <f t="shared" si="1"/>
        <v>30</v>
      </c>
      <c r="U23" s="208">
        <v>107</v>
      </c>
      <c r="V23" s="217">
        <f t="shared" si="2"/>
        <v>3210</v>
      </c>
      <c r="W23" s="208">
        <v>2</v>
      </c>
      <c r="X23" s="55" t="s">
        <v>46</v>
      </c>
      <c r="Y23" s="55" t="s">
        <v>69</v>
      </c>
      <c r="Z23" s="208" t="s">
        <v>78</v>
      </c>
      <c r="AA23" s="55" t="s">
        <v>86</v>
      </c>
      <c r="AB23" s="216" t="s">
        <v>341</v>
      </c>
      <c r="AP23" s="239" t="s">
        <v>415</v>
      </c>
      <c r="AR23" s="238" t="s">
        <v>61</v>
      </c>
    </row>
    <row r="24" spans="1:48" x14ac:dyDescent="0.15">
      <c r="A24" s="55" t="s">
        <v>56</v>
      </c>
      <c r="B24" s="55" t="s">
        <v>400</v>
      </c>
      <c r="C24" s="216">
        <v>2018</v>
      </c>
      <c r="D24" s="86" t="s">
        <v>401</v>
      </c>
      <c r="E24" s="216" t="s">
        <v>412</v>
      </c>
      <c r="F24" s="216" t="s">
        <v>413</v>
      </c>
      <c r="G24" s="55" t="s">
        <v>42</v>
      </c>
      <c r="H24" s="216" t="s">
        <v>168</v>
      </c>
      <c r="I24" s="55" t="s">
        <v>155</v>
      </c>
      <c r="J24" s="216" t="s">
        <v>38</v>
      </c>
      <c r="K24" s="216" t="s">
        <v>156</v>
      </c>
      <c r="L24" s="208">
        <v>2</v>
      </c>
      <c r="N24" s="208">
        <v>1</v>
      </c>
      <c r="O24" s="208">
        <v>0.65</v>
      </c>
      <c r="P24" s="208">
        <v>0.65</v>
      </c>
      <c r="Q24" s="245">
        <f t="shared" si="0"/>
        <v>0.65</v>
      </c>
      <c r="R24" s="208">
        <v>15.2</v>
      </c>
      <c r="S24" s="208">
        <v>116</v>
      </c>
      <c r="T24" s="217">
        <f t="shared" si="1"/>
        <v>30</v>
      </c>
      <c r="U24" s="208">
        <v>107</v>
      </c>
      <c r="V24" s="217">
        <f t="shared" si="2"/>
        <v>3210</v>
      </c>
      <c r="W24" s="208">
        <v>2</v>
      </c>
      <c r="X24" s="55" t="s">
        <v>46</v>
      </c>
      <c r="Y24" s="55" t="s">
        <v>69</v>
      </c>
      <c r="Z24" s="208" t="s">
        <v>78</v>
      </c>
      <c r="AA24" s="55" t="s">
        <v>86</v>
      </c>
      <c r="AB24" s="216" t="s">
        <v>341</v>
      </c>
      <c r="AP24" s="239" t="s">
        <v>416</v>
      </c>
      <c r="AR24" s="238" t="s">
        <v>91</v>
      </c>
    </row>
    <row r="25" spans="1:48" x14ac:dyDescent="0.15">
      <c r="A25" s="55" t="s">
        <v>56</v>
      </c>
      <c r="B25" s="55" t="s">
        <v>400</v>
      </c>
      <c r="C25" s="216">
        <v>2018</v>
      </c>
      <c r="D25" s="86" t="s">
        <v>401</v>
      </c>
      <c r="E25" s="216" t="s">
        <v>412</v>
      </c>
      <c r="F25" s="216" t="s">
        <v>413</v>
      </c>
      <c r="G25" s="55" t="s">
        <v>42</v>
      </c>
      <c r="H25" s="216" t="s">
        <v>168</v>
      </c>
      <c r="I25" s="55" t="s">
        <v>155</v>
      </c>
      <c r="J25" s="216" t="s">
        <v>38</v>
      </c>
      <c r="K25" s="216" t="s">
        <v>156</v>
      </c>
      <c r="L25" s="208">
        <v>3</v>
      </c>
      <c r="N25" s="208">
        <v>1</v>
      </c>
      <c r="O25" s="208">
        <v>0.8</v>
      </c>
      <c r="P25" s="208">
        <v>0.85</v>
      </c>
      <c r="Q25" s="245">
        <f t="shared" si="0"/>
        <v>0.82499999999999996</v>
      </c>
      <c r="R25" s="237">
        <v>17.100000000000001</v>
      </c>
      <c r="S25" s="208">
        <v>118</v>
      </c>
      <c r="T25" s="217">
        <f t="shared" si="1"/>
        <v>30</v>
      </c>
      <c r="U25" s="208">
        <v>107</v>
      </c>
      <c r="V25" s="217">
        <f t="shared" si="2"/>
        <v>3210</v>
      </c>
      <c r="W25" s="208">
        <v>2</v>
      </c>
      <c r="X25" s="55" t="s">
        <v>46</v>
      </c>
      <c r="Y25" s="55" t="s">
        <v>69</v>
      </c>
      <c r="Z25" s="208" t="s">
        <v>78</v>
      </c>
      <c r="AA25" s="55" t="s">
        <v>86</v>
      </c>
      <c r="AB25" s="216" t="s">
        <v>341</v>
      </c>
      <c r="AP25" s="239" t="s">
        <v>116</v>
      </c>
      <c r="AR25" s="42" t="s">
        <v>92</v>
      </c>
    </row>
    <row r="26" spans="1:48" x14ac:dyDescent="0.15">
      <c r="A26" s="55" t="s">
        <v>56</v>
      </c>
      <c r="B26" s="55" t="s">
        <v>400</v>
      </c>
      <c r="C26" s="216">
        <v>2018</v>
      </c>
      <c r="D26" s="86" t="s">
        <v>401</v>
      </c>
      <c r="E26" s="216" t="s">
        <v>318</v>
      </c>
      <c r="F26" s="216" t="s">
        <v>179</v>
      </c>
      <c r="G26" s="55" t="s">
        <v>42</v>
      </c>
      <c r="H26" s="216" t="s">
        <v>157</v>
      </c>
      <c r="I26" s="55" t="s">
        <v>155</v>
      </c>
      <c r="J26" s="216" t="s">
        <v>38</v>
      </c>
      <c r="K26" s="216" t="s">
        <v>156</v>
      </c>
      <c r="L26" s="208">
        <v>1</v>
      </c>
      <c r="N26" s="208">
        <v>1</v>
      </c>
      <c r="O26" s="208">
        <v>0.65</v>
      </c>
      <c r="P26" s="208">
        <v>0.6</v>
      </c>
      <c r="Q26" s="245">
        <f t="shared" si="0"/>
        <v>0.625</v>
      </c>
      <c r="R26" s="208">
        <v>15.6</v>
      </c>
      <c r="S26" s="208">
        <v>120</v>
      </c>
      <c r="T26" s="217">
        <f t="shared" si="1"/>
        <v>30</v>
      </c>
      <c r="U26" s="208">
        <v>84</v>
      </c>
      <c r="V26" s="217">
        <f t="shared" si="2"/>
        <v>2520</v>
      </c>
      <c r="W26" s="208">
        <v>2</v>
      </c>
      <c r="X26" s="55" t="s">
        <v>46</v>
      </c>
      <c r="Y26" s="55" t="s">
        <v>55</v>
      </c>
      <c r="Z26" s="208" t="s">
        <v>47</v>
      </c>
      <c r="AA26" s="55" t="s">
        <v>97</v>
      </c>
      <c r="AB26" s="216" t="s">
        <v>341</v>
      </c>
      <c r="AP26" s="239" t="s">
        <v>117</v>
      </c>
      <c r="AR26" s="208" t="s">
        <v>292</v>
      </c>
    </row>
    <row r="27" spans="1:48" x14ac:dyDescent="0.15">
      <c r="A27" s="55" t="s">
        <v>56</v>
      </c>
      <c r="B27" s="55" t="s">
        <v>400</v>
      </c>
      <c r="C27" s="216">
        <v>2018</v>
      </c>
      <c r="D27" s="86" t="s">
        <v>401</v>
      </c>
      <c r="E27" s="216" t="s">
        <v>318</v>
      </c>
      <c r="F27" s="216" t="s">
        <v>179</v>
      </c>
      <c r="G27" s="55" t="s">
        <v>42</v>
      </c>
      <c r="H27" s="216" t="s">
        <v>157</v>
      </c>
      <c r="I27" s="55" t="s">
        <v>155</v>
      </c>
      <c r="J27" s="216" t="s">
        <v>38</v>
      </c>
      <c r="K27" s="216" t="s">
        <v>156</v>
      </c>
      <c r="L27" s="208">
        <v>2</v>
      </c>
      <c r="N27" s="208">
        <v>1</v>
      </c>
      <c r="O27" s="208">
        <v>0.6</v>
      </c>
      <c r="P27" s="208">
        <v>0.65</v>
      </c>
      <c r="Q27" s="245">
        <f t="shared" si="0"/>
        <v>0.625</v>
      </c>
      <c r="R27" s="208">
        <v>15.3</v>
      </c>
      <c r="S27" s="208">
        <v>120</v>
      </c>
      <c r="T27" s="217">
        <f t="shared" si="1"/>
        <v>30</v>
      </c>
      <c r="U27" s="208">
        <v>84</v>
      </c>
      <c r="V27" s="217">
        <f t="shared" si="2"/>
        <v>2520</v>
      </c>
      <c r="W27" s="208">
        <v>2</v>
      </c>
      <c r="X27" s="55" t="s">
        <v>46</v>
      </c>
      <c r="Y27" s="55" t="s">
        <v>55</v>
      </c>
      <c r="Z27" s="208" t="s">
        <v>47</v>
      </c>
      <c r="AA27" s="55" t="s">
        <v>97</v>
      </c>
      <c r="AB27" s="216" t="s">
        <v>341</v>
      </c>
      <c r="AP27" s="239" t="s">
        <v>118</v>
      </c>
    </row>
    <row r="28" spans="1:48" x14ac:dyDescent="0.15">
      <c r="A28" s="55" t="s">
        <v>56</v>
      </c>
      <c r="B28" s="55" t="s">
        <v>400</v>
      </c>
      <c r="C28" s="216">
        <v>2018</v>
      </c>
      <c r="D28" s="86" t="s">
        <v>401</v>
      </c>
      <c r="E28" s="216" t="s">
        <v>318</v>
      </c>
      <c r="F28" s="216" t="s">
        <v>179</v>
      </c>
      <c r="G28" s="55" t="s">
        <v>42</v>
      </c>
      <c r="H28" s="216" t="s">
        <v>157</v>
      </c>
      <c r="I28" s="55" t="s">
        <v>155</v>
      </c>
      <c r="J28" s="216" t="s">
        <v>38</v>
      </c>
      <c r="K28" s="216" t="s">
        <v>156</v>
      </c>
      <c r="L28" s="208">
        <v>3</v>
      </c>
      <c r="N28" s="208">
        <v>1</v>
      </c>
      <c r="O28" s="208">
        <v>0.65</v>
      </c>
      <c r="P28" s="208">
        <v>0.7</v>
      </c>
      <c r="Q28" s="245">
        <f t="shared" si="0"/>
        <v>0.67500000000000004</v>
      </c>
      <c r="R28" s="237">
        <v>13.6</v>
      </c>
      <c r="S28" s="208">
        <v>123</v>
      </c>
      <c r="T28" s="217">
        <f t="shared" si="1"/>
        <v>27</v>
      </c>
      <c r="U28" s="208">
        <v>84</v>
      </c>
      <c r="V28" s="217">
        <f t="shared" si="2"/>
        <v>2268</v>
      </c>
      <c r="W28" s="208">
        <v>2</v>
      </c>
      <c r="X28" s="55" t="s">
        <v>46</v>
      </c>
      <c r="Y28" s="55" t="s">
        <v>55</v>
      </c>
      <c r="Z28" s="208" t="s">
        <v>47</v>
      </c>
      <c r="AA28" s="55" t="s">
        <v>97</v>
      </c>
      <c r="AB28" s="216" t="s">
        <v>341</v>
      </c>
    </row>
    <row r="29" spans="1:48" x14ac:dyDescent="0.15">
      <c r="A29" s="55" t="s">
        <v>56</v>
      </c>
      <c r="B29" s="55" t="s">
        <v>400</v>
      </c>
      <c r="C29" s="216">
        <v>2018</v>
      </c>
      <c r="D29" s="86" t="s">
        <v>401</v>
      </c>
      <c r="E29" s="216" t="s">
        <v>318</v>
      </c>
      <c r="F29" s="216" t="s">
        <v>179</v>
      </c>
      <c r="G29" s="55" t="s">
        <v>42</v>
      </c>
      <c r="H29" s="216" t="s">
        <v>216</v>
      </c>
      <c r="I29" s="55" t="s">
        <v>155</v>
      </c>
      <c r="J29" s="216" t="s">
        <v>38</v>
      </c>
      <c r="K29" s="216" t="s">
        <v>156</v>
      </c>
      <c r="L29" s="208">
        <v>1</v>
      </c>
      <c r="N29" s="208">
        <v>5</v>
      </c>
      <c r="O29" s="208">
        <v>0.5</v>
      </c>
      <c r="P29" s="208">
        <v>0.5</v>
      </c>
      <c r="Q29" s="245">
        <f t="shared" si="0"/>
        <v>0.5</v>
      </c>
      <c r="R29" s="208">
        <v>13.2</v>
      </c>
      <c r="S29" s="208">
        <v>86</v>
      </c>
      <c r="T29" s="217">
        <f t="shared" si="1"/>
        <v>36</v>
      </c>
      <c r="U29" s="208">
        <v>429</v>
      </c>
      <c r="V29" s="217">
        <f t="shared" si="2"/>
        <v>3088.7999999999997</v>
      </c>
      <c r="W29" s="208">
        <v>1</v>
      </c>
      <c r="X29" s="55" t="s">
        <v>46</v>
      </c>
      <c r="Y29" s="55" t="s">
        <v>55</v>
      </c>
      <c r="Z29" s="208" t="s">
        <v>47</v>
      </c>
      <c r="AA29" s="55" t="s">
        <v>97</v>
      </c>
      <c r="AB29" s="216" t="s">
        <v>341</v>
      </c>
    </row>
    <row r="30" spans="1:48" x14ac:dyDescent="0.15">
      <c r="A30" s="55" t="s">
        <v>56</v>
      </c>
      <c r="B30" s="55" t="s">
        <v>400</v>
      </c>
      <c r="C30" s="216">
        <v>2018</v>
      </c>
      <c r="D30" s="86" t="s">
        <v>401</v>
      </c>
      <c r="E30" s="216" t="s">
        <v>318</v>
      </c>
      <c r="F30" s="216" t="s">
        <v>179</v>
      </c>
      <c r="G30" s="55" t="s">
        <v>42</v>
      </c>
      <c r="H30" s="216" t="s">
        <v>216</v>
      </c>
      <c r="I30" s="55" t="s">
        <v>155</v>
      </c>
      <c r="J30" s="216" t="s">
        <v>38</v>
      </c>
      <c r="K30" s="216" t="s">
        <v>156</v>
      </c>
      <c r="L30" s="208">
        <v>2</v>
      </c>
      <c r="N30" s="208">
        <v>5</v>
      </c>
      <c r="O30" s="208">
        <v>0.6</v>
      </c>
      <c r="P30" s="208">
        <v>0.55000000000000004</v>
      </c>
      <c r="Q30" s="245">
        <f t="shared" si="0"/>
        <v>0.57499999999999996</v>
      </c>
      <c r="R30" s="208">
        <v>17.8</v>
      </c>
      <c r="S30" s="208">
        <v>90</v>
      </c>
      <c r="T30" s="217">
        <f t="shared" si="1"/>
        <v>36</v>
      </c>
      <c r="U30" s="208">
        <v>429</v>
      </c>
      <c r="V30" s="217">
        <f t="shared" si="2"/>
        <v>3088.7999999999997</v>
      </c>
      <c r="W30" s="208">
        <v>1</v>
      </c>
      <c r="X30" s="55" t="s">
        <v>46</v>
      </c>
      <c r="Y30" s="55" t="s">
        <v>55</v>
      </c>
      <c r="Z30" s="208" t="s">
        <v>47</v>
      </c>
      <c r="AA30" s="55" t="s">
        <v>97</v>
      </c>
      <c r="AB30" s="216" t="s">
        <v>341</v>
      </c>
    </row>
    <row r="31" spans="1:48" x14ac:dyDescent="0.15">
      <c r="A31" s="55" t="s">
        <v>56</v>
      </c>
      <c r="B31" s="55" t="s">
        <v>400</v>
      </c>
      <c r="C31" s="216">
        <v>2018</v>
      </c>
      <c r="D31" s="86" t="s">
        <v>401</v>
      </c>
      <c r="E31" s="216" t="s">
        <v>318</v>
      </c>
      <c r="F31" s="216" t="s">
        <v>179</v>
      </c>
      <c r="G31" s="55" t="s">
        <v>42</v>
      </c>
      <c r="H31" s="216" t="s">
        <v>216</v>
      </c>
      <c r="I31" s="55" t="s">
        <v>155</v>
      </c>
      <c r="J31" s="216" t="s">
        <v>38</v>
      </c>
      <c r="K31" s="216" t="s">
        <v>156</v>
      </c>
      <c r="L31" s="208">
        <v>3</v>
      </c>
      <c r="N31" s="208">
        <v>5</v>
      </c>
      <c r="O31" s="208">
        <v>0.5</v>
      </c>
      <c r="P31" s="208">
        <v>0.5</v>
      </c>
      <c r="Q31" s="245">
        <f t="shared" si="0"/>
        <v>0.5</v>
      </c>
      <c r="R31" s="208">
        <v>15.8</v>
      </c>
      <c r="S31" s="208">
        <v>83</v>
      </c>
      <c r="T31" s="217">
        <f t="shared" si="1"/>
        <v>39</v>
      </c>
      <c r="U31" s="208">
        <v>429</v>
      </c>
      <c r="V31" s="217">
        <f t="shared" si="2"/>
        <v>3346.2</v>
      </c>
      <c r="W31" s="208">
        <v>1</v>
      </c>
      <c r="X31" s="55" t="s">
        <v>46</v>
      </c>
      <c r="Y31" s="55" t="s">
        <v>55</v>
      </c>
      <c r="Z31" s="208" t="s">
        <v>47</v>
      </c>
      <c r="AA31" s="55" t="s">
        <v>97</v>
      </c>
      <c r="AB31" s="216" t="s">
        <v>341</v>
      </c>
    </row>
    <row r="32" spans="1:48" x14ac:dyDescent="0.15">
      <c r="A32" s="55" t="s">
        <v>56</v>
      </c>
      <c r="B32" s="55" t="s">
        <v>400</v>
      </c>
      <c r="C32" s="216">
        <v>2018</v>
      </c>
      <c r="D32" s="86" t="s">
        <v>401</v>
      </c>
      <c r="E32" s="216" t="s">
        <v>318</v>
      </c>
      <c r="F32" s="216" t="s">
        <v>179</v>
      </c>
      <c r="G32" s="55" t="s">
        <v>42</v>
      </c>
      <c r="H32" s="216" t="s">
        <v>168</v>
      </c>
      <c r="I32" s="55" t="s">
        <v>155</v>
      </c>
      <c r="J32" s="216" t="s">
        <v>38</v>
      </c>
      <c r="K32" s="216" t="s">
        <v>156</v>
      </c>
      <c r="L32" s="208">
        <v>1</v>
      </c>
      <c r="N32" s="208">
        <v>1</v>
      </c>
      <c r="O32" s="208">
        <v>0.9</v>
      </c>
      <c r="P32" s="208">
        <v>1.05</v>
      </c>
      <c r="Q32" s="245">
        <f t="shared" si="0"/>
        <v>0.97500000000000009</v>
      </c>
      <c r="R32" s="208">
        <v>12</v>
      </c>
      <c r="S32" s="208">
        <v>143</v>
      </c>
      <c r="T32" s="217">
        <f t="shared" si="1"/>
        <v>22</v>
      </c>
      <c r="U32" s="208">
        <v>138</v>
      </c>
      <c r="V32" s="217">
        <f t="shared" si="2"/>
        <v>3036</v>
      </c>
      <c r="W32" s="208">
        <v>2</v>
      </c>
      <c r="X32" s="55" t="s">
        <v>46</v>
      </c>
      <c r="Y32" s="55" t="s">
        <v>55</v>
      </c>
      <c r="Z32" s="208" t="s">
        <v>47</v>
      </c>
      <c r="AA32" s="55" t="s">
        <v>97</v>
      </c>
      <c r="AB32" s="216" t="s">
        <v>341</v>
      </c>
    </row>
    <row r="33" spans="1:28" x14ac:dyDescent="0.15">
      <c r="A33" s="55" t="s">
        <v>56</v>
      </c>
      <c r="B33" s="55" t="s">
        <v>400</v>
      </c>
      <c r="C33" s="216">
        <v>2018</v>
      </c>
      <c r="D33" s="86" t="s">
        <v>401</v>
      </c>
      <c r="E33" s="216" t="s">
        <v>318</v>
      </c>
      <c r="F33" s="216" t="s">
        <v>179</v>
      </c>
      <c r="G33" s="55" t="s">
        <v>42</v>
      </c>
      <c r="H33" s="216" t="s">
        <v>168</v>
      </c>
      <c r="I33" s="55" t="s">
        <v>155</v>
      </c>
      <c r="J33" s="216" t="s">
        <v>38</v>
      </c>
      <c r="K33" s="216" t="s">
        <v>156</v>
      </c>
      <c r="L33" s="208">
        <v>2</v>
      </c>
      <c r="N33" s="208">
        <v>1</v>
      </c>
      <c r="O33" s="208">
        <v>0.7</v>
      </c>
      <c r="P33" s="208">
        <v>0.75</v>
      </c>
      <c r="Q33" s="245">
        <f t="shared" si="0"/>
        <v>0.72499999999999998</v>
      </c>
      <c r="R33" s="208">
        <v>14.7</v>
      </c>
      <c r="S33" s="208">
        <v>144</v>
      </c>
      <c r="T33" s="217">
        <f t="shared" si="1"/>
        <v>22</v>
      </c>
      <c r="U33" s="208">
        <v>138</v>
      </c>
      <c r="V33" s="217">
        <f t="shared" si="2"/>
        <v>3036</v>
      </c>
      <c r="W33" s="208">
        <v>2</v>
      </c>
      <c r="X33" s="55" t="s">
        <v>46</v>
      </c>
      <c r="Y33" s="55" t="s">
        <v>55</v>
      </c>
      <c r="Z33" s="208" t="s">
        <v>47</v>
      </c>
      <c r="AA33" s="55" t="s">
        <v>97</v>
      </c>
      <c r="AB33" s="216" t="s">
        <v>341</v>
      </c>
    </row>
    <row r="34" spans="1:28" x14ac:dyDescent="0.15">
      <c r="A34" s="55" t="s">
        <v>56</v>
      </c>
      <c r="B34" s="55" t="s">
        <v>400</v>
      </c>
      <c r="C34" s="216">
        <v>2018</v>
      </c>
      <c r="D34" s="86" t="s">
        <v>401</v>
      </c>
      <c r="E34" s="216" t="s">
        <v>318</v>
      </c>
      <c r="F34" s="216" t="s">
        <v>179</v>
      </c>
      <c r="G34" s="55" t="s">
        <v>42</v>
      </c>
      <c r="H34" s="216" t="s">
        <v>168</v>
      </c>
      <c r="I34" s="55" t="s">
        <v>155</v>
      </c>
      <c r="J34" s="216" t="s">
        <v>38</v>
      </c>
      <c r="K34" s="216" t="s">
        <v>156</v>
      </c>
      <c r="L34" s="208">
        <v>3</v>
      </c>
      <c r="N34" s="208">
        <v>1</v>
      </c>
      <c r="O34" s="208">
        <v>0.7</v>
      </c>
      <c r="P34" s="208">
        <v>0.7</v>
      </c>
      <c r="Q34" s="245">
        <f t="shared" si="0"/>
        <v>0.7</v>
      </c>
      <c r="R34" s="208">
        <v>14</v>
      </c>
      <c r="S34" s="208">
        <v>141</v>
      </c>
      <c r="T34" s="217">
        <f t="shared" si="1"/>
        <v>22</v>
      </c>
      <c r="U34" s="208">
        <v>138</v>
      </c>
      <c r="V34" s="217">
        <f t="shared" si="2"/>
        <v>3036</v>
      </c>
      <c r="W34" s="208">
        <v>2</v>
      </c>
      <c r="X34" s="55" t="s">
        <v>46</v>
      </c>
      <c r="Y34" s="55" t="s">
        <v>55</v>
      </c>
      <c r="Z34" s="208" t="s">
        <v>47</v>
      </c>
      <c r="AA34" s="55" t="s">
        <v>97</v>
      </c>
      <c r="AB34" s="216" t="s">
        <v>341</v>
      </c>
    </row>
    <row r="35" spans="1:28" x14ac:dyDescent="0.15">
      <c r="A35" s="55" t="s">
        <v>56</v>
      </c>
      <c r="B35" s="55" t="s">
        <v>400</v>
      </c>
      <c r="C35" s="216">
        <v>2018</v>
      </c>
      <c r="D35" s="86" t="s">
        <v>401</v>
      </c>
      <c r="E35" s="216" t="s">
        <v>417</v>
      </c>
      <c r="F35" s="216" t="s">
        <v>179</v>
      </c>
      <c r="G35" s="55" t="s">
        <v>42</v>
      </c>
      <c r="H35" s="216" t="s">
        <v>157</v>
      </c>
      <c r="I35" s="55" t="s">
        <v>155</v>
      </c>
      <c r="J35" s="216" t="s">
        <v>38</v>
      </c>
      <c r="K35" s="216" t="s">
        <v>156</v>
      </c>
      <c r="L35" s="208">
        <v>1</v>
      </c>
      <c r="N35" s="208">
        <v>1</v>
      </c>
      <c r="O35" s="208">
        <v>1.1000000000000001</v>
      </c>
      <c r="P35" s="208">
        <v>1.1000000000000001</v>
      </c>
      <c r="Q35" s="217">
        <f t="shared" si="0"/>
        <v>1.1000000000000001</v>
      </c>
      <c r="R35" s="208">
        <v>13.2</v>
      </c>
      <c r="S35" s="208">
        <v>132</v>
      </c>
      <c r="T35" s="217">
        <f t="shared" si="1"/>
        <v>25</v>
      </c>
      <c r="U35" s="208">
        <v>138</v>
      </c>
      <c r="V35" s="217">
        <f t="shared" si="2"/>
        <v>3450</v>
      </c>
      <c r="W35" s="208">
        <v>1</v>
      </c>
      <c r="X35" s="55" t="s">
        <v>39</v>
      </c>
      <c r="Y35" s="55" t="s">
        <v>90</v>
      </c>
      <c r="Z35" s="208" t="s">
        <v>64</v>
      </c>
      <c r="AA35" s="55" t="s">
        <v>78</v>
      </c>
      <c r="AB35" s="216" t="s">
        <v>341</v>
      </c>
    </row>
    <row r="36" spans="1:28" x14ac:dyDescent="0.15">
      <c r="A36" s="55" t="s">
        <v>56</v>
      </c>
      <c r="B36" s="55" t="s">
        <v>400</v>
      </c>
      <c r="C36" s="216">
        <v>2018</v>
      </c>
      <c r="D36" s="86" t="s">
        <v>401</v>
      </c>
      <c r="E36" s="216" t="s">
        <v>417</v>
      </c>
      <c r="F36" s="216" t="s">
        <v>179</v>
      </c>
      <c r="G36" s="55" t="s">
        <v>42</v>
      </c>
      <c r="H36" s="216" t="s">
        <v>157</v>
      </c>
      <c r="I36" s="55" t="s">
        <v>155</v>
      </c>
      <c r="J36" s="216" t="s">
        <v>38</v>
      </c>
      <c r="K36" s="216" t="s">
        <v>156</v>
      </c>
      <c r="L36" s="208">
        <v>2</v>
      </c>
      <c r="N36" s="208">
        <v>1</v>
      </c>
      <c r="O36" s="208">
        <v>0.9</v>
      </c>
      <c r="P36" s="208">
        <v>0.85</v>
      </c>
      <c r="Q36" s="217">
        <f t="shared" si="0"/>
        <v>0.875</v>
      </c>
      <c r="R36" s="208">
        <v>14.7</v>
      </c>
      <c r="S36" s="208">
        <v>136</v>
      </c>
      <c r="T36" s="217">
        <f t="shared" si="1"/>
        <v>25</v>
      </c>
      <c r="U36" s="208">
        <v>138</v>
      </c>
      <c r="V36" s="217">
        <f t="shared" si="2"/>
        <v>3450</v>
      </c>
      <c r="W36" s="208">
        <v>1</v>
      </c>
      <c r="X36" s="55" t="s">
        <v>39</v>
      </c>
      <c r="Y36" s="55" t="s">
        <v>90</v>
      </c>
      <c r="Z36" s="208" t="s">
        <v>64</v>
      </c>
      <c r="AA36" s="55" t="s">
        <v>78</v>
      </c>
      <c r="AB36" s="216" t="s">
        <v>341</v>
      </c>
    </row>
    <row r="37" spans="1:28" x14ac:dyDescent="0.15">
      <c r="A37" s="55" t="s">
        <v>56</v>
      </c>
      <c r="B37" s="55" t="s">
        <v>400</v>
      </c>
      <c r="C37" s="216">
        <v>2018</v>
      </c>
      <c r="D37" s="86" t="s">
        <v>401</v>
      </c>
      <c r="E37" s="216" t="s">
        <v>417</v>
      </c>
      <c r="F37" s="216" t="s">
        <v>179</v>
      </c>
      <c r="G37" s="55" t="s">
        <v>42</v>
      </c>
      <c r="H37" s="216" t="s">
        <v>157</v>
      </c>
      <c r="I37" s="55" t="s">
        <v>155</v>
      </c>
      <c r="J37" s="216" t="s">
        <v>38</v>
      </c>
      <c r="K37" s="216" t="s">
        <v>156</v>
      </c>
      <c r="L37" s="208">
        <v>3</v>
      </c>
      <c r="N37" s="208">
        <v>1</v>
      </c>
      <c r="O37" s="208">
        <v>0.7</v>
      </c>
      <c r="P37" s="208">
        <v>0.7</v>
      </c>
      <c r="Q37" s="217">
        <f t="shared" si="0"/>
        <v>0.7</v>
      </c>
      <c r="R37" s="208">
        <v>12.9</v>
      </c>
      <c r="S37" s="208">
        <v>130</v>
      </c>
      <c r="T37" s="217">
        <f t="shared" si="1"/>
        <v>25</v>
      </c>
      <c r="U37" s="208">
        <v>138</v>
      </c>
      <c r="V37" s="217">
        <f t="shared" si="2"/>
        <v>3450</v>
      </c>
      <c r="W37" s="208">
        <v>1</v>
      </c>
      <c r="X37" s="55" t="s">
        <v>39</v>
      </c>
      <c r="Y37" s="55" t="s">
        <v>90</v>
      </c>
      <c r="Z37" s="208" t="s">
        <v>64</v>
      </c>
      <c r="AA37" s="55" t="s">
        <v>78</v>
      </c>
      <c r="AB37" s="216" t="s">
        <v>341</v>
      </c>
    </row>
    <row r="38" spans="1:28" x14ac:dyDescent="0.15">
      <c r="A38" s="55" t="s">
        <v>56</v>
      </c>
      <c r="B38" s="55" t="s">
        <v>400</v>
      </c>
      <c r="C38" s="216">
        <v>2018</v>
      </c>
      <c r="D38" s="86" t="s">
        <v>401</v>
      </c>
      <c r="E38" s="216" t="s">
        <v>417</v>
      </c>
      <c r="F38" s="216" t="s">
        <v>179</v>
      </c>
      <c r="G38" s="55" t="s">
        <v>42</v>
      </c>
      <c r="H38" s="216" t="s">
        <v>168</v>
      </c>
      <c r="I38" s="55" t="s">
        <v>155</v>
      </c>
      <c r="J38" s="216" t="s">
        <v>38</v>
      </c>
      <c r="K38" s="216" t="s">
        <v>156</v>
      </c>
      <c r="L38" s="208">
        <v>1</v>
      </c>
      <c r="N38" s="208">
        <v>1</v>
      </c>
      <c r="O38" s="208">
        <v>0.5</v>
      </c>
      <c r="P38" s="208">
        <v>0.5</v>
      </c>
      <c r="Q38" s="217">
        <f t="shared" si="0"/>
        <v>0.5</v>
      </c>
      <c r="R38" s="208">
        <v>16.5</v>
      </c>
      <c r="S38" s="208">
        <v>124</v>
      </c>
      <c r="T38" s="217">
        <f t="shared" si="1"/>
        <v>27</v>
      </c>
      <c r="U38" s="208">
        <v>178</v>
      </c>
      <c r="V38" s="217">
        <f t="shared" si="2"/>
        <v>4806</v>
      </c>
      <c r="W38" s="208">
        <v>1</v>
      </c>
      <c r="X38" s="55" t="s">
        <v>39</v>
      </c>
      <c r="Y38" s="55" t="s">
        <v>90</v>
      </c>
      <c r="Z38" s="208" t="s">
        <v>64</v>
      </c>
      <c r="AA38" s="55" t="s">
        <v>78</v>
      </c>
      <c r="AB38" s="216" t="s">
        <v>341</v>
      </c>
    </row>
    <row r="39" spans="1:28" x14ac:dyDescent="0.15">
      <c r="A39" s="55" t="s">
        <v>56</v>
      </c>
      <c r="B39" s="55" t="s">
        <v>400</v>
      </c>
      <c r="C39" s="216">
        <v>2018</v>
      </c>
      <c r="D39" s="86" t="s">
        <v>401</v>
      </c>
      <c r="E39" s="216" t="s">
        <v>417</v>
      </c>
      <c r="F39" s="216" t="s">
        <v>179</v>
      </c>
      <c r="G39" s="55" t="s">
        <v>42</v>
      </c>
      <c r="H39" s="216" t="s">
        <v>168</v>
      </c>
      <c r="I39" s="55" t="s">
        <v>155</v>
      </c>
      <c r="J39" s="216" t="s">
        <v>38</v>
      </c>
      <c r="K39" s="216" t="s">
        <v>156</v>
      </c>
      <c r="L39" s="208">
        <v>2</v>
      </c>
      <c r="N39" s="208">
        <v>1</v>
      </c>
      <c r="O39" s="208">
        <v>0.6</v>
      </c>
      <c r="P39" s="208">
        <v>0.6</v>
      </c>
      <c r="Q39" s="217">
        <f t="shared" si="0"/>
        <v>0.6</v>
      </c>
      <c r="R39" s="208">
        <v>13.7</v>
      </c>
      <c r="S39" s="208">
        <v>126</v>
      </c>
      <c r="T39" s="217">
        <f t="shared" si="1"/>
        <v>27</v>
      </c>
      <c r="U39" s="208">
        <v>178</v>
      </c>
      <c r="V39" s="217">
        <f t="shared" si="2"/>
        <v>4806</v>
      </c>
      <c r="W39" s="208">
        <v>1</v>
      </c>
      <c r="X39" s="55" t="s">
        <v>39</v>
      </c>
      <c r="Y39" s="55" t="s">
        <v>90</v>
      </c>
      <c r="Z39" s="208" t="s">
        <v>64</v>
      </c>
      <c r="AA39" s="55" t="s">
        <v>78</v>
      </c>
      <c r="AB39" s="216" t="s">
        <v>341</v>
      </c>
    </row>
    <row r="40" spans="1:28" x14ac:dyDescent="0.15">
      <c r="A40" s="55" t="s">
        <v>56</v>
      </c>
      <c r="B40" s="55" t="s">
        <v>400</v>
      </c>
      <c r="C40" s="216">
        <v>2018</v>
      </c>
      <c r="D40" s="86" t="s">
        <v>401</v>
      </c>
      <c r="E40" s="216" t="s">
        <v>417</v>
      </c>
      <c r="F40" s="216" t="s">
        <v>179</v>
      </c>
      <c r="G40" s="55" t="s">
        <v>42</v>
      </c>
      <c r="H40" s="216" t="s">
        <v>168</v>
      </c>
      <c r="I40" s="55" t="s">
        <v>155</v>
      </c>
      <c r="J40" s="216" t="s">
        <v>38</v>
      </c>
      <c r="K40" s="216" t="s">
        <v>156</v>
      </c>
      <c r="L40" s="208">
        <v>3</v>
      </c>
      <c r="N40" s="208">
        <v>1</v>
      </c>
      <c r="O40" s="208">
        <v>0.7</v>
      </c>
      <c r="P40" s="208">
        <v>0.7</v>
      </c>
      <c r="Q40" s="217">
        <f t="shared" si="0"/>
        <v>0.7</v>
      </c>
      <c r="R40" s="208">
        <v>17.600000000000001</v>
      </c>
      <c r="S40" s="208">
        <v>132</v>
      </c>
      <c r="T40" s="217">
        <f t="shared" si="1"/>
        <v>25</v>
      </c>
      <c r="U40" s="208">
        <v>178</v>
      </c>
      <c r="V40" s="217">
        <f t="shared" si="2"/>
        <v>4450</v>
      </c>
      <c r="W40" s="208">
        <v>1</v>
      </c>
      <c r="X40" s="55" t="s">
        <v>39</v>
      </c>
      <c r="Y40" s="55" t="s">
        <v>90</v>
      </c>
      <c r="Z40" s="208" t="s">
        <v>64</v>
      </c>
      <c r="AA40" s="55" t="s">
        <v>78</v>
      </c>
      <c r="AB40" s="216" t="s">
        <v>341</v>
      </c>
    </row>
    <row r="41" spans="1:28" x14ac:dyDescent="0.15">
      <c r="A41" s="55" t="s">
        <v>56</v>
      </c>
      <c r="B41" s="55" t="s">
        <v>400</v>
      </c>
      <c r="C41" s="216">
        <v>2018</v>
      </c>
      <c r="D41" s="86" t="s">
        <v>401</v>
      </c>
      <c r="E41" s="216" t="s">
        <v>180</v>
      </c>
      <c r="F41" s="216" t="s">
        <v>413</v>
      </c>
      <c r="G41" s="55" t="s">
        <v>42</v>
      </c>
      <c r="H41" s="216" t="s">
        <v>157</v>
      </c>
      <c r="I41" s="55" t="s">
        <v>158</v>
      </c>
      <c r="J41" s="216" t="s">
        <v>38</v>
      </c>
      <c r="K41" s="216" t="s">
        <v>156</v>
      </c>
      <c r="L41" s="208">
        <v>1</v>
      </c>
      <c r="N41" s="208">
        <v>1</v>
      </c>
      <c r="O41" s="208">
        <v>1</v>
      </c>
      <c r="P41" s="208">
        <v>0.9</v>
      </c>
      <c r="Q41" s="217">
        <f t="shared" si="0"/>
        <v>0.95</v>
      </c>
      <c r="R41" s="208">
        <v>13.1</v>
      </c>
      <c r="S41" s="208">
        <v>118</v>
      </c>
      <c r="T41" s="217">
        <f t="shared" si="1"/>
        <v>30</v>
      </c>
      <c r="U41" s="208">
        <v>172</v>
      </c>
      <c r="V41" s="217">
        <f t="shared" si="2"/>
        <v>5160</v>
      </c>
      <c r="W41" s="208">
        <v>2</v>
      </c>
      <c r="X41" s="55" t="s">
        <v>39</v>
      </c>
      <c r="Y41" s="55" t="s">
        <v>55</v>
      </c>
      <c r="Z41" s="208" t="s">
        <v>47</v>
      </c>
      <c r="AA41" s="55" t="s">
        <v>90</v>
      </c>
      <c r="AB41" s="216" t="s">
        <v>341</v>
      </c>
    </row>
    <row r="42" spans="1:28" x14ac:dyDescent="0.15">
      <c r="A42" s="55" t="s">
        <v>56</v>
      </c>
      <c r="B42" s="55" t="s">
        <v>400</v>
      </c>
      <c r="C42" s="216">
        <v>2018</v>
      </c>
      <c r="D42" s="86" t="s">
        <v>401</v>
      </c>
      <c r="E42" s="216" t="s">
        <v>180</v>
      </c>
      <c r="F42" s="216" t="s">
        <v>413</v>
      </c>
      <c r="G42" s="55" t="s">
        <v>42</v>
      </c>
      <c r="H42" s="216" t="s">
        <v>157</v>
      </c>
      <c r="I42" s="55" t="s">
        <v>158</v>
      </c>
      <c r="J42" s="216" t="s">
        <v>38</v>
      </c>
      <c r="K42" s="216" t="s">
        <v>156</v>
      </c>
      <c r="L42" s="208">
        <v>2</v>
      </c>
      <c r="N42" s="208">
        <v>1</v>
      </c>
      <c r="O42" s="208">
        <v>0.9</v>
      </c>
      <c r="P42" s="208">
        <v>1</v>
      </c>
      <c r="Q42" s="217">
        <f t="shared" si="0"/>
        <v>0.95</v>
      </c>
      <c r="R42" s="208">
        <v>12.8</v>
      </c>
      <c r="S42" s="208">
        <v>126</v>
      </c>
      <c r="T42" s="217">
        <f t="shared" si="1"/>
        <v>27</v>
      </c>
      <c r="U42" s="208">
        <v>172</v>
      </c>
      <c r="V42" s="217">
        <f t="shared" si="2"/>
        <v>4644</v>
      </c>
      <c r="W42" s="208">
        <v>2</v>
      </c>
      <c r="X42" s="55" t="s">
        <v>39</v>
      </c>
      <c r="Y42" s="55" t="s">
        <v>55</v>
      </c>
      <c r="Z42" s="208" t="s">
        <v>47</v>
      </c>
      <c r="AA42" s="55" t="s">
        <v>90</v>
      </c>
      <c r="AB42" s="216" t="s">
        <v>341</v>
      </c>
    </row>
    <row r="43" spans="1:28" x14ac:dyDescent="0.15">
      <c r="A43" s="55" t="s">
        <v>56</v>
      </c>
      <c r="B43" s="55" t="s">
        <v>400</v>
      </c>
      <c r="C43" s="216">
        <v>2018</v>
      </c>
      <c r="D43" s="86" t="s">
        <v>401</v>
      </c>
      <c r="E43" s="216" t="s">
        <v>180</v>
      </c>
      <c r="F43" s="216" t="s">
        <v>413</v>
      </c>
      <c r="G43" s="55" t="s">
        <v>42</v>
      </c>
      <c r="H43" s="216" t="s">
        <v>157</v>
      </c>
      <c r="I43" s="55" t="s">
        <v>158</v>
      </c>
      <c r="J43" s="216" t="s">
        <v>38</v>
      </c>
      <c r="K43" s="216" t="s">
        <v>156</v>
      </c>
      <c r="L43" s="208">
        <v>3</v>
      </c>
      <c r="N43" s="208">
        <v>1</v>
      </c>
      <c r="O43" s="208">
        <v>0.65</v>
      </c>
      <c r="P43" s="208">
        <v>0.65</v>
      </c>
      <c r="Q43" s="217">
        <f t="shared" si="0"/>
        <v>0.65</v>
      </c>
      <c r="R43" s="208">
        <v>14</v>
      </c>
      <c r="S43" s="208">
        <v>123</v>
      </c>
      <c r="T43" s="217">
        <f t="shared" si="1"/>
        <v>27</v>
      </c>
      <c r="U43" s="208">
        <v>172</v>
      </c>
      <c r="V43" s="217">
        <f t="shared" si="2"/>
        <v>4644</v>
      </c>
      <c r="W43" s="208">
        <v>2</v>
      </c>
      <c r="X43" s="55" t="s">
        <v>39</v>
      </c>
      <c r="Y43" s="55" t="s">
        <v>55</v>
      </c>
      <c r="Z43" s="208" t="s">
        <v>47</v>
      </c>
      <c r="AA43" s="55" t="s">
        <v>90</v>
      </c>
      <c r="AB43" s="216" t="s">
        <v>341</v>
      </c>
    </row>
    <row r="44" spans="1:28" x14ac:dyDescent="0.15">
      <c r="A44" s="55" t="s">
        <v>56</v>
      </c>
      <c r="B44" s="55" t="s">
        <v>400</v>
      </c>
      <c r="C44" s="216">
        <v>2018</v>
      </c>
      <c r="D44" s="86" t="s">
        <v>401</v>
      </c>
      <c r="E44" s="216" t="s">
        <v>180</v>
      </c>
      <c r="F44" s="216" t="s">
        <v>413</v>
      </c>
      <c r="G44" s="55" t="s">
        <v>42</v>
      </c>
      <c r="H44" s="216" t="s">
        <v>168</v>
      </c>
      <c r="I44" s="55" t="s">
        <v>158</v>
      </c>
      <c r="J44" s="216" t="s">
        <v>38</v>
      </c>
      <c r="K44" s="216" t="s">
        <v>156</v>
      </c>
      <c r="L44" s="208">
        <v>1</v>
      </c>
      <c r="N44" s="208">
        <v>1</v>
      </c>
      <c r="O44" s="208">
        <v>0.5</v>
      </c>
      <c r="P44" s="208">
        <v>0.55000000000000004</v>
      </c>
      <c r="Q44" s="217">
        <f t="shared" si="0"/>
        <v>0.52500000000000002</v>
      </c>
      <c r="R44" s="208">
        <v>19</v>
      </c>
      <c r="S44" s="208">
        <v>129</v>
      </c>
      <c r="T44" s="217">
        <f t="shared" si="1"/>
        <v>25</v>
      </c>
      <c r="U44" s="208">
        <v>172</v>
      </c>
      <c r="V44" s="217">
        <f t="shared" si="2"/>
        <v>4300</v>
      </c>
      <c r="W44" s="208">
        <v>6</v>
      </c>
      <c r="X44" s="55" t="s">
        <v>39</v>
      </c>
      <c r="Y44" s="55" t="s">
        <v>55</v>
      </c>
      <c r="Z44" s="208" t="s">
        <v>47</v>
      </c>
      <c r="AA44" s="55" t="s">
        <v>90</v>
      </c>
      <c r="AB44" s="216" t="s">
        <v>341</v>
      </c>
    </row>
    <row r="45" spans="1:28" x14ac:dyDescent="0.15">
      <c r="A45" s="55" t="s">
        <v>56</v>
      </c>
      <c r="B45" s="55" t="s">
        <v>400</v>
      </c>
      <c r="C45" s="216">
        <v>2018</v>
      </c>
      <c r="D45" s="86" t="s">
        <v>401</v>
      </c>
      <c r="E45" s="216" t="s">
        <v>180</v>
      </c>
      <c r="F45" s="216" t="s">
        <v>413</v>
      </c>
      <c r="G45" s="55" t="s">
        <v>42</v>
      </c>
      <c r="H45" s="216" t="s">
        <v>168</v>
      </c>
      <c r="I45" s="55" t="s">
        <v>158</v>
      </c>
      <c r="J45" s="216" t="s">
        <v>38</v>
      </c>
      <c r="K45" s="216" t="s">
        <v>156</v>
      </c>
      <c r="L45" s="208">
        <v>2</v>
      </c>
      <c r="N45" s="208">
        <v>1</v>
      </c>
      <c r="O45" s="208">
        <v>0.5</v>
      </c>
      <c r="P45" s="208">
        <v>0.5</v>
      </c>
      <c r="Q45" s="217">
        <f t="shared" si="0"/>
        <v>0.5</v>
      </c>
      <c r="R45" s="208">
        <v>17.100000000000001</v>
      </c>
      <c r="S45" s="208">
        <v>125</v>
      </c>
      <c r="T45" s="217">
        <f t="shared" si="1"/>
        <v>27</v>
      </c>
      <c r="U45" s="208">
        <v>172</v>
      </c>
      <c r="V45" s="217">
        <f t="shared" si="2"/>
        <v>4644</v>
      </c>
      <c r="W45" s="208">
        <v>6</v>
      </c>
      <c r="X45" s="55" t="s">
        <v>39</v>
      </c>
      <c r="Y45" s="55" t="s">
        <v>55</v>
      </c>
      <c r="Z45" s="208" t="s">
        <v>47</v>
      </c>
      <c r="AA45" s="55" t="s">
        <v>90</v>
      </c>
      <c r="AB45" s="216" t="s">
        <v>341</v>
      </c>
    </row>
    <row r="46" spans="1:28" x14ac:dyDescent="0.15">
      <c r="A46" s="55" t="s">
        <v>56</v>
      </c>
      <c r="B46" s="55" t="s">
        <v>400</v>
      </c>
      <c r="C46" s="216">
        <v>2018</v>
      </c>
      <c r="D46" s="86" t="s">
        <v>401</v>
      </c>
      <c r="E46" s="216" t="s">
        <v>180</v>
      </c>
      <c r="F46" s="216" t="s">
        <v>413</v>
      </c>
      <c r="G46" s="55" t="s">
        <v>42</v>
      </c>
      <c r="H46" s="216" t="s">
        <v>168</v>
      </c>
      <c r="I46" s="55" t="s">
        <v>158</v>
      </c>
      <c r="J46" s="216" t="s">
        <v>38</v>
      </c>
      <c r="K46" s="216" t="s">
        <v>156</v>
      </c>
      <c r="L46" s="208">
        <v>3</v>
      </c>
      <c r="N46" s="208">
        <v>1</v>
      </c>
      <c r="O46" s="208">
        <v>0.5</v>
      </c>
      <c r="P46" s="208">
        <v>0.5</v>
      </c>
      <c r="Q46" s="217">
        <f t="shared" si="0"/>
        <v>0.5</v>
      </c>
      <c r="R46" s="208">
        <v>17.399999999999999</v>
      </c>
      <c r="S46" s="208">
        <v>129</v>
      </c>
      <c r="T46" s="217">
        <f t="shared" si="1"/>
        <v>25</v>
      </c>
      <c r="U46" s="208">
        <v>172</v>
      </c>
      <c r="V46" s="217">
        <f t="shared" si="2"/>
        <v>4300</v>
      </c>
      <c r="W46" s="208">
        <v>6</v>
      </c>
      <c r="X46" s="55" t="s">
        <v>39</v>
      </c>
      <c r="Y46" s="55" t="s">
        <v>55</v>
      </c>
      <c r="Z46" s="208" t="s">
        <v>47</v>
      </c>
      <c r="AA46" s="55" t="s">
        <v>90</v>
      </c>
      <c r="AB46" s="216" t="s">
        <v>341</v>
      </c>
    </row>
    <row r="47" spans="1:28" x14ac:dyDescent="0.15">
      <c r="A47" s="55" t="s">
        <v>56</v>
      </c>
      <c r="B47" s="55" t="s">
        <v>400</v>
      </c>
      <c r="C47" s="216">
        <v>2018</v>
      </c>
      <c r="D47" s="86" t="s">
        <v>401</v>
      </c>
      <c r="E47" s="216" t="s">
        <v>318</v>
      </c>
      <c r="F47" s="216" t="s">
        <v>413</v>
      </c>
      <c r="G47" s="55" t="s">
        <v>42</v>
      </c>
      <c r="H47" s="216" t="s">
        <v>157</v>
      </c>
      <c r="I47" s="55" t="s">
        <v>155</v>
      </c>
      <c r="J47" s="216" t="s">
        <v>38</v>
      </c>
      <c r="K47" s="216" t="s">
        <v>156</v>
      </c>
      <c r="L47" s="208">
        <v>1</v>
      </c>
      <c r="N47" s="208">
        <v>1</v>
      </c>
      <c r="O47" s="208">
        <v>0.8</v>
      </c>
      <c r="P47" s="208">
        <v>0.8</v>
      </c>
      <c r="Q47" s="217">
        <f t="shared" si="0"/>
        <v>0.8</v>
      </c>
      <c r="R47" s="208">
        <v>12.6</v>
      </c>
      <c r="S47" s="208">
        <v>120</v>
      </c>
      <c r="T47" s="217">
        <f t="shared" si="1"/>
        <v>30</v>
      </c>
      <c r="U47" s="208">
        <v>105</v>
      </c>
      <c r="V47" s="217">
        <f t="shared" si="2"/>
        <v>3150</v>
      </c>
      <c r="W47" s="208">
        <v>1</v>
      </c>
      <c r="X47" s="55" t="s">
        <v>46</v>
      </c>
      <c r="Y47" s="55" t="s">
        <v>55</v>
      </c>
      <c r="Z47" s="208" t="s">
        <v>64</v>
      </c>
      <c r="AA47" s="55" t="s">
        <v>86</v>
      </c>
      <c r="AB47" s="216" t="s">
        <v>341</v>
      </c>
    </row>
    <row r="48" spans="1:28" x14ac:dyDescent="0.15">
      <c r="A48" s="55" t="s">
        <v>56</v>
      </c>
      <c r="B48" s="55" t="s">
        <v>400</v>
      </c>
      <c r="C48" s="216">
        <v>2018</v>
      </c>
      <c r="D48" s="86" t="s">
        <v>401</v>
      </c>
      <c r="E48" s="216" t="s">
        <v>318</v>
      </c>
      <c r="F48" s="216" t="s">
        <v>413</v>
      </c>
      <c r="G48" s="55" t="s">
        <v>42</v>
      </c>
      <c r="H48" s="216" t="s">
        <v>157</v>
      </c>
      <c r="I48" s="55" t="s">
        <v>155</v>
      </c>
      <c r="J48" s="216" t="s">
        <v>38</v>
      </c>
      <c r="K48" s="216" t="s">
        <v>156</v>
      </c>
      <c r="L48" s="208">
        <v>2</v>
      </c>
      <c r="N48" s="208">
        <v>1</v>
      </c>
      <c r="O48" s="208">
        <v>0.55000000000000004</v>
      </c>
      <c r="P48" s="208">
        <v>0.6</v>
      </c>
      <c r="Q48" s="217">
        <f t="shared" si="0"/>
        <v>0.57499999999999996</v>
      </c>
      <c r="R48" s="208">
        <v>12.2</v>
      </c>
      <c r="S48" s="208">
        <v>121</v>
      </c>
      <c r="T48" s="217">
        <f t="shared" si="1"/>
        <v>27</v>
      </c>
      <c r="U48" s="208">
        <v>105</v>
      </c>
      <c r="V48" s="217">
        <f t="shared" si="2"/>
        <v>2835</v>
      </c>
      <c r="W48" s="208">
        <v>1</v>
      </c>
      <c r="X48" s="55" t="s">
        <v>46</v>
      </c>
      <c r="Y48" s="55" t="s">
        <v>55</v>
      </c>
      <c r="Z48" s="208" t="s">
        <v>64</v>
      </c>
      <c r="AA48" s="55" t="s">
        <v>86</v>
      </c>
      <c r="AB48" s="216" t="s">
        <v>341</v>
      </c>
    </row>
    <row r="49" spans="1:28" x14ac:dyDescent="0.15">
      <c r="A49" s="55" t="s">
        <v>56</v>
      </c>
      <c r="B49" s="55" t="s">
        <v>400</v>
      </c>
      <c r="C49" s="216">
        <v>2018</v>
      </c>
      <c r="D49" s="86" t="s">
        <v>401</v>
      </c>
      <c r="E49" s="216" t="s">
        <v>318</v>
      </c>
      <c r="F49" s="216" t="s">
        <v>413</v>
      </c>
      <c r="G49" s="55" t="s">
        <v>42</v>
      </c>
      <c r="H49" s="216" t="s">
        <v>157</v>
      </c>
      <c r="I49" s="55" t="s">
        <v>155</v>
      </c>
      <c r="J49" s="216" t="s">
        <v>38</v>
      </c>
      <c r="K49" s="216" t="s">
        <v>156</v>
      </c>
      <c r="L49" s="208">
        <v>3</v>
      </c>
      <c r="N49" s="208">
        <v>1</v>
      </c>
      <c r="O49" s="208">
        <v>0.6</v>
      </c>
      <c r="P49" s="208">
        <v>0.55000000000000004</v>
      </c>
      <c r="Q49" s="217">
        <f t="shared" si="0"/>
        <v>0.57499999999999996</v>
      </c>
      <c r="R49" s="208">
        <v>12.8</v>
      </c>
      <c r="S49" s="208">
        <v>119</v>
      </c>
      <c r="T49" s="217">
        <f t="shared" si="1"/>
        <v>30</v>
      </c>
      <c r="U49" s="208">
        <v>105</v>
      </c>
      <c r="V49" s="217">
        <f t="shared" si="2"/>
        <v>3150</v>
      </c>
      <c r="W49" s="208">
        <v>1</v>
      </c>
      <c r="X49" s="55" t="s">
        <v>46</v>
      </c>
      <c r="Y49" s="55" t="s">
        <v>55</v>
      </c>
      <c r="Z49" s="208" t="s">
        <v>64</v>
      </c>
      <c r="AA49" s="55" t="s">
        <v>86</v>
      </c>
      <c r="AB49" s="216" t="s">
        <v>341</v>
      </c>
    </row>
    <row r="50" spans="1:28" x14ac:dyDescent="0.15">
      <c r="A50" s="55" t="s">
        <v>56</v>
      </c>
      <c r="B50" s="55" t="s">
        <v>400</v>
      </c>
      <c r="C50" s="216">
        <v>2018</v>
      </c>
      <c r="D50" s="86" t="s">
        <v>401</v>
      </c>
      <c r="E50" s="216" t="s">
        <v>318</v>
      </c>
      <c r="F50" s="216" t="s">
        <v>413</v>
      </c>
      <c r="G50" s="55" t="s">
        <v>42</v>
      </c>
      <c r="H50" s="216" t="s">
        <v>216</v>
      </c>
      <c r="I50" s="55" t="s">
        <v>155</v>
      </c>
      <c r="J50" s="216" t="s">
        <v>38</v>
      </c>
      <c r="K50" s="216" t="s">
        <v>156</v>
      </c>
      <c r="L50" s="208">
        <v>1</v>
      </c>
      <c r="N50" s="208">
        <v>5</v>
      </c>
      <c r="O50" s="208">
        <v>0.6</v>
      </c>
      <c r="P50" s="208">
        <v>0.65</v>
      </c>
      <c r="Q50" s="217">
        <f t="shared" si="0"/>
        <v>0.625</v>
      </c>
      <c r="R50" s="208">
        <v>17.5</v>
      </c>
      <c r="S50" s="208">
        <v>89</v>
      </c>
      <c r="T50" s="217">
        <f t="shared" si="1"/>
        <v>36</v>
      </c>
      <c r="U50" s="208">
        <v>429</v>
      </c>
      <c r="V50" s="217">
        <f t="shared" si="2"/>
        <v>3088.7999999999997</v>
      </c>
      <c r="W50" s="208">
        <v>1</v>
      </c>
      <c r="X50" s="55" t="s">
        <v>46</v>
      </c>
      <c r="Y50" s="55" t="s">
        <v>55</v>
      </c>
      <c r="Z50" s="208" t="s">
        <v>64</v>
      </c>
      <c r="AA50" s="55" t="s">
        <v>86</v>
      </c>
      <c r="AB50" s="216" t="s">
        <v>341</v>
      </c>
    </row>
    <row r="51" spans="1:28" x14ac:dyDescent="0.15">
      <c r="A51" s="55" t="s">
        <v>56</v>
      </c>
      <c r="B51" s="55" t="s">
        <v>400</v>
      </c>
      <c r="C51" s="216">
        <v>2018</v>
      </c>
      <c r="D51" s="86" t="s">
        <v>401</v>
      </c>
      <c r="E51" s="216" t="s">
        <v>318</v>
      </c>
      <c r="F51" s="216" t="s">
        <v>413</v>
      </c>
      <c r="G51" s="55" t="s">
        <v>42</v>
      </c>
      <c r="H51" s="216" t="s">
        <v>216</v>
      </c>
      <c r="I51" s="55" t="s">
        <v>155</v>
      </c>
      <c r="J51" s="216" t="s">
        <v>38</v>
      </c>
      <c r="K51" s="216" t="s">
        <v>156</v>
      </c>
      <c r="L51" s="208">
        <v>2</v>
      </c>
      <c r="N51" s="208">
        <v>5</v>
      </c>
      <c r="O51" s="208">
        <v>0.75</v>
      </c>
      <c r="P51" s="208">
        <v>0.75</v>
      </c>
      <c r="Q51" s="217">
        <f t="shared" si="0"/>
        <v>0.75</v>
      </c>
      <c r="R51" s="208">
        <v>15.7</v>
      </c>
      <c r="S51" s="208">
        <v>93</v>
      </c>
      <c r="T51" s="217">
        <f t="shared" si="1"/>
        <v>36</v>
      </c>
      <c r="U51" s="208">
        <v>429</v>
      </c>
      <c r="V51" s="217">
        <f t="shared" si="2"/>
        <v>3088.7999999999997</v>
      </c>
      <c r="W51" s="208">
        <v>1</v>
      </c>
      <c r="X51" s="55" t="s">
        <v>46</v>
      </c>
      <c r="Y51" s="55" t="s">
        <v>55</v>
      </c>
      <c r="Z51" s="208" t="s">
        <v>64</v>
      </c>
      <c r="AA51" s="55" t="s">
        <v>86</v>
      </c>
      <c r="AB51" s="216" t="s">
        <v>341</v>
      </c>
    </row>
    <row r="52" spans="1:28" x14ac:dyDescent="0.15">
      <c r="A52" s="55" t="s">
        <v>56</v>
      </c>
      <c r="B52" s="55" t="s">
        <v>400</v>
      </c>
      <c r="C52" s="216">
        <v>2018</v>
      </c>
      <c r="D52" s="86" t="s">
        <v>401</v>
      </c>
      <c r="E52" s="216" t="s">
        <v>318</v>
      </c>
      <c r="F52" s="216" t="s">
        <v>413</v>
      </c>
      <c r="G52" s="55" t="s">
        <v>42</v>
      </c>
      <c r="H52" s="216" t="s">
        <v>216</v>
      </c>
      <c r="I52" s="55" t="s">
        <v>155</v>
      </c>
      <c r="J52" s="216" t="s">
        <v>38</v>
      </c>
      <c r="K52" s="216" t="s">
        <v>156</v>
      </c>
      <c r="L52" s="208">
        <v>3</v>
      </c>
      <c r="N52" s="208">
        <v>5</v>
      </c>
      <c r="O52" s="208">
        <v>0.55000000000000004</v>
      </c>
      <c r="P52" s="208">
        <v>0.55000000000000004</v>
      </c>
      <c r="Q52" s="217">
        <f t="shared" si="0"/>
        <v>0.55000000000000004</v>
      </c>
      <c r="R52" s="208">
        <v>14.7</v>
      </c>
      <c r="S52" s="208">
        <v>89</v>
      </c>
      <c r="T52" s="217">
        <f t="shared" si="1"/>
        <v>36</v>
      </c>
      <c r="U52" s="208">
        <v>429</v>
      </c>
      <c r="V52" s="217">
        <f t="shared" si="2"/>
        <v>3088.7999999999997</v>
      </c>
      <c r="W52" s="208">
        <v>1</v>
      </c>
      <c r="X52" s="55" t="s">
        <v>46</v>
      </c>
      <c r="Y52" s="55" t="s">
        <v>55</v>
      </c>
      <c r="Z52" s="208" t="s">
        <v>64</v>
      </c>
      <c r="AA52" s="55" t="s">
        <v>86</v>
      </c>
      <c r="AB52" s="216" t="s">
        <v>341</v>
      </c>
    </row>
    <row r="53" spans="1:28" x14ac:dyDescent="0.15">
      <c r="A53" s="55" t="s">
        <v>56</v>
      </c>
      <c r="B53" s="55" t="s">
        <v>400</v>
      </c>
      <c r="C53" s="216">
        <v>2018</v>
      </c>
      <c r="D53" s="86" t="s">
        <v>401</v>
      </c>
      <c r="E53" s="216" t="s">
        <v>318</v>
      </c>
      <c r="F53" s="216" t="s">
        <v>413</v>
      </c>
      <c r="G53" s="55" t="s">
        <v>42</v>
      </c>
      <c r="H53" s="216" t="s">
        <v>168</v>
      </c>
      <c r="I53" s="55" t="s">
        <v>155</v>
      </c>
      <c r="J53" s="216" t="s">
        <v>38</v>
      </c>
      <c r="K53" s="216" t="s">
        <v>156</v>
      </c>
      <c r="L53" s="208">
        <v>1</v>
      </c>
      <c r="N53" s="208">
        <v>4</v>
      </c>
      <c r="O53" s="208">
        <v>0.6</v>
      </c>
      <c r="P53" s="208">
        <v>0.65</v>
      </c>
      <c r="Q53" s="217">
        <f t="shared" si="0"/>
        <v>0.625</v>
      </c>
      <c r="R53" s="208">
        <v>17.2</v>
      </c>
      <c r="S53" s="208">
        <v>113</v>
      </c>
      <c r="T53" s="217">
        <f t="shared" si="1"/>
        <v>30</v>
      </c>
      <c r="U53" s="208">
        <v>626</v>
      </c>
      <c r="V53" s="217">
        <f t="shared" si="2"/>
        <v>4695</v>
      </c>
      <c r="W53" s="208">
        <v>2</v>
      </c>
      <c r="X53" s="55" t="s">
        <v>46</v>
      </c>
      <c r="Y53" s="55" t="s">
        <v>55</v>
      </c>
      <c r="Z53" s="208" t="s">
        <v>64</v>
      </c>
      <c r="AA53" s="55" t="s">
        <v>86</v>
      </c>
      <c r="AB53" s="216" t="s">
        <v>341</v>
      </c>
    </row>
    <row r="54" spans="1:28" x14ac:dyDescent="0.15">
      <c r="A54" s="55" t="s">
        <v>56</v>
      </c>
      <c r="B54" s="55" t="s">
        <v>400</v>
      </c>
      <c r="C54" s="216">
        <v>2018</v>
      </c>
      <c r="D54" s="86" t="s">
        <v>401</v>
      </c>
      <c r="E54" s="216" t="s">
        <v>318</v>
      </c>
      <c r="F54" s="216" t="s">
        <v>413</v>
      </c>
      <c r="G54" s="55" t="s">
        <v>42</v>
      </c>
      <c r="H54" s="216" t="s">
        <v>168</v>
      </c>
      <c r="I54" s="55" t="s">
        <v>155</v>
      </c>
      <c r="J54" s="216" t="s">
        <v>38</v>
      </c>
      <c r="K54" s="216" t="s">
        <v>156</v>
      </c>
      <c r="L54" s="208">
        <v>2</v>
      </c>
      <c r="N54" s="208">
        <v>4</v>
      </c>
      <c r="O54" s="208">
        <v>0.6</v>
      </c>
      <c r="P54" s="208">
        <v>0.6</v>
      </c>
      <c r="Q54" s="217">
        <f t="shared" si="0"/>
        <v>0.6</v>
      </c>
      <c r="R54" s="208">
        <v>15.5</v>
      </c>
      <c r="S54" s="208">
        <v>122</v>
      </c>
      <c r="T54" s="217">
        <f t="shared" si="1"/>
        <v>27</v>
      </c>
      <c r="U54" s="208">
        <v>626</v>
      </c>
      <c r="V54" s="217">
        <f t="shared" si="2"/>
        <v>4225.5</v>
      </c>
      <c r="W54" s="208">
        <v>2</v>
      </c>
      <c r="X54" s="55" t="s">
        <v>46</v>
      </c>
      <c r="Y54" s="55" t="s">
        <v>55</v>
      </c>
      <c r="Z54" s="208" t="s">
        <v>64</v>
      </c>
      <c r="AA54" s="55" t="s">
        <v>86</v>
      </c>
      <c r="AB54" s="216" t="s">
        <v>341</v>
      </c>
    </row>
    <row r="55" spans="1:28" x14ac:dyDescent="0.15">
      <c r="A55" s="55" t="s">
        <v>56</v>
      </c>
      <c r="B55" s="55" t="s">
        <v>400</v>
      </c>
      <c r="C55" s="216">
        <v>2018</v>
      </c>
      <c r="D55" s="86" t="s">
        <v>401</v>
      </c>
      <c r="E55" s="216" t="s">
        <v>318</v>
      </c>
      <c r="F55" s="216" t="s">
        <v>413</v>
      </c>
      <c r="G55" s="55" t="s">
        <v>42</v>
      </c>
      <c r="H55" s="216" t="s">
        <v>168</v>
      </c>
      <c r="I55" s="55" t="s">
        <v>155</v>
      </c>
      <c r="J55" s="216" t="s">
        <v>38</v>
      </c>
      <c r="K55" s="216" t="s">
        <v>156</v>
      </c>
      <c r="L55" s="208">
        <v>3</v>
      </c>
      <c r="N55" s="208">
        <v>4</v>
      </c>
      <c r="O55" s="208">
        <v>0.55000000000000004</v>
      </c>
      <c r="P55" s="208">
        <v>0.55000000000000004</v>
      </c>
      <c r="Q55" s="217">
        <f t="shared" si="0"/>
        <v>0.55000000000000004</v>
      </c>
      <c r="R55" s="208">
        <v>14.5</v>
      </c>
      <c r="S55" s="208">
        <v>114</v>
      </c>
      <c r="T55" s="217">
        <f t="shared" si="1"/>
        <v>30</v>
      </c>
      <c r="U55" s="208">
        <v>626</v>
      </c>
      <c r="V55" s="217">
        <f t="shared" si="2"/>
        <v>4695</v>
      </c>
      <c r="W55" s="208">
        <v>2</v>
      </c>
      <c r="X55" s="55" t="s">
        <v>46</v>
      </c>
      <c r="Y55" s="55" t="s">
        <v>55</v>
      </c>
      <c r="Z55" s="208" t="s">
        <v>64</v>
      </c>
      <c r="AA55" s="55" t="s">
        <v>86</v>
      </c>
      <c r="AB55" s="216" t="s">
        <v>341</v>
      </c>
    </row>
    <row r="56" spans="1:28" x14ac:dyDescent="0.15">
      <c r="A56" s="55" t="s">
        <v>56</v>
      </c>
      <c r="B56" s="55" t="s">
        <v>400</v>
      </c>
      <c r="C56" s="216">
        <v>2018</v>
      </c>
      <c r="D56" s="86" t="s">
        <v>401</v>
      </c>
      <c r="E56" s="216" t="s">
        <v>375</v>
      </c>
      <c r="F56" s="216" t="s">
        <v>413</v>
      </c>
      <c r="G56" s="55" t="s">
        <v>42</v>
      </c>
      <c r="H56" s="216" t="s">
        <v>157</v>
      </c>
      <c r="I56" s="55" t="s">
        <v>155</v>
      </c>
      <c r="J56" s="216" t="s">
        <v>38</v>
      </c>
      <c r="K56" s="216" t="s">
        <v>156</v>
      </c>
      <c r="L56" s="208">
        <v>1</v>
      </c>
      <c r="N56" s="208">
        <v>1</v>
      </c>
      <c r="O56" s="208">
        <v>0.7</v>
      </c>
      <c r="P56" s="208">
        <v>0.85</v>
      </c>
      <c r="Q56" s="217">
        <f t="shared" si="0"/>
        <v>0.77499999999999991</v>
      </c>
      <c r="R56" s="208">
        <v>12.7</v>
      </c>
      <c r="S56" s="208">
        <v>161</v>
      </c>
      <c r="T56" s="217">
        <f t="shared" si="1"/>
        <v>22</v>
      </c>
      <c r="U56" s="208">
        <v>108</v>
      </c>
      <c r="V56" s="217">
        <f t="shared" si="2"/>
        <v>2376</v>
      </c>
      <c r="W56" s="208">
        <v>4</v>
      </c>
      <c r="X56" s="55" t="s">
        <v>46</v>
      </c>
      <c r="Y56" s="55" t="s">
        <v>55</v>
      </c>
      <c r="Z56" s="208" t="s">
        <v>97</v>
      </c>
      <c r="AA56" s="55" t="s">
        <v>86</v>
      </c>
      <c r="AB56" s="216" t="s">
        <v>341</v>
      </c>
    </row>
    <row r="57" spans="1:28" x14ac:dyDescent="0.15">
      <c r="A57" s="55" t="s">
        <v>56</v>
      </c>
      <c r="B57" s="55" t="s">
        <v>400</v>
      </c>
      <c r="C57" s="216">
        <v>2018</v>
      </c>
      <c r="D57" s="86" t="s">
        <v>401</v>
      </c>
      <c r="E57" s="216" t="s">
        <v>375</v>
      </c>
      <c r="F57" s="216" t="s">
        <v>413</v>
      </c>
      <c r="G57" s="55" t="s">
        <v>42</v>
      </c>
      <c r="H57" s="216" t="s">
        <v>157</v>
      </c>
      <c r="I57" s="55" t="s">
        <v>155</v>
      </c>
      <c r="J57" s="216" t="s">
        <v>38</v>
      </c>
      <c r="K57" s="216" t="s">
        <v>156</v>
      </c>
      <c r="L57" s="208">
        <v>2</v>
      </c>
      <c r="N57" s="208">
        <v>1</v>
      </c>
      <c r="O57" s="208">
        <v>0.6</v>
      </c>
      <c r="P57" s="208">
        <v>0.6</v>
      </c>
      <c r="Q57" s="217">
        <f t="shared" si="0"/>
        <v>0.6</v>
      </c>
      <c r="R57" s="208">
        <v>12.5</v>
      </c>
      <c r="S57" s="208">
        <v>166</v>
      </c>
      <c r="T57" s="217">
        <f t="shared" si="1"/>
        <v>22</v>
      </c>
      <c r="U57" s="208">
        <v>108</v>
      </c>
      <c r="V57" s="217">
        <f t="shared" si="2"/>
        <v>2376</v>
      </c>
      <c r="W57" s="208">
        <v>4</v>
      </c>
      <c r="X57" s="55" t="s">
        <v>46</v>
      </c>
      <c r="Y57" s="55" t="s">
        <v>55</v>
      </c>
      <c r="Z57" s="208" t="s">
        <v>97</v>
      </c>
      <c r="AA57" s="55" t="s">
        <v>86</v>
      </c>
      <c r="AB57" s="216" t="s">
        <v>341</v>
      </c>
    </row>
    <row r="58" spans="1:28" x14ac:dyDescent="0.15">
      <c r="A58" s="55" t="s">
        <v>56</v>
      </c>
      <c r="B58" s="55" t="s">
        <v>400</v>
      </c>
      <c r="C58" s="216">
        <v>2018</v>
      </c>
      <c r="D58" s="86" t="s">
        <v>401</v>
      </c>
      <c r="E58" s="216" t="s">
        <v>375</v>
      </c>
      <c r="F58" s="216" t="s">
        <v>413</v>
      </c>
      <c r="G58" s="55" t="s">
        <v>42</v>
      </c>
      <c r="H58" s="216" t="s">
        <v>157</v>
      </c>
      <c r="I58" s="55" t="s">
        <v>155</v>
      </c>
      <c r="J58" s="216" t="s">
        <v>38</v>
      </c>
      <c r="K58" s="216" t="s">
        <v>156</v>
      </c>
      <c r="L58" s="208">
        <v>3</v>
      </c>
      <c r="N58" s="208">
        <v>1</v>
      </c>
      <c r="O58" s="208">
        <v>0.6</v>
      </c>
      <c r="P58" s="208">
        <v>0.65</v>
      </c>
      <c r="Q58" s="217">
        <f t="shared" si="0"/>
        <v>0.625</v>
      </c>
      <c r="R58" s="208">
        <v>12.5</v>
      </c>
      <c r="S58" s="208">
        <v>140</v>
      </c>
      <c r="T58" s="217">
        <f t="shared" si="1"/>
        <v>22</v>
      </c>
      <c r="U58" s="208">
        <v>108</v>
      </c>
      <c r="V58" s="217">
        <f t="shared" si="2"/>
        <v>2376</v>
      </c>
      <c r="W58" s="208">
        <v>4</v>
      </c>
      <c r="X58" s="55" t="s">
        <v>46</v>
      </c>
      <c r="Y58" s="55" t="s">
        <v>55</v>
      </c>
      <c r="Z58" s="208" t="s">
        <v>97</v>
      </c>
      <c r="AA58" s="55" t="s">
        <v>86</v>
      </c>
      <c r="AB58" s="216" t="s">
        <v>341</v>
      </c>
    </row>
    <row r="59" spans="1:28" x14ac:dyDescent="0.15">
      <c r="A59" s="55" t="s">
        <v>56</v>
      </c>
      <c r="B59" s="55" t="s">
        <v>400</v>
      </c>
      <c r="C59" s="216">
        <v>2018</v>
      </c>
      <c r="D59" s="86" t="s">
        <v>401</v>
      </c>
      <c r="E59" s="216" t="s">
        <v>375</v>
      </c>
      <c r="F59" s="216" t="s">
        <v>413</v>
      </c>
      <c r="G59" s="55" t="s">
        <v>42</v>
      </c>
      <c r="H59" s="216" t="s">
        <v>157</v>
      </c>
      <c r="I59" s="55" t="s">
        <v>158</v>
      </c>
      <c r="J59" s="216" t="s">
        <v>38</v>
      </c>
      <c r="K59" s="216" t="s">
        <v>156</v>
      </c>
      <c r="L59" s="208">
        <v>1</v>
      </c>
      <c r="N59" s="208">
        <v>4</v>
      </c>
      <c r="O59" s="208">
        <v>0.6</v>
      </c>
      <c r="P59" s="208">
        <v>0.65</v>
      </c>
      <c r="Q59" s="217">
        <f t="shared" si="0"/>
        <v>0.625</v>
      </c>
      <c r="R59" s="208">
        <v>12.6</v>
      </c>
      <c r="S59" s="208">
        <v>104</v>
      </c>
      <c r="T59" s="217">
        <f t="shared" si="1"/>
        <v>33</v>
      </c>
      <c r="U59" s="208">
        <v>430</v>
      </c>
      <c r="V59" s="217">
        <f t="shared" si="2"/>
        <v>3547.5</v>
      </c>
      <c r="W59" s="208">
        <v>2</v>
      </c>
      <c r="X59" s="55" t="s">
        <v>46</v>
      </c>
      <c r="Y59" s="55" t="s">
        <v>55</v>
      </c>
      <c r="Z59" s="208" t="s">
        <v>97</v>
      </c>
      <c r="AA59" s="55" t="s">
        <v>86</v>
      </c>
      <c r="AB59" s="216" t="s">
        <v>341</v>
      </c>
    </row>
    <row r="60" spans="1:28" x14ac:dyDescent="0.15">
      <c r="A60" s="55" t="s">
        <v>56</v>
      </c>
      <c r="B60" s="55" t="s">
        <v>400</v>
      </c>
      <c r="C60" s="216">
        <v>2018</v>
      </c>
      <c r="D60" s="86" t="s">
        <v>401</v>
      </c>
      <c r="E60" s="216" t="s">
        <v>375</v>
      </c>
      <c r="F60" s="216" t="s">
        <v>413</v>
      </c>
      <c r="G60" s="55" t="s">
        <v>42</v>
      </c>
      <c r="H60" s="216" t="s">
        <v>157</v>
      </c>
      <c r="I60" s="55" t="s">
        <v>158</v>
      </c>
      <c r="J60" s="216" t="s">
        <v>38</v>
      </c>
      <c r="K60" s="216" t="s">
        <v>156</v>
      </c>
      <c r="L60" s="208">
        <v>2</v>
      </c>
      <c r="N60" s="208">
        <v>4</v>
      </c>
      <c r="O60" s="208">
        <v>0.6</v>
      </c>
      <c r="P60" s="208">
        <v>0.6</v>
      </c>
      <c r="Q60" s="217">
        <f t="shared" si="0"/>
        <v>0.6</v>
      </c>
      <c r="R60" s="208">
        <v>12</v>
      </c>
      <c r="S60" s="208">
        <v>93</v>
      </c>
      <c r="T60" s="217">
        <f t="shared" si="1"/>
        <v>36</v>
      </c>
      <c r="U60" s="208">
        <v>430</v>
      </c>
      <c r="V60" s="217">
        <f t="shared" si="2"/>
        <v>3870</v>
      </c>
      <c r="W60" s="208">
        <v>2</v>
      </c>
      <c r="X60" s="55" t="s">
        <v>46</v>
      </c>
      <c r="Y60" s="55" t="s">
        <v>55</v>
      </c>
      <c r="Z60" s="208" t="s">
        <v>97</v>
      </c>
      <c r="AA60" s="55" t="s">
        <v>86</v>
      </c>
      <c r="AB60" s="216" t="s">
        <v>341</v>
      </c>
    </row>
    <row r="61" spans="1:28" x14ac:dyDescent="0.15">
      <c r="A61" s="55" t="s">
        <v>56</v>
      </c>
      <c r="B61" s="55" t="s">
        <v>400</v>
      </c>
      <c r="C61" s="216">
        <v>2018</v>
      </c>
      <c r="D61" s="86" t="s">
        <v>401</v>
      </c>
      <c r="E61" s="216" t="s">
        <v>375</v>
      </c>
      <c r="F61" s="216" t="s">
        <v>413</v>
      </c>
      <c r="G61" s="55" t="s">
        <v>42</v>
      </c>
      <c r="H61" s="216" t="s">
        <v>157</v>
      </c>
      <c r="I61" s="55" t="s">
        <v>158</v>
      </c>
      <c r="J61" s="216" t="s">
        <v>38</v>
      </c>
      <c r="K61" s="216" t="s">
        <v>156</v>
      </c>
      <c r="L61" s="208">
        <v>3</v>
      </c>
      <c r="N61" s="208">
        <v>4</v>
      </c>
      <c r="O61" s="208">
        <v>0.7</v>
      </c>
      <c r="P61" s="208">
        <v>0.65</v>
      </c>
      <c r="Q61" s="217">
        <f t="shared" si="0"/>
        <v>0.67500000000000004</v>
      </c>
      <c r="R61" s="208">
        <v>11.9</v>
      </c>
      <c r="S61" s="208">
        <v>97</v>
      </c>
      <c r="T61" s="217">
        <f t="shared" si="1"/>
        <v>36</v>
      </c>
      <c r="U61" s="208">
        <v>430</v>
      </c>
      <c r="V61" s="217">
        <f t="shared" si="2"/>
        <v>3870</v>
      </c>
      <c r="W61" s="208">
        <v>2</v>
      </c>
      <c r="X61" s="55" t="s">
        <v>46</v>
      </c>
      <c r="Y61" s="55" t="s">
        <v>55</v>
      </c>
      <c r="Z61" s="208" t="s">
        <v>97</v>
      </c>
      <c r="AA61" s="55" t="s">
        <v>86</v>
      </c>
      <c r="AB61" s="216" t="s">
        <v>341</v>
      </c>
    </row>
    <row r="62" spans="1:28" x14ac:dyDescent="0.15">
      <c r="A62" s="55" t="s">
        <v>56</v>
      </c>
      <c r="B62" s="55" t="s">
        <v>400</v>
      </c>
      <c r="C62" s="216">
        <v>2018</v>
      </c>
      <c r="D62" s="86" t="s">
        <v>401</v>
      </c>
      <c r="E62" s="216" t="s">
        <v>375</v>
      </c>
      <c r="F62" s="216" t="s">
        <v>413</v>
      </c>
      <c r="G62" s="55" t="s">
        <v>42</v>
      </c>
      <c r="H62" s="216" t="s">
        <v>168</v>
      </c>
      <c r="I62" s="55" t="s">
        <v>155</v>
      </c>
      <c r="J62" s="216" t="s">
        <v>38</v>
      </c>
      <c r="K62" s="216" t="s">
        <v>156</v>
      </c>
      <c r="L62" s="208">
        <v>1</v>
      </c>
      <c r="N62" s="208">
        <v>1</v>
      </c>
      <c r="O62" s="208">
        <v>0.75</v>
      </c>
      <c r="P62" s="208">
        <v>0.8</v>
      </c>
      <c r="Q62" s="217">
        <f t="shared" si="0"/>
        <v>0.77500000000000002</v>
      </c>
      <c r="R62" s="208">
        <v>17.600000000000001</v>
      </c>
      <c r="S62" s="208">
        <v>140</v>
      </c>
      <c r="T62" s="217">
        <f t="shared" si="1"/>
        <v>22</v>
      </c>
      <c r="U62" s="208">
        <v>108</v>
      </c>
      <c r="V62" s="217">
        <f t="shared" si="2"/>
        <v>2376</v>
      </c>
      <c r="W62" s="208">
        <v>4</v>
      </c>
      <c r="X62" s="55" t="s">
        <v>46</v>
      </c>
      <c r="Y62" s="55" t="s">
        <v>55</v>
      </c>
      <c r="Z62" s="208" t="s">
        <v>97</v>
      </c>
      <c r="AA62" s="55" t="s">
        <v>86</v>
      </c>
      <c r="AB62" s="216" t="s">
        <v>341</v>
      </c>
    </row>
    <row r="63" spans="1:28" x14ac:dyDescent="0.15">
      <c r="A63" s="55" t="s">
        <v>56</v>
      </c>
      <c r="B63" s="55" t="s">
        <v>400</v>
      </c>
      <c r="C63" s="216">
        <v>2018</v>
      </c>
      <c r="D63" s="86" t="s">
        <v>401</v>
      </c>
      <c r="E63" s="216" t="s">
        <v>375</v>
      </c>
      <c r="F63" s="216" t="s">
        <v>413</v>
      </c>
      <c r="G63" s="55" t="s">
        <v>42</v>
      </c>
      <c r="H63" s="216" t="s">
        <v>168</v>
      </c>
      <c r="I63" s="55" t="s">
        <v>155</v>
      </c>
      <c r="J63" s="216" t="s">
        <v>38</v>
      </c>
      <c r="K63" s="216" t="s">
        <v>156</v>
      </c>
      <c r="L63" s="208">
        <v>2</v>
      </c>
      <c r="N63" s="208">
        <v>1</v>
      </c>
      <c r="O63" s="208">
        <v>0.75</v>
      </c>
      <c r="P63" s="208">
        <v>0.85</v>
      </c>
      <c r="Q63" s="217">
        <f t="shared" si="0"/>
        <v>0.8</v>
      </c>
      <c r="R63" s="208">
        <v>16.7</v>
      </c>
      <c r="S63" s="208">
        <v>142</v>
      </c>
      <c r="T63" s="217">
        <f t="shared" si="1"/>
        <v>22</v>
      </c>
      <c r="U63" s="208">
        <v>108</v>
      </c>
      <c r="V63" s="217">
        <f t="shared" si="2"/>
        <v>2376</v>
      </c>
      <c r="W63" s="208">
        <v>4</v>
      </c>
      <c r="X63" s="55" t="s">
        <v>46</v>
      </c>
      <c r="Y63" s="55" t="s">
        <v>55</v>
      </c>
      <c r="Z63" s="208" t="s">
        <v>97</v>
      </c>
      <c r="AA63" s="55" t="s">
        <v>86</v>
      </c>
      <c r="AB63" s="216" t="s">
        <v>341</v>
      </c>
    </row>
    <row r="64" spans="1:28" x14ac:dyDescent="0.15">
      <c r="A64" s="55" t="s">
        <v>56</v>
      </c>
      <c r="B64" s="55" t="s">
        <v>400</v>
      </c>
      <c r="C64" s="216">
        <v>2018</v>
      </c>
      <c r="D64" s="86" t="s">
        <v>401</v>
      </c>
      <c r="E64" s="216" t="s">
        <v>375</v>
      </c>
      <c r="F64" s="216" t="s">
        <v>413</v>
      </c>
      <c r="G64" s="55" t="s">
        <v>42</v>
      </c>
      <c r="H64" s="216" t="s">
        <v>168</v>
      </c>
      <c r="I64" s="55" t="s">
        <v>155</v>
      </c>
      <c r="J64" s="216" t="s">
        <v>38</v>
      </c>
      <c r="K64" s="216" t="s">
        <v>156</v>
      </c>
      <c r="L64" s="208">
        <v>3</v>
      </c>
      <c r="N64" s="208">
        <v>1</v>
      </c>
      <c r="O64" s="208">
        <v>0.8</v>
      </c>
      <c r="P64" s="208">
        <v>0.85</v>
      </c>
      <c r="Q64" s="217">
        <f t="shared" si="0"/>
        <v>0.82499999999999996</v>
      </c>
      <c r="R64" s="208">
        <v>17.399999999999999</v>
      </c>
      <c r="S64" s="208">
        <v>144</v>
      </c>
      <c r="T64" s="217">
        <f t="shared" si="1"/>
        <v>22</v>
      </c>
      <c r="U64" s="208">
        <v>108</v>
      </c>
      <c r="V64" s="217">
        <f t="shared" si="2"/>
        <v>2376</v>
      </c>
      <c r="W64" s="208">
        <v>4</v>
      </c>
      <c r="X64" s="55" t="s">
        <v>46</v>
      </c>
      <c r="Y64" s="55" t="s">
        <v>55</v>
      </c>
      <c r="Z64" s="208" t="s">
        <v>97</v>
      </c>
      <c r="AA64" s="55" t="s">
        <v>86</v>
      </c>
      <c r="AB64" s="216" t="s">
        <v>341</v>
      </c>
    </row>
    <row r="65" spans="1:28" x14ac:dyDescent="0.15">
      <c r="A65" s="55" t="s">
        <v>56</v>
      </c>
      <c r="B65" s="55" t="s">
        <v>400</v>
      </c>
      <c r="C65" s="216">
        <v>2018</v>
      </c>
      <c r="D65" s="86" t="s">
        <v>401</v>
      </c>
      <c r="E65" s="216" t="s">
        <v>418</v>
      </c>
      <c r="F65" s="216" t="s">
        <v>413</v>
      </c>
      <c r="G65" s="55" t="s">
        <v>42</v>
      </c>
      <c r="H65" s="216" t="s">
        <v>216</v>
      </c>
      <c r="I65" s="55" t="s">
        <v>155</v>
      </c>
      <c r="J65" s="216" t="s">
        <v>38</v>
      </c>
      <c r="K65" s="216" t="s">
        <v>156</v>
      </c>
      <c r="L65" s="208">
        <v>1</v>
      </c>
      <c r="N65" s="208">
        <v>10</v>
      </c>
      <c r="O65" s="208">
        <v>0.6</v>
      </c>
      <c r="P65" s="208">
        <v>0.55000000000000004</v>
      </c>
      <c r="Q65" s="217">
        <f t="shared" si="0"/>
        <v>0.57499999999999996</v>
      </c>
      <c r="R65" s="208">
        <v>16</v>
      </c>
      <c r="S65" s="208">
        <v>102</v>
      </c>
      <c r="T65" s="217">
        <f t="shared" si="1"/>
        <v>33</v>
      </c>
      <c r="U65" s="208">
        <v>734</v>
      </c>
      <c r="V65" s="217">
        <f t="shared" si="2"/>
        <v>2422.2000000000003</v>
      </c>
      <c r="W65" s="208">
        <v>5</v>
      </c>
      <c r="X65" s="55" t="s">
        <v>46</v>
      </c>
      <c r="Y65" s="55" t="s">
        <v>64</v>
      </c>
      <c r="Z65" s="208" t="s">
        <v>97</v>
      </c>
      <c r="AA65" s="55" t="s">
        <v>55</v>
      </c>
      <c r="AB65" s="216" t="s">
        <v>341</v>
      </c>
    </row>
    <row r="66" spans="1:28" x14ac:dyDescent="0.15">
      <c r="A66" s="55" t="s">
        <v>56</v>
      </c>
      <c r="B66" s="55" t="s">
        <v>400</v>
      </c>
      <c r="C66" s="216">
        <v>2018</v>
      </c>
      <c r="D66" s="86" t="s">
        <v>401</v>
      </c>
      <c r="E66" s="216" t="s">
        <v>418</v>
      </c>
      <c r="F66" s="216" t="s">
        <v>413</v>
      </c>
      <c r="G66" s="55" t="s">
        <v>42</v>
      </c>
      <c r="H66" s="216" t="s">
        <v>216</v>
      </c>
      <c r="I66" s="55" t="s">
        <v>155</v>
      </c>
      <c r="J66" s="216" t="s">
        <v>38</v>
      </c>
      <c r="K66" s="216" t="s">
        <v>156</v>
      </c>
      <c r="L66" s="208">
        <v>2</v>
      </c>
      <c r="N66" s="208">
        <v>10</v>
      </c>
      <c r="O66" s="208">
        <v>0.6</v>
      </c>
      <c r="P66" s="208">
        <v>0.6</v>
      </c>
      <c r="Q66" s="217">
        <f t="shared" si="0"/>
        <v>0.6</v>
      </c>
      <c r="R66" s="208">
        <v>16.8</v>
      </c>
      <c r="S66" s="208">
        <v>97</v>
      </c>
      <c r="T66" s="217">
        <f t="shared" si="1"/>
        <v>36</v>
      </c>
      <c r="U66" s="208">
        <v>734</v>
      </c>
      <c r="V66" s="217">
        <f t="shared" si="2"/>
        <v>2642.4</v>
      </c>
      <c r="W66" s="208">
        <v>5</v>
      </c>
      <c r="X66" s="55" t="s">
        <v>46</v>
      </c>
      <c r="Y66" s="55" t="s">
        <v>64</v>
      </c>
      <c r="Z66" s="208" t="s">
        <v>97</v>
      </c>
      <c r="AA66" s="55" t="s">
        <v>55</v>
      </c>
      <c r="AB66" s="216" t="s">
        <v>341</v>
      </c>
    </row>
    <row r="67" spans="1:28" x14ac:dyDescent="0.15">
      <c r="A67" s="55" t="s">
        <v>56</v>
      </c>
      <c r="B67" s="55" t="s">
        <v>400</v>
      </c>
      <c r="C67" s="216">
        <v>2018</v>
      </c>
      <c r="D67" s="86" t="s">
        <v>401</v>
      </c>
      <c r="E67" s="216" t="s">
        <v>418</v>
      </c>
      <c r="F67" s="216" t="s">
        <v>413</v>
      </c>
      <c r="G67" s="55" t="s">
        <v>42</v>
      </c>
      <c r="H67" s="216" t="s">
        <v>216</v>
      </c>
      <c r="I67" s="55" t="s">
        <v>155</v>
      </c>
      <c r="J67" s="216" t="s">
        <v>38</v>
      </c>
      <c r="K67" s="216" t="s">
        <v>156</v>
      </c>
      <c r="L67" s="208">
        <v>3</v>
      </c>
      <c r="N67" s="208">
        <v>10</v>
      </c>
      <c r="O67" s="208">
        <v>0.6</v>
      </c>
      <c r="P67" s="208">
        <v>0.6</v>
      </c>
      <c r="Q67" s="217">
        <f t="shared" si="0"/>
        <v>0.6</v>
      </c>
      <c r="R67" s="208">
        <v>17.600000000000001</v>
      </c>
      <c r="S67" s="208">
        <v>95</v>
      </c>
      <c r="T67" s="217">
        <f t="shared" si="1"/>
        <v>36</v>
      </c>
      <c r="U67" s="208">
        <v>734</v>
      </c>
      <c r="V67" s="217">
        <f t="shared" si="2"/>
        <v>2642.4</v>
      </c>
      <c r="W67" s="208">
        <v>5</v>
      </c>
      <c r="X67" s="55" t="s">
        <v>46</v>
      </c>
      <c r="Y67" s="55" t="s">
        <v>64</v>
      </c>
      <c r="Z67" s="208" t="s">
        <v>97</v>
      </c>
      <c r="AA67" s="55" t="s">
        <v>55</v>
      </c>
      <c r="AB67" s="216" t="s">
        <v>341</v>
      </c>
    </row>
    <row r="68" spans="1:28" x14ac:dyDescent="0.15">
      <c r="A68" s="55" t="s">
        <v>56</v>
      </c>
      <c r="B68" s="55" t="s">
        <v>400</v>
      </c>
      <c r="C68" s="216">
        <v>2018</v>
      </c>
      <c r="D68" s="86" t="s">
        <v>401</v>
      </c>
      <c r="E68" s="216" t="s">
        <v>418</v>
      </c>
      <c r="F68" s="216" t="s">
        <v>413</v>
      </c>
      <c r="G68" s="55" t="s">
        <v>42</v>
      </c>
      <c r="H68" s="216" t="s">
        <v>168</v>
      </c>
      <c r="I68" s="55" t="s">
        <v>155</v>
      </c>
      <c r="J68" s="216" t="s">
        <v>38</v>
      </c>
      <c r="K68" s="216" t="s">
        <v>156</v>
      </c>
      <c r="L68" s="208">
        <v>1</v>
      </c>
      <c r="N68" s="208">
        <v>5</v>
      </c>
      <c r="O68" s="208">
        <v>0.8</v>
      </c>
      <c r="P68" s="208">
        <v>0.8</v>
      </c>
      <c r="Q68" s="217">
        <f t="shared" si="0"/>
        <v>0.8</v>
      </c>
      <c r="R68" s="208">
        <v>16.600000000000001</v>
      </c>
      <c r="S68" s="208">
        <v>125</v>
      </c>
      <c r="T68" s="217">
        <f t="shared" si="1"/>
        <v>27</v>
      </c>
      <c r="U68" s="208">
        <v>646</v>
      </c>
      <c r="V68" s="217">
        <f t="shared" si="2"/>
        <v>3488.3999999999996</v>
      </c>
      <c r="W68" s="208">
        <v>5</v>
      </c>
      <c r="X68" s="55" t="s">
        <v>46</v>
      </c>
      <c r="Y68" s="55" t="s">
        <v>64</v>
      </c>
      <c r="Z68" s="208" t="s">
        <v>97</v>
      </c>
      <c r="AA68" s="55" t="s">
        <v>55</v>
      </c>
      <c r="AB68" s="216" t="s">
        <v>341</v>
      </c>
    </row>
    <row r="69" spans="1:28" x14ac:dyDescent="0.15">
      <c r="A69" s="55" t="s">
        <v>56</v>
      </c>
      <c r="B69" s="55" t="s">
        <v>400</v>
      </c>
      <c r="C69" s="216">
        <v>2018</v>
      </c>
      <c r="D69" s="86" t="s">
        <v>401</v>
      </c>
      <c r="E69" s="216" t="s">
        <v>418</v>
      </c>
      <c r="F69" s="216" t="s">
        <v>413</v>
      </c>
      <c r="G69" s="55" t="s">
        <v>42</v>
      </c>
      <c r="H69" s="216" t="s">
        <v>168</v>
      </c>
      <c r="I69" s="55" t="s">
        <v>155</v>
      </c>
      <c r="J69" s="216" t="s">
        <v>38</v>
      </c>
      <c r="K69" s="216" t="s">
        <v>156</v>
      </c>
      <c r="L69" s="208">
        <v>2</v>
      </c>
      <c r="N69" s="208">
        <v>5</v>
      </c>
      <c r="O69" s="208">
        <v>0.9</v>
      </c>
      <c r="P69" s="208">
        <v>0.85</v>
      </c>
      <c r="Q69" s="217">
        <f t="shared" ref="Q69:Q80" si="3">IF(OR(O69="",P69=""),"",AVERAGE(O69,P69))</f>
        <v>0.875</v>
      </c>
      <c r="R69" s="208">
        <v>16.7</v>
      </c>
      <c r="S69" s="208">
        <v>131</v>
      </c>
      <c r="T69" s="217">
        <f t="shared" ref="T69:T80" si="4">IF(H69="","",IF(OR(H69="GREEN",H69="GK"),IF(S69&gt;=$AX$2,VLOOKUP(S69,$AX$2:$AY$10,2,1),""),IF(S69&gt;=$AZ$2,VLOOKUP(S69,$AZ$2:$BA$10,2,1),"")))</f>
        <v>25</v>
      </c>
      <c r="U69" s="208">
        <v>646</v>
      </c>
      <c r="V69" s="217">
        <f t="shared" ref="V69:V80" si="5">IF(OR(N69="",U69="",T69=""),"",U69/N69*T69)</f>
        <v>3229.9999999999995</v>
      </c>
      <c r="W69" s="208">
        <v>5</v>
      </c>
      <c r="X69" s="55" t="s">
        <v>46</v>
      </c>
      <c r="Y69" s="55" t="s">
        <v>64</v>
      </c>
      <c r="Z69" s="208" t="s">
        <v>97</v>
      </c>
      <c r="AA69" s="55" t="s">
        <v>55</v>
      </c>
      <c r="AB69" s="216" t="s">
        <v>341</v>
      </c>
    </row>
    <row r="70" spans="1:28" x14ac:dyDescent="0.15">
      <c r="A70" s="55" t="s">
        <v>56</v>
      </c>
      <c r="B70" s="55" t="s">
        <v>400</v>
      </c>
      <c r="C70" s="216">
        <v>2018</v>
      </c>
      <c r="D70" s="86" t="s">
        <v>401</v>
      </c>
      <c r="E70" s="216" t="s">
        <v>418</v>
      </c>
      <c r="F70" s="216" t="s">
        <v>413</v>
      </c>
      <c r="G70" s="55" t="s">
        <v>42</v>
      </c>
      <c r="H70" s="216" t="s">
        <v>168</v>
      </c>
      <c r="I70" s="55" t="s">
        <v>155</v>
      </c>
      <c r="J70" s="216" t="s">
        <v>38</v>
      </c>
      <c r="K70" s="216" t="s">
        <v>156</v>
      </c>
      <c r="L70" s="208">
        <v>3</v>
      </c>
      <c r="N70" s="208">
        <v>5</v>
      </c>
      <c r="O70" s="208">
        <v>0.7</v>
      </c>
      <c r="P70" s="208">
        <v>0.75</v>
      </c>
      <c r="Q70" s="217">
        <f t="shared" si="3"/>
        <v>0.72499999999999998</v>
      </c>
      <c r="R70" s="208">
        <v>14.2</v>
      </c>
      <c r="S70" s="208">
        <v>127</v>
      </c>
      <c r="T70" s="217">
        <f t="shared" si="4"/>
        <v>27</v>
      </c>
      <c r="U70" s="208">
        <v>646</v>
      </c>
      <c r="V70" s="217">
        <f t="shared" si="5"/>
        <v>3488.3999999999996</v>
      </c>
      <c r="W70" s="208">
        <v>5</v>
      </c>
      <c r="X70" s="55" t="s">
        <v>46</v>
      </c>
      <c r="Y70" s="55" t="s">
        <v>64</v>
      </c>
      <c r="Z70" s="208" t="s">
        <v>97</v>
      </c>
      <c r="AA70" s="55" t="s">
        <v>55</v>
      </c>
      <c r="AB70" s="216" t="s">
        <v>341</v>
      </c>
    </row>
    <row r="71" spans="1:28" x14ac:dyDescent="0.15">
      <c r="A71" s="55"/>
      <c r="B71" s="55"/>
      <c r="C71" s="216"/>
      <c r="D71" s="86"/>
      <c r="E71" s="216"/>
      <c r="F71" s="216"/>
      <c r="G71" s="55"/>
      <c r="H71" s="216"/>
      <c r="I71" s="55"/>
      <c r="J71" s="216"/>
      <c r="K71" s="216"/>
      <c r="X71" s="55"/>
      <c r="Y71" s="55"/>
      <c r="AA71" s="55"/>
    </row>
    <row r="72" spans="1:28" x14ac:dyDescent="0.15">
      <c r="A72" s="55"/>
      <c r="B72" s="55"/>
      <c r="C72" s="216"/>
      <c r="D72" s="86"/>
      <c r="E72" s="216"/>
      <c r="F72" s="216"/>
      <c r="G72" s="55"/>
      <c r="H72" s="216"/>
      <c r="I72" s="55"/>
      <c r="J72" s="216"/>
      <c r="K72" s="216"/>
      <c r="X72" s="55"/>
      <c r="Y72" s="55"/>
      <c r="AA72" s="55"/>
    </row>
    <row r="73" spans="1:28" x14ac:dyDescent="0.15">
      <c r="A73" s="55"/>
      <c r="B73" s="55"/>
      <c r="C73" s="216"/>
      <c r="D73" s="86"/>
      <c r="E73" s="216"/>
      <c r="F73" s="216"/>
      <c r="G73" s="55"/>
      <c r="H73" s="216"/>
      <c r="I73" s="55"/>
      <c r="J73" s="216"/>
      <c r="K73" s="216"/>
      <c r="X73" s="55"/>
      <c r="Y73" s="55"/>
      <c r="AA73" s="55"/>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N38" sqref="N38"/>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181</v>
      </c>
      <c r="C1" s="90" t="s">
        <v>182</v>
      </c>
      <c r="D1" s="91" t="s">
        <v>3</v>
      </c>
      <c r="E1" s="92" t="s">
        <v>4</v>
      </c>
      <c r="F1" s="92" t="s">
        <v>5</v>
      </c>
      <c r="G1" s="92" t="s">
        <v>6</v>
      </c>
      <c r="H1" s="92" t="s">
        <v>7</v>
      </c>
      <c r="I1" s="92" t="s">
        <v>8</v>
      </c>
      <c r="J1" s="92" t="s">
        <v>9</v>
      </c>
      <c r="K1" s="92" t="s">
        <v>10</v>
      </c>
      <c r="L1" s="91" t="s">
        <v>183</v>
      </c>
      <c r="M1" s="91" t="s">
        <v>184</v>
      </c>
      <c r="N1" s="91" t="s">
        <v>13</v>
      </c>
      <c r="O1" s="91" t="s">
        <v>185</v>
      </c>
      <c r="P1" s="91" t="s">
        <v>186</v>
      </c>
      <c r="Q1" s="93" t="s">
        <v>187</v>
      </c>
      <c r="R1" s="91" t="s">
        <v>188</v>
      </c>
      <c r="S1" s="91" t="s">
        <v>189</v>
      </c>
      <c r="T1" s="93" t="s">
        <v>19</v>
      </c>
      <c r="U1" s="94" t="s">
        <v>108</v>
      </c>
      <c r="V1" s="95" t="s">
        <v>20</v>
      </c>
      <c r="W1" s="91" t="s">
        <v>190</v>
      </c>
      <c r="X1" s="92" t="s">
        <v>22</v>
      </c>
      <c r="Y1" s="92" t="s">
        <v>23</v>
      </c>
      <c r="Z1" s="92" t="s">
        <v>24</v>
      </c>
      <c r="AA1" s="96" t="s">
        <v>25</v>
      </c>
      <c r="AB1" s="97" t="s">
        <v>191</v>
      </c>
      <c r="AE1" s="99" t="s">
        <v>0</v>
      </c>
      <c r="AF1" s="100"/>
      <c r="AG1" s="99" t="s">
        <v>4</v>
      </c>
      <c r="AH1" s="99" t="s">
        <v>5</v>
      </c>
      <c r="AI1" s="100"/>
      <c r="AJ1" s="99" t="s">
        <v>6</v>
      </c>
      <c r="AK1" s="100"/>
      <c r="AL1" s="101" t="s">
        <v>7</v>
      </c>
      <c r="AM1" s="100"/>
      <c r="AN1" s="101" t="s">
        <v>8</v>
      </c>
      <c r="AO1" s="100"/>
      <c r="AP1" s="101" t="s">
        <v>27</v>
      </c>
      <c r="AQ1" s="100"/>
      <c r="AR1" s="101" t="s">
        <v>10</v>
      </c>
      <c r="AS1" s="100"/>
      <c r="AT1" s="102" t="s">
        <v>192</v>
      </c>
      <c r="AU1" s="100"/>
      <c r="AV1" s="101" t="s">
        <v>29</v>
      </c>
      <c r="AX1" s="103" t="s">
        <v>193</v>
      </c>
      <c r="AY1" s="104" t="s">
        <v>194</v>
      </c>
      <c r="AZ1" s="104" t="s">
        <v>195</v>
      </c>
      <c r="BA1" s="105" t="s">
        <v>196</v>
      </c>
    </row>
    <row r="2" spans="1:53" s="246" customFormat="1" x14ac:dyDescent="0.15">
      <c r="A2" s="246" t="s">
        <v>51</v>
      </c>
      <c r="B2" s="246" t="s">
        <v>339</v>
      </c>
      <c r="C2" s="246">
        <v>2018</v>
      </c>
      <c r="D2" s="106" t="s">
        <v>419</v>
      </c>
      <c r="E2" s="246" t="s">
        <v>197</v>
      </c>
      <c r="F2" s="246" t="s">
        <v>198</v>
      </c>
      <c r="G2" s="246" t="s">
        <v>42</v>
      </c>
      <c r="H2" s="246" t="s">
        <v>157</v>
      </c>
      <c r="I2" s="246" t="s">
        <v>155</v>
      </c>
      <c r="J2" s="246" t="s">
        <v>38</v>
      </c>
      <c r="K2" s="246" t="s">
        <v>156</v>
      </c>
      <c r="L2" s="246">
        <v>1</v>
      </c>
      <c r="N2" s="246">
        <v>1</v>
      </c>
      <c r="O2" s="246">
        <v>0.75</v>
      </c>
      <c r="P2" s="246">
        <v>0.75</v>
      </c>
      <c r="Q2" s="107">
        <f t="shared" ref="Q2:Q65" si="0">IF(OR(O2="",P2=""),"",AVERAGE(O2,P2))</f>
        <v>0.75</v>
      </c>
      <c r="R2" s="246">
        <v>15.1</v>
      </c>
      <c r="S2" s="246">
        <v>134</v>
      </c>
      <c r="T2" s="108">
        <f t="shared" ref="T2:T65" si="1">IF(H2="","",IF(OR(H2="GREEN",H2="GK"),IF(S2&gt;=$AX$2,VLOOKUP(S2,$AX$2:$AY$12,2,1),""),IF(S2&gt;=$AZ$2,VLOOKUP(S2,$AZ$2:$BA$12,2,1),"")))</f>
        <v>25</v>
      </c>
      <c r="U2" s="246">
        <v>98</v>
      </c>
      <c r="V2" s="109">
        <f t="shared" ref="V2:V65" si="2">IF(OR(N2="",U2="",T2=""),"",U2/N2*T2)</f>
        <v>2450</v>
      </c>
      <c r="W2" s="246">
        <v>24</v>
      </c>
      <c r="X2" s="246" t="s">
        <v>46</v>
      </c>
      <c r="Y2" s="246" t="s">
        <v>55</v>
      </c>
      <c r="Z2" s="246" t="s">
        <v>97</v>
      </c>
      <c r="AA2" s="246" t="s">
        <v>69</v>
      </c>
      <c r="AB2" s="246" t="s">
        <v>341</v>
      </c>
      <c r="AE2" s="110" t="s">
        <v>35</v>
      </c>
      <c r="AG2" s="111" t="s">
        <v>175</v>
      </c>
      <c r="AH2" s="111" t="s">
        <v>199</v>
      </c>
      <c r="AJ2" s="111" t="s">
        <v>36</v>
      </c>
      <c r="AL2" s="111" t="s">
        <v>200</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339</v>
      </c>
      <c r="C3" s="246">
        <v>2018</v>
      </c>
      <c r="D3" s="106" t="s">
        <v>419</v>
      </c>
      <c r="E3" s="246" t="s">
        <v>197</v>
      </c>
      <c r="F3" s="246" t="s">
        <v>198</v>
      </c>
      <c r="G3" s="246" t="s">
        <v>42</v>
      </c>
      <c r="H3" s="246" t="s">
        <v>157</v>
      </c>
      <c r="I3" s="246" t="s">
        <v>155</v>
      </c>
      <c r="J3" s="246" t="s">
        <v>38</v>
      </c>
      <c r="K3" s="246" t="s">
        <v>156</v>
      </c>
      <c r="L3" s="246">
        <v>2</v>
      </c>
      <c r="M3" s="246"/>
      <c r="N3" s="246">
        <v>1</v>
      </c>
      <c r="O3" s="246">
        <v>0.8</v>
      </c>
      <c r="P3" s="246">
        <v>0.75</v>
      </c>
      <c r="Q3" s="107">
        <f t="shared" si="0"/>
        <v>0.77500000000000002</v>
      </c>
      <c r="R3" s="246">
        <v>13.1</v>
      </c>
      <c r="S3" s="246">
        <v>126</v>
      </c>
      <c r="T3" s="108">
        <f t="shared" si="1"/>
        <v>27</v>
      </c>
      <c r="U3" s="246">
        <v>98</v>
      </c>
      <c r="V3" s="109">
        <f t="shared" si="2"/>
        <v>2646</v>
      </c>
      <c r="W3" s="246">
        <v>24</v>
      </c>
      <c r="X3" s="246" t="s">
        <v>46</v>
      </c>
      <c r="Y3" s="246" t="s">
        <v>55</v>
      </c>
      <c r="Z3" s="246" t="s">
        <v>97</v>
      </c>
      <c r="AA3" s="246" t="s">
        <v>69</v>
      </c>
      <c r="AB3" s="246" t="s">
        <v>341</v>
      </c>
      <c r="AE3" s="116" t="s">
        <v>41</v>
      </c>
      <c r="AG3" s="111" t="s">
        <v>201</v>
      </c>
      <c r="AH3" s="111" t="s">
        <v>202</v>
      </c>
      <c r="AJ3" s="117" t="s">
        <v>42</v>
      </c>
      <c r="AL3" s="117" t="s">
        <v>203</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339</v>
      </c>
      <c r="C4" s="246">
        <v>2018</v>
      </c>
      <c r="D4" s="106" t="s">
        <v>419</v>
      </c>
      <c r="E4" s="246" t="s">
        <v>197</v>
      </c>
      <c r="F4" s="246" t="s">
        <v>198</v>
      </c>
      <c r="G4" s="246" t="s">
        <v>42</v>
      </c>
      <c r="H4" s="246" t="s">
        <v>157</v>
      </c>
      <c r="I4" s="246" t="s">
        <v>155</v>
      </c>
      <c r="J4" s="246" t="s">
        <v>38</v>
      </c>
      <c r="K4" s="246" t="s">
        <v>156</v>
      </c>
      <c r="L4" s="246">
        <v>3</v>
      </c>
      <c r="M4" s="246"/>
      <c r="N4" s="246">
        <v>1</v>
      </c>
      <c r="O4" s="246">
        <v>0.8</v>
      </c>
      <c r="P4" s="246">
        <v>0.7</v>
      </c>
      <c r="Q4" s="107">
        <f t="shared" si="0"/>
        <v>0.75</v>
      </c>
      <c r="R4" s="246">
        <v>13.7</v>
      </c>
      <c r="S4" s="246">
        <v>128</v>
      </c>
      <c r="T4" s="108">
        <f t="shared" si="1"/>
        <v>27</v>
      </c>
      <c r="U4" s="246">
        <v>98</v>
      </c>
      <c r="V4" s="109">
        <f t="shared" si="2"/>
        <v>2646</v>
      </c>
      <c r="W4" s="246">
        <v>24</v>
      </c>
      <c r="X4" s="246" t="s">
        <v>46</v>
      </c>
      <c r="Y4" s="246" t="s">
        <v>55</v>
      </c>
      <c r="Z4" s="246" t="s">
        <v>97</v>
      </c>
      <c r="AA4" s="246" t="s">
        <v>69</v>
      </c>
      <c r="AB4" s="246" t="s">
        <v>341</v>
      </c>
      <c r="AE4" s="116" t="s">
        <v>34</v>
      </c>
      <c r="AG4" s="111" t="s">
        <v>204</v>
      </c>
      <c r="AH4" s="111" t="s">
        <v>205</v>
      </c>
      <c r="AJ4" s="122" t="s">
        <v>48</v>
      </c>
      <c r="AL4" s="122" t="s">
        <v>206</v>
      </c>
      <c r="AN4" s="123" t="s">
        <v>207</v>
      </c>
      <c r="AP4" s="117" t="s">
        <v>208</v>
      </c>
      <c r="AR4" s="118" t="s">
        <v>209</v>
      </c>
      <c r="AT4" s="123"/>
      <c r="AV4" s="117" t="s">
        <v>50</v>
      </c>
      <c r="AX4" s="119">
        <v>75</v>
      </c>
      <c r="AY4" s="120">
        <v>42</v>
      </c>
      <c r="AZ4" s="120">
        <v>76</v>
      </c>
      <c r="BA4" s="121">
        <v>39</v>
      </c>
    </row>
    <row r="5" spans="1:53" s="115" customFormat="1" x14ac:dyDescent="0.15">
      <c r="A5" s="246" t="s">
        <v>51</v>
      </c>
      <c r="B5" s="246" t="s">
        <v>339</v>
      </c>
      <c r="C5" s="246">
        <v>2018</v>
      </c>
      <c r="D5" s="106" t="s">
        <v>419</v>
      </c>
      <c r="E5" s="246" t="s">
        <v>197</v>
      </c>
      <c r="F5" s="246" t="s">
        <v>198</v>
      </c>
      <c r="G5" s="246" t="s">
        <v>42</v>
      </c>
      <c r="H5" s="246" t="s">
        <v>216</v>
      </c>
      <c r="I5" s="246" t="s">
        <v>155</v>
      </c>
      <c r="J5" s="246" t="s">
        <v>38</v>
      </c>
      <c r="K5" s="246" t="s">
        <v>156</v>
      </c>
      <c r="L5" s="246">
        <v>1</v>
      </c>
      <c r="M5" s="246"/>
      <c r="N5" s="246">
        <v>4</v>
      </c>
      <c r="O5" s="246">
        <v>0.8</v>
      </c>
      <c r="P5" s="246">
        <v>0.75</v>
      </c>
      <c r="Q5" s="107">
        <f t="shared" si="0"/>
        <v>0.77500000000000002</v>
      </c>
      <c r="R5" s="246">
        <v>17.899999999999999</v>
      </c>
      <c r="S5" s="246">
        <v>98</v>
      </c>
      <c r="T5" s="108">
        <f t="shared" si="1"/>
        <v>36</v>
      </c>
      <c r="U5" s="246">
        <v>298</v>
      </c>
      <c r="V5" s="109">
        <f t="shared" si="2"/>
        <v>2682</v>
      </c>
      <c r="W5" s="246">
        <v>24</v>
      </c>
      <c r="X5" s="246" t="s">
        <v>46</v>
      </c>
      <c r="Y5" s="246" t="s">
        <v>55</v>
      </c>
      <c r="Z5" s="246" t="s">
        <v>97</v>
      </c>
      <c r="AA5" s="246" t="s">
        <v>69</v>
      </c>
      <c r="AB5" s="246" t="s">
        <v>341</v>
      </c>
      <c r="AE5" s="116" t="s">
        <v>51</v>
      </c>
      <c r="AG5" s="111" t="s">
        <v>210</v>
      </c>
      <c r="AH5" s="111" t="s">
        <v>198</v>
      </c>
      <c r="AJ5" s="123"/>
      <c r="AL5" s="124" t="s">
        <v>157</v>
      </c>
      <c r="AN5" s="124" t="s">
        <v>155</v>
      </c>
      <c r="AP5" s="117" t="s">
        <v>211</v>
      </c>
      <c r="AR5" s="118" t="s">
        <v>54</v>
      </c>
      <c r="AV5" s="117" t="s">
        <v>55</v>
      </c>
      <c r="AX5" s="119">
        <v>84</v>
      </c>
      <c r="AY5" s="120">
        <v>39</v>
      </c>
      <c r="AZ5" s="120">
        <v>84</v>
      </c>
      <c r="BA5" s="121">
        <v>36</v>
      </c>
    </row>
    <row r="6" spans="1:53" s="115" customFormat="1" x14ac:dyDescent="0.15">
      <c r="A6" s="246" t="s">
        <v>51</v>
      </c>
      <c r="B6" s="246" t="s">
        <v>339</v>
      </c>
      <c r="C6" s="246">
        <v>2018</v>
      </c>
      <c r="D6" s="106" t="s">
        <v>419</v>
      </c>
      <c r="E6" s="246" t="s">
        <v>197</v>
      </c>
      <c r="F6" s="246" t="s">
        <v>198</v>
      </c>
      <c r="G6" s="246" t="s">
        <v>42</v>
      </c>
      <c r="H6" s="246" t="s">
        <v>216</v>
      </c>
      <c r="I6" s="246" t="s">
        <v>155</v>
      </c>
      <c r="J6" s="246" t="s">
        <v>38</v>
      </c>
      <c r="K6" s="246" t="s">
        <v>156</v>
      </c>
      <c r="L6" s="246">
        <v>2</v>
      </c>
      <c r="M6" s="246"/>
      <c r="N6" s="246">
        <v>4</v>
      </c>
      <c r="O6" s="246">
        <v>0.8</v>
      </c>
      <c r="P6" s="246">
        <v>0.85</v>
      </c>
      <c r="Q6" s="107">
        <f t="shared" si="0"/>
        <v>0.82499999999999996</v>
      </c>
      <c r="R6" s="246">
        <v>18.7</v>
      </c>
      <c r="S6" s="246">
        <v>96</v>
      </c>
      <c r="T6" s="108">
        <f t="shared" si="1"/>
        <v>36</v>
      </c>
      <c r="U6" s="246">
        <v>298</v>
      </c>
      <c r="V6" s="109">
        <f t="shared" si="2"/>
        <v>2682</v>
      </c>
      <c r="W6" s="246">
        <v>24</v>
      </c>
      <c r="X6" s="246" t="s">
        <v>46</v>
      </c>
      <c r="Y6" s="246" t="s">
        <v>55</v>
      </c>
      <c r="Z6" s="246" t="s">
        <v>97</v>
      </c>
      <c r="AA6" s="246" t="s">
        <v>69</v>
      </c>
      <c r="AB6" s="246" t="s">
        <v>341</v>
      </c>
      <c r="AE6" s="116" t="s">
        <v>56</v>
      </c>
      <c r="AG6" s="111" t="s">
        <v>212</v>
      </c>
      <c r="AH6" s="111" t="s">
        <v>213</v>
      </c>
      <c r="AL6" s="124" t="s">
        <v>214</v>
      </c>
      <c r="AN6" s="124" t="s">
        <v>158</v>
      </c>
      <c r="AP6" s="117" t="s">
        <v>53</v>
      </c>
      <c r="AR6" s="118" t="s">
        <v>59</v>
      </c>
      <c r="AV6" s="117" t="s">
        <v>60</v>
      </c>
      <c r="AX6" s="119">
        <v>97</v>
      </c>
      <c r="AY6" s="120">
        <v>36</v>
      </c>
      <c r="AZ6" s="120">
        <v>99</v>
      </c>
      <c r="BA6" s="121">
        <v>33</v>
      </c>
    </row>
    <row r="7" spans="1:53" s="115" customFormat="1" x14ac:dyDescent="0.15">
      <c r="A7" s="246" t="s">
        <v>51</v>
      </c>
      <c r="B7" s="246" t="s">
        <v>339</v>
      </c>
      <c r="C7" s="246">
        <v>2018</v>
      </c>
      <c r="D7" s="106" t="s">
        <v>419</v>
      </c>
      <c r="E7" s="246" t="s">
        <v>197</v>
      </c>
      <c r="F7" s="246" t="s">
        <v>198</v>
      </c>
      <c r="G7" s="246" t="s">
        <v>42</v>
      </c>
      <c r="H7" s="246" t="s">
        <v>216</v>
      </c>
      <c r="I7" s="246" t="s">
        <v>155</v>
      </c>
      <c r="J7" s="246" t="s">
        <v>38</v>
      </c>
      <c r="K7" s="246" t="s">
        <v>156</v>
      </c>
      <c r="L7" s="246">
        <v>3</v>
      </c>
      <c r="M7" s="246"/>
      <c r="N7" s="246">
        <v>4</v>
      </c>
      <c r="O7" s="246">
        <v>0.9</v>
      </c>
      <c r="P7" s="246">
        <v>0.8</v>
      </c>
      <c r="Q7" s="107">
        <f t="shared" si="0"/>
        <v>0.85000000000000009</v>
      </c>
      <c r="R7" s="246">
        <v>19.3</v>
      </c>
      <c r="S7" s="246">
        <v>116</v>
      </c>
      <c r="T7" s="108">
        <f t="shared" si="1"/>
        <v>30</v>
      </c>
      <c r="U7" s="246">
        <v>298</v>
      </c>
      <c r="V7" s="109">
        <f t="shared" si="2"/>
        <v>2235</v>
      </c>
      <c r="W7" s="246">
        <v>24</v>
      </c>
      <c r="X7" s="246" t="s">
        <v>46</v>
      </c>
      <c r="Y7" s="246" t="s">
        <v>55</v>
      </c>
      <c r="Z7" s="246" t="s">
        <v>97</v>
      </c>
      <c r="AA7" s="246" t="s">
        <v>69</v>
      </c>
      <c r="AB7" s="246" t="s">
        <v>341</v>
      </c>
      <c r="AE7" s="116" t="s">
        <v>61</v>
      </c>
      <c r="AG7" s="111" t="s">
        <v>215</v>
      </c>
      <c r="AH7" s="111" t="s">
        <v>199</v>
      </c>
      <c r="AL7" s="115" t="s">
        <v>216</v>
      </c>
      <c r="AP7" s="117" t="s">
        <v>58</v>
      </c>
      <c r="AR7" s="118" t="s">
        <v>217</v>
      </c>
      <c r="AV7" s="117" t="s">
        <v>64</v>
      </c>
      <c r="AX7" s="119">
        <v>109</v>
      </c>
      <c r="AY7" s="120">
        <v>33</v>
      </c>
      <c r="AZ7" s="120">
        <v>113</v>
      </c>
      <c r="BA7" s="121">
        <v>30</v>
      </c>
    </row>
    <row r="8" spans="1:53" s="115" customFormat="1" x14ac:dyDescent="0.15">
      <c r="A8" s="246" t="s">
        <v>51</v>
      </c>
      <c r="B8" s="246" t="s">
        <v>339</v>
      </c>
      <c r="C8" s="246">
        <v>2018</v>
      </c>
      <c r="D8" s="106" t="s">
        <v>419</v>
      </c>
      <c r="E8" s="246" t="s">
        <v>197</v>
      </c>
      <c r="F8" s="246" t="s">
        <v>198</v>
      </c>
      <c r="G8" s="246" t="s">
        <v>42</v>
      </c>
      <c r="H8" s="246" t="s">
        <v>168</v>
      </c>
      <c r="I8" s="246" t="s">
        <v>155</v>
      </c>
      <c r="J8" s="246" t="s">
        <v>38</v>
      </c>
      <c r="K8" s="246" t="s">
        <v>156</v>
      </c>
      <c r="L8" s="246">
        <v>1</v>
      </c>
      <c r="M8" s="246"/>
      <c r="N8" s="246">
        <v>1</v>
      </c>
      <c r="O8" s="246">
        <v>0.75</v>
      </c>
      <c r="P8" s="246">
        <v>0.85</v>
      </c>
      <c r="Q8" s="107">
        <f t="shared" si="0"/>
        <v>0.8</v>
      </c>
      <c r="R8" s="246">
        <v>15.5</v>
      </c>
      <c r="S8" s="246">
        <v>144</v>
      </c>
      <c r="T8" s="108">
        <f t="shared" si="1"/>
        <v>22</v>
      </c>
      <c r="U8" s="246">
        <v>98</v>
      </c>
      <c r="V8" s="109">
        <f t="shared" si="2"/>
        <v>2156</v>
      </c>
      <c r="W8" s="246">
        <v>24</v>
      </c>
      <c r="X8" s="246" t="s">
        <v>46</v>
      </c>
      <c r="Y8" s="246" t="s">
        <v>55</v>
      </c>
      <c r="Z8" s="246" t="s">
        <v>97</v>
      </c>
      <c r="AA8" s="246" t="s">
        <v>69</v>
      </c>
      <c r="AB8" s="246" t="s">
        <v>341</v>
      </c>
      <c r="AE8" s="116" t="s">
        <v>59</v>
      </c>
      <c r="AG8" s="111" t="s">
        <v>218</v>
      </c>
      <c r="AH8" s="111" t="s">
        <v>219</v>
      </c>
      <c r="AL8" s="115" t="s">
        <v>168</v>
      </c>
      <c r="AP8" s="117" t="s">
        <v>62</v>
      </c>
      <c r="AR8" s="118" t="s">
        <v>81</v>
      </c>
      <c r="AV8" s="117" t="s">
        <v>97</v>
      </c>
      <c r="AX8" s="119">
        <v>119</v>
      </c>
      <c r="AY8" s="120">
        <v>30</v>
      </c>
      <c r="AZ8" s="120">
        <v>121</v>
      </c>
      <c r="BA8" s="121">
        <v>27</v>
      </c>
    </row>
    <row r="9" spans="1:53" s="115" customFormat="1" x14ac:dyDescent="0.15">
      <c r="A9" s="246" t="s">
        <v>51</v>
      </c>
      <c r="B9" s="246" t="s">
        <v>339</v>
      </c>
      <c r="C9" s="246">
        <v>2018</v>
      </c>
      <c r="D9" s="106" t="s">
        <v>419</v>
      </c>
      <c r="E9" s="246" t="s">
        <v>197</v>
      </c>
      <c r="F9" s="246" t="s">
        <v>198</v>
      </c>
      <c r="G9" s="246" t="s">
        <v>42</v>
      </c>
      <c r="H9" s="246" t="s">
        <v>168</v>
      </c>
      <c r="I9" s="246" t="s">
        <v>155</v>
      </c>
      <c r="J9" s="246" t="s">
        <v>38</v>
      </c>
      <c r="K9" s="246" t="s">
        <v>156</v>
      </c>
      <c r="L9" s="246">
        <v>2</v>
      </c>
      <c r="M9" s="246"/>
      <c r="N9" s="246">
        <v>1</v>
      </c>
      <c r="O9" s="246">
        <v>0.7</v>
      </c>
      <c r="P9" s="246">
        <v>0.7</v>
      </c>
      <c r="Q9" s="107">
        <f t="shared" si="0"/>
        <v>0.7</v>
      </c>
      <c r="R9" s="246">
        <v>14.6</v>
      </c>
      <c r="S9" s="246">
        <v>138</v>
      </c>
      <c r="T9" s="108">
        <f t="shared" si="1"/>
        <v>22</v>
      </c>
      <c r="U9" s="246">
        <v>98</v>
      </c>
      <c r="V9" s="109">
        <f t="shared" si="2"/>
        <v>2156</v>
      </c>
      <c r="W9" s="246">
        <v>24</v>
      </c>
      <c r="X9" s="246" t="s">
        <v>46</v>
      </c>
      <c r="Y9" s="246" t="s">
        <v>55</v>
      </c>
      <c r="Z9" s="246" t="s">
        <v>97</v>
      </c>
      <c r="AA9" s="246" t="s">
        <v>69</v>
      </c>
      <c r="AB9" s="246" t="s">
        <v>341</v>
      </c>
      <c r="AE9" s="116" t="s">
        <v>220</v>
      </c>
      <c r="AG9" s="111" t="s">
        <v>221</v>
      </c>
      <c r="AH9" s="111" t="s">
        <v>198</v>
      </c>
      <c r="AL9" s="124"/>
      <c r="AP9" s="117" t="s">
        <v>95</v>
      </c>
      <c r="AR9" s="118" t="s">
        <v>222</v>
      </c>
      <c r="AV9" s="117" t="s">
        <v>102</v>
      </c>
      <c r="AX9" s="119">
        <v>128</v>
      </c>
      <c r="AY9" s="120">
        <v>27</v>
      </c>
      <c r="AZ9" s="120">
        <v>129</v>
      </c>
      <c r="BA9" s="121">
        <v>25</v>
      </c>
    </row>
    <row r="10" spans="1:53" s="115" customFormat="1" x14ac:dyDescent="0.15">
      <c r="A10" s="246" t="s">
        <v>51</v>
      </c>
      <c r="B10" s="246" t="s">
        <v>339</v>
      </c>
      <c r="C10" s="246">
        <v>2018</v>
      </c>
      <c r="D10" s="106" t="s">
        <v>419</v>
      </c>
      <c r="E10" s="246" t="s">
        <v>197</v>
      </c>
      <c r="F10" s="246" t="s">
        <v>198</v>
      </c>
      <c r="G10" s="246" t="s">
        <v>42</v>
      </c>
      <c r="H10" s="246" t="s">
        <v>168</v>
      </c>
      <c r="I10" s="246" t="s">
        <v>155</v>
      </c>
      <c r="J10" s="246" t="s">
        <v>38</v>
      </c>
      <c r="K10" s="246" t="s">
        <v>156</v>
      </c>
      <c r="L10" s="246">
        <v>3</v>
      </c>
      <c r="M10" s="246"/>
      <c r="N10" s="246">
        <v>1</v>
      </c>
      <c r="O10" s="246">
        <v>0.75</v>
      </c>
      <c r="P10" s="246">
        <v>0.8</v>
      </c>
      <c r="Q10" s="107">
        <f t="shared" si="0"/>
        <v>0.77500000000000002</v>
      </c>
      <c r="R10" s="246">
        <v>14.8</v>
      </c>
      <c r="S10" s="246">
        <v>136</v>
      </c>
      <c r="T10" s="108">
        <f t="shared" si="1"/>
        <v>25</v>
      </c>
      <c r="U10" s="246">
        <v>98</v>
      </c>
      <c r="V10" s="109">
        <f t="shared" si="2"/>
        <v>2450</v>
      </c>
      <c r="W10" s="246">
        <v>24</v>
      </c>
      <c r="X10" s="246" t="s">
        <v>46</v>
      </c>
      <c r="Y10" s="246" t="s">
        <v>55</v>
      </c>
      <c r="Z10" s="246" t="s">
        <v>97</v>
      </c>
      <c r="AA10" s="246" t="s">
        <v>69</v>
      </c>
      <c r="AB10" s="246" t="s">
        <v>341</v>
      </c>
      <c r="AE10" s="116" t="s">
        <v>223</v>
      </c>
      <c r="AG10" s="111" t="s">
        <v>197</v>
      </c>
      <c r="AH10" s="117" t="s">
        <v>198</v>
      </c>
      <c r="AP10" s="117" t="s">
        <v>100</v>
      </c>
      <c r="AR10" s="118" t="s">
        <v>224</v>
      </c>
      <c r="AV10" s="117" t="s">
        <v>106</v>
      </c>
      <c r="AX10" s="119">
        <v>138</v>
      </c>
      <c r="AY10" s="120">
        <v>25</v>
      </c>
      <c r="AZ10" s="120">
        <v>138</v>
      </c>
      <c r="BA10" s="121">
        <v>22</v>
      </c>
    </row>
    <row r="11" spans="1:53" s="115" customFormat="1" x14ac:dyDescent="0.15">
      <c r="A11" s="246" t="s">
        <v>51</v>
      </c>
      <c r="B11" s="246" t="s">
        <v>339</v>
      </c>
      <c r="C11" s="246">
        <v>2018</v>
      </c>
      <c r="D11" s="106" t="s">
        <v>419</v>
      </c>
      <c r="E11" s="246" t="s">
        <v>201</v>
      </c>
      <c r="F11" s="246" t="s">
        <v>202</v>
      </c>
      <c r="G11" s="246" t="s">
        <v>36</v>
      </c>
      <c r="H11" s="246" t="s">
        <v>157</v>
      </c>
      <c r="I11" s="246" t="s">
        <v>155</v>
      </c>
      <c r="J11" s="246" t="s">
        <v>38</v>
      </c>
      <c r="K11" s="246" t="s">
        <v>156</v>
      </c>
      <c r="L11" s="246">
        <v>1</v>
      </c>
      <c r="M11" s="246"/>
      <c r="N11" s="246">
        <v>3</v>
      </c>
      <c r="O11" s="246">
        <v>0.85</v>
      </c>
      <c r="P11" s="246">
        <v>0.8</v>
      </c>
      <c r="Q11" s="107">
        <f t="shared" si="0"/>
        <v>0.82499999999999996</v>
      </c>
      <c r="R11" s="246">
        <v>16.2</v>
      </c>
      <c r="S11" s="246">
        <v>172</v>
      </c>
      <c r="T11" s="108">
        <f t="shared" si="1"/>
        <v>18</v>
      </c>
      <c r="U11" s="246">
        <v>398</v>
      </c>
      <c r="V11" s="109">
        <f t="shared" si="2"/>
        <v>2388</v>
      </c>
      <c r="W11" s="246">
        <v>12</v>
      </c>
      <c r="X11" s="246" t="s">
        <v>46</v>
      </c>
      <c r="Y11" s="246" t="s">
        <v>47</v>
      </c>
      <c r="Z11" s="246" t="s">
        <v>55</v>
      </c>
      <c r="AA11" s="246" t="s">
        <v>69</v>
      </c>
      <c r="AB11" s="246" t="s">
        <v>341</v>
      </c>
      <c r="AE11" s="116" t="s">
        <v>68</v>
      </c>
      <c r="AG11" s="111" t="s">
        <v>139</v>
      </c>
      <c r="AH11" s="117" t="s">
        <v>420</v>
      </c>
      <c r="AP11" s="117" t="s">
        <v>104</v>
      </c>
      <c r="AR11" s="118" t="s">
        <v>225</v>
      </c>
      <c r="AV11" s="117" t="s">
        <v>69</v>
      </c>
      <c r="AX11" s="119">
        <v>151</v>
      </c>
      <c r="AY11" s="120">
        <v>22</v>
      </c>
      <c r="AZ11" s="120">
        <v>152</v>
      </c>
      <c r="BA11" s="121">
        <v>18</v>
      </c>
    </row>
    <row r="12" spans="1:53" s="115" customFormat="1" x14ac:dyDescent="0.15">
      <c r="A12" s="246" t="s">
        <v>51</v>
      </c>
      <c r="B12" s="246" t="s">
        <v>339</v>
      </c>
      <c r="C12" s="246">
        <v>2018</v>
      </c>
      <c r="D12" s="106" t="s">
        <v>419</v>
      </c>
      <c r="E12" s="246" t="s">
        <v>201</v>
      </c>
      <c r="F12" s="246" t="s">
        <v>202</v>
      </c>
      <c r="G12" s="246" t="s">
        <v>36</v>
      </c>
      <c r="H12" s="246" t="s">
        <v>157</v>
      </c>
      <c r="I12" s="246" t="s">
        <v>155</v>
      </c>
      <c r="J12" s="246" t="s">
        <v>38</v>
      </c>
      <c r="K12" s="246" t="s">
        <v>156</v>
      </c>
      <c r="L12" s="246">
        <v>2</v>
      </c>
      <c r="M12" s="246"/>
      <c r="N12" s="246">
        <v>3</v>
      </c>
      <c r="O12" s="246">
        <v>0.75</v>
      </c>
      <c r="P12" s="246">
        <v>0.8</v>
      </c>
      <c r="Q12" s="107">
        <f t="shared" si="0"/>
        <v>0.77500000000000002</v>
      </c>
      <c r="R12" s="246">
        <v>15.9</v>
      </c>
      <c r="S12" s="246">
        <v>166</v>
      </c>
      <c r="T12" s="108">
        <f t="shared" si="1"/>
        <v>18</v>
      </c>
      <c r="U12" s="246">
        <v>398</v>
      </c>
      <c r="V12" s="109">
        <f t="shared" si="2"/>
        <v>2388</v>
      </c>
      <c r="W12" s="246">
        <v>12</v>
      </c>
      <c r="X12" s="246" t="s">
        <v>46</v>
      </c>
      <c r="Y12" s="246" t="s">
        <v>47</v>
      </c>
      <c r="Z12" s="246" t="s">
        <v>55</v>
      </c>
      <c r="AA12" s="246" t="s">
        <v>69</v>
      </c>
      <c r="AB12" s="246" t="s">
        <v>341</v>
      </c>
      <c r="AE12" s="116" t="s">
        <v>226</v>
      </c>
      <c r="AG12" s="117"/>
      <c r="AH12" s="117"/>
      <c r="AP12" s="117" t="s">
        <v>67</v>
      </c>
      <c r="AR12" s="118" t="s">
        <v>227</v>
      </c>
      <c r="AV12" s="117" t="s">
        <v>72</v>
      </c>
      <c r="AX12" s="125">
        <v>180</v>
      </c>
      <c r="AY12" s="126">
        <v>18</v>
      </c>
      <c r="AZ12" s="126">
        <v>181</v>
      </c>
      <c r="BA12" s="127">
        <v>16</v>
      </c>
    </row>
    <row r="13" spans="1:53" s="115" customFormat="1" x14ac:dyDescent="0.15">
      <c r="A13" s="246" t="s">
        <v>51</v>
      </c>
      <c r="B13" s="246" t="s">
        <v>339</v>
      </c>
      <c r="C13" s="246">
        <v>2018</v>
      </c>
      <c r="D13" s="106" t="s">
        <v>419</v>
      </c>
      <c r="E13" s="246" t="s">
        <v>201</v>
      </c>
      <c r="F13" s="246" t="s">
        <v>202</v>
      </c>
      <c r="G13" s="246" t="s">
        <v>36</v>
      </c>
      <c r="H13" s="246" t="s">
        <v>157</v>
      </c>
      <c r="I13" s="246" t="s">
        <v>155</v>
      </c>
      <c r="J13" s="246" t="s">
        <v>38</v>
      </c>
      <c r="K13" s="246" t="s">
        <v>156</v>
      </c>
      <c r="L13" s="246">
        <v>3</v>
      </c>
      <c r="M13" s="246"/>
      <c r="N13" s="246">
        <v>3</v>
      </c>
      <c r="O13" s="246">
        <v>0.8</v>
      </c>
      <c r="P13" s="246">
        <v>0.7</v>
      </c>
      <c r="Q13" s="107">
        <f t="shared" si="0"/>
        <v>0.75</v>
      </c>
      <c r="R13" s="246">
        <v>15.6</v>
      </c>
      <c r="S13" s="246">
        <v>166</v>
      </c>
      <c r="T13" s="108">
        <f t="shared" si="1"/>
        <v>18</v>
      </c>
      <c r="U13" s="246">
        <v>398</v>
      </c>
      <c r="V13" s="109">
        <f t="shared" si="2"/>
        <v>2388</v>
      </c>
      <c r="W13" s="246">
        <v>12</v>
      </c>
      <c r="X13" s="246" t="s">
        <v>46</v>
      </c>
      <c r="Y13" s="246" t="s">
        <v>47</v>
      </c>
      <c r="Z13" s="246" t="s">
        <v>55</v>
      </c>
      <c r="AA13" s="246" t="s">
        <v>69</v>
      </c>
      <c r="AB13" s="246" t="s">
        <v>341</v>
      </c>
      <c r="AE13" s="116" t="s">
        <v>228</v>
      </c>
      <c r="AG13" s="117"/>
      <c r="AH13" s="117"/>
      <c r="AP13" s="117" t="s">
        <v>71</v>
      </c>
      <c r="AR13" s="118" t="s">
        <v>223</v>
      </c>
      <c r="AV13" s="117" t="s">
        <v>75</v>
      </c>
    </row>
    <row r="14" spans="1:53" s="115" customFormat="1" x14ac:dyDescent="0.15">
      <c r="A14" s="246" t="s">
        <v>51</v>
      </c>
      <c r="B14" s="246" t="s">
        <v>339</v>
      </c>
      <c r="C14" s="246">
        <v>2018</v>
      </c>
      <c r="D14" s="106" t="s">
        <v>419</v>
      </c>
      <c r="E14" s="246" t="s">
        <v>201</v>
      </c>
      <c r="F14" s="246" t="s">
        <v>202</v>
      </c>
      <c r="G14" s="246" t="s">
        <v>36</v>
      </c>
      <c r="H14" s="246" t="s">
        <v>216</v>
      </c>
      <c r="I14" s="246" t="s">
        <v>155</v>
      </c>
      <c r="J14" s="246" t="s">
        <v>38</v>
      </c>
      <c r="K14" s="246" t="s">
        <v>156</v>
      </c>
      <c r="L14" s="246">
        <v>1</v>
      </c>
      <c r="M14" s="246"/>
      <c r="N14" s="246">
        <v>1</v>
      </c>
      <c r="O14" s="246">
        <v>0.8</v>
      </c>
      <c r="P14" s="246">
        <v>0.75</v>
      </c>
      <c r="Q14" s="107">
        <f t="shared" si="0"/>
        <v>0.77500000000000002</v>
      </c>
      <c r="R14" s="246">
        <v>17.7</v>
      </c>
      <c r="S14" s="246">
        <v>132</v>
      </c>
      <c r="T14" s="108">
        <f t="shared" si="1"/>
        <v>25</v>
      </c>
      <c r="U14" s="246">
        <v>138</v>
      </c>
      <c r="V14" s="109">
        <f t="shared" si="2"/>
        <v>3450</v>
      </c>
      <c r="W14" s="246">
        <v>12</v>
      </c>
      <c r="X14" s="246" t="s">
        <v>46</v>
      </c>
      <c r="Y14" s="246" t="s">
        <v>47</v>
      </c>
      <c r="Z14" s="246" t="s">
        <v>55</v>
      </c>
      <c r="AA14" s="246" t="s">
        <v>69</v>
      </c>
      <c r="AB14" s="246" t="s">
        <v>341</v>
      </c>
      <c r="AE14" s="116" t="s">
        <v>96</v>
      </c>
      <c r="AG14" s="117"/>
      <c r="AH14" s="117"/>
      <c r="AP14" s="117" t="s">
        <v>74</v>
      </c>
      <c r="AR14" s="118" t="s">
        <v>229</v>
      </c>
      <c r="AV14" s="117" t="s">
        <v>78</v>
      </c>
    </row>
    <row r="15" spans="1:53" s="115" customFormat="1" x14ac:dyDescent="0.15">
      <c r="A15" s="246" t="s">
        <v>51</v>
      </c>
      <c r="B15" s="246" t="s">
        <v>339</v>
      </c>
      <c r="C15" s="246">
        <v>2018</v>
      </c>
      <c r="D15" s="106" t="s">
        <v>419</v>
      </c>
      <c r="E15" s="246" t="s">
        <v>201</v>
      </c>
      <c r="F15" s="246" t="s">
        <v>202</v>
      </c>
      <c r="G15" s="246" t="s">
        <v>36</v>
      </c>
      <c r="H15" s="246" t="s">
        <v>216</v>
      </c>
      <c r="I15" s="246" t="s">
        <v>155</v>
      </c>
      <c r="J15" s="246" t="s">
        <v>38</v>
      </c>
      <c r="K15" s="246" t="s">
        <v>156</v>
      </c>
      <c r="L15" s="246">
        <v>2</v>
      </c>
      <c r="M15" s="246"/>
      <c r="N15" s="246">
        <v>1</v>
      </c>
      <c r="O15" s="246">
        <v>0.7</v>
      </c>
      <c r="P15" s="246">
        <v>0.75</v>
      </c>
      <c r="Q15" s="107">
        <f t="shared" si="0"/>
        <v>0.72499999999999998</v>
      </c>
      <c r="R15" s="246">
        <v>17.5</v>
      </c>
      <c r="S15" s="246">
        <v>130</v>
      </c>
      <c r="T15" s="108">
        <f t="shared" si="1"/>
        <v>25</v>
      </c>
      <c r="U15" s="246">
        <v>138</v>
      </c>
      <c r="V15" s="109">
        <f t="shared" si="2"/>
        <v>3450</v>
      </c>
      <c r="W15" s="246">
        <v>12</v>
      </c>
      <c r="X15" s="246" t="s">
        <v>46</v>
      </c>
      <c r="Y15" s="246" t="s">
        <v>47</v>
      </c>
      <c r="Z15" s="246" t="s">
        <v>55</v>
      </c>
      <c r="AA15" s="246" t="s">
        <v>69</v>
      </c>
      <c r="AB15" s="246" t="s">
        <v>341</v>
      </c>
      <c r="AE15" s="116" t="s">
        <v>230</v>
      </c>
      <c r="AG15" s="117"/>
      <c r="AH15" s="117"/>
      <c r="AP15" s="117" t="s">
        <v>77</v>
      </c>
      <c r="AR15" s="118" t="s">
        <v>80</v>
      </c>
      <c r="AV15" s="117" t="s">
        <v>107</v>
      </c>
    </row>
    <row r="16" spans="1:53" s="115" customFormat="1" x14ac:dyDescent="0.15">
      <c r="A16" s="246" t="s">
        <v>51</v>
      </c>
      <c r="B16" s="246" t="s">
        <v>339</v>
      </c>
      <c r="C16" s="246">
        <v>2018</v>
      </c>
      <c r="D16" s="106" t="s">
        <v>419</v>
      </c>
      <c r="E16" s="246" t="s">
        <v>201</v>
      </c>
      <c r="F16" s="246" t="s">
        <v>202</v>
      </c>
      <c r="G16" s="246" t="s">
        <v>36</v>
      </c>
      <c r="H16" s="246" t="s">
        <v>216</v>
      </c>
      <c r="I16" s="246" t="s">
        <v>155</v>
      </c>
      <c r="J16" s="246" t="s">
        <v>38</v>
      </c>
      <c r="K16" s="246" t="s">
        <v>156</v>
      </c>
      <c r="L16" s="246">
        <v>3</v>
      </c>
      <c r="M16" s="246"/>
      <c r="N16" s="246">
        <v>1</v>
      </c>
      <c r="O16" s="246">
        <v>0.65</v>
      </c>
      <c r="P16" s="246">
        <v>0.7</v>
      </c>
      <c r="Q16" s="107">
        <f t="shared" si="0"/>
        <v>0.67500000000000004</v>
      </c>
      <c r="R16" s="246">
        <v>18</v>
      </c>
      <c r="S16" s="246">
        <v>134</v>
      </c>
      <c r="T16" s="108">
        <f t="shared" si="1"/>
        <v>25</v>
      </c>
      <c r="U16" s="246">
        <v>138</v>
      </c>
      <c r="V16" s="109">
        <f t="shared" si="2"/>
        <v>3450</v>
      </c>
      <c r="W16" s="246">
        <v>12</v>
      </c>
      <c r="X16" s="246" t="s">
        <v>46</v>
      </c>
      <c r="Y16" s="246" t="s">
        <v>47</v>
      </c>
      <c r="Z16" s="246" t="s">
        <v>55</v>
      </c>
      <c r="AA16" s="246" t="s">
        <v>69</v>
      </c>
      <c r="AB16" s="246" t="s">
        <v>341</v>
      </c>
      <c r="AE16" s="116" t="s">
        <v>231</v>
      </c>
      <c r="AG16" s="123"/>
      <c r="AH16" s="123"/>
      <c r="AP16" s="117" t="s">
        <v>80</v>
      </c>
      <c r="AR16" s="118" t="s">
        <v>63</v>
      </c>
      <c r="AV16" s="117" t="s">
        <v>84</v>
      </c>
    </row>
    <row r="17" spans="1:48" s="115" customFormat="1" x14ac:dyDescent="0.15">
      <c r="A17" s="246" t="s">
        <v>51</v>
      </c>
      <c r="B17" s="246" t="s">
        <v>339</v>
      </c>
      <c r="C17" s="246">
        <v>2018</v>
      </c>
      <c r="D17" s="106" t="s">
        <v>419</v>
      </c>
      <c r="E17" s="246" t="s">
        <v>201</v>
      </c>
      <c r="F17" s="246" t="s">
        <v>202</v>
      </c>
      <c r="G17" s="246" t="s">
        <v>36</v>
      </c>
      <c r="H17" s="246" t="s">
        <v>168</v>
      </c>
      <c r="I17" s="246" t="s">
        <v>155</v>
      </c>
      <c r="J17" s="246" t="s">
        <v>38</v>
      </c>
      <c r="K17" s="246" t="s">
        <v>156</v>
      </c>
      <c r="L17" s="246">
        <v>1</v>
      </c>
      <c r="M17" s="246"/>
      <c r="N17" s="246">
        <v>3</v>
      </c>
      <c r="O17" s="246">
        <v>0.85</v>
      </c>
      <c r="P17" s="246">
        <v>0.8</v>
      </c>
      <c r="Q17" s="107">
        <f t="shared" si="0"/>
        <v>0.82499999999999996</v>
      </c>
      <c r="R17" s="246">
        <v>16.100000000000001</v>
      </c>
      <c r="S17" s="246">
        <v>156</v>
      </c>
      <c r="T17" s="108">
        <f t="shared" si="1"/>
        <v>18</v>
      </c>
      <c r="U17" s="246">
        <v>398</v>
      </c>
      <c r="V17" s="109">
        <f t="shared" si="2"/>
        <v>2388</v>
      </c>
      <c r="W17" s="246">
        <v>12</v>
      </c>
      <c r="X17" s="246" t="s">
        <v>46</v>
      </c>
      <c r="Y17" s="246" t="s">
        <v>47</v>
      </c>
      <c r="Z17" s="246" t="s">
        <v>55</v>
      </c>
      <c r="AA17" s="246" t="s">
        <v>69</v>
      </c>
      <c r="AB17" s="246" t="s">
        <v>341</v>
      </c>
      <c r="AE17" s="116" t="s">
        <v>232</v>
      </c>
      <c r="AP17" s="128" t="s">
        <v>233</v>
      </c>
      <c r="AR17" s="118" t="s">
        <v>96</v>
      </c>
      <c r="AV17" s="117" t="s">
        <v>86</v>
      </c>
    </row>
    <row r="18" spans="1:48" s="115" customFormat="1" x14ac:dyDescent="0.15">
      <c r="A18" s="246" t="s">
        <v>51</v>
      </c>
      <c r="B18" s="246" t="s">
        <v>339</v>
      </c>
      <c r="C18" s="246">
        <v>2018</v>
      </c>
      <c r="D18" s="106" t="s">
        <v>419</v>
      </c>
      <c r="E18" s="246" t="s">
        <v>201</v>
      </c>
      <c r="F18" s="246" t="s">
        <v>202</v>
      </c>
      <c r="G18" s="246" t="s">
        <v>36</v>
      </c>
      <c r="H18" s="246" t="s">
        <v>168</v>
      </c>
      <c r="I18" s="246" t="s">
        <v>155</v>
      </c>
      <c r="J18" s="246" t="s">
        <v>38</v>
      </c>
      <c r="K18" s="246" t="s">
        <v>156</v>
      </c>
      <c r="L18" s="246">
        <v>2</v>
      </c>
      <c r="M18" s="246"/>
      <c r="N18" s="246">
        <v>3</v>
      </c>
      <c r="O18" s="246">
        <v>0.8</v>
      </c>
      <c r="P18" s="246">
        <v>0.8</v>
      </c>
      <c r="Q18" s="107">
        <f t="shared" si="0"/>
        <v>0.8</v>
      </c>
      <c r="R18" s="246">
        <v>17.2</v>
      </c>
      <c r="S18" s="246">
        <v>172</v>
      </c>
      <c r="T18" s="108">
        <f t="shared" si="1"/>
        <v>18</v>
      </c>
      <c r="U18" s="246">
        <v>398</v>
      </c>
      <c r="V18" s="109">
        <f t="shared" si="2"/>
        <v>2388</v>
      </c>
      <c r="W18" s="246">
        <v>12</v>
      </c>
      <c r="X18" s="246" t="s">
        <v>46</v>
      </c>
      <c r="Y18" s="246" t="s">
        <v>47</v>
      </c>
      <c r="Z18" s="246" t="s">
        <v>55</v>
      </c>
      <c r="AA18" s="246" t="s">
        <v>69</v>
      </c>
      <c r="AB18" s="246" t="s">
        <v>341</v>
      </c>
      <c r="AE18" s="116" t="s">
        <v>225</v>
      </c>
      <c r="AP18" s="128" t="s">
        <v>234</v>
      </c>
      <c r="AR18" s="118" t="s">
        <v>101</v>
      </c>
      <c r="AV18" s="117" t="s">
        <v>88</v>
      </c>
    </row>
    <row r="19" spans="1:48" s="115" customFormat="1" x14ac:dyDescent="0.15">
      <c r="A19" s="246" t="s">
        <v>51</v>
      </c>
      <c r="B19" s="246" t="s">
        <v>339</v>
      </c>
      <c r="C19" s="246">
        <v>2018</v>
      </c>
      <c r="D19" s="106" t="s">
        <v>419</v>
      </c>
      <c r="E19" s="246" t="s">
        <v>201</v>
      </c>
      <c r="F19" s="246" t="s">
        <v>202</v>
      </c>
      <c r="G19" s="246" t="s">
        <v>36</v>
      </c>
      <c r="H19" s="246" t="s">
        <v>168</v>
      </c>
      <c r="I19" s="246" t="s">
        <v>155</v>
      </c>
      <c r="J19" s="246" t="s">
        <v>38</v>
      </c>
      <c r="K19" s="246" t="s">
        <v>156</v>
      </c>
      <c r="L19" s="246">
        <v>3</v>
      </c>
      <c r="M19" s="246"/>
      <c r="N19" s="246">
        <v>3</v>
      </c>
      <c r="O19" s="246">
        <v>0.75</v>
      </c>
      <c r="P19" s="246">
        <v>0.7</v>
      </c>
      <c r="Q19" s="107">
        <f t="shared" si="0"/>
        <v>0.72499999999999998</v>
      </c>
      <c r="R19" s="246">
        <v>16.399999999999999</v>
      </c>
      <c r="S19" s="246">
        <v>166</v>
      </c>
      <c r="T19" s="108">
        <f t="shared" si="1"/>
        <v>18</v>
      </c>
      <c r="U19" s="246">
        <v>398</v>
      </c>
      <c r="V19" s="109">
        <f t="shared" si="2"/>
        <v>2388</v>
      </c>
      <c r="W19" s="246">
        <v>12</v>
      </c>
      <c r="X19" s="246" t="s">
        <v>46</v>
      </c>
      <c r="Y19" s="246" t="s">
        <v>47</v>
      </c>
      <c r="Z19" s="246" t="s">
        <v>55</v>
      </c>
      <c r="AA19" s="246" t="s">
        <v>69</v>
      </c>
      <c r="AB19" s="246" t="s">
        <v>341</v>
      </c>
      <c r="AE19" s="129" t="s">
        <v>222</v>
      </c>
      <c r="AP19" s="128" t="s">
        <v>235</v>
      </c>
      <c r="AR19" s="118" t="s">
        <v>236</v>
      </c>
      <c r="AV19" s="117" t="s">
        <v>90</v>
      </c>
    </row>
    <row r="20" spans="1:48" s="115" customFormat="1" x14ac:dyDescent="0.15">
      <c r="A20" s="246" t="s">
        <v>51</v>
      </c>
      <c r="B20" s="246" t="s">
        <v>339</v>
      </c>
      <c r="C20" s="246">
        <v>2018</v>
      </c>
      <c r="D20" s="106" t="s">
        <v>419</v>
      </c>
      <c r="E20" s="246" t="s">
        <v>139</v>
      </c>
      <c r="F20" s="246" t="s">
        <v>420</v>
      </c>
      <c r="G20" s="246" t="s">
        <v>42</v>
      </c>
      <c r="H20" s="246" t="s">
        <v>157</v>
      </c>
      <c r="I20" s="246" t="s">
        <v>155</v>
      </c>
      <c r="J20" s="246" t="s">
        <v>38</v>
      </c>
      <c r="K20" s="246" t="s">
        <v>156</v>
      </c>
      <c r="L20" s="246">
        <v>1</v>
      </c>
      <c r="M20" s="246"/>
      <c r="N20" s="246">
        <v>1</v>
      </c>
      <c r="O20" s="246">
        <v>1.05</v>
      </c>
      <c r="P20" s="246">
        <v>1</v>
      </c>
      <c r="Q20" s="107">
        <f t="shared" si="0"/>
        <v>1.0249999999999999</v>
      </c>
      <c r="R20" s="246">
        <v>14.8</v>
      </c>
      <c r="S20" s="246">
        <v>112</v>
      </c>
      <c r="T20" s="108">
        <f t="shared" si="1"/>
        <v>33</v>
      </c>
      <c r="U20" s="246">
        <v>128</v>
      </c>
      <c r="V20" s="109">
        <f t="shared" si="2"/>
        <v>4224</v>
      </c>
      <c r="W20" s="246">
        <v>18</v>
      </c>
      <c r="X20" s="246" t="s">
        <v>46</v>
      </c>
      <c r="Y20" s="246" t="s">
        <v>69</v>
      </c>
      <c r="Z20" s="246" t="s">
        <v>86</v>
      </c>
      <c r="AA20" s="246" t="s">
        <v>55</v>
      </c>
      <c r="AB20" s="246" t="s">
        <v>341</v>
      </c>
      <c r="AE20" s="129"/>
      <c r="AP20" s="128" t="s">
        <v>237</v>
      </c>
      <c r="AR20" s="118" t="s">
        <v>105</v>
      </c>
      <c r="AV20" s="122" t="s">
        <v>238</v>
      </c>
    </row>
    <row r="21" spans="1:48" s="115" customFormat="1" x14ac:dyDescent="0.15">
      <c r="A21" s="246" t="s">
        <v>51</v>
      </c>
      <c r="B21" s="246" t="s">
        <v>339</v>
      </c>
      <c r="C21" s="246">
        <v>2018</v>
      </c>
      <c r="D21" s="106" t="s">
        <v>419</v>
      </c>
      <c r="E21" s="246" t="s">
        <v>139</v>
      </c>
      <c r="F21" s="246" t="s">
        <v>420</v>
      </c>
      <c r="G21" s="246" t="s">
        <v>42</v>
      </c>
      <c r="H21" s="246" t="s">
        <v>157</v>
      </c>
      <c r="I21" s="246" t="s">
        <v>155</v>
      </c>
      <c r="J21" s="246" t="s">
        <v>38</v>
      </c>
      <c r="K21" s="246" t="s">
        <v>156</v>
      </c>
      <c r="L21" s="246">
        <v>2</v>
      </c>
      <c r="M21" s="246"/>
      <c r="N21" s="246">
        <v>1</v>
      </c>
      <c r="O21" s="246">
        <v>0.95</v>
      </c>
      <c r="P21" s="246">
        <v>1</v>
      </c>
      <c r="Q21" s="107">
        <f t="shared" si="0"/>
        <v>0.97499999999999998</v>
      </c>
      <c r="R21" s="246">
        <v>14.5</v>
      </c>
      <c r="S21" s="246">
        <v>114</v>
      </c>
      <c r="T21" s="108">
        <f t="shared" si="1"/>
        <v>30</v>
      </c>
      <c r="U21" s="246">
        <v>128</v>
      </c>
      <c r="V21" s="109">
        <f t="shared" si="2"/>
        <v>3840</v>
      </c>
      <c r="W21" s="246">
        <v>18</v>
      </c>
      <c r="X21" s="246" t="s">
        <v>46</v>
      </c>
      <c r="Y21" s="246" t="s">
        <v>69</v>
      </c>
      <c r="Z21" s="246" t="s">
        <v>86</v>
      </c>
      <c r="AA21" s="246" t="s">
        <v>55</v>
      </c>
      <c r="AB21" s="246" t="s">
        <v>341</v>
      </c>
      <c r="AE21" s="123"/>
      <c r="AP21" s="128" t="s">
        <v>239</v>
      </c>
      <c r="AR21" s="118" t="s">
        <v>68</v>
      </c>
      <c r="AV21" s="122" t="s">
        <v>174</v>
      </c>
    </row>
    <row r="22" spans="1:48" s="115" customFormat="1" x14ac:dyDescent="0.15">
      <c r="A22" s="246" t="s">
        <v>51</v>
      </c>
      <c r="B22" s="246" t="s">
        <v>339</v>
      </c>
      <c r="C22" s="246">
        <v>2018</v>
      </c>
      <c r="D22" s="106" t="s">
        <v>419</v>
      </c>
      <c r="E22" s="246" t="s">
        <v>139</v>
      </c>
      <c r="F22" s="246" t="s">
        <v>420</v>
      </c>
      <c r="G22" s="246" t="s">
        <v>42</v>
      </c>
      <c r="H22" s="246" t="s">
        <v>157</v>
      </c>
      <c r="I22" s="246" t="s">
        <v>155</v>
      </c>
      <c r="J22" s="246" t="s">
        <v>38</v>
      </c>
      <c r="K22" s="246" t="s">
        <v>156</v>
      </c>
      <c r="L22" s="246">
        <v>3</v>
      </c>
      <c r="M22" s="246"/>
      <c r="N22" s="246">
        <v>1</v>
      </c>
      <c r="O22" s="246">
        <v>0.95</v>
      </c>
      <c r="P22" s="246">
        <v>0.9</v>
      </c>
      <c r="Q22" s="107">
        <f t="shared" si="0"/>
        <v>0.92500000000000004</v>
      </c>
      <c r="R22" s="246">
        <v>15.1</v>
      </c>
      <c r="S22" s="246">
        <v>116</v>
      </c>
      <c r="T22" s="108">
        <f t="shared" si="1"/>
        <v>30</v>
      </c>
      <c r="U22" s="246">
        <v>128</v>
      </c>
      <c r="V22" s="109">
        <f t="shared" si="2"/>
        <v>3840</v>
      </c>
      <c r="W22" s="246">
        <v>18</v>
      </c>
      <c r="X22" s="246" t="s">
        <v>46</v>
      </c>
      <c r="Y22" s="246" t="s">
        <v>69</v>
      </c>
      <c r="Z22" s="246" t="s">
        <v>86</v>
      </c>
      <c r="AA22" s="246" t="s">
        <v>55</v>
      </c>
      <c r="AB22" s="246" t="s">
        <v>341</v>
      </c>
      <c r="AP22" s="128" t="s">
        <v>240</v>
      </c>
      <c r="AR22" s="118" t="s">
        <v>83</v>
      </c>
      <c r="AV22" s="122"/>
    </row>
    <row r="23" spans="1:48" s="115" customFormat="1" x14ac:dyDescent="0.15">
      <c r="A23" s="246" t="s">
        <v>51</v>
      </c>
      <c r="B23" s="246" t="s">
        <v>339</v>
      </c>
      <c r="C23" s="246">
        <v>2018</v>
      </c>
      <c r="D23" s="106" t="s">
        <v>419</v>
      </c>
      <c r="E23" s="246" t="s">
        <v>139</v>
      </c>
      <c r="F23" s="246" t="s">
        <v>420</v>
      </c>
      <c r="G23" s="246" t="s">
        <v>42</v>
      </c>
      <c r="H23" s="246" t="s">
        <v>168</v>
      </c>
      <c r="I23" s="246" t="s">
        <v>155</v>
      </c>
      <c r="J23" s="246" t="s">
        <v>38</v>
      </c>
      <c r="K23" s="246" t="s">
        <v>156</v>
      </c>
      <c r="L23" s="246">
        <v>1</v>
      </c>
      <c r="M23" s="246"/>
      <c r="N23" s="246">
        <v>1</v>
      </c>
      <c r="O23" s="246">
        <v>0.75</v>
      </c>
      <c r="P23" s="246">
        <v>0.75</v>
      </c>
      <c r="Q23" s="107">
        <f t="shared" si="0"/>
        <v>0.75</v>
      </c>
      <c r="R23" s="246">
        <v>17</v>
      </c>
      <c r="S23" s="246">
        <v>144</v>
      </c>
      <c r="T23" s="108">
        <f t="shared" si="1"/>
        <v>22</v>
      </c>
      <c r="U23" s="246">
        <v>138</v>
      </c>
      <c r="V23" s="109">
        <f t="shared" si="2"/>
        <v>3036</v>
      </c>
      <c r="W23" s="246">
        <v>18</v>
      </c>
      <c r="X23" s="246" t="s">
        <v>46</v>
      </c>
      <c r="Y23" s="246" t="s">
        <v>69</v>
      </c>
      <c r="Z23" s="246" t="s">
        <v>86</v>
      </c>
      <c r="AA23" s="246" t="s">
        <v>55</v>
      </c>
      <c r="AB23" s="246" t="s">
        <v>341</v>
      </c>
      <c r="AP23" s="128" t="s">
        <v>241</v>
      </c>
      <c r="AR23" s="118" t="s">
        <v>61</v>
      </c>
    </row>
    <row r="24" spans="1:48" s="115" customFormat="1" x14ac:dyDescent="0.15">
      <c r="A24" s="246" t="s">
        <v>51</v>
      </c>
      <c r="B24" s="246" t="s">
        <v>339</v>
      </c>
      <c r="C24" s="246">
        <v>2018</v>
      </c>
      <c r="D24" s="106" t="s">
        <v>419</v>
      </c>
      <c r="E24" s="246" t="s">
        <v>139</v>
      </c>
      <c r="F24" s="246" t="s">
        <v>420</v>
      </c>
      <c r="G24" s="246" t="s">
        <v>42</v>
      </c>
      <c r="H24" s="246" t="s">
        <v>168</v>
      </c>
      <c r="I24" s="246" t="s">
        <v>155</v>
      </c>
      <c r="J24" s="246" t="s">
        <v>38</v>
      </c>
      <c r="K24" s="246" t="s">
        <v>156</v>
      </c>
      <c r="L24" s="246">
        <v>2</v>
      </c>
      <c r="M24" s="246"/>
      <c r="N24" s="246">
        <v>1</v>
      </c>
      <c r="O24" s="246">
        <v>0.7</v>
      </c>
      <c r="P24" s="246">
        <v>0.75</v>
      </c>
      <c r="Q24" s="107">
        <f t="shared" si="0"/>
        <v>0.72499999999999998</v>
      </c>
      <c r="R24" s="246">
        <v>17.399999999999999</v>
      </c>
      <c r="S24" s="246">
        <v>148</v>
      </c>
      <c r="T24" s="108">
        <f t="shared" si="1"/>
        <v>22</v>
      </c>
      <c r="U24" s="246">
        <v>138</v>
      </c>
      <c r="V24" s="109">
        <f t="shared" si="2"/>
        <v>3036</v>
      </c>
      <c r="W24" s="246">
        <v>18</v>
      </c>
      <c r="X24" s="246" t="s">
        <v>46</v>
      </c>
      <c r="Y24" s="246" t="s">
        <v>69</v>
      </c>
      <c r="Z24" s="246" t="s">
        <v>86</v>
      </c>
      <c r="AA24" s="246" t="s">
        <v>55</v>
      </c>
      <c r="AB24" s="246" t="s">
        <v>341</v>
      </c>
      <c r="AP24" s="128" t="s">
        <v>242</v>
      </c>
      <c r="AR24" s="118" t="s">
        <v>91</v>
      </c>
    </row>
    <row r="25" spans="1:48" s="115" customFormat="1" x14ac:dyDescent="0.15">
      <c r="A25" s="246" t="s">
        <v>51</v>
      </c>
      <c r="B25" s="246" t="s">
        <v>339</v>
      </c>
      <c r="C25" s="246">
        <v>2018</v>
      </c>
      <c r="D25" s="106" t="s">
        <v>419</v>
      </c>
      <c r="E25" s="246" t="s">
        <v>139</v>
      </c>
      <c r="F25" s="246" t="s">
        <v>420</v>
      </c>
      <c r="G25" s="246" t="s">
        <v>42</v>
      </c>
      <c r="H25" s="246" t="s">
        <v>168</v>
      </c>
      <c r="I25" s="246" t="s">
        <v>155</v>
      </c>
      <c r="J25" s="246" t="s">
        <v>38</v>
      </c>
      <c r="K25" s="246" t="s">
        <v>156</v>
      </c>
      <c r="L25" s="246">
        <v>3</v>
      </c>
      <c r="M25" s="246"/>
      <c r="N25" s="246">
        <v>1</v>
      </c>
      <c r="O25" s="246">
        <v>0.8</v>
      </c>
      <c r="P25" s="246">
        <v>0.75</v>
      </c>
      <c r="Q25" s="107">
        <f t="shared" si="0"/>
        <v>0.77500000000000002</v>
      </c>
      <c r="R25" s="246">
        <v>17.600000000000001</v>
      </c>
      <c r="S25" s="246">
        <v>150</v>
      </c>
      <c r="T25" s="108">
        <f t="shared" si="1"/>
        <v>22</v>
      </c>
      <c r="U25" s="246">
        <v>138</v>
      </c>
      <c r="V25" s="109">
        <f t="shared" si="2"/>
        <v>3036</v>
      </c>
      <c r="W25" s="246">
        <v>18</v>
      </c>
      <c r="X25" s="246" t="s">
        <v>46</v>
      </c>
      <c r="Y25" s="246" t="s">
        <v>69</v>
      </c>
      <c r="Z25" s="246" t="s">
        <v>86</v>
      </c>
      <c r="AA25" s="246" t="s">
        <v>55</v>
      </c>
      <c r="AB25" s="246" t="s">
        <v>341</v>
      </c>
      <c r="AP25" s="128" t="s">
        <v>243</v>
      </c>
      <c r="AR25" s="128" t="s">
        <v>51</v>
      </c>
    </row>
    <row r="26" spans="1:48" s="115" customFormat="1" x14ac:dyDescent="0.15">
      <c r="A26" s="246" t="s">
        <v>51</v>
      </c>
      <c r="B26" s="246" t="s">
        <v>339</v>
      </c>
      <c r="C26" s="246">
        <v>2018</v>
      </c>
      <c r="D26" s="106" t="s">
        <v>419</v>
      </c>
      <c r="E26" s="246" t="s">
        <v>212</v>
      </c>
      <c r="F26" s="246" t="s">
        <v>213</v>
      </c>
      <c r="G26" s="246" t="s">
        <v>36</v>
      </c>
      <c r="H26" s="246" t="s">
        <v>157</v>
      </c>
      <c r="I26" s="246" t="s">
        <v>155</v>
      </c>
      <c r="J26" s="246" t="s">
        <v>38</v>
      </c>
      <c r="K26" s="246" t="s">
        <v>156</v>
      </c>
      <c r="L26" s="246">
        <v>1</v>
      </c>
      <c r="M26" s="246"/>
      <c r="N26" s="246">
        <v>1</v>
      </c>
      <c r="O26" s="246">
        <v>0.85</v>
      </c>
      <c r="P26" s="246">
        <v>0.7</v>
      </c>
      <c r="Q26" s="107">
        <f t="shared" si="0"/>
        <v>0.77499999999999991</v>
      </c>
      <c r="R26" s="246">
        <v>15.9</v>
      </c>
      <c r="S26" s="246">
        <v>140</v>
      </c>
      <c r="T26" s="108">
        <f t="shared" si="1"/>
        <v>22</v>
      </c>
      <c r="U26" s="246">
        <v>98</v>
      </c>
      <c r="V26" s="109">
        <f t="shared" si="2"/>
        <v>2156</v>
      </c>
      <c r="W26" s="246">
        <v>12</v>
      </c>
      <c r="X26" s="246" t="s">
        <v>46</v>
      </c>
      <c r="Y26" s="246" t="s">
        <v>69</v>
      </c>
      <c r="Z26" s="246" t="s">
        <v>55</v>
      </c>
      <c r="AA26" s="246" t="s">
        <v>90</v>
      </c>
      <c r="AB26" s="246" t="s">
        <v>341</v>
      </c>
      <c r="AP26" s="128" t="s">
        <v>244</v>
      </c>
      <c r="AR26" s="115" t="s">
        <v>421</v>
      </c>
    </row>
    <row r="27" spans="1:48" s="115" customFormat="1" x14ac:dyDescent="0.15">
      <c r="A27" s="246" t="s">
        <v>51</v>
      </c>
      <c r="B27" s="246" t="s">
        <v>339</v>
      </c>
      <c r="C27" s="246">
        <v>2018</v>
      </c>
      <c r="D27" s="106" t="s">
        <v>419</v>
      </c>
      <c r="E27" s="246" t="s">
        <v>212</v>
      </c>
      <c r="F27" s="246" t="s">
        <v>213</v>
      </c>
      <c r="G27" s="246" t="s">
        <v>36</v>
      </c>
      <c r="H27" s="246" t="s">
        <v>157</v>
      </c>
      <c r="I27" s="246" t="s">
        <v>155</v>
      </c>
      <c r="J27" s="246" t="s">
        <v>38</v>
      </c>
      <c r="K27" s="246" t="s">
        <v>156</v>
      </c>
      <c r="L27" s="246">
        <v>2</v>
      </c>
      <c r="M27" s="246"/>
      <c r="N27" s="246">
        <v>1</v>
      </c>
      <c r="O27" s="246">
        <v>0.8</v>
      </c>
      <c r="P27" s="246">
        <v>0.85</v>
      </c>
      <c r="Q27" s="107">
        <f t="shared" si="0"/>
        <v>0.82499999999999996</v>
      </c>
      <c r="R27" s="246">
        <v>15.1</v>
      </c>
      <c r="S27" s="246">
        <v>136</v>
      </c>
      <c r="T27" s="108">
        <f t="shared" si="1"/>
        <v>25</v>
      </c>
      <c r="U27" s="246">
        <v>98</v>
      </c>
      <c r="V27" s="109">
        <f t="shared" si="2"/>
        <v>2450</v>
      </c>
      <c r="W27" s="246">
        <v>12</v>
      </c>
      <c r="X27" s="246" t="s">
        <v>46</v>
      </c>
      <c r="Y27" s="246" t="s">
        <v>69</v>
      </c>
      <c r="Z27" s="246" t="s">
        <v>55</v>
      </c>
      <c r="AA27" s="246" t="s">
        <v>90</v>
      </c>
      <c r="AB27" s="246" t="s">
        <v>341</v>
      </c>
      <c r="AP27" s="128" t="s">
        <v>245</v>
      </c>
    </row>
    <row r="28" spans="1:48" s="115" customFormat="1" x14ac:dyDescent="0.15">
      <c r="A28" s="246" t="s">
        <v>51</v>
      </c>
      <c r="B28" s="246" t="s">
        <v>339</v>
      </c>
      <c r="C28" s="246">
        <v>2018</v>
      </c>
      <c r="D28" s="106" t="s">
        <v>419</v>
      </c>
      <c r="E28" s="246" t="s">
        <v>212</v>
      </c>
      <c r="F28" s="246" t="s">
        <v>213</v>
      </c>
      <c r="G28" s="246" t="s">
        <v>36</v>
      </c>
      <c r="H28" s="246" t="s">
        <v>157</v>
      </c>
      <c r="I28" s="246" t="s">
        <v>155</v>
      </c>
      <c r="J28" s="246" t="s">
        <v>38</v>
      </c>
      <c r="K28" s="246" t="s">
        <v>156</v>
      </c>
      <c r="L28" s="246">
        <v>3</v>
      </c>
      <c r="M28" s="246"/>
      <c r="N28" s="246">
        <v>1</v>
      </c>
      <c r="O28" s="246">
        <v>0.8</v>
      </c>
      <c r="P28" s="246">
        <v>0.75</v>
      </c>
      <c r="Q28" s="107">
        <f t="shared" si="0"/>
        <v>0.77500000000000002</v>
      </c>
      <c r="R28" s="246">
        <v>15.3</v>
      </c>
      <c r="S28" s="246">
        <v>138</v>
      </c>
      <c r="T28" s="108">
        <f t="shared" si="1"/>
        <v>22</v>
      </c>
      <c r="U28" s="246">
        <v>98</v>
      </c>
      <c r="V28" s="109">
        <f t="shared" si="2"/>
        <v>2156</v>
      </c>
      <c r="W28" s="246">
        <v>12</v>
      </c>
      <c r="X28" s="246" t="s">
        <v>46</v>
      </c>
      <c r="Y28" s="246" t="s">
        <v>69</v>
      </c>
      <c r="Z28" s="246" t="s">
        <v>55</v>
      </c>
      <c r="AA28" s="246" t="s">
        <v>90</v>
      </c>
      <c r="AB28" s="246" t="s">
        <v>341</v>
      </c>
    </row>
    <row r="29" spans="1:48" s="115" customFormat="1" x14ac:dyDescent="0.15">
      <c r="A29" s="246" t="s">
        <v>51</v>
      </c>
      <c r="B29" s="246" t="s">
        <v>339</v>
      </c>
      <c r="C29" s="246">
        <v>2018</v>
      </c>
      <c r="D29" s="106" t="s">
        <v>419</v>
      </c>
      <c r="E29" s="246" t="s">
        <v>212</v>
      </c>
      <c r="F29" s="246" t="s">
        <v>213</v>
      </c>
      <c r="G29" s="246" t="s">
        <v>36</v>
      </c>
      <c r="H29" s="246" t="s">
        <v>216</v>
      </c>
      <c r="I29" s="246" t="s">
        <v>155</v>
      </c>
      <c r="J29" s="246" t="s">
        <v>38</v>
      </c>
      <c r="K29" s="246" t="s">
        <v>156</v>
      </c>
      <c r="L29" s="246">
        <v>1</v>
      </c>
      <c r="M29" s="246"/>
      <c r="N29" s="246">
        <v>4</v>
      </c>
      <c r="O29" s="246">
        <v>0.55000000000000004</v>
      </c>
      <c r="P29" s="246">
        <v>0.75</v>
      </c>
      <c r="Q29" s="107">
        <f t="shared" si="0"/>
        <v>0.65</v>
      </c>
      <c r="R29" s="246">
        <v>18.600000000000001</v>
      </c>
      <c r="S29" s="246">
        <v>102</v>
      </c>
      <c r="T29" s="108">
        <f t="shared" si="1"/>
        <v>33</v>
      </c>
      <c r="U29" s="246">
        <v>498</v>
      </c>
      <c r="V29" s="109">
        <f t="shared" si="2"/>
        <v>4108.5</v>
      </c>
      <c r="W29" s="246">
        <v>12</v>
      </c>
      <c r="X29" s="246" t="s">
        <v>46</v>
      </c>
      <c r="Y29" s="246" t="s">
        <v>69</v>
      </c>
      <c r="Z29" s="246" t="s">
        <v>55</v>
      </c>
      <c r="AA29" s="246" t="s">
        <v>90</v>
      </c>
      <c r="AB29" s="246" t="s">
        <v>341</v>
      </c>
    </row>
    <row r="30" spans="1:48" s="115" customFormat="1" x14ac:dyDescent="0.15">
      <c r="A30" s="246" t="s">
        <v>51</v>
      </c>
      <c r="B30" s="246" t="s">
        <v>339</v>
      </c>
      <c r="C30" s="246">
        <v>2018</v>
      </c>
      <c r="D30" s="106" t="s">
        <v>419</v>
      </c>
      <c r="E30" s="246" t="s">
        <v>212</v>
      </c>
      <c r="F30" s="246" t="s">
        <v>213</v>
      </c>
      <c r="G30" s="246" t="s">
        <v>36</v>
      </c>
      <c r="H30" s="246" t="s">
        <v>216</v>
      </c>
      <c r="I30" s="246" t="s">
        <v>155</v>
      </c>
      <c r="J30" s="246" t="s">
        <v>38</v>
      </c>
      <c r="K30" s="246" t="s">
        <v>156</v>
      </c>
      <c r="L30" s="246">
        <v>2</v>
      </c>
      <c r="M30" s="246"/>
      <c r="N30" s="246">
        <v>4</v>
      </c>
      <c r="O30" s="246">
        <v>0.7</v>
      </c>
      <c r="P30" s="246">
        <v>0.65</v>
      </c>
      <c r="Q30" s="107">
        <f t="shared" si="0"/>
        <v>0.67500000000000004</v>
      </c>
      <c r="R30" s="246">
        <v>17.899999999999999</v>
      </c>
      <c r="S30" s="246">
        <v>104</v>
      </c>
      <c r="T30" s="108">
        <f t="shared" si="1"/>
        <v>33</v>
      </c>
      <c r="U30" s="246">
        <v>498</v>
      </c>
      <c r="V30" s="109">
        <f t="shared" si="2"/>
        <v>4108.5</v>
      </c>
      <c r="W30" s="246">
        <v>12</v>
      </c>
      <c r="X30" s="246" t="s">
        <v>46</v>
      </c>
      <c r="Y30" s="246" t="s">
        <v>69</v>
      </c>
      <c r="Z30" s="246" t="s">
        <v>55</v>
      </c>
      <c r="AA30" s="246" t="s">
        <v>90</v>
      </c>
      <c r="AB30" s="246" t="s">
        <v>341</v>
      </c>
    </row>
    <row r="31" spans="1:48" s="115" customFormat="1" x14ac:dyDescent="0.15">
      <c r="A31" s="246" t="s">
        <v>51</v>
      </c>
      <c r="B31" s="246" t="s">
        <v>339</v>
      </c>
      <c r="C31" s="246">
        <v>2018</v>
      </c>
      <c r="D31" s="106" t="s">
        <v>419</v>
      </c>
      <c r="E31" s="246" t="s">
        <v>212</v>
      </c>
      <c r="F31" s="246" t="s">
        <v>213</v>
      </c>
      <c r="G31" s="246" t="s">
        <v>36</v>
      </c>
      <c r="H31" s="246" t="s">
        <v>216</v>
      </c>
      <c r="I31" s="246" t="s">
        <v>155</v>
      </c>
      <c r="J31" s="246" t="s">
        <v>38</v>
      </c>
      <c r="K31" s="246" t="s">
        <v>156</v>
      </c>
      <c r="L31" s="246">
        <v>3</v>
      </c>
      <c r="M31" s="246"/>
      <c r="N31" s="246">
        <v>4</v>
      </c>
      <c r="O31" s="246">
        <v>0.75</v>
      </c>
      <c r="P31" s="246">
        <v>0.7</v>
      </c>
      <c r="Q31" s="107">
        <f t="shared" si="0"/>
        <v>0.72499999999999998</v>
      </c>
      <c r="R31" s="246">
        <v>18.8</v>
      </c>
      <c r="S31" s="246">
        <v>104</v>
      </c>
      <c r="T31" s="108">
        <f t="shared" si="1"/>
        <v>33</v>
      </c>
      <c r="U31" s="246">
        <v>498</v>
      </c>
      <c r="V31" s="109">
        <f t="shared" si="2"/>
        <v>4108.5</v>
      </c>
      <c r="W31" s="246">
        <v>12</v>
      </c>
      <c r="X31" s="246" t="s">
        <v>46</v>
      </c>
      <c r="Y31" s="246" t="s">
        <v>69</v>
      </c>
      <c r="Z31" s="246" t="s">
        <v>55</v>
      </c>
      <c r="AA31" s="246" t="s">
        <v>90</v>
      </c>
      <c r="AB31" s="246" t="s">
        <v>341</v>
      </c>
    </row>
    <row r="32" spans="1:48" s="115" customFormat="1" x14ac:dyDescent="0.15">
      <c r="A32" s="246" t="s">
        <v>51</v>
      </c>
      <c r="B32" s="246" t="s">
        <v>339</v>
      </c>
      <c r="C32" s="246">
        <v>2018</v>
      </c>
      <c r="D32" s="106" t="s">
        <v>419</v>
      </c>
      <c r="E32" s="246" t="s">
        <v>212</v>
      </c>
      <c r="F32" s="246" t="s">
        <v>213</v>
      </c>
      <c r="G32" s="246" t="s">
        <v>36</v>
      </c>
      <c r="H32" s="246" t="s">
        <v>168</v>
      </c>
      <c r="I32" s="246" t="s">
        <v>155</v>
      </c>
      <c r="J32" s="246" t="s">
        <v>38</v>
      </c>
      <c r="K32" s="246" t="s">
        <v>156</v>
      </c>
      <c r="L32" s="246">
        <v>1</v>
      </c>
      <c r="M32" s="246"/>
      <c r="N32" s="246">
        <v>4</v>
      </c>
      <c r="O32" s="246">
        <v>0.65</v>
      </c>
      <c r="P32" s="246">
        <v>0.65</v>
      </c>
      <c r="Q32" s="107">
        <f t="shared" si="0"/>
        <v>0.65</v>
      </c>
      <c r="R32" s="246">
        <v>17.399999999999999</v>
      </c>
      <c r="S32" s="246">
        <v>158</v>
      </c>
      <c r="T32" s="108">
        <f t="shared" si="1"/>
        <v>18</v>
      </c>
      <c r="U32" s="246">
        <v>498</v>
      </c>
      <c r="V32" s="109">
        <f t="shared" si="2"/>
        <v>2241</v>
      </c>
      <c r="W32" s="246">
        <v>12</v>
      </c>
      <c r="X32" s="246" t="s">
        <v>46</v>
      </c>
      <c r="Y32" s="246" t="s">
        <v>69</v>
      </c>
      <c r="Z32" s="246" t="s">
        <v>55</v>
      </c>
      <c r="AA32" s="246" t="s">
        <v>90</v>
      </c>
      <c r="AB32" s="246" t="s">
        <v>341</v>
      </c>
    </row>
    <row r="33" spans="1:28" s="115" customFormat="1" x14ac:dyDescent="0.15">
      <c r="A33" s="246" t="s">
        <v>51</v>
      </c>
      <c r="B33" s="246" t="s">
        <v>339</v>
      </c>
      <c r="C33" s="246">
        <v>2018</v>
      </c>
      <c r="D33" s="106" t="s">
        <v>419</v>
      </c>
      <c r="E33" s="246" t="s">
        <v>212</v>
      </c>
      <c r="F33" s="246" t="s">
        <v>213</v>
      </c>
      <c r="G33" s="246" t="s">
        <v>36</v>
      </c>
      <c r="H33" s="246" t="s">
        <v>168</v>
      </c>
      <c r="I33" s="246" t="s">
        <v>155</v>
      </c>
      <c r="J33" s="246" t="s">
        <v>38</v>
      </c>
      <c r="K33" s="246" t="s">
        <v>156</v>
      </c>
      <c r="L33" s="246">
        <v>2</v>
      </c>
      <c r="M33" s="246"/>
      <c r="N33" s="246">
        <v>4</v>
      </c>
      <c r="O33" s="246">
        <v>0.7</v>
      </c>
      <c r="P33" s="246">
        <v>0.75</v>
      </c>
      <c r="Q33" s="107">
        <f t="shared" si="0"/>
        <v>0.72499999999999998</v>
      </c>
      <c r="R33" s="246">
        <v>17.8</v>
      </c>
      <c r="S33" s="246">
        <v>174</v>
      </c>
      <c r="T33" s="108">
        <f t="shared" si="1"/>
        <v>18</v>
      </c>
      <c r="U33" s="246">
        <v>498</v>
      </c>
      <c r="V33" s="109">
        <f t="shared" si="2"/>
        <v>2241</v>
      </c>
      <c r="W33" s="246">
        <v>12</v>
      </c>
      <c r="X33" s="246" t="s">
        <v>46</v>
      </c>
      <c r="Y33" s="246" t="s">
        <v>69</v>
      </c>
      <c r="Z33" s="246" t="s">
        <v>55</v>
      </c>
      <c r="AA33" s="246" t="s">
        <v>90</v>
      </c>
      <c r="AB33" s="246" t="s">
        <v>341</v>
      </c>
    </row>
    <row r="34" spans="1:28" s="115" customFormat="1" x14ac:dyDescent="0.15">
      <c r="A34" s="246" t="s">
        <v>51</v>
      </c>
      <c r="B34" s="246" t="s">
        <v>339</v>
      </c>
      <c r="C34" s="246">
        <v>2018</v>
      </c>
      <c r="D34" s="106" t="s">
        <v>419</v>
      </c>
      <c r="E34" s="246" t="s">
        <v>212</v>
      </c>
      <c r="F34" s="246" t="s">
        <v>213</v>
      </c>
      <c r="G34" s="246" t="s">
        <v>36</v>
      </c>
      <c r="H34" s="246" t="s">
        <v>168</v>
      </c>
      <c r="I34" s="246" t="s">
        <v>155</v>
      </c>
      <c r="J34" s="246" t="s">
        <v>38</v>
      </c>
      <c r="K34" s="246" t="s">
        <v>156</v>
      </c>
      <c r="L34" s="246">
        <v>3</v>
      </c>
      <c r="M34" s="246"/>
      <c r="N34" s="246">
        <v>4</v>
      </c>
      <c r="O34" s="246">
        <v>0.8</v>
      </c>
      <c r="P34" s="246">
        <v>0.7</v>
      </c>
      <c r="Q34" s="107">
        <f t="shared" si="0"/>
        <v>0.75</v>
      </c>
      <c r="R34" s="246">
        <v>18.2</v>
      </c>
      <c r="S34" s="246">
        <v>178</v>
      </c>
      <c r="T34" s="108">
        <f t="shared" si="1"/>
        <v>18</v>
      </c>
      <c r="U34" s="246">
        <v>498</v>
      </c>
      <c r="V34" s="109">
        <f t="shared" si="2"/>
        <v>2241</v>
      </c>
      <c r="W34" s="246">
        <v>12</v>
      </c>
      <c r="X34" s="246" t="s">
        <v>46</v>
      </c>
      <c r="Y34" s="246" t="s">
        <v>69</v>
      </c>
      <c r="Z34" s="246" t="s">
        <v>55</v>
      </c>
      <c r="AA34" s="246" t="s">
        <v>90</v>
      </c>
      <c r="AB34" s="246" t="s">
        <v>341</v>
      </c>
    </row>
    <row r="35" spans="1:28" s="115" customFormat="1" x14ac:dyDescent="0.15">
      <c r="A35" s="246" t="s">
        <v>51</v>
      </c>
      <c r="B35" s="246" t="s">
        <v>339</v>
      </c>
      <c r="C35" s="246">
        <v>2018</v>
      </c>
      <c r="D35" s="106" t="s">
        <v>419</v>
      </c>
      <c r="E35" s="246" t="s">
        <v>175</v>
      </c>
      <c r="F35" s="246" t="s">
        <v>199</v>
      </c>
      <c r="G35" s="246" t="s">
        <v>42</v>
      </c>
      <c r="H35" s="246" t="s">
        <v>157</v>
      </c>
      <c r="I35" s="246" t="s">
        <v>155</v>
      </c>
      <c r="J35" s="246" t="s">
        <v>38</v>
      </c>
      <c r="K35" s="246" t="s">
        <v>156</v>
      </c>
      <c r="L35" s="246">
        <v>1</v>
      </c>
      <c r="M35" s="246"/>
      <c r="N35" s="246">
        <v>3</v>
      </c>
      <c r="O35" s="246">
        <v>0.9</v>
      </c>
      <c r="P35" s="246">
        <v>0.85</v>
      </c>
      <c r="Q35" s="107">
        <f t="shared" si="0"/>
        <v>0.875</v>
      </c>
      <c r="R35" s="246">
        <v>15.7</v>
      </c>
      <c r="S35" s="246">
        <v>144</v>
      </c>
      <c r="T35" s="108">
        <f t="shared" si="1"/>
        <v>22</v>
      </c>
      <c r="U35" s="246">
        <v>330</v>
      </c>
      <c r="V35" s="109">
        <f t="shared" si="2"/>
        <v>2420</v>
      </c>
      <c r="W35" s="246">
        <v>21</v>
      </c>
      <c r="X35" s="246" t="s">
        <v>46</v>
      </c>
      <c r="Y35" s="246" t="s">
        <v>55</v>
      </c>
      <c r="Z35" s="246" t="s">
        <v>47</v>
      </c>
      <c r="AA35" s="246" t="s">
        <v>69</v>
      </c>
      <c r="AB35" s="246" t="s">
        <v>341</v>
      </c>
    </row>
    <row r="36" spans="1:28" s="115" customFormat="1" x14ac:dyDescent="0.15">
      <c r="A36" s="246" t="s">
        <v>51</v>
      </c>
      <c r="B36" s="246" t="s">
        <v>339</v>
      </c>
      <c r="C36" s="246">
        <v>2018</v>
      </c>
      <c r="D36" s="106" t="s">
        <v>419</v>
      </c>
      <c r="E36" s="246" t="s">
        <v>175</v>
      </c>
      <c r="F36" s="246" t="s">
        <v>199</v>
      </c>
      <c r="G36" s="246" t="s">
        <v>42</v>
      </c>
      <c r="H36" s="246" t="s">
        <v>157</v>
      </c>
      <c r="I36" s="246" t="s">
        <v>155</v>
      </c>
      <c r="J36" s="246" t="s">
        <v>38</v>
      </c>
      <c r="K36" s="246" t="s">
        <v>156</v>
      </c>
      <c r="L36" s="246">
        <v>2</v>
      </c>
      <c r="M36" s="246"/>
      <c r="N36" s="246">
        <v>3</v>
      </c>
      <c r="O36" s="246">
        <v>0.9</v>
      </c>
      <c r="P36" s="246">
        <v>1</v>
      </c>
      <c r="Q36" s="107">
        <f t="shared" si="0"/>
        <v>0.95</v>
      </c>
      <c r="R36" s="246">
        <v>15.9</v>
      </c>
      <c r="S36" s="246">
        <v>132</v>
      </c>
      <c r="T36" s="108">
        <f t="shared" si="1"/>
        <v>25</v>
      </c>
      <c r="U36" s="246">
        <v>330</v>
      </c>
      <c r="V36" s="109">
        <f t="shared" si="2"/>
        <v>2750</v>
      </c>
      <c r="W36" s="246">
        <v>21</v>
      </c>
      <c r="X36" s="246" t="s">
        <v>46</v>
      </c>
      <c r="Y36" s="246" t="s">
        <v>55</v>
      </c>
      <c r="Z36" s="246" t="s">
        <v>47</v>
      </c>
      <c r="AA36" s="246" t="s">
        <v>69</v>
      </c>
      <c r="AB36" s="246" t="s">
        <v>341</v>
      </c>
    </row>
    <row r="37" spans="1:28" s="115" customFormat="1" x14ac:dyDescent="0.15">
      <c r="A37" s="246" t="s">
        <v>51</v>
      </c>
      <c r="B37" s="246" t="s">
        <v>339</v>
      </c>
      <c r="C37" s="246">
        <v>2018</v>
      </c>
      <c r="D37" s="106" t="s">
        <v>419</v>
      </c>
      <c r="E37" s="246" t="s">
        <v>175</v>
      </c>
      <c r="F37" s="246" t="s">
        <v>199</v>
      </c>
      <c r="G37" s="246" t="s">
        <v>42</v>
      </c>
      <c r="H37" s="246" t="s">
        <v>157</v>
      </c>
      <c r="I37" s="246" t="s">
        <v>155</v>
      </c>
      <c r="J37" s="246" t="s">
        <v>38</v>
      </c>
      <c r="K37" s="246" t="s">
        <v>156</v>
      </c>
      <c r="L37" s="246">
        <v>3</v>
      </c>
      <c r="M37" s="246"/>
      <c r="N37" s="246">
        <v>3</v>
      </c>
      <c r="O37" s="246">
        <v>0.9</v>
      </c>
      <c r="P37" s="246">
        <v>1.05</v>
      </c>
      <c r="Q37" s="107">
        <f t="shared" si="0"/>
        <v>0.97500000000000009</v>
      </c>
      <c r="R37" s="246">
        <v>15.5</v>
      </c>
      <c r="S37" s="246">
        <v>144</v>
      </c>
      <c r="T37" s="108">
        <f t="shared" si="1"/>
        <v>22</v>
      </c>
      <c r="U37" s="246">
        <v>330</v>
      </c>
      <c r="V37" s="109">
        <f t="shared" si="2"/>
        <v>2420</v>
      </c>
      <c r="W37" s="246">
        <v>21</v>
      </c>
      <c r="X37" s="246" t="s">
        <v>46</v>
      </c>
      <c r="Y37" s="246" t="s">
        <v>55</v>
      </c>
      <c r="Z37" s="246" t="s">
        <v>47</v>
      </c>
      <c r="AA37" s="246" t="s">
        <v>69</v>
      </c>
      <c r="AB37" s="246" t="s">
        <v>341</v>
      </c>
    </row>
    <row r="38" spans="1:28" s="115" customFormat="1" x14ac:dyDescent="0.15">
      <c r="A38" s="246" t="s">
        <v>51</v>
      </c>
      <c r="B38" s="246" t="s">
        <v>339</v>
      </c>
      <c r="C38" s="246">
        <v>2018</v>
      </c>
      <c r="D38" s="106" t="s">
        <v>419</v>
      </c>
      <c r="E38" s="246" t="s">
        <v>175</v>
      </c>
      <c r="F38" s="246" t="s">
        <v>199</v>
      </c>
      <c r="G38" s="246" t="s">
        <v>42</v>
      </c>
      <c r="H38" s="246" t="s">
        <v>168</v>
      </c>
      <c r="I38" s="246" t="s">
        <v>155</v>
      </c>
      <c r="J38" s="246" t="s">
        <v>38</v>
      </c>
      <c r="K38" s="246" t="s">
        <v>156</v>
      </c>
      <c r="L38" s="246">
        <v>1</v>
      </c>
      <c r="M38" s="246"/>
      <c r="N38" s="246">
        <v>3</v>
      </c>
      <c r="O38" s="246">
        <v>0.7</v>
      </c>
      <c r="P38" s="246">
        <v>0.7</v>
      </c>
      <c r="Q38" s="107">
        <f t="shared" si="0"/>
        <v>0.7</v>
      </c>
      <c r="R38" s="246">
        <v>16.600000000000001</v>
      </c>
      <c r="S38" s="246">
        <v>158</v>
      </c>
      <c r="T38" s="108">
        <f t="shared" si="1"/>
        <v>18</v>
      </c>
      <c r="U38" s="246">
        <v>330</v>
      </c>
      <c r="V38" s="109">
        <f t="shared" si="2"/>
        <v>1980</v>
      </c>
      <c r="W38" s="246">
        <v>21</v>
      </c>
      <c r="X38" s="246" t="s">
        <v>46</v>
      </c>
      <c r="Y38" s="246" t="s">
        <v>55</v>
      </c>
      <c r="Z38" s="246" t="s">
        <v>47</v>
      </c>
      <c r="AA38" s="246" t="s">
        <v>69</v>
      </c>
      <c r="AB38" s="246" t="s">
        <v>341</v>
      </c>
    </row>
    <row r="39" spans="1:28" s="115" customFormat="1" x14ac:dyDescent="0.15">
      <c r="A39" s="246" t="s">
        <v>51</v>
      </c>
      <c r="B39" s="246" t="s">
        <v>339</v>
      </c>
      <c r="C39" s="246">
        <v>2018</v>
      </c>
      <c r="D39" s="106" t="s">
        <v>419</v>
      </c>
      <c r="E39" s="246" t="s">
        <v>175</v>
      </c>
      <c r="F39" s="246" t="s">
        <v>199</v>
      </c>
      <c r="G39" s="246" t="s">
        <v>42</v>
      </c>
      <c r="H39" s="246" t="s">
        <v>168</v>
      </c>
      <c r="I39" s="246" t="s">
        <v>155</v>
      </c>
      <c r="J39" s="246" t="s">
        <v>38</v>
      </c>
      <c r="K39" s="246" t="s">
        <v>156</v>
      </c>
      <c r="L39" s="246">
        <v>2</v>
      </c>
      <c r="M39" s="246"/>
      <c r="N39" s="246">
        <v>3</v>
      </c>
      <c r="O39" s="246">
        <v>0.65</v>
      </c>
      <c r="P39" s="246">
        <v>0.75</v>
      </c>
      <c r="Q39" s="107">
        <f t="shared" si="0"/>
        <v>0.7</v>
      </c>
      <c r="R39" s="246">
        <v>16.8</v>
      </c>
      <c r="S39" s="246">
        <v>154</v>
      </c>
      <c r="T39" s="108">
        <f t="shared" si="1"/>
        <v>18</v>
      </c>
      <c r="U39" s="246">
        <v>330</v>
      </c>
      <c r="V39" s="109">
        <f t="shared" si="2"/>
        <v>1980</v>
      </c>
      <c r="W39" s="246">
        <v>21</v>
      </c>
      <c r="X39" s="246" t="s">
        <v>46</v>
      </c>
      <c r="Y39" s="246" t="s">
        <v>55</v>
      </c>
      <c r="Z39" s="246" t="s">
        <v>47</v>
      </c>
      <c r="AA39" s="246" t="s">
        <v>69</v>
      </c>
      <c r="AB39" s="246" t="s">
        <v>341</v>
      </c>
    </row>
    <row r="40" spans="1:28" s="115" customFormat="1" x14ac:dyDescent="0.15">
      <c r="A40" s="246" t="s">
        <v>51</v>
      </c>
      <c r="B40" s="246" t="s">
        <v>339</v>
      </c>
      <c r="C40" s="246">
        <v>2018</v>
      </c>
      <c r="D40" s="106" t="s">
        <v>419</v>
      </c>
      <c r="E40" s="246" t="s">
        <v>175</v>
      </c>
      <c r="F40" s="246" t="s">
        <v>199</v>
      </c>
      <c r="G40" s="246" t="s">
        <v>42</v>
      </c>
      <c r="H40" s="246" t="s">
        <v>168</v>
      </c>
      <c r="I40" s="246" t="s">
        <v>155</v>
      </c>
      <c r="J40" s="246" t="s">
        <v>38</v>
      </c>
      <c r="K40" s="246" t="s">
        <v>156</v>
      </c>
      <c r="L40" s="246">
        <v>3</v>
      </c>
      <c r="M40" s="246"/>
      <c r="N40" s="246">
        <v>3</v>
      </c>
      <c r="O40" s="246">
        <v>0.7</v>
      </c>
      <c r="P40" s="246">
        <v>0.75</v>
      </c>
      <c r="Q40" s="107">
        <f t="shared" si="0"/>
        <v>0.72499999999999998</v>
      </c>
      <c r="R40" s="246">
        <v>17.5</v>
      </c>
      <c r="S40" s="246">
        <v>174</v>
      </c>
      <c r="T40" s="108">
        <f t="shared" si="1"/>
        <v>18</v>
      </c>
      <c r="U40" s="246">
        <v>330</v>
      </c>
      <c r="V40" s="109">
        <f t="shared" si="2"/>
        <v>1980</v>
      </c>
      <c r="W40" s="246">
        <v>21</v>
      </c>
      <c r="X40" s="246" t="s">
        <v>46</v>
      </c>
      <c r="Y40" s="246" t="s">
        <v>55</v>
      </c>
      <c r="Z40" s="246" t="s">
        <v>47</v>
      </c>
      <c r="AA40" s="246" t="s">
        <v>69</v>
      </c>
      <c r="AB40" s="246" t="s">
        <v>341</v>
      </c>
    </row>
    <row r="41" spans="1:28" s="115" customFormat="1" x14ac:dyDescent="0.15">
      <c r="A41" s="246" t="s">
        <v>51</v>
      </c>
      <c r="B41" s="246" t="s">
        <v>339</v>
      </c>
      <c r="C41" s="246">
        <v>2018</v>
      </c>
      <c r="D41" s="106" t="s">
        <v>419</v>
      </c>
      <c r="E41" s="246" t="s">
        <v>215</v>
      </c>
      <c r="F41" s="246" t="s">
        <v>199</v>
      </c>
      <c r="G41" s="246" t="s">
        <v>42</v>
      </c>
      <c r="H41" s="246" t="s">
        <v>157</v>
      </c>
      <c r="I41" s="246" t="s">
        <v>155</v>
      </c>
      <c r="J41" s="246" t="s">
        <v>38</v>
      </c>
      <c r="K41" s="246" t="s">
        <v>156</v>
      </c>
      <c r="L41" s="246">
        <v>1</v>
      </c>
      <c r="M41" s="246"/>
      <c r="N41" s="246">
        <v>1</v>
      </c>
      <c r="O41" s="246">
        <v>0.9</v>
      </c>
      <c r="P41" s="246">
        <v>0.9</v>
      </c>
      <c r="Q41" s="107">
        <f t="shared" si="0"/>
        <v>0.9</v>
      </c>
      <c r="R41" s="246">
        <v>14.1</v>
      </c>
      <c r="S41" s="246">
        <v>118</v>
      </c>
      <c r="T41" s="108">
        <f t="shared" si="1"/>
        <v>30</v>
      </c>
      <c r="U41" s="246">
        <v>68</v>
      </c>
      <c r="V41" s="109">
        <f t="shared" si="2"/>
        <v>2040</v>
      </c>
      <c r="W41" s="246">
        <v>25</v>
      </c>
      <c r="X41" s="246" t="s">
        <v>46</v>
      </c>
      <c r="Y41" s="246" t="s">
        <v>55</v>
      </c>
      <c r="Z41" s="246" t="s">
        <v>97</v>
      </c>
      <c r="AA41" s="246" t="s">
        <v>69</v>
      </c>
      <c r="AB41" s="246" t="s">
        <v>341</v>
      </c>
    </row>
    <row r="42" spans="1:28" s="115" customFormat="1" x14ac:dyDescent="0.15">
      <c r="A42" s="246" t="s">
        <v>51</v>
      </c>
      <c r="B42" s="246" t="s">
        <v>339</v>
      </c>
      <c r="C42" s="246">
        <v>2018</v>
      </c>
      <c r="D42" s="106" t="s">
        <v>419</v>
      </c>
      <c r="E42" s="246" t="s">
        <v>215</v>
      </c>
      <c r="F42" s="246" t="s">
        <v>199</v>
      </c>
      <c r="G42" s="246" t="s">
        <v>42</v>
      </c>
      <c r="H42" s="246" t="s">
        <v>157</v>
      </c>
      <c r="I42" s="246" t="s">
        <v>155</v>
      </c>
      <c r="J42" s="246" t="s">
        <v>38</v>
      </c>
      <c r="K42" s="246" t="s">
        <v>156</v>
      </c>
      <c r="L42" s="246">
        <v>2</v>
      </c>
      <c r="M42" s="246"/>
      <c r="N42" s="246">
        <v>1</v>
      </c>
      <c r="O42" s="246">
        <v>0.85</v>
      </c>
      <c r="P42" s="246">
        <v>0.95</v>
      </c>
      <c r="Q42" s="107">
        <f t="shared" si="0"/>
        <v>0.89999999999999991</v>
      </c>
      <c r="R42" s="246">
        <v>13.8</v>
      </c>
      <c r="S42" s="246">
        <v>118</v>
      </c>
      <c r="T42" s="108">
        <f t="shared" si="1"/>
        <v>30</v>
      </c>
      <c r="U42" s="246">
        <v>68</v>
      </c>
      <c r="V42" s="109">
        <f t="shared" si="2"/>
        <v>2040</v>
      </c>
      <c r="W42" s="246">
        <v>25</v>
      </c>
      <c r="X42" s="246" t="s">
        <v>46</v>
      </c>
      <c r="Y42" s="246" t="s">
        <v>55</v>
      </c>
      <c r="Z42" s="246" t="s">
        <v>97</v>
      </c>
      <c r="AA42" s="246" t="s">
        <v>69</v>
      </c>
      <c r="AB42" s="246" t="s">
        <v>341</v>
      </c>
    </row>
    <row r="43" spans="1:28" s="115" customFormat="1" x14ac:dyDescent="0.15">
      <c r="A43" s="246" t="s">
        <v>51</v>
      </c>
      <c r="B43" s="246" t="s">
        <v>339</v>
      </c>
      <c r="C43" s="246">
        <v>2018</v>
      </c>
      <c r="D43" s="106" t="s">
        <v>419</v>
      </c>
      <c r="E43" s="246" t="s">
        <v>215</v>
      </c>
      <c r="F43" s="246" t="s">
        <v>199</v>
      </c>
      <c r="G43" s="246" t="s">
        <v>42</v>
      </c>
      <c r="H43" s="246" t="s">
        <v>157</v>
      </c>
      <c r="I43" s="246" t="s">
        <v>155</v>
      </c>
      <c r="J43" s="246" t="s">
        <v>38</v>
      </c>
      <c r="K43" s="246" t="s">
        <v>156</v>
      </c>
      <c r="L43" s="246">
        <v>3</v>
      </c>
      <c r="M43" s="246"/>
      <c r="N43" s="246">
        <v>1</v>
      </c>
      <c r="O43" s="246">
        <v>0.85</v>
      </c>
      <c r="P43" s="246">
        <v>0.8</v>
      </c>
      <c r="Q43" s="107">
        <f t="shared" si="0"/>
        <v>0.82499999999999996</v>
      </c>
      <c r="R43" s="246">
        <v>14.7</v>
      </c>
      <c r="S43" s="246">
        <v>120</v>
      </c>
      <c r="T43" s="108">
        <f t="shared" si="1"/>
        <v>30</v>
      </c>
      <c r="U43" s="246">
        <v>68</v>
      </c>
      <c r="V43" s="109">
        <f t="shared" si="2"/>
        <v>2040</v>
      </c>
      <c r="W43" s="246">
        <v>25</v>
      </c>
      <c r="X43" s="246" t="s">
        <v>46</v>
      </c>
      <c r="Y43" s="246" t="s">
        <v>55</v>
      </c>
      <c r="Z43" s="246" t="s">
        <v>97</v>
      </c>
      <c r="AA43" s="246" t="s">
        <v>69</v>
      </c>
      <c r="AB43" s="246" t="s">
        <v>341</v>
      </c>
    </row>
    <row r="44" spans="1:28" s="115" customFormat="1" x14ac:dyDescent="0.15">
      <c r="A44" s="246" t="s">
        <v>51</v>
      </c>
      <c r="B44" s="246" t="s">
        <v>339</v>
      </c>
      <c r="C44" s="246">
        <v>2018</v>
      </c>
      <c r="D44" s="106" t="s">
        <v>419</v>
      </c>
      <c r="E44" s="246" t="s">
        <v>215</v>
      </c>
      <c r="F44" s="246" t="s">
        <v>199</v>
      </c>
      <c r="G44" s="246" t="s">
        <v>42</v>
      </c>
      <c r="H44" s="246" t="s">
        <v>216</v>
      </c>
      <c r="I44" s="246" t="s">
        <v>155</v>
      </c>
      <c r="J44" s="246" t="s">
        <v>38</v>
      </c>
      <c r="K44" s="246" t="s">
        <v>156</v>
      </c>
      <c r="L44" s="246">
        <v>1</v>
      </c>
      <c r="M44" s="246"/>
      <c r="N44" s="246">
        <v>4</v>
      </c>
      <c r="O44" s="246">
        <v>0.55000000000000004</v>
      </c>
      <c r="P44" s="246">
        <v>0.6</v>
      </c>
      <c r="Q44" s="107">
        <f t="shared" si="0"/>
        <v>0.57499999999999996</v>
      </c>
      <c r="R44" s="246">
        <v>16.8</v>
      </c>
      <c r="S44" s="246">
        <v>112</v>
      </c>
      <c r="T44" s="108">
        <f t="shared" si="1"/>
        <v>33</v>
      </c>
      <c r="U44" s="246">
        <v>380</v>
      </c>
      <c r="V44" s="109">
        <f t="shared" si="2"/>
        <v>3135</v>
      </c>
      <c r="W44" s="246">
        <v>25</v>
      </c>
      <c r="X44" s="246" t="s">
        <v>46</v>
      </c>
      <c r="Y44" s="246" t="s">
        <v>55</v>
      </c>
      <c r="Z44" s="246" t="s">
        <v>97</v>
      </c>
      <c r="AA44" s="246" t="s">
        <v>69</v>
      </c>
      <c r="AB44" s="246" t="s">
        <v>341</v>
      </c>
    </row>
    <row r="45" spans="1:28" s="115" customFormat="1" x14ac:dyDescent="0.15">
      <c r="A45" s="246" t="s">
        <v>51</v>
      </c>
      <c r="B45" s="246" t="s">
        <v>339</v>
      </c>
      <c r="C45" s="246">
        <v>2018</v>
      </c>
      <c r="D45" s="106" t="s">
        <v>419</v>
      </c>
      <c r="E45" s="246" t="s">
        <v>215</v>
      </c>
      <c r="F45" s="246" t="s">
        <v>199</v>
      </c>
      <c r="G45" s="246" t="s">
        <v>42</v>
      </c>
      <c r="H45" s="246" t="s">
        <v>216</v>
      </c>
      <c r="I45" s="246" t="s">
        <v>155</v>
      </c>
      <c r="J45" s="246" t="s">
        <v>38</v>
      </c>
      <c r="K45" s="246" t="s">
        <v>156</v>
      </c>
      <c r="L45" s="246">
        <v>2</v>
      </c>
      <c r="M45" s="246"/>
      <c r="N45" s="246">
        <v>4</v>
      </c>
      <c r="O45" s="246">
        <v>0.6</v>
      </c>
      <c r="P45" s="246">
        <v>0.6</v>
      </c>
      <c r="Q45" s="107">
        <f t="shared" si="0"/>
        <v>0.6</v>
      </c>
      <c r="R45" s="246">
        <v>17.100000000000001</v>
      </c>
      <c r="S45" s="246">
        <v>112</v>
      </c>
      <c r="T45" s="108">
        <f t="shared" si="1"/>
        <v>33</v>
      </c>
      <c r="U45" s="246">
        <v>380</v>
      </c>
      <c r="V45" s="109">
        <f t="shared" si="2"/>
        <v>3135</v>
      </c>
      <c r="W45" s="246">
        <v>25</v>
      </c>
      <c r="X45" s="246" t="s">
        <v>46</v>
      </c>
      <c r="Y45" s="246" t="s">
        <v>55</v>
      </c>
      <c r="Z45" s="246" t="s">
        <v>97</v>
      </c>
      <c r="AA45" s="246" t="s">
        <v>69</v>
      </c>
      <c r="AB45" s="246" t="s">
        <v>341</v>
      </c>
    </row>
    <row r="46" spans="1:28" s="115" customFormat="1" x14ac:dyDescent="0.15">
      <c r="A46" s="246" t="s">
        <v>51</v>
      </c>
      <c r="B46" s="246" t="s">
        <v>339</v>
      </c>
      <c r="C46" s="246">
        <v>2018</v>
      </c>
      <c r="D46" s="106" t="s">
        <v>419</v>
      </c>
      <c r="E46" s="246" t="s">
        <v>215</v>
      </c>
      <c r="F46" s="246" t="s">
        <v>199</v>
      </c>
      <c r="G46" s="246" t="s">
        <v>42</v>
      </c>
      <c r="H46" s="246" t="s">
        <v>216</v>
      </c>
      <c r="I46" s="246" t="s">
        <v>155</v>
      </c>
      <c r="J46" s="246" t="s">
        <v>38</v>
      </c>
      <c r="K46" s="246" t="s">
        <v>156</v>
      </c>
      <c r="L46" s="246">
        <v>3</v>
      </c>
      <c r="M46" s="246"/>
      <c r="N46" s="246">
        <v>4</v>
      </c>
      <c r="O46" s="246">
        <v>0.5</v>
      </c>
      <c r="P46" s="246">
        <v>0.55000000000000004</v>
      </c>
      <c r="Q46" s="107">
        <f t="shared" si="0"/>
        <v>0.52500000000000002</v>
      </c>
      <c r="R46" s="246">
        <v>16.600000000000001</v>
      </c>
      <c r="S46" s="246">
        <v>110</v>
      </c>
      <c r="T46" s="108">
        <f t="shared" si="1"/>
        <v>33</v>
      </c>
      <c r="U46" s="246">
        <v>380</v>
      </c>
      <c r="V46" s="109">
        <f t="shared" si="2"/>
        <v>3135</v>
      </c>
      <c r="W46" s="246">
        <v>25</v>
      </c>
      <c r="X46" s="246" t="s">
        <v>46</v>
      </c>
      <c r="Y46" s="246" t="s">
        <v>55</v>
      </c>
      <c r="Z46" s="246" t="s">
        <v>97</v>
      </c>
      <c r="AA46" s="246" t="s">
        <v>69</v>
      </c>
      <c r="AB46" s="246" t="s">
        <v>341</v>
      </c>
    </row>
    <row r="47" spans="1:28" s="115" customFormat="1" x14ac:dyDescent="0.15">
      <c r="A47" s="246" t="s">
        <v>51</v>
      </c>
      <c r="B47" s="246" t="s">
        <v>339</v>
      </c>
      <c r="C47" s="246">
        <v>2018</v>
      </c>
      <c r="D47" s="106" t="s">
        <v>419</v>
      </c>
      <c r="E47" s="246" t="s">
        <v>215</v>
      </c>
      <c r="F47" s="246" t="s">
        <v>199</v>
      </c>
      <c r="G47" s="246" t="s">
        <v>42</v>
      </c>
      <c r="H47" s="246" t="s">
        <v>168</v>
      </c>
      <c r="I47" s="246" t="s">
        <v>155</v>
      </c>
      <c r="J47" s="246" t="s">
        <v>38</v>
      </c>
      <c r="K47" s="246" t="s">
        <v>156</v>
      </c>
      <c r="L47" s="246">
        <v>1</v>
      </c>
      <c r="M47" s="246"/>
      <c r="N47" s="246">
        <v>3</v>
      </c>
      <c r="O47" s="246">
        <v>0.8</v>
      </c>
      <c r="P47" s="246">
        <v>0.85</v>
      </c>
      <c r="Q47" s="107">
        <f t="shared" si="0"/>
        <v>0.82499999999999996</v>
      </c>
      <c r="R47" s="246">
        <v>16.8</v>
      </c>
      <c r="S47" s="246">
        <v>154</v>
      </c>
      <c r="T47" s="108">
        <f t="shared" si="1"/>
        <v>18</v>
      </c>
      <c r="U47" s="246">
        <v>398</v>
      </c>
      <c r="V47" s="109">
        <f t="shared" si="2"/>
        <v>2388</v>
      </c>
      <c r="W47" s="246">
        <v>25</v>
      </c>
      <c r="X47" s="246" t="s">
        <v>46</v>
      </c>
      <c r="Y47" s="246" t="s">
        <v>55</v>
      </c>
      <c r="Z47" s="246" t="s">
        <v>97</v>
      </c>
      <c r="AA47" s="246" t="s">
        <v>69</v>
      </c>
      <c r="AB47" s="246" t="s">
        <v>341</v>
      </c>
    </row>
    <row r="48" spans="1:28" s="115" customFormat="1" x14ac:dyDescent="0.15">
      <c r="A48" s="246" t="s">
        <v>51</v>
      </c>
      <c r="B48" s="246" t="s">
        <v>339</v>
      </c>
      <c r="C48" s="246">
        <v>2018</v>
      </c>
      <c r="D48" s="106" t="s">
        <v>419</v>
      </c>
      <c r="E48" s="246" t="s">
        <v>215</v>
      </c>
      <c r="F48" s="246" t="s">
        <v>199</v>
      </c>
      <c r="G48" s="246" t="s">
        <v>42</v>
      </c>
      <c r="H48" s="246" t="s">
        <v>168</v>
      </c>
      <c r="I48" s="246" t="s">
        <v>155</v>
      </c>
      <c r="J48" s="246" t="s">
        <v>38</v>
      </c>
      <c r="K48" s="246" t="s">
        <v>156</v>
      </c>
      <c r="L48" s="246">
        <v>2</v>
      </c>
      <c r="M48" s="246"/>
      <c r="N48" s="246">
        <v>3</v>
      </c>
      <c r="O48" s="246">
        <v>0.9</v>
      </c>
      <c r="P48" s="246">
        <v>0.85</v>
      </c>
      <c r="Q48" s="107">
        <f t="shared" si="0"/>
        <v>0.875</v>
      </c>
      <c r="R48" s="246">
        <v>16.600000000000001</v>
      </c>
      <c r="S48" s="246">
        <v>150</v>
      </c>
      <c r="T48" s="108">
        <f t="shared" si="1"/>
        <v>22</v>
      </c>
      <c r="U48" s="246">
        <v>398</v>
      </c>
      <c r="V48" s="109">
        <f t="shared" si="2"/>
        <v>2918.6666666666665</v>
      </c>
      <c r="W48" s="246">
        <v>25</v>
      </c>
      <c r="X48" s="246" t="s">
        <v>46</v>
      </c>
      <c r="Y48" s="246" t="s">
        <v>55</v>
      </c>
      <c r="Z48" s="246" t="s">
        <v>97</v>
      </c>
      <c r="AA48" s="246" t="s">
        <v>69</v>
      </c>
      <c r="AB48" s="246" t="s">
        <v>341</v>
      </c>
    </row>
    <row r="49" spans="1:28" s="115" customFormat="1" x14ac:dyDescent="0.15">
      <c r="A49" s="246" t="s">
        <v>51</v>
      </c>
      <c r="B49" s="246" t="s">
        <v>339</v>
      </c>
      <c r="C49" s="246">
        <v>2018</v>
      </c>
      <c r="D49" s="106" t="s">
        <v>419</v>
      </c>
      <c r="E49" s="246" t="s">
        <v>215</v>
      </c>
      <c r="F49" s="246" t="s">
        <v>199</v>
      </c>
      <c r="G49" s="246" t="s">
        <v>42</v>
      </c>
      <c r="H49" s="246" t="s">
        <v>168</v>
      </c>
      <c r="I49" s="246" t="s">
        <v>155</v>
      </c>
      <c r="J49" s="246" t="s">
        <v>38</v>
      </c>
      <c r="K49" s="246" t="s">
        <v>156</v>
      </c>
      <c r="L49" s="246">
        <v>3</v>
      </c>
      <c r="M49" s="246"/>
      <c r="N49" s="246">
        <v>3</v>
      </c>
      <c r="O49" s="246">
        <v>0.85</v>
      </c>
      <c r="P49" s="246">
        <v>0.85</v>
      </c>
      <c r="Q49" s="107">
        <f t="shared" si="0"/>
        <v>0.85</v>
      </c>
      <c r="R49" s="246">
        <v>17.5</v>
      </c>
      <c r="S49" s="246">
        <v>158</v>
      </c>
      <c r="T49" s="108">
        <f t="shared" si="1"/>
        <v>18</v>
      </c>
      <c r="U49" s="246">
        <v>398</v>
      </c>
      <c r="V49" s="109">
        <f t="shared" si="2"/>
        <v>2388</v>
      </c>
      <c r="W49" s="246">
        <v>25</v>
      </c>
      <c r="X49" s="246" t="s">
        <v>46</v>
      </c>
      <c r="Y49" s="246" t="s">
        <v>55</v>
      </c>
      <c r="Z49" s="246" t="s">
        <v>97</v>
      </c>
      <c r="AA49" s="246" t="s">
        <v>69</v>
      </c>
      <c r="AB49" s="246" t="s">
        <v>341</v>
      </c>
    </row>
    <row r="50" spans="1:28" s="115" customFormat="1" x14ac:dyDescent="0.15">
      <c r="A50" s="246" t="s">
        <v>51</v>
      </c>
      <c r="B50" s="246" t="s">
        <v>339</v>
      </c>
      <c r="C50" s="246">
        <v>2018</v>
      </c>
      <c r="D50" s="106" t="s">
        <v>419</v>
      </c>
      <c r="E50" s="246" t="s">
        <v>204</v>
      </c>
      <c r="F50" s="246" t="s">
        <v>205</v>
      </c>
      <c r="G50" s="246" t="s">
        <v>42</v>
      </c>
      <c r="H50" s="246" t="s">
        <v>157</v>
      </c>
      <c r="I50" s="246" t="s">
        <v>155</v>
      </c>
      <c r="J50" s="246" t="s">
        <v>38</v>
      </c>
      <c r="K50" s="246" t="s">
        <v>156</v>
      </c>
      <c r="L50" s="246">
        <v>1</v>
      </c>
      <c r="M50" s="246"/>
      <c r="N50" s="246">
        <v>1</v>
      </c>
      <c r="O50" s="246">
        <v>0.95</v>
      </c>
      <c r="P50" s="246">
        <v>0.95</v>
      </c>
      <c r="Q50" s="107">
        <f t="shared" si="0"/>
        <v>0.95</v>
      </c>
      <c r="R50" s="246">
        <v>15.1</v>
      </c>
      <c r="S50" s="246">
        <v>144</v>
      </c>
      <c r="T50" s="108">
        <f t="shared" si="1"/>
        <v>22</v>
      </c>
      <c r="U50" s="246">
        <v>138</v>
      </c>
      <c r="V50" s="109">
        <f t="shared" si="2"/>
        <v>3036</v>
      </c>
      <c r="W50" s="246">
        <v>11</v>
      </c>
      <c r="X50" s="246" t="s">
        <v>46</v>
      </c>
      <c r="Y50" s="246" t="s">
        <v>55</v>
      </c>
      <c r="Z50" s="246" t="s">
        <v>97</v>
      </c>
      <c r="AA50" s="246" t="s">
        <v>69</v>
      </c>
      <c r="AB50" s="246" t="s">
        <v>341</v>
      </c>
    </row>
    <row r="51" spans="1:28" s="115" customFormat="1" x14ac:dyDescent="0.15">
      <c r="A51" s="246" t="s">
        <v>51</v>
      </c>
      <c r="B51" s="246" t="s">
        <v>339</v>
      </c>
      <c r="C51" s="246">
        <v>2018</v>
      </c>
      <c r="D51" s="106" t="s">
        <v>419</v>
      </c>
      <c r="E51" s="246" t="s">
        <v>204</v>
      </c>
      <c r="F51" s="246" t="s">
        <v>205</v>
      </c>
      <c r="G51" s="246" t="s">
        <v>42</v>
      </c>
      <c r="H51" s="246" t="s">
        <v>157</v>
      </c>
      <c r="I51" s="246" t="s">
        <v>155</v>
      </c>
      <c r="J51" s="246" t="s">
        <v>38</v>
      </c>
      <c r="K51" s="246" t="s">
        <v>156</v>
      </c>
      <c r="L51" s="246">
        <v>2</v>
      </c>
      <c r="M51" s="246"/>
      <c r="N51" s="246">
        <v>1</v>
      </c>
      <c r="O51" s="246">
        <v>1</v>
      </c>
      <c r="P51" s="246">
        <v>0.9</v>
      </c>
      <c r="Q51" s="107">
        <f t="shared" si="0"/>
        <v>0.95</v>
      </c>
      <c r="R51" s="246">
        <v>14.5</v>
      </c>
      <c r="S51" s="246">
        <v>142</v>
      </c>
      <c r="T51" s="108">
        <f t="shared" si="1"/>
        <v>22</v>
      </c>
      <c r="U51" s="246">
        <v>138</v>
      </c>
      <c r="V51" s="109">
        <f t="shared" si="2"/>
        <v>3036</v>
      </c>
      <c r="W51" s="246">
        <v>11</v>
      </c>
      <c r="X51" s="246" t="s">
        <v>46</v>
      </c>
      <c r="Y51" s="246" t="s">
        <v>55</v>
      </c>
      <c r="Z51" s="246" t="s">
        <v>97</v>
      </c>
      <c r="AA51" s="246" t="s">
        <v>69</v>
      </c>
      <c r="AB51" s="246" t="s">
        <v>341</v>
      </c>
    </row>
    <row r="52" spans="1:28" s="115" customFormat="1" x14ac:dyDescent="0.15">
      <c r="A52" s="246" t="s">
        <v>51</v>
      </c>
      <c r="B52" s="246" t="s">
        <v>339</v>
      </c>
      <c r="C52" s="246">
        <v>2018</v>
      </c>
      <c r="D52" s="106" t="s">
        <v>419</v>
      </c>
      <c r="E52" s="246" t="s">
        <v>204</v>
      </c>
      <c r="F52" s="246" t="s">
        <v>205</v>
      </c>
      <c r="G52" s="246" t="s">
        <v>42</v>
      </c>
      <c r="H52" s="246" t="s">
        <v>157</v>
      </c>
      <c r="I52" s="246" t="s">
        <v>155</v>
      </c>
      <c r="J52" s="246" t="s">
        <v>38</v>
      </c>
      <c r="K52" s="246" t="s">
        <v>156</v>
      </c>
      <c r="L52" s="246">
        <v>3</v>
      </c>
      <c r="M52" s="246"/>
      <c r="N52" s="246">
        <v>1</v>
      </c>
      <c r="O52" s="246">
        <v>0.9</v>
      </c>
      <c r="P52" s="246">
        <v>0.95</v>
      </c>
      <c r="Q52" s="107">
        <f t="shared" si="0"/>
        <v>0.92500000000000004</v>
      </c>
      <c r="R52" s="246">
        <v>15.3</v>
      </c>
      <c r="S52" s="246">
        <v>146</v>
      </c>
      <c r="T52" s="108">
        <f t="shared" si="1"/>
        <v>22</v>
      </c>
      <c r="U52" s="246">
        <v>138</v>
      </c>
      <c r="V52" s="109">
        <f t="shared" si="2"/>
        <v>3036</v>
      </c>
      <c r="W52" s="246">
        <v>11</v>
      </c>
      <c r="X52" s="246" t="s">
        <v>46</v>
      </c>
      <c r="Y52" s="246" t="s">
        <v>55</v>
      </c>
      <c r="Z52" s="246" t="s">
        <v>97</v>
      </c>
      <c r="AA52" s="246" t="s">
        <v>69</v>
      </c>
      <c r="AB52" s="246" t="s">
        <v>341</v>
      </c>
    </row>
    <row r="53" spans="1:28" s="115" customFormat="1" x14ac:dyDescent="0.15">
      <c r="A53" s="246" t="s">
        <v>51</v>
      </c>
      <c r="B53" s="246" t="s">
        <v>339</v>
      </c>
      <c r="C53" s="246">
        <v>2018</v>
      </c>
      <c r="D53" s="106" t="s">
        <v>419</v>
      </c>
      <c r="E53" s="246" t="s">
        <v>204</v>
      </c>
      <c r="F53" s="246" t="s">
        <v>205</v>
      </c>
      <c r="G53" s="246" t="s">
        <v>42</v>
      </c>
      <c r="H53" s="246" t="s">
        <v>216</v>
      </c>
      <c r="I53" s="246" t="s">
        <v>155</v>
      </c>
      <c r="J53" s="246" t="s">
        <v>38</v>
      </c>
      <c r="K53" s="246" t="s">
        <v>156</v>
      </c>
      <c r="L53" s="246">
        <v>1</v>
      </c>
      <c r="M53" s="246"/>
      <c r="N53" s="246">
        <v>5</v>
      </c>
      <c r="O53" s="246">
        <v>0.6</v>
      </c>
      <c r="P53" s="246">
        <v>0.55000000000000004</v>
      </c>
      <c r="Q53" s="107">
        <f t="shared" si="0"/>
        <v>0.57499999999999996</v>
      </c>
      <c r="R53" s="246">
        <v>16.7</v>
      </c>
      <c r="S53" s="246">
        <v>102</v>
      </c>
      <c r="T53" s="108">
        <f t="shared" si="1"/>
        <v>33</v>
      </c>
      <c r="U53" s="246">
        <v>498</v>
      </c>
      <c r="V53" s="109">
        <f t="shared" si="2"/>
        <v>3286.7999999999997</v>
      </c>
      <c r="W53" s="246">
        <v>11</v>
      </c>
      <c r="X53" s="246" t="s">
        <v>46</v>
      </c>
      <c r="Y53" s="246" t="s">
        <v>55</v>
      </c>
      <c r="Z53" s="246" t="s">
        <v>97</v>
      </c>
      <c r="AA53" s="246" t="s">
        <v>69</v>
      </c>
      <c r="AB53" s="246" t="s">
        <v>341</v>
      </c>
    </row>
    <row r="54" spans="1:28" s="115" customFormat="1" x14ac:dyDescent="0.15">
      <c r="A54" s="246" t="s">
        <v>51</v>
      </c>
      <c r="B54" s="246" t="s">
        <v>339</v>
      </c>
      <c r="C54" s="246">
        <v>2018</v>
      </c>
      <c r="D54" s="106" t="s">
        <v>419</v>
      </c>
      <c r="E54" s="246" t="s">
        <v>204</v>
      </c>
      <c r="F54" s="246" t="s">
        <v>205</v>
      </c>
      <c r="G54" s="246" t="s">
        <v>42</v>
      </c>
      <c r="H54" s="246" t="s">
        <v>216</v>
      </c>
      <c r="I54" s="246" t="s">
        <v>155</v>
      </c>
      <c r="J54" s="246" t="s">
        <v>38</v>
      </c>
      <c r="K54" s="246" t="s">
        <v>156</v>
      </c>
      <c r="L54" s="246">
        <v>2</v>
      </c>
      <c r="M54" s="246"/>
      <c r="N54" s="246">
        <v>5</v>
      </c>
      <c r="O54" s="246">
        <v>0.7</v>
      </c>
      <c r="P54" s="246">
        <v>0.6</v>
      </c>
      <c r="Q54" s="107">
        <f t="shared" si="0"/>
        <v>0.64999999999999991</v>
      </c>
      <c r="R54" s="246">
        <v>16.899999999999999</v>
      </c>
      <c r="S54" s="246">
        <v>104</v>
      </c>
      <c r="T54" s="108">
        <f t="shared" si="1"/>
        <v>33</v>
      </c>
      <c r="U54" s="246">
        <v>498</v>
      </c>
      <c r="V54" s="109">
        <f t="shared" si="2"/>
        <v>3286.7999999999997</v>
      </c>
      <c r="W54" s="246">
        <v>11</v>
      </c>
      <c r="X54" s="246" t="s">
        <v>46</v>
      </c>
      <c r="Y54" s="246" t="s">
        <v>55</v>
      </c>
      <c r="Z54" s="246" t="s">
        <v>97</v>
      </c>
      <c r="AA54" s="246" t="s">
        <v>69</v>
      </c>
      <c r="AB54" s="246" t="s">
        <v>341</v>
      </c>
    </row>
    <row r="55" spans="1:28" s="115" customFormat="1" x14ac:dyDescent="0.15">
      <c r="A55" s="246" t="s">
        <v>51</v>
      </c>
      <c r="B55" s="246" t="s">
        <v>339</v>
      </c>
      <c r="C55" s="246">
        <v>2018</v>
      </c>
      <c r="D55" s="106" t="s">
        <v>419</v>
      </c>
      <c r="E55" s="246" t="s">
        <v>204</v>
      </c>
      <c r="F55" s="246" t="s">
        <v>205</v>
      </c>
      <c r="G55" s="246" t="s">
        <v>42</v>
      </c>
      <c r="H55" s="246" t="s">
        <v>216</v>
      </c>
      <c r="I55" s="246" t="s">
        <v>155</v>
      </c>
      <c r="J55" s="246" t="s">
        <v>38</v>
      </c>
      <c r="K55" s="246" t="s">
        <v>156</v>
      </c>
      <c r="L55" s="246">
        <v>3</v>
      </c>
      <c r="M55" s="246"/>
      <c r="N55" s="246">
        <v>5</v>
      </c>
      <c r="O55" s="246">
        <v>0.5</v>
      </c>
      <c r="P55" s="246">
        <v>0.55000000000000004</v>
      </c>
      <c r="Q55" s="107">
        <f t="shared" si="0"/>
        <v>0.52500000000000002</v>
      </c>
      <c r="R55" s="246">
        <v>16.5</v>
      </c>
      <c r="S55" s="246">
        <v>98</v>
      </c>
      <c r="T55" s="108">
        <f t="shared" si="1"/>
        <v>36</v>
      </c>
      <c r="U55" s="246">
        <v>498</v>
      </c>
      <c r="V55" s="109">
        <f t="shared" si="2"/>
        <v>3585.6</v>
      </c>
      <c r="W55" s="246">
        <v>11</v>
      </c>
      <c r="X55" s="246" t="s">
        <v>46</v>
      </c>
      <c r="Y55" s="246" t="s">
        <v>55</v>
      </c>
      <c r="Z55" s="246" t="s">
        <v>97</v>
      </c>
      <c r="AA55" s="246" t="s">
        <v>69</v>
      </c>
      <c r="AB55" s="246" t="s">
        <v>341</v>
      </c>
    </row>
    <row r="56" spans="1:28" s="115" customFormat="1" x14ac:dyDescent="0.15">
      <c r="A56" s="246" t="s">
        <v>51</v>
      </c>
      <c r="B56" s="246" t="s">
        <v>339</v>
      </c>
      <c r="C56" s="246">
        <v>2018</v>
      </c>
      <c r="D56" s="106" t="s">
        <v>419</v>
      </c>
      <c r="E56" s="246" t="s">
        <v>204</v>
      </c>
      <c r="F56" s="246" t="s">
        <v>205</v>
      </c>
      <c r="G56" s="246" t="s">
        <v>42</v>
      </c>
      <c r="H56" s="246" t="s">
        <v>168</v>
      </c>
      <c r="I56" s="246" t="s">
        <v>155</v>
      </c>
      <c r="J56" s="246" t="s">
        <v>38</v>
      </c>
      <c r="K56" s="246" t="s">
        <v>156</v>
      </c>
      <c r="L56" s="246">
        <v>1</v>
      </c>
      <c r="M56" s="246"/>
      <c r="N56" s="246">
        <v>1</v>
      </c>
      <c r="O56" s="246">
        <v>0.8</v>
      </c>
      <c r="P56" s="246">
        <v>0.75</v>
      </c>
      <c r="Q56" s="107">
        <f t="shared" si="0"/>
        <v>0.77500000000000002</v>
      </c>
      <c r="R56" s="246">
        <v>15.9</v>
      </c>
      <c r="S56" s="246">
        <v>134</v>
      </c>
      <c r="T56" s="108">
        <f t="shared" si="1"/>
        <v>25</v>
      </c>
      <c r="U56" s="246">
        <v>138</v>
      </c>
      <c r="V56" s="109">
        <f t="shared" si="2"/>
        <v>3450</v>
      </c>
      <c r="W56" s="246">
        <v>11</v>
      </c>
      <c r="X56" s="246" t="s">
        <v>46</v>
      </c>
      <c r="Y56" s="246" t="s">
        <v>55</v>
      </c>
      <c r="Z56" s="246" t="s">
        <v>97</v>
      </c>
      <c r="AA56" s="246" t="s">
        <v>69</v>
      </c>
      <c r="AB56" s="246" t="s">
        <v>341</v>
      </c>
    </row>
    <row r="57" spans="1:28" s="115" customFormat="1" x14ac:dyDescent="0.15">
      <c r="A57" s="246" t="s">
        <v>51</v>
      </c>
      <c r="B57" s="246" t="s">
        <v>339</v>
      </c>
      <c r="C57" s="246">
        <v>2018</v>
      </c>
      <c r="D57" s="106" t="s">
        <v>419</v>
      </c>
      <c r="E57" s="246" t="s">
        <v>204</v>
      </c>
      <c r="F57" s="246" t="s">
        <v>205</v>
      </c>
      <c r="G57" s="246" t="s">
        <v>42</v>
      </c>
      <c r="H57" s="246" t="s">
        <v>168</v>
      </c>
      <c r="I57" s="246" t="s">
        <v>155</v>
      </c>
      <c r="J57" s="246" t="s">
        <v>38</v>
      </c>
      <c r="K57" s="246" t="s">
        <v>156</v>
      </c>
      <c r="L57" s="246">
        <v>2</v>
      </c>
      <c r="M57" s="246"/>
      <c r="N57" s="246">
        <v>1</v>
      </c>
      <c r="O57" s="246">
        <v>0.7</v>
      </c>
      <c r="P57" s="246">
        <v>0.8</v>
      </c>
      <c r="Q57" s="107">
        <f t="shared" si="0"/>
        <v>0.75</v>
      </c>
      <c r="R57" s="246">
        <v>16.2</v>
      </c>
      <c r="S57" s="246">
        <v>138</v>
      </c>
      <c r="T57" s="108">
        <f t="shared" si="1"/>
        <v>22</v>
      </c>
      <c r="U57" s="246">
        <v>138</v>
      </c>
      <c r="V57" s="109">
        <f t="shared" si="2"/>
        <v>3036</v>
      </c>
      <c r="W57" s="246">
        <v>11</v>
      </c>
      <c r="X57" s="246" t="s">
        <v>46</v>
      </c>
      <c r="Y57" s="246" t="s">
        <v>55</v>
      </c>
      <c r="Z57" s="246" t="s">
        <v>97</v>
      </c>
      <c r="AA57" s="246" t="s">
        <v>69</v>
      </c>
      <c r="AB57" s="246" t="s">
        <v>341</v>
      </c>
    </row>
    <row r="58" spans="1:28" s="115" customFormat="1" x14ac:dyDescent="0.15">
      <c r="A58" s="246" t="s">
        <v>51</v>
      </c>
      <c r="B58" s="246" t="s">
        <v>339</v>
      </c>
      <c r="C58" s="246">
        <v>2018</v>
      </c>
      <c r="D58" s="106" t="s">
        <v>419</v>
      </c>
      <c r="E58" s="246" t="s">
        <v>204</v>
      </c>
      <c r="F58" s="246" t="s">
        <v>205</v>
      </c>
      <c r="G58" s="246" t="s">
        <v>42</v>
      </c>
      <c r="H58" s="246" t="s">
        <v>168</v>
      </c>
      <c r="I58" s="246" t="s">
        <v>155</v>
      </c>
      <c r="J58" s="246" t="s">
        <v>38</v>
      </c>
      <c r="K58" s="246" t="s">
        <v>156</v>
      </c>
      <c r="L58" s="246">
        <v>3</v>
      </c>
      <c r="M58" s="246"/>
      <c r="N58" s="246">
        <v>1</v>
      </c>
      <c r="O58" s="246">
        <v>0.8</v>
      </c>
      <c r="P58" s="246">
        <v>0.6</v>
      </c>
      <c r="Q58" s="107">
        <f t="shared" si="0"/>
        <v>0.7</v>
      </c>
      <c r="R58" s="246">
        <v>17.399999999999999</v>
      </c>
      <c r="S58" s="246">
        <v>144</v>
      </c>
      <c r="T58" s="108">
        <f t="shared" si="1"/>
        <v>22</v>
      </c>
      <c r="U58" s="246">
        <v>138</v>
      </c>
      <c r="V58" s="109">
        <f t="shared" si="2"/>
        <v>3036</v>
      </c>
      <c r="W58" s="246">
        <v>11</v>
      </c>
      <c r="X58" s="246" t="s">
        <v>46</v>
      </c>
      <c r="Y58" s="246" t="s">
        <v>55</v>
      </c>
      <c r="Z58" s="246" t="s">
        <v>97</v>
      </c>
      <c r="AA58" s="246" t="s">
        <v>69</v>
      </c>
      <c r="AB58" s="246" t="s">
        <v>341</v>
      </c>
    </row>
    <row r="59" spans="1:28" s="115" customFormat="1" x14ac:dyDescent="0.15">
      <c r="A59" s="246" t="s">
        <v>51</v>
      </c>
      <c r="B59" s="246" t="s">
        <v>339</v>
      </c>
      <c r="C59" s="246">
        <v>2018</v>
      </c>
      <c r="D59" s="106" t="s">
        <v>419</v>
      </c>
      <c r="E59" s="246" t="s">
        <v>210</v>
      </c>
      <c r="F59" s="246" t="s">
        <v>198</v>
      </c>
      <c r="G59" s="246" t="s">
        <v>36</v>
      </c>
      <c r="H59" s="246" t="s">
        <v>157</v>
      </c>
      <c r="I59" s="246" t="s">
        <v>155</v>
      </c>
      <c r="J59" s="246" t="s">
        <v>38</v>
      </c>
      <c r="K59" s="246" t="s">
        <v>156</v>
      </c>
      <c r="L59" s="115">
        <v>1</v>
      </c>
      <c r="N59" s="246">
        <v>3</v>
      </c>
      <c r="O59" s="115">
        <v>0.9</v>
      </c>
      <c r="P59" s="115">
        <v>0.8</v>
      </c>
      <c r="Q59" s="107">
        <f t="shared" si="0"/>
        <v>0.85000000000000009</v>
      </c>
      <c r="R59" s="115">
        <v>15.9</v>
      </c>
      <c r="S59" s="115">
        <v>162</v>
      </c>
      <c r="T59" s="108">
        <f t="shared" si="1"/>
        <v>18</v>
      </c>
      <c r="U59" s="246">
        <v>498</v>
      </c>
      <c r="V59" s="109">
        <f t="shared" si="2"/>
        <v>2988</v>
      </c>
      <c r="W59" s="246">
        <v>8</v>
      </c>
      <c r="X59" s="246" t="s">
        <v>46</v>
      </c>
      <c r="Y59" s="246" t="s">
        <v>55</v>
      </c>
      <c r="Z59" s="246" t="s">
        <v>97</v>
      </c>
      <c r="AA59" s="130" t="s">
        <v>47</v>
      </c>
      <c r="AB59" s="246" t="s">
        <v>341</v>
      </c>
    </row>
    <row r="60" spans="1:28" s="115" customFormat="1" x14ac:dyDescent="0.15">
      <c r="A60" s="246" t="s">
        <v>51</v>
      </c>
      <c r="B60" s="246" t="s">
        <v>339</v>
      </c>
      <c r="C60" s="246">
        <v>2018</v>
      </c>
      <c r="D60" s="106" t="s">
        <v>419</v>
      </c>
      <c r="E60" s="246" t="s">
        <v>210</v>
      </c>
      <c r="F60" s="246" t="s">
        <v>198</v>
      </c>
      <c r="G60" s="246" t="s">
        <v>36</v>
      </c>
      <c r="H60" s="246" t="s">
        <v>157</v>
      </c>
      <c r="I60" s="246" t="s">
        <v>155</v>
      </c>
      <c r="J60" s="246" t="s">
        <v>38</v>
      </c>
      <c r="K60" s="246" t="s">
        <v>156</v>
      </c>
      <c r="L60" s="115">
        <v>2</v>
      </c>
      <c r="N60" s="246">
        <v>3</v>
      </c>
      <c r="O60" s="115">
        <v>0.95</v>
      </c>
      <c r="P60" s="115">
        <v>0.85</v>
      </c>
      <c r="Q60" s="107">
        <f t="shared" si="0"/>
        <v>0.89999999999999991</v>
      </c>
      <c r="R60" s="115">
        <v>15.6</v>
      </c>
      <c r="S60" s="115">
        <v>156</v>
      </c>
      <c r="T60" s="108">
        <f t="shared" si="1"/>
        <v>18</v>
      </c>
      <c r="U60" s="246">
        <v>498</v>
      </c>
      <c r="V60" s="109">
        <f t="shared" si="2"/>
        <v>2988</v>
      </c>
      <c r="W60" s="246">
        <v>8</v>
      </c>
      <c r="X60" s="246" t="s">
        <v>46</v>
      </c>
      <c r="Y60" s="246" t="s">
        <v>55</v>
      </c>
      <c r="Z60" s="246" t="s">
        <v>97</v>
      </c>
      <c r="AA60" s="130" t="s">
        <v>47</v>
      </c>
      <c r="AB60" s="246" t="s">
        <v>341</v>
      </c>
    </row>
    <row r="61" spans="1:28" s="115" customFormat="1" x14ac:dyDescent="0.15">
      <c r="A61" s="246" t="s">
        <v>51</v>
      </c>
      <c r="B61" s="246" t="s">
        <v>339</v>
      </c>
      <c r="C61" s="246">
        <v>2018</v>
      </c>
      <c r="D61" s="106" t="s">
        <v>419</v>
      </c>
      <c r="E61" s="246" t="s">
        <v>210</v>
      </c>
      <c r="F61" s="246" t="s">
        <v>198</v>
      </c>
      <c r="G61" s="246" t="s">
        <v>36</v>
      </c>
      <c r="H61" s="246" t="s">
        <v>157</v>
      </c>
      <c r="I61" s="246" t="s">
        <v>155</v>
      </c>
      <c r="J61" s="246" t="s">
        <v>38</v>
      </c>
      <c r="K61" s="246" t="s">
        <v>156</v>
      </c>
      <c r="L61" s="115">
        <v>3</v>
      </c>
      <c r="N61" s="246">
        <v>3</v>
      </c>
      <c r="O61" s="115">
        <v>0.85</v>
      </c>
      <c r="P61" s="115">
        <v>0.75</v>
      </c>
      <c r="Q61" s="107">
        <f t="shared" si="0"/>
        <v>0.8</v>
      </c>
      <c r="R61" s="115">
        <v>16.8</v>
      </c>
      <c r="S61" s="115">
        <v>174</v>
      </c>
      <c r="T61" s="108">
        <f t="shared" si="1"/>
        <v>18</v>
      </c>
      <c r="U61" s="246">
        <v>498</v>
      </c>
      <c r="V61" s="109">
        <f t="shared" si="2"/>
        <v>2988</v>
      </c>
      <c r="W61" s="246">
        <v>8</v>
      </c>
      <c r="X61" s="246" t="s">
        <v>46</v>
      </c>
      <c r="Y61" s="246" t="s">
        <v>55</v>
      </c>
      <c r="Z61" s="246" t="s">
        <v>97</v>
      </c>
      <c r="AA61" s="130" t="s">
        <v>47</v>
      </c>
      <c r="AB61" s="246" t="s">
        <v>341</v>
      </c>
    </row>
    <row r="62" spans="1:28" s="115" customFormat="1" x14ac:dyDescent="0.15">
      <c r="A62" s="246" t="s">
        <v>51</v>
      </c>
      <c r="B62" s="246" t="s">
        <v>339</v>
      </c>
      <c r="C62" s="246">
        <v>2018</v>
      </c>
      <c r="D62" s="106" t="s">
        <v>419</v>
      </c>
      <c r="E62" s="246" t="s">
        <v>210</v>
      </c>
      <c r="F62" s="246" t="s">
        <v>198</v>
      </c>
      <c r="G62" s="246" t="s">
        <v>36</v>
      </c>
      <c r="H62" s="246" t="s">
        <v>157</v>
      </c>
      <c r="I62" s="246" t="s">
        <v>158</v>
      </c>
      <c r="J62" s="246" t="s">
        <v>38</v>
      </c>
      <c r="K62" s="246" t="s">
        <v>156</v>
      </c>
      <c r="L62" s="115">
        <v>1</v>
      </c>
      <c r="N62" s="246">
        <v>2</v>
      </c>
      <c r="O62" s="115">
        <v>0.85</v>
      </c>
      <c r="P62" s="115">
        <v>0.85</v>
      </c>
      <c r="Q62" s="107">
        <f t="shared" si="0"/>
        <v>0.85</v>
      </c>
      <c r="R62" s="115">
        <v>15.1</v>
      </c>
      <c r="S62" s="115">
        <v>148</v>
      </c>
      <c r="T62" s="108">
        <f t="shared" si="1"/>
        <v>22</v>
      </c>
      <c r="U62" s="246">
        <v>398</v>
      </c>
      <c r="V62" s="109">
        <f t="shared" si="2"/>
        <v>4378</v>
      </c>
      <c r="W62" s="246">
        <v>8</v>
      </c>
      <c r="X62" s="246" t="s">
        <v>39</v>
      </c>
      <c r="Y62" s="246" t="s">
        <v>55</v>
      </c>
      <c r="Z62" s="246" t="s">
        <v>97</v>
      </c>
      <c r="AA62" s="130" t="s">
        <v>47</v>
      </c>
      <c r="AB62" s="246" t="s">
        <v>341</v>
      </c>
    </row>
    <row r="63" spans="1:28" s="115" customFormat="1" x14ac:dyDescent="0.15">
      <c r="A63" s="246" t="s">
        <v>51</v>
      </c>
      <c r="B63" s="246" t="s">
        <v>339</v>
      </c>
      <c r="C63" s="246">
        <v>2018</v>
      </c>
      <c r="D63" s="106" t="s">
        <v>419</v>
      </c>
      <c r="E63" s="246" t="s">
        <v>210</v>
      </c>
      <c r="F63" s="246" t="s">
        <v>198</v>
      </c>
      <c r="G63" s="246" t="s">
        <v>36</v>
      </c>
      <c r="H63" s="246" t="s">
        <v>157</v>
      </c>
      <c r="I63" s="246" t="s">
        <v>158</v>
      </c>
      <c r="J63" s="246" t="s">
        <v>38</v>
      </c>
      <c r="K63" s="246" t="s">
        <v>156</v>
      </c>
      <c r="L63" s="115">
        <v>2</v>
      </c>
      <c r="N63" s="246">
        <v>2</v>
      </c>
      <c r="O63" s="115">
        <v>0.9</v>
      </c>
      <c r="P63" s="115">
        <v>0.8</v>
      </c>
      <c r="Q63" s="107">
        <f t="shared" si="0"/>
        <v>0.85000000000000009</v>
      </c>
      <c r="R63" s="115">
        <v>14.8</v>
      </c>
      <c r="S63" s="115">
        <v>146</v>
      </c>
      <c r="T63" s="108">
        <f t="shared" si="1"/>
        <v>22</v>
      </c>
      <c r="U63" s="246">
        <v>398</v>
      </c>
      <c r="V63" s="109">
        <f t="shared" si="2"/>
        <v>4378</v>
      </c>
      <c r="W63" s="246">
        <v>8</v>
      </c>
      <c r="X63" s="246" t="s">
        <v>39</v>
      </c>
      <c r="Y63" s="246" t="s">
        <v>55</v>
      </c>
      <c r="Z63" s="246" t="s">
        <v>97</v>
      </c>
      <c r="AA63" s="130" t="s">
        <v>47</v>
      </c>
      <c r="AB63" s="246" t="s">
        <v>341</v>
      </c>
    </row>
    <row r="64" spans="1:28" s="115" customFormat="1" x14ac:dyDescent="0.15">
      <c r="A64" s="246" t="s">
        <v>51</v>
      </c>
      <c r="B64" s="246" t="s">
        <v>339</v>
      </c>
      <c r="C64" s="246">
        <v>2018</v>
      </c>
      <c r="D64" s="106" t="s">
        <v>419</v>
      </c>
      <c r="E64" s="246" t="s">
        <v>210</v>
      </c>
      <c r="F64" s="246" t="s">
        <v>198</v>
      </c>
      <c r="G64" s="246" t="s">
        <v>36</v>
      </c>
      <c r="H64" s="246" t="s">
        <v>157</v>
      </c>
      <c r="I64" s="246" t="s">
        <v>158</v>
      </c>
      <c r="J64" s="246" t="s">
        <v>38</v>
      </c>
      <c r="K64" s="246" t="s">
        <v>156</v>
      </c>
      <c r="L64" s="115">
        <v>3</v>
      </c>
      <c r="N64" s="246">
        <v>2</v>
      </c>
      <c r="O64" s="115">
        <v>0.9</v>
      </c>
      <c r="P64" s="115">
        <v>1</v>
      </c>
      <c r="Q64" s="107">
        <f t="shared" si="0"/>
        <v>0.95</v>
      </c>
      <c r="R64" s="115">
        <v>14.4</v>
      </c>
      <c r="S64" s="115">
        <v>138</v>
      </c>
      <c r="T64" s="108">
        <f t="shared" si="1"/>
        <v>22</v>
      </c>
      <c r="U64" s="246">
        <v>398</v>
      </c>
      <c r="V64" s="109">
        <f t="shared" si="2"/>
        <v>4378</v>
      </c>
      <c r="W64" s="246">
        <v>8</v>
      </c>
      <c r="X64" s="246" t="s">
        <v>39</v>
      </c>
      <c r="Y64" s="246" t="s">
        <v>55</v>
      </c>
      <c r="Z64" s="246" t="s">
        <v>97</v>
      </c>
      <c r="AA64" s="130" t="s">
        <v>47</v>
      </c>
      <c r="AB64" s="246" t="s">
        <v>341</v>
      </c>
    </row>
    <row r="65" spans="1:28" s="115" customFormat="1" x14ac:dyDescent="0.15">
      <c r="A65" s="246" t="s">
        <v>51</v>
      </c>
      <c r="B65" s="246" t="s">
        <v>339</v>
      </c>
      <c r="C65" s="246">
        <v>2018</v>
      </c>
      <c r="D65" s="106" t="s">
        <v>419</v>
      </c>
      <c r="E65" s="246" t="s">
        <v>210</v>
      </c>
      <c r="F65" s="246" t="s">
        <v>198</v>
      </c>
      <c r="G65" s="246" t="s">
        <v>36</v>
      </c>
      <c r="H65" s="246" t="s">
        <v>216</v>
      </c>
      <c r="I65" s="246" t="s">
        <v>155</v>
      </c>
      <c r="J65" s="246" t="s">
        <v>38</v>
      </c>
      <c r="K65" s="246" t="s">
        <v>156</v>
      </c>
      <c r="L65" s="115">
        <v>1</v>
      </c>
      <c r="N65" s="246">
        <v>5</v>
      </c>
      <c r="O65" s="115">
        <v>0.7</v>
      </c>
      <c r="P65" s="115">
        <v>0.75</v>
      </c>
      <c r="Q65" s="108">
        <f t="shared" si="0"/>
        <v>0.72499999999999998</v>
      </c>
      <c r="R65" s="115">
        <v>18.3</v>
      </c>
      <c r="S65" s="115">
        <v>94</v>
      </c>
      <c r="T65" s="108">
        <f t="shared" si="1"/>
        <v>36</v>
      </c>
      <c r="U65" s="246">
        <v>398</v>
      </c>
      <c r="V65" s="108">
        <f t="shared" si="2"/>
        <v>2865.6</v>
      </c>
      <c r="W65" s="246">
        <v>8</v>
      </c>
      <c r="X65" s="246" t="s">
        <v>46</v>
      </c>
      <c r="Y65" s="246" t="s">
        <v>55</v>
      </c>
      <c r="Z65" s="246" t="s">
        <v>97</v>
      </c>
      <c r="AA65" s="130" t="s">
        <v>47</v>
      </c>
      <c r="AB65" s="246" t="s">
        <v>341</v>
      </c>
    </row>
    <row r="66" spans="1:28" x14ac:dyDescent="0.15">
      <c r="A66" s="246" t="s">
        <v>51</v>
      </c>
      <c r="B66" s="246" t="s">
        <v>339</v>
      </c>
      <c r="C66" s="246">
        <v>2018</v>
      </c>
      <c r="D66" s="106" t="s">
        <v>419</v>
      </c>
      <c r="E66" s="246" t="s">
        <v>210</v>
      </c>
      <c r="F66" s="246" t="s">
        <v>198</v>
      </c>
      <c r="G66" s="246" t="s">
        <v>36</v>
      </c>
      <c r="H66" s="246" t="s">
        <v>216</v>
      </c>
      <c r="I66" s="246" t="s">
        <v>155</v>
      </c>
      <c r="J66" s="246" t="s">
        <v>38</v>
      </c>
      <c r="K66" s="246" t="s">
        <v>156</v>
      </c>
      <c r="L66" s="98">
        <v>2</v>
      </c>
      <c r="N66" s="130">
        <v>5</v>
      </c>
      <c r="O66" s="98">
        <v>0.75</v>
      </c>
      <c r="P66" s="98">
        <v>0.8</v>
      </c>
      <c r="Q66" s="132">
        <f t="shared" ref="Q66:Q88" si="3">IF(OR(O66="",P66=""),"",AVERAGE(O66,P66))</f>
        <v>0.77500000000000002</v>
      </c>
      <c r="R66" s="98">
        <v>17.2</v>
      </c>
      <c r="S66" s="98">
        <v>85</v>
      </c>
      <c r="T66" s="132">
        <f t="shared" ref="T66:T88" si="4">IF(H66="","",IF(OR(H66="GREEN",H66="GK"),IF(S66&gt;=$AX$2,VLOOKUP(S66,$AX$2:$AY$12,2,1),""),IF(S66&gt;=$AZ$2,VLOOKUP(S66,$AZ$2:$BA$12,2,1),"")))</f>
        <v>36</v>
      </c>
      <c r="U66" s="246">
        <v>398</v>
      </c>
      <c r="V66" s="132">
        <f t="shared" ref="V66:V88" si="5">IF(OR(N66="",U66="",T66=""),"",U66/N66*T66)</f>
        <v>2865.6</v>
      </c>
      <c r="W66" s="246">
        <v>8</v>
      </c>
      <c r="X66" s="246" t="s">
        <v>46</v>
      </c>
      <c r="Y66" s="246" t="s">
        <v>55</v>
      </c>
      <c r="Z66" s="246" t="s">
        <v>97</v>
      </c>
      <c r="AA66" s="130" t="s">
        <v>47</v>
      </c>
      <c r="AB66" s="246" t="s">
        <v>341</v>
      </c>
    </row>
    <row r="67" spans="1:28" x14ac:dyDescent="0.15">
      <c r="A67" s="246" t="s">
        <v>51</v>
      </c>
      <c r="B67" s="246" t="s">
        <v>339</v>
      </c>
      <c r="C67" s="246">
        <v>2018</v>
      </c>
      <c r="D67" s="106" t="s">
        <v>419</v>
      </c>
      <c r="E67" s="246" t="s">
        <v>210</v>
      </c>
      <c r="F67" s="246" t="s">
        <v>198</v>
      </c>
      <c r="G67" s="246" t="s">
        <v>36</v>
      </c>
      <c r="H67" s="246" t="s">
        <v>216</v>
      </c>
      <c r="I67" s="246" t="s">
        <v>155</v>
      </c>
      <c r="J67" s="246" t="s">
        <v>38</v>
      </c>
      <c r="K67" s="246" t="s">
        <v>156</v>
      </c>
      <c r="L67" s="98">
        <v>3</v>
      </c>
      <c r="N67" s="130">
        <v>5</v>
      </c>
      <c r="O67" s="115">
        <v>0.75</v>
      </c>
      <c r="P67" s="98">
        <v>0.75</v>
      </c>
      <c r="Q67" s="132">
        <f t="shared" si="3"/>
        <v>0.75</v>
      </c>
      <c r="R67" s="98">
        <v>18.100000000000001</v>
      </c>
      <c r="S67" s="98">
        <v>95</v>
      </c>
      <c r="T67" s="132">
        <f t="shared" si="4"/>
        <v>36</v>
      </c>
      <c r="U67" s="246">
        <v>398</v>
      </c>
      <c r="V67" s="132">
        <f t="shared" si="5"/>
        <v>2865.6</v>
      </c>
      <c r="W67" s="246">
        <v>8</v>
      </c>
      <c r="X67" s="246" t="s">
        <v>46</v>
      </c>
      <c r="Y67" s="246" t="s">
        <v>55</v>
      </c>
      <c r="Z67" s="246" t="s">
        <v>97</v>
      </c>
      <c r="AA67" s="130" t="s">
        <v>47</v>
      </c>
      <c r="AB67" s="246" t="s">
        <v>341</v>
      </c>
    </row>
    <row r="68" spans="1:28" x14ac:dyDescent="0.15">
      <c r="A68" s="246" t="s">
        <v>51</v>
      </c>
      <c r="B68" s="246" t="s">
        <v>339</v>
      </c>
      <c r="C68" s="246">
        <v>2018</v>
      </c>
      <c r="D68" s="106" t="s">
        <v>419</v>
      </c>
      <c r="E68" s="246" t="s">
        <v>210</v>
      </c>
      <c r="F68" s="246" t="s">
        <v>198</v>
      </c>
      <c r="G68" s="246" t="s">
        <v>36</v>
      </c>
      <c r="H68" s="246" t="s">
        <v>168</v>
      </c>
      <c r="I68" s="246" t="s">
        <v>155</v>
      </c>
      <c r="J68" s="246" t="s">
        <v>38</v>
      </c>
      <c r="K68" s="246" t="s">
        <v>156</v>
      </c>
      <c r="L68" s="98">
        <v>1</v>
      </c>
      <c r="N68" s="130">
        <v>3</v>
      </c>
      <c r="O68" s="98">
        <v>0.7</v>
      </c>
      <c r="P68" s="98">
        <v>0.8</v>
      </c>
      <c r="Q68" s="132">
        <f t="shared" si="3"/>
        <v>0.75</v>
      </c>
      <c r="R68" s="98">
        <v>17</v>
      </c>
      <c r="S68" s="98">
        <v>152</v>
      </c>
      <c r="T68" s="132">
        <f t="shared" si="4"/>
        <v>18</v>
      </c>
      <c r="U68" s="246">
        <v>498</v>
      </c>
      <c r="V68" s="132">
        <f t="shared" si="5"/>
        <v>2988</v>
      </c>
      <c r="W68" s="246">
        <v>8</v>
      </c>
      <c r="X68" s="246" t="s">
        <v>46</v>
      </c>
      <c r="Y68" s="246" t="s">
        <v>55</v>
      </c>
      <c r="Z68" s="246" t="s">
        <v>97</v>
      </c>
      <c r="AA68" s="130" t="s">
        <v>47</v>
      </c>
      <c r="AB68" s="246" t="s">
        <v>341</v>
      </c>
    </row>
    <row r="69" spans="1:28" x14ac:dyDescent="0.15">
      <c r="A69" s="246" t="s">
        <v>51</v>
      </c>
      <c r="B69" s="246" t="s">
        <v>339</v>
      </c>
      <c r="C69" s="246">
        <v>2018</v>
      </c>
      <c r="D69" s="106" t="s">
        <v>419</v>
      </c>
      <c r="E69" s="246" t="s">
        <v>210</v>
      </c>
      <c r="F69" s="246" t="s">
        <v>198</v>
      </c>
      <c r="G69" s="246" t="s">
        <v>36</v>
      </c>
      <c r="H69" s="246" t="s">
        <v>168</v>
      </c>
      <c r="I69" s="246" t="s">
        <v>155</v>
      </c>
      <c r="J69" s="246" t="s">
        <v>38</v>
      </c>
      <c r="K69" s="246" t="s">
        <v>156</v>
      </c>
      <c r="L69" s="98">
        <v>2</v>
      </c>
      <c r="N69" s="130">
        <v>3</v>
      </c>
      <c r="O69" s="115">
        <v>0.75</v>
      </c>
      <c r="P69" s="98">
        <v>0.75</v>
      </c>
      <c r="Q69" s="132">
        <f t="shared" si="3"/>
        <v>0.75</v>
      </c>
      <c r="R69" s="98">
        <v>17.600000000000001</v>
      </c>
      <c r="S69" s="98">
        <v>168</v>
      </c>
      <c r="T69" s="132">
        <f t="shared" si="4"/>
        <v>18</v>
      </c>
      <c r="U69" s="246">
        <v>498</v>
      </c>
      <c r="V69" s="132">
        <f t="shared" si="5"/>
        <v>2988</v>
      </c>
      <c r="W69" s="246">
        <v>8</v>
      </c>
      <c r="X69" s="246" t="s">
        <v>46</v>
      </c>
      <c r="Y69" s="246" t="s">
        <v>55</v>
      </c>
      <c r="Z69" s="246" t="s">
        <v>97</v>
      </c>
      <c r="AA69" s="130" t="s">
        <v>47</v>
      </c>
      <c r="AB69" s="246" t="s">
        <v>341</v>
      </c>
    </row>
    <row r="70" spans="1:28" x14ac:dyDescent="0.15">
      <c r="A70" s="246" t="s">
        <v>51</v>
      </c>
      <c r="B70" s="246" t="s">
        <v>339</v>
      </c>
      <c r="C70" s="246">
        <v>2018</v>
      </c>
      <c r="D70" s="106" t="s">
        <v>419</v>
      </c>
      <c r="E70" s="246" t="s">
        <v>210</v>
      </c>
      <c r="F70" s="246" t="s">
        <v>198</v>
      </c>
      <c r="G70" s="246" t="s">
        <v>36</v>
      </c>
      <c r="H70" s="246" t="s">
        <v>168</v>
      </c>
      <c r="I70" s="246" t="s">
        <v>155</v>
      </c>
      <c r="J70" s="246" t="s">
        <v>38</v>
      </c>
      <c r="K70" s="246" t="s">
        <v>156</v>
      </c>
      <c r="L70" s="98">
        <v>3</v>
      </c>
      <c r="N70" s="130">
        <v>3</v>
      </c>
      <c r="O70" s="98">
        <v>0.8</v>
      </c>
      <c r="P70" s="98">
        <v>0.8</v>
      </c>
      <c r="Q70" s="132">
        <f t="shared" si="3"/>
        <v>0.8</v>
      </c>
      <c r="R70" s="98">
        <v>17.899999999999999</v>
      </c>
      <c r="S70" s="98">
        <v>176</v>
      </c>
      <c r="T70" s="132">
        <f t="shared" si="4"/>
        <v>18</v>
      </c>
      <c r="U70" s="246">
        <v>498</v>
      </c>
      <c r="V70" s="132">
        <f t="shared" si="5"/>
        <v>2988</v>
      </c>
      <c r="W70" s="246">
        <v>8</v>
      </c>
      <c r="X70" s="246" t="s">
        <v>46</v>
      </c>
      <c r="Y70" s="246" t="s">
        <v>55</v>
      </c>
      <c r="Z70" s="246" t="s">
        <v>97</v>
      </c>
      <c r="AA70" s="130" t="s">
        <v>47</v>
      </c>
      <c r="AB70" s="246" t="s">
        <v>341</v>
      </c>
    </row>
    <row r="71" spans="1:28" x14ac:dyDescent="0.15">
      <c r="A71" s="246" t="s">
        <v>51</v>
      </c>
      <c r="B71" s="246" t="s">
        <v>339</v>
      </c>
      <c r="C71" s="246">
        <v>2018</v>
      </c>
      <c r="D71" s="106" t="s">
        <v>419</v>
      </c>
      <c r="E71" s="246" t="s">
        <v>218</v>
      </c>
      <c r="F71" s="246" t="s">
        <v>219</v>
      </c>
      <c r="G71" s="246" t="s">
        <v>36</v>
      </c>
      <c r="H71" s="246" t="s">
        <v>157</v>
      </c>
      <c r="I71" s="246" t="s">
        <v>155</v>
      </c>
      <c r="J71" s="246" t="s">
        <v>38</v>
      </c>
      <c r="K71" s="246" t="s">
        <v>156</v>
      </c>
      <c r="L71" s="98">
        <v>1</v>
      </c>
      <c r="N71" s="130">
        <v>3</v>
      </c>
      <c r="O71" s="98">
        <v>0.9</v>
      </c>
      <c r="P71" s="98">
        <v>0.85</v>
      </c>
      <c r="Q71" s="132">
        <f t="shared" si="3"/>
        <v>0.875</v>
      </c>
      <c r="R71" s="98">
        <v>16.3</v>
      </c>
      <c r="S71" s="98">
        <v>182</v>
      </c>
      <c r="T71" s="132">
        <f t="shared" si="4"/>
        <v>16</v>
      </c>
      <c r="U71" s="246">
        <v>398</v>
      </c>
      <c r="V71" s="132">
        <f t="shared" si="5"/>
        <v>2122.6666666666665</v>
      </c>
      <c r="W71" s="130">
        <v>15</v>
      </c>
      <c r="X71" s="246" t="s">
        <v>46</v>
      </c>
      <c r="Y71" s="246" t="s">
        <v>55</v>
      </c>
      <c r="Z71" s="130" t="s">
        <v>69</v>
      </c>
      <c r="AA71" s="130" t="s">
        <v>86</v>
      </c>
      <c r="AB71" s="246" t="s">
        <v>341</v>
      </c>
    </row>
    <row r="72" spans="1:28" x14ac:dyDescent="0.15">
      <c r="A72" s="246" t="s">
        <v>51</v>
      </c>
      <c r="B72" s="246" t="s">
        <v>339</v>
      </c>
      <c r="C72" s="246">
        <v>2018</v>
      </c>
      <c r="D72" s="106" t="s">
        <v>419</v>
      </c>
      <c r="E72" s="246" t="s">
        <v>218</v>
      </c>
      <c r="F72" s="246" t="s">
        <v>219</v>
      </c>
      <c r="G72" s="246" t="s">
        <v>36</v>
      </c>
      <c r="H72" s="246" t="s">
        <v>157</v>
      </c>
      <c r="I72" s="246" t="s">
        <v>155</v>
      </c>
      <c r="J72" s="246" t="s">
        <v>38</v>
      </c>
      <c r="K72" s="246" t="s">
        <v>156</v>
      </c>
      <c r="L72" s="98">
        <v>2</v>
      </c>
      <c r="N72" s="130">
        <v>3</v>
      </c>
      <c r="O72" s="98">
        <v>1</v>
      </c>
      <c r="P72" s="98">
        <v>0.9</v>
      </c>
      <c r="Q72" s="132">
        <f t="shared" si="3"/>
        <v>0.95</v>
      </c>
      <c r="R72" s="98">
        <v>15</v>
      </c>
      <c r="S72" s="98">
        <v>172</v>
      </c>
      <c r="T72" s="132">
        <f t="shared" si="4"/>
        <v>18</v>
      </c>
      <c r="U72" s="246">
        <v>398</v>
      </c>
      <c r="V72" s="132">
        <f t="shared" si="5"/>
        <v>2388</v>
      </c>
      <c r="W72" s="130">
        <v>15</v>
      </c>
      <c r="X72" s="246" t="s">
        <v>46</v>
      </c>
      <c r="Y72" s="246" t="s">
        <v>55</v>
      </c>
      <c r="Z72" s="130" t="s">
        <v>69</v>
      </c>
      <c r="AA72" s="130" t="s">
        <v>86</v>
      </c>
      <c r="AB72" s="246" t="s">
        <v>341</v>
      </c>
    </row>
    <row r="73" spans="1:28" x14ac:dyDescent="0.15">
      <c r="A73" s="246" t="s">
        <v>51</v>
      </c>
      <c r="B73" s="246" t="s">
        <v>339</v>
      </c>
      <c r="C73" s="246">
        <v>2018</v>
      </c>
      <c r="D73" s="106" t="s">
        <v>419</v>
      </c>
      <c r="E73" s="246" t="s">
        <v>218</v>
      </c>
      <c r="F73" s="246" t="s">
        <v>219</v>
      </c>
      <c r="G73" s="246" t="s">
        <v>36</v>
      </c>
      <c r="H73" s="246" t="s">
        <v>157</v>
      </c>
      <c r="I73" s="246" t="s">
        <v>155</v>
      </c>
      <c r="J73" s="246" t="s">
        <v>38</v>
      </c>
      <c r="K73" s="246" t="s">
        <v>156</v>
      </c>
      <c r="L73" s="98">
        <v>3</v>
      </c>
      <c r="N73" s="130">
        <v>3</v>
      </c>
      <c r="O73" s="98">
        <v>0.95</v>
      </c>
      <c r="P73" s="115">
        <v>1</v>
      </c>
      <c r="Q73" s="132">
        <f t="shared" si="3"/>
        <v>0.97499999999999998</v>
      </c>
      <c r="R73" s="98">
        <v>14.5</v>
      </c>
      <c r="S73" s="98">
        <v>170</v>
      </c>
      <c r="T73" s="132">
        <f t="shared" si="4"/>
        <v>18</v>
      </c>
      <c r="U73" s="246">
        <v>398</v>
      </c>
      <c r="V73" s="132">
        <f t="shared" si="5"/>
        <v>2388</v>
      </c>
      <c r="W73" s="130">
        <v>15</v>
      </c>
      <c r="X73" s="246" t="s">
        <v>46</v>
      </c>
      <c r="Y73" s="246" t="s">
        <v>55</v>
      </c>
      <c r="Z73" s="130" t="s">
        <v>69</v>
      </c>
      <c r="AA73" s="130" t="s">
        <v>86</v>
      </c>
      <c r="AB73" s="246" t="s">
        <v>341</v>
      </c>
    </row>
    <row r="74" spans="1:28" x14ac:dyDescent="0.15">
      <c r="A74" s="246" t="s">
        <v>51</v>
      </c>
      <c r="B74" s="246" t="s">
        <v>339</v>
      </c>
      <c r="C74" s="246">
        <v>2018</v>
      </c>
      <c r="D74" s="106" t="s">
        <v>419</v>
      </c>
      <c r="E74" s="246" t="s">
        <v>218</v>
      </c>
      <c r="F74" s="246" t="s">
        <v>219</v>
      </c>
      <c r="G74" s="246" t="s">
        <v>36</v>
      </c>
      <c r="H74" s="246" t="s">
        <v>216</v>
      </c>
      <c r="I74" s="246" t="s">
        <v>155</v>
      </c>
      <c r="J74" s="246" t="s">
        <v>38</v>
      </c>
      <c r="K74" s="246" t="s">
        <v>156</v>
      </c>
      <c r="L74" s="98">
        <v>1</v>
      </c>
      <c r="N74" s="130">
        <v>5</v>
      </c>
      <c r="O74" s="98">
        <v>0.7</v>
      </c>
      <c r="P74" s="98">
        <v>0.6</v>
      </c>
      <c r="Q74" s="132">
        <f t="shared" si="3"/>
        <v>0.64999999999999991</v>
      </c>
      <c r="R74" s="98">
        <v>14.6</v>
      </c>
      <c r="S74" s="98">
        <v>93</v>
      </c>
      <c r="T74" s="132">
        <f t="shared" si="4"/>
        <v>36</v>
      </c>
      <c r="U74" s="246">
        <v>398</v>
      </c>
      <c r="V74" s="132">
        <f t="shared" si="5"/>
        <v>2865.6</v>
      </c>
      <c r="W74" s="130">
        <v>15</v>
      </c>
      <c r="X74" s="246" t="s">
        <v>46</v>
      </c>
      <c r="Y74" s="246" t="s">
        <v>55</v>
      </c>
      <c r="Z74" s="130" t="s">
        <v>69</v>
      </c>
      <c r="AA74" s="130" t="s">
        <v>86</v>
      </c>
      <c r="AB74" s="246" t="s">
        <v>341</v>
      </c>
    </row>
    <row r="75" spans="1:28" x14ac:dyDescent="0.15">
      <c r="A75" s="246" t="s">
        <v>51</v>
      </c>
      <c r="B75" s="246" t="s">
        <v>339</v>
      </c>
      <c r="C75" s="246">
        <v>2018</v>
      </c>
      <c r="D75" s="106" t="s">
        <v>419</v>
      </c>
      <c r="E75" s="246" t="s">
        <v>218</v>
      </c>
      <c r="F75" s="246" t="s">
        <v>219</v>
      </c>
      <c r="G75" s="246" t="s">
        <v>36</v>
      </c>
      <c r="H75" s="246" t="s">
        <v>216</v>
      </c>
      <c r="I75" s="246" t="s">
        <v>155</v>
      </c>
      <c r="J75" s="246" t="s">
        <v>38</v>
      </c>
      <c r="K75" s="246" t="s">
        <v>156</v>
      </c>
      <c r="L75" s="98">
        <v>2</v>
      </c>
      <c r="N75" s="130">
        <v>5</v>
      </c>
      <c r="O75" s="98">
        <v>0.7</v>
      </c>
      <c r="P75" s="98">
        <v>0.55000000000000004</v>
      </c>
      <c r="Q75" s="132">
        <f t="shared" si="3"/>
        <v>0.625</v>
      </c>
      <c r="R75" s="98">
        <v>15.2</v>
      </c>
      <c r="S75" s="98">
        <v>94</v>
      </c>
      <c r="T75" s="132">
        <f t="shared" si="4"/>
        <v>36</v>
      </c>
      <c r="U75" s="246">
        <v>398</v>
      </c>
      <c r="V75" s="132">
        <f t="shared" si="5"/>
        <v>2865.6</v>
      </c>
      <c r="W75" s="130">
        <v>15</v>
      </c>
      <c r="X75" s="246" t="s">
        <v>46</v>
      </c>
      <c r="Y75" s="246" t="s">
        <v>55</v>
      </c>
      <c r="Z75" s="130" t="s">
        <v>69</v>
      </c>
      <c r="AA75" s="130" t="s">
        <v>86</v>
      </c>
      <c r="AB75" s="246" t="s">
        <v>341</v>
      </c>
    </row>
    <row r="76" spans="1:28" x14ac:dyDescent="0.15">
      <c r="A76" s="246" t="s">
        <v>51</v>
      </c>
      <c r="B76" s="246" t="s">
        <v>339</v>
      </c>
      <c r="C76" s="246">
        <v>2018</v>
      </c>
      <c r="D76" s="106" t="s">
        <v>419</v>
      </c>
      <c r="E76" s="246" t="s">
        <v>218</v>
      </c>
      <c r="F76" s="246" t="s">
        <v>219</v>
      </c>
      <c r="G76" s="246" t="s">
        <v>36</v>
      </c>
      <c r="H76" s="246" t="s">
        <v>216</v>
      </c>
      <c r="I76" s="246" t="s">
        <v>155</v>
      </c>
      <c r="J76" s="246" t="s">
        <v>38</v>
      </c>
      <c r="K76" s="246" t="s">
        <v>156</v>
      </c>
      <c r="L76" s="98">
        <v>3</v>
      </c>
      <c r="N76" s="130">
        <v>5</v>
      </c>
      <c r="O76" s="98">
        <v>0.65</v>
      </c>
      <c r="P76" s="98">
        <v>0.65</v>
      </c>
      <c r="Q76" s="132">
        <f t="shared" si="3"/>
        <v>0.65</v>
      </c>
      <c r="R76" s="98">
        <v>14.4</v>
      </c>
      <c r="S76" s="98">
        <v>88</v>
      </c>
      <c r="T76" s="132">
        <f t="shared" si="4"/>
        <v>36</v>
      </c>
      <c r="U76" s="246">
        <v>398</v>
      </c>
      <c r="V76" s="132">
        <f t="shared" si="5"/>
        <v>2865.6</v>
      </c>
      <c r="W76" s="130">
        <v>15</v>
      </c>
      <c r="X76" s="246" t="s">
        <v>46</v>
      </c>
      <c r="Y76" s="246" t="s">
        <v>55</v>
      </c>
      <c r="Z76" s="130" t="s">
        <v>69</v>
      </c>
      <c r="AA76" s="130" t="s">
        <v>86</v>
      </c>
      <c r="AB76" s="246" t="s">
        <v>341</v>
      </c>
    </row>
    <row r="77" spans="1:28" x14ac:dyDescent="0.15">
      <c r="A77" s="246" t="s">
        <v>51</v>
      </c>
      <c r="B77" s="246" t="s">
        <v>339</v>
      </c>
      <c r="C77" s="246">
        <v>2018</v>
      </c>
      <c r="D77" s="106" t="s">
        <v>419</v>
      </c>
      <c r="E77" s="246" t="s">
        <v>218</v>
      </c>
      <c r="F77" s="246" t="s">
        <v>219</v>
      </c>
      <c r="G77" s="246" t="s">
        <v>36</v>
      </c>
      <c r="H77" s="246" t="s">
        <v>168</v>
      </c>
      <c r="I77" s="246" t="s">
        <v>155</v>
      </c>
      <c r="J77" s="246" t="s">
        <v>38</v>
      </c>
      <c r="K77" s="246" t="s">
        <v>156</v>
      </c>
      <c r="L77" s="98">
        <v>1</v>
      </c>
      <c r="N77" s="130">
        <v>3</v>
      </c>
      <c r="O77" s="98">
        <v>0.75</v>
      </c>
      <c r="P77" s="98">
        <v>0.8</v>
      </c>
      <c r="Q77" s="132">
        <f t="shared" si="3"/>
        <v>0.77500000000000002</v>
      </c>
      <c r="R77" s="98">
        <v>16.600000000000001</v>
      </c>
      <c r="S77" s="98">
        <v>178</v>
      </c>
      <c r="T77" s="132">
        <f t="shared" si="4"/>
        <v>18</v>
      </c>
      <c r="U77" s="246">
        <v>398</v>
      </c>
      <c r="V77" s="132">
        <f t="shared" si="5"/>
        <v>2388</v>
      </c>
      <c r="W77" s="130">
        <v>15</v>
      </c>
      <c r="X77" s="246" t="s">
        <v>46</v>
      </c>
      <c r="Y77" s="246" t="s">
        <v>55</v>
      </c>
      <c r="Z77" s="130" t="s">
        <v>69</v>
      </c>
      <c r="AA77" s="130" t="s">
        <v>86</v>
      </c>
      <c r="AB77" s="246" t="s">
        <v>341</v>
      </c>
    </row>
    <row r="78" spans="1:28" x14ac:dyDescent="0.15">
      <c r="A78" s="246" t="s">
        <v>51</v>
      </c>
      <c r="B78" s="246" t="s">
        <v>339</v>
      </c>
      <c r="C78" s="246">
        <v>2018</v>
      </c>
      <c r="D78" s="106" t="s">
        <v>419</v>
      </c>
      <c r="E78" s="246" t="s">
        <v>218</v>
      </c>
      <c r="F78" s="246" t="s">
        <v>219</v>
      </c>
      <c r="G78" s="246" t="s">
        <v>36</v>
      </c>
      <c r="H78" s="246" t="s">
        <v>168</v>
      </c>
      <c r="I78" s="246" t="s">
        <v>155</v>
      </c>
      <c r="J78" s="246" t="s">
        <v>38</v>
      </c>
      <c r="K78" s="246" t="s">
        <v>156</v>
      </c>
      <c r="L78" s="98">
        <v>2</v>
      </c>
      <c r="N78" s="130">
        <v>3</v>
      </c>
      <c r="O78" s="98">
        <v>0.8</v>
      </c>
      <c r="P78" s="98">
        <v>0.7</v>
      </c>
      <c r="Q78" s="132">
        <f t="shared" si="3"/>
        <v>0.75</v>
      </c>
      <c r="R78" s="98">
        <v>16.7</v>
      </c>
      <c r="S78" s="98">
        <v>174</v>
      </c>
      <c r="T78" s="132">
        <f t="shared" si="4"/>
        <v>18</v>
      </c>
      <c r="U78" s="246">
        <v>398</v>
      </c>
      <c r="V78" s="132">
        <f t="shared" si="5"/>
        <v>2388</v>
      </c>
      <c r="W78" s="130">
        <v>15</v>
      </c>
      <c r="X78" s="246" t="s">
        <v>46</v>
      </c>
      <c r="Y78" s="246" t="s">
        <v>55</v>
      </c>
      <c r="Z78" s="130" t="s">
        <v>69</v>
      </c>
      <c r="AA78" s="130" t="s">
        <v>86</v>
      </c>
      <c r="AB78" s="246" t="s">
        <v>341</v>
      </c>
    </row>
    <row r="79" spans="1:28" x14ac:dyDescent="0.15">
      <c r="A79" s="246" t="s">
        <v>51</v>
      </c>
      <c r="B79" s="246" t="s">
        <v>339</v>
      </c>
      <c r="C79" s="246">
        <v>2018</v>
      </c>
      <c r="D79" s="106" t="s">
        <v>419</v>
      </c>
      <c r="E79" s="246" t="s">
        <v>218</v>
      </c>
      <c r="F79" s="246" t="s">
        <v>219</v>
      </c>
      <c r="G79" s="246" t="s">
        <v>36</v>
      </c>
      <c r="H79" s="246" t="s">
        <v>168</v>
      </c>
      <c r="I79" s="246" t="s">
        <v>155</v>
      </c>
      <c r="J79" s="246" t="s">
        <v>38</v>
      </c>
      <c r="K79" s="246" t="s">
        <v>156</v>
      </c>
      <c r="L79" s="98">
        <v>3</v>
      </c>
      <c r="N79" s="130">
        <v>3</v>
      </c>
      <c r="O79" s="98">
        <v>0.7</v>
      </c>
      <c r="P79" s="98">
        <v>0.75</v>
      </c>
      <c r="Q79" s="132">
        <f t="shared" si="3"/>
        <v>0.72499999999999998</v>
      </c>
      <c r="R79" s="115">
        <v>16.2</v>
      </c>
      <c r="S79" s="98">
        <v>168</v>
      </c>
      <c r="T79" s="132">
        <f t="shared" si="4"/>
        <v>18</v>
      </c>
      <c r="U79" s="246">
        <v>398</v>
      </c>
      <c r="V79" s="132">
        <f t="shared" si="5"/>
        <v>2388</v>
      </c>
      <c r="W79" s="130">
        <v>15</v>
      </c>
      <c r="X79" s="246" t="s">
        <v>46</v>
      </c>
      <c r="Y79" s="246" t="s">
        <v>55</v>
      </c>
      <c r="Z79" s="130" t="s">
        <v>69</v>
      </c>
      <c r="AA79" s="130" t="s">
        <v>86</v>
      </c>
      <c r="AB79" s="246" t="s">
        <v>341</v>
      </c>
    </row>
    <row r="80" spans="1:28" x14ac:dyDescent="0.15">
      <c r="A80" s="246" t="s">
        <v>51</v>
      </c>
      <c r="B80" s="246" t="s">
        <v>339</v>
      </c>
      <c r="C80" s="246">
        <v>2018</v>
      </c>
      <c r="D80" s="106" t="s">
        <v>419</v>
      </c>
      <c r="E80" s="246" t="s">
        <v>221</v>
      </c>
      <c r="F80" s="246" t="s">
        <v>198</v>
      </c>
      <c r="G80" s="246" t="s">
        <v>42</v>
      </c>
      <c r="H80" s="246" t="s">
        <v>157</v>
      </c>
      <c r="I80" s="246" t="s">
        <v>155</v>
      </c>
      <c r="J80" s="246" t="s">
        <v>38</v>
      </c>
      <c r="K80" s="246" t="s">
        <v>156</v>
      </c>
      <c r="L80" s="98">
        <v>1</v>
      </c>
      <c r="N80" s="130">
        <v>1</v>
      </c>
      <c r="O80" s="98">
        <v>1.35</v>
      </c>
      <c r="P80" s="98">
        <v>1.25</v>
      </c>
      <c r="Q80" s="132">
        <f t="shared" si="3"/>
        <v>1.3</v>
      </c>
      <c r="R80" s="98">
        <v>14.9</v>
      </c>
      <c r="S80" s="98">
        <v>140</v>
      </c>
      <c r="T80" s="132">
        <f t="shared" si="4"/>
        <v>22</v>
      </c>
      <c r="U80" s="98">
        <v>98</v>
      </c>
      <c r="V80" s="132">
        <f t="shared" si="5"/>
        <v>2156</v>
      </c>
      <c r="W80" s="130">
        <v>7</v>
      </c>
      <c r="X80" s="246" t="s">
        <v>46</v>
      </c>
      <c r="Y80" s="130" t="s">
        <v>97</v>
      </c>
      <c r="Z80" s="130" t="s">
        <v>69</v>
      </c>
      <c r="AA80" s="130" t="s">
        <v>55</v>
      </c>
      <c r="AB80" s="246" t="s">
        <v>341</v>
      </c>
    </row>
    <row r="81" spans="1:28" x14ac:dyDescent="0.15">
      <c r="A81" s="246" t="s">
        <v>51</v>
      </c>
      <c r="B81" s="246" t="s">
        <v>339</v>
      </c>
      <c r="C81" s="246">
        <v>2018</v>
      </c>
      <c r="D81" s="106" t="s">
        <v>419</v>
      </c>
      <c r="E81" s="246" t="s">
        <v>221</v>
      </c>
      <c r="F81" s="246" t="s">
        <v>198</v>
      </c>
      <c r="G81" s="246" t="s">
        <v>42</v>
      </c>
      <c r="H81" s="246" t="s">
        <v>157</v>
      </c>
      <c r="I81" s="246" t="s">
        <v>155</v>
      </c>
      <c r="J81" s="246" t="s">
        <v>38</v>
      </c>
      <c r="K81" s="246" t="s">
        <v>156</v>
      </c>
      <c r="L81" s="98">
        <v>2</v>
      </c>
      <c r="N81" s="130">
        <v>1</v>
      </c>
      <c r="O81" s="98">
        <v>1.25</v>
      </c>
      <c r="P81" s="98">
        <v>1.45</v>
      </c>
      <c r="Q81" s="132">
        <f t="shared" si="3"/>
        <v>1.35</v>
      </c>
      <c r="R81" s="98">
        <v>14.7</v>
      </c>
      <c r="S81" s="98">
        <v>134</v>
      </c>
      <c r="T81" s="132">
        <f t="shared" si="4"/>
        <v>25</v>
      </c>
      <c r="U81" s="98">
        <v>98</v>
      </c>
      <c r="V81" s="132">
        <f t="shared" si="5"/>
        <v>2450</v>
      </c>
      <c r="W81" s="130">
        <v>7</v>
      </c>
      <c r="X81" s="246" t="s">
        <v>46</v>
      </c>
      <c r="Y81" s="130" t="s">
        <v>97</v>
      </c>
      <c r="Z81" s="130" t="s">
        <v>69</v>
      </c>
      <c r="AA81" s="130" t="s">
        <v>55</v>
      </c>
      <c r="AB81" s="246" t="s">
        <v>341</v>
      </c>
    </row>
    <row r="82" spans="1:28" x14ac:dyDescent="0.15">
      <c r="A82" s="246" t="s">
        <v>51</v>
      </c>
      <c r="B82" s="246" t="s">
        <v>339</v>
      </c>
      <c r="C82" s="246">
        <v>2018</v>
      </c>
      <c r="D82" s="106" t="s">
        <v>419</v>
      </c>
      <c r="E82" s="246" t="s">
        <v>221</v>
      </c>
      <c r="F82" s="246" t="s">
        <v>198</v>
      </c>
      <c r="G82" s="246" t="s">
        <v>42</v>
      </c>
      <c r="H82" s="246" t="s">
        <v>157</v>
      </c>
      <c r="I82" s="246" t="s">
        <v>155</v>
      </c>
      <c r="J82" s="246" t="s">
        <v>38</v>
      </c>
      <c r="K82" s="246" t="s">
        <v>156</v>
      </c>
      <c r="L82" s="98">
        <v>3</v>
      </c>
      <c r="N82" s="130">
        <v>1</v>
      </c>
      <c r="O82" s="98">
        <v>1.2</v>
      </c>
      <c r="P82" s="98">
        <v>1.3</v>
      </c>
      <c r="Q82" s="132">
        <f t="shared" si="3"/>
        <v>1.25</v>
      </c>
      <c r="R82" s="98">
        <v>13.8</v>
      </c>
      <c r="S82" s="98">
        <v>138</v>
      </c>
      <c r="T82" s="132">
        <f t="shared" si="4"/>
        <v>22</v>
      </c>
      <c r="U82" s="98">
        <v>98</v>
      </c>
      <c r="V82" s="132">
        <f t="shared" si="5"/>
        <v>2156</v>
      </c>
      <c r="W82" s="130">
        <v>7</v>
      </c>
      <c r="X82" s="246" t="s">
        <v>46</v>
      </c>
      <c r="Y82" s="130" t="s">
        <v>97</v>
      </c>
      <c r="Z82" s="130" t="s">
        <v>69</v>
      </c>
      <c r="AA82" s="130" t="s">
        <v>55</v>
      </c>
      <c r="AB82" s="246" t="s">
        <v>341</v>
      </c>
    </row>
    <row r="83" spans="1:28" x14ac:dyDescent="0.15">
      <c r="A83" s="246" t="s">
        <v>51</v>
      </c>
      <c r="B83" s="246" t="s">
        <v>339</v>
      </c>
      <c r="C83" s="246">
        <v>2018</v>
      </c>
      <c r="D83" s="106" t="s">
        <v>419</v>
      </c>
      <c r="E83" s="246" t="s">
        <v>221</v>
      </c>
      <c r="F83" s="246" t="s">
        <v>198</v>
      </c>
      <c r="G83" s="246" t="s">
        <v>42</v>
      </c>
      <c r="H83" s="246" t="s">
        <v>216</v>
      </c>
      <c r="I83" s="246" t="s">
        <v>155</v>
      </c>
      <c r="J83" s="246" t="s">
        <v>38</v>
      </c>
      <c r="K83" s="246" t="s">
        <v>156</v>
      </c>
      <c r="L83" s="98">
        <v>1</v>
      </c>
      <c r="N83" s="130">
        <v>5</v>
      </c>
      <c r="O83" s="98">
        <v>0.7</v>
      </c>
      <c r="P83" s="98">
        <v>0.75</v>
      </c>
      <c r="Q83" s="132">
        <f t="shared" si="3"/>
        <v>0.72499999999999998</v>
      </c>
      <c r="R83" s="98">
        <v>17.600000000000001</v>
      </c>
      <c r="S83" s="98">
        <v>88</v>
      </c>
      <c r="T83" s="132">
        <f t="shared" si="4"/>
        <v>36</v>
      </c>
      <c r="U83" s="98">
        <v>398</v>
      </c>
      <c r="V83" s="132">
        <f t="shared" si="5"/>
        <v>2865.6</v>
      </c>
      <c r="W83" s="130">
        <v>7</v>
      </c>
      <c r="X83" s="246" t="s">
        <v>46</v>
      </c>
      <c r="Y83" s="130" t="s">
        <v>97</v>
      </c>
      <c r="Z83" s="130" t="s">
        <v>69</v>
      </c>
      <c r="AA83" s="130" t="s">
        <v>55</v>
      </c>
      <c r="AB83" s="246" t="s">
        <v>341</v>
      </c>
    </row>
    <row r="84" spans="1:28" x14ac:dyDescent="0.15">
      <c r="A84" s="246" t="s">
        <v>51</v>
      </c>
      <c r="B84" s="246" t="s">
        <v>339</v>
      </c>
      <c r="C84" s="246">
        <v>2018</v>
      </c>
      <c r="D84" s="106" t="s">
        <v>419</v>
      </c>
      <c r="E84" s="246" t="s">
        <v>221</v>
      </c>
      <c r="F84" s="246" t="s">
        <v>198</v>
      </c>
      <c r="G84" s="246" t="s">
        <v>42</v>
      </c>
      <c r="H84" s="246" t="s">
        <v>216</v>
      </c>
      <c r="I84" s="246" t="s">
        <v>155</v>
      </c>
      <c r="J84" s="246" t="s">
        <v>38</v>
      </c>
      <c r="K84" s="246" t="s">
        <v>156</v>
      </c>
      <c r="L84" s="98">
        <v>2</v>
      </c>
      <c r="N84" s="130">
        <v>5</v>
      </c>
      <c r="O84" s="98">
        <v>0.8</v>
      </c>
      <c r="P84" s="98">
        <v>0.75</v>
      </c>
      <c r="Q84" s="132">
        <f t="shared" si="3"/>
        <v>0.77500000000000002</v>
      </c>
      <c r="R84" s="98">
        <v>17.899999999999999</v>
      </c>
      <c r="S84" s="98">
        <v>81</v>
      </c>
      <c r="T84" s="132">
        <f t="shared" si="4"/>
        <v>39</v>
      </c>
      <c r="U84" s="98">
        <v>398</v>
      </c>
      <c r="V84" s="132">
        <f t="shared" si="5"/>
        <v>3104.3999999999996</v>
      </c>
      <c r="W84" s="130">
        <v>7</v>
      </c>
      <c r="X84" s="246" t="s">
        <v>46</v>
      </c>
      <c r="Y84" s="130" t="s">
        <v>97</v>
      </c>
      <c r="Z84" s="130" t="s">
        <v>69</v>
      </c>
      <c r="AA84" s="130" t="s">
        <v>55</v>
      </c>
      <c r="AB84" s="246" t="s">
        <v>341</v>
      </c>
    </row>
    <row r="85" spans="1:28" x14ac:dyDescent="0.15">
      <c r="A85" s="246" t="s">
        <v>51</v>
      </c>
      <c r="B85" s="246" t="s">
        <v>339</v>
      </c>
      <c r="C85" s="246">
        <v>2018</v>
      </c>
      <c r="D85" s="106" t="s">
        <v>419</v>
      </c>
      <c r="E85" s="246" t="s">
        <v>221</v>
      </c>
      <c r="F85" s="246" t="s">
        <v>198</v>
      </c>
      <c r="G85" s="246" t="s">
        <v>42</v>
      </c>
      <c r="H85" s="246" t="s">
        <v>216</v>
      </c>
      <c r="I85" s="246" t="s">
        <v>155</v>
      </c>
      <c r="J85" s="246" t="s">
        <v>38</v>
      </c>
      <c r="K85" s="246" t="s">
        <v>156</v>
      </c>
      <c r="L85" s="98">
        <v>3</v>
      </c>
      <c r="N85" s="130">
        <v>5</v>
      </c>
      <c r="O85" s="98">
        <v>0.7</v>
      </c>
      <c r="P85" s="98">
        <v>0.7</v>
      </c>
      <c r="Q85" s="132">
        <f t="shared" si="3"/>
        <v>0.7</v>
      </c>
      <c r="R85" s="98">
        <v>18.100000000000001</v>
      </c>
      <c r="S85" s="98">
        <v>91</v>
      </c>
      <c r="T85" s="132">
        <f t="shared" si="4"/>
        <v>36</v>
      </c>
      <c r="U85" s="98">
        <v>398</v>
      </c>
      <c r="V85" s="132">
        <f t="shared" si="5"/>
        <v>2865.6</v>
      </c>
      <c r="W85" s="130">
        <v>7</v>
      </c>
      <c r="X85" s="246" t="s">
        <v>46</v>
      </c>
      <c r="Y85" s="130" t="s">
        <v>97</v>
      </c>
      <c r="Z85" s="130" t="s">
        <v>69</v>
      </c>
      <c r="AA85" s="130" t="s">
        <v>55</v>
      </c>
      <c r="AB85" s="246" t="s">
        <v>341</v>
      </c>
    </row>
    <row r="86" spans="1:28" x14ac:dyDescent="0.15">
      <c r="A86" s="246" t="s">
        <v>51</v>
      </c>
      <c r="B86" s="246" t="s">
        <v>339</v>
      </c>
      <c r="C86" s="246">
        <v>2018</v>
      </c>
      <c r="D86" s="106" t="s">
        <v>419</v>
      </c>
      <c r="E86" s="246" t="s">
        <v>221</v>
      </c>
      <c r="F86" s="246" t="s">
        <v>198</v>
      </c>
      <c r="G86" s="246" t="s">
        <v>42</v>
      </c>
      <c r="H86" s="246" t="s">
        <v>168</v>
      </c>
      <c r="I86" s="246" t="s">
        <v>155</v>
      </c>
      <c r="J86" s="246" t="s">
        <v>38</v>
      </c>
      <c r="K86" s="246" t="s">
        <v>156</v>
      </c>
      <c r="L86" s="98">
        <v>1</v>
      </c>
      <c r="N86" s="130">
        <v>1</v>
      </c>
      <c r="O86" s="98">
        <v>0.7</v>
      </c>
      <c r="P86" s="98">
        <v>0.55000000000000004</v>
      </c>
      <c r="Q86" s="132">
        <f t="shared" si="3"/>
        <v>0.625</v>
      </c>
      <c r="R86" s="98">
        <v>17.5</v>
      </c>
      <c r="S86" s="98">
        <v>152</v>
      </c>
      <c r="T86" s="132">
        <f t="shared" si="4"/>
        <v>18</v>
      </c>
      <c r="U86" s="98">
        <v>128</v>
      </c>
      <c r="V86" s="132">
        <f t="shared" si="5"/>
        <v>2304</v>
      </c>
      <c r="W86" s="130">
        <v>7</v>
      </c>
      <c r="X86" s="246" t="s">
        <v>46</v>
      </c>
      <c r="Y86" s="130" t="s">
        <v>97</v>
      </c>
      <c r="Z86" s="130" t="s">
        <v>69</v>
      </c>
      <c r="AA86" s="130" t="s">
        <v>55</v>
      </c>
      <c r="AB86" s="246" t="s">
        <v>341</v>
      </c>
    </row>
    <row r="87" spans="1:28" x14ac:dyDescent="0.15">
      <c r="A87" s="246" t="s">
        <v>51</v>
      </c>
      <c r="B87" s="246" t="s">
        <v>339</v>
      </c>
      <c r="C87" s="246">
        <v>2018</v>
      </c>
      <c r="D87" s="106" t="s">
        <v>419</v>
      </c>
      <c r="E87" s="246" t="s">
        <v>221</v>
      </c>
      <c r="F87" s="246" t="s">
        <v>198</v>
      </c>
      <c r="G87" s="246" t="s">
        <v>42</v>
      </c>
      <c r="H87" s="246" t="s">
        <v>168</v>
      </c>
      <c r="I87" s="246" t="s">
        <v>155</v>
      </c>
      <c r="J87" s="246" t="s">
        <v>38</v>
      </c>
      <c r="K87" s="246" t="s">
        <v>156</v>
      </c>
      <c r="L87" s="98">
        <v>2</v>
      </c>
      <c r="N87" s="130">
        <v>1</v>
      </c>
      <c r="O87" s="98">
        <v>0.65</v>
      </c>
      <c r="P87" s="98">
        <v>0.65</v>
      </c>
      <c r="Q87" s="132">
        <f t="shared" si="3"/>
        <v>0.65</v>
      </c>
      <c r="R87" s="98">
        <v>16.3</v>
      </c>
      <c r="S87" s="98">
        <v>140</v>
      </c>
      <c r="T87" s="132">
        <f t="shared" si="4"/>
        <v>22</v>
      </c>
      <c r="U87" s="98">
        <v>128</v>
      </c>
      <c r="V87" s="132">
        <f t="shared" si="5"/>
        <v>2816</v>
      </c>
      <c r="W87" s="130">
        <v>7</v>
      </c>
      <c r="X87" s="246" t="s">
        <v>46</v>
      </c>
      <c r="Y87" s="130" t="s">
        <v>97</v>
      </c>
      <c r="Z87" s="130" t="s">
        <v>69</v>
      </c>
      <c r="AA87" s="130" t="s">
        <v>55</v>
      </c>
      <c r="AB87" s="246" t="s">
        <v>341</v>
      </c>
    </row>
    <row r="88" spans="1:28" x14ac:dyDescent="0.15">
      <c r="A88" s="246" t="s">
        <v>51</v>
      </c>
      <c r="B88" s="246" t="s">
        <v>339</v>
      </c>
      <c r="C88" s="246">
        <v>2018</v>
      </c>
      <c r="D88" s="106" t="s">
        <v>419</v>
      </c>
      <c r="E88" s="246" t="s">
        <v>221</v>
      </c>
      <c r="F88" s="246" t="s">
        <v>198</v>
      </c>
      <c r="G88" s="246" t="s">
        <v>42</v>
      </c>
      <c r="H88" s="246" t="s">
        <v>168</v>
      </c>
      <c r="I88" s="246" t="s">
        <v>155</v>
      </c>
      <c r="J88" s="246" t="s">
        <v>38</v>
      </c>
      <c r="K88" s="246" t="s">
        <v>156</v>
      </c>
      <c r="L88" s="98">
        <v>3</v>
      </c>
      <c r="N88" s="130">
        <v>1</v>
      </c>
      <c r="O88" s="98">
        <v>0.6</v>
      </c>
      <c r="P88" s="98">
        <v>0.7</v>
      </c>
      <c r="Q88" s="132">
        <f t="shared" si="3"/>
        <v>0.64999999999999991</v>
      </c>
      <c r="R88" s="98">
        <v>16.5</v>
      </c>
      <c r="S88" s="98">
        <v>140</v>
      </c>
      <c r="T88" s="132">
        <f t="shared" si="4"/>
        <v>22</v>
      </c>
      <c r="U88" s="98">
        <v>128</v>
      </c>
      <c r="V88" s="132">
        <f t="shared" si="5"/>
        <v>2816</v>
      </c>
      <c r="W88" s="130">
        <v>7</v>
      </c>
      <c r="X88" s="246" t="s">
        <v>46</v>
      </c>
      <c r="Y88" s="130" t="s">
        <v>97</v>
      </c>
      <c r="Z88" s="130" t="s">
        <v>69</v>
      </c>
      <c r="AA88" s="130" t="s">
        <v>55</v>
      </c>
      <c r="AB88" s="246" t="s">
        <v>341</v>
      </c>
    </row>
    <row r="89" spans="1:28" x14ac:dyDescent="0.15">
      <c r="A89" s="246"/>
      <c r="B89" s="246"/>
      <c r="C89" s="130"/>
      <c r="D89" s="131"/>
      <c r="E89" s="246"/>
      <c r="F89" s="246"/>
      <c r="G89" s="130"/>
      <c r="H89" s="130"/>
      <c r="I89" s="130"/>
      <c r="J89" s="130"/>
      <c r="K89" s="246"/>
      <c r="N89" s="130"/>
      <c r="W89" s="130"/>
      <c r="X89" s="130"/>
      <c r="Y89" s="130"/>
      <c r="Z89" s="130"/>
      <c r="AA89" s="130"/>
      <c r="AB89" s="246"/>
    </row>
    <row r="90" spans="1:28" x14ac:dyDescent="0.15">
      <c r="A90" s="246"/>
      <c r="B90" s="246"/>
      <c r="C90" s="130"/>
      <c r="D90" s="131"/>
      <c r="E90" s="246"/>
      <c r="F90" s="246"/>
      <c r="G90" s="130"/>
      <c r="H90" s="130"/>
      <c r="I90" s="130"/>
      <c r="J90" s="130"/>
      <c r="K90" s="130"/>
      <c r="N90" s="130"/>
      <c r="W90" s="130"/>
      <c r="X90" s="130"/>
      <c r="Y90" s="130"/>
      <c r="Z90" s="130"/>
      <c r="AA90" s="130"/>
      <c r="AB90" s="246"/>
    </row>
    <row r="91" spans="1:28" x14ac:dyDescent="0.15">
      <c r="A91" s="246"/>
      <c r="B91" s="246"/>
      <c r="C91" s="130"/>
      <c r="D91" s="131"/>
      <c r="E91" s="246"/>
      <c r="F91" s="246"/>
      <c r="G91" s="130"/>
      <c r="H91" s="130"/>
      <c r="I91" s="130"/>
      <c r="J91" s="130"/>
      <c r="K91" s="130"/>
      <c r="N91" s="130"/>
      <c r="W91" s="130"/>
      <c r="X91" s="130"/>
      <c r="Y91" s="130"/>
      <c r="Z91" s="130"/>
      <c r="AA91" s="130"/>
      <c r="AB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row>
  </sheetData>
  <autoFilter ref="A1:BA88"/>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Y2:AA500">
      <formula1>$AV$2:$AV$21</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88"/>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U86" sqref="U86"/>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422</v>
      </c>
      <c r="B1" s="202" t="s">
        <v>1</v>
      </c>
      <c r="C1" s="202" t="s">
        <v>423</v>
      </c>
      <c r="D1" s="203" t="s">
        <v>3</v>
      </c>
      <c r="E1" s="203" t="s">
        <v>246</v>
      </c>
      <c r="F1" s="203" t="s">
        <v>5</v>
      </c>
      <c r="G1" s="203" t="s">
        <v>6</v>
      </c>
      <c r="H1" s="203" t="s">
        <v>247</v>
      </c>
      <c r="I1" s="203" t="s">
        <v>8</v>
      </c>
      <c r="J1" s="203" t="s">
        <v>9</v>
      </c>
      <c r="K1" s="203" t="s">
        <v>10</v>
      </c>
      <c r="L1" s="203" t="s">
        <v>160</v>
      </c>
      <c r="M1" s="203" t="s">
        <v>12</v>
      </c>
      <c r="N1" s="203" t="s">
        <v>13</v>
      </c>
      <c r="O1" s="203" t="s">
        <v>161</v>
      </c>
      <c r="P1" s="203" t="s">
        <v>15</v>
      </c>
      <c r="Q1" s="204" t="s">
        <v>16</v>
      </c>
      <c r="R1" s="203" t="s">
        <v>17</v>
      </c>
      <c r="S1" s="203" t="s">
        <v>18</v>
      </c>
      <c r="T1" s="204" t="s">
        <v>19</v>
      </c>
      <c r="U1" s="205" t="s">
        <v>108</v>
      </c>
      <c r="V1" s="206" t="s">
        <v>20</v>
      </c>
      <c r="W1" s="203" t="s">
        <v>21</v>
      </c>
      <c r="X1" s="203" t="s">
        <v>22</v>
      </c>
      <c r="Y1" s="203" t="s">
        <v>23</v>
      </c>
      <c r="Z1" s="203" t="s">
        <v>24</v>
      </c>
      <c r="AA1" s="134" t="s">
        <v>25</v>
      </c>
      <c r="AB1" s="135" t="s">
        <v>162</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s="143" customFormat="1" x14ac:dyDescent="0.15">
      <c r="A2" s="137" t="s">
        <v>61</v>
      </c>
      <c r="B2" s="137" t="s">
        <v>340</v>
      </c>
      <c r="C2" s="137">
        <v>2018</v>
      </c>
      <c r="D2" s="138" t="s">
        <v>424</v>
      </c>
      <c r="E2" s="137" t="s">
        <v>249</v>
      </c>
      <c r="F2" s="137" t="s">
        <v>248</v>
      </c>
      <c r="G2" s="137" t="s">
        <v>42</v>
      </c>
      <c r="H2" s="247" t="s">
        <v>157</v>
      </c>
      <c r="I2" s="247" t="s">
        <v>155</v>
      </c>
      <c r="J2" s="137" t="s">
        <v>38</v>
      </c>
      <c r="K2" s="247" t="s">
        <v>156</v>
      </c>
      <c r="L2" s="247">
        <v>1</v>
      </c>
      <c r="M2" s="247"/>
      <c r="N2" s="247">
        <v>1</v>
      </c>
      <c r="O2" s="247">
        <v>0.6</v>
      </c>
      <c r="P2" s="247">
        <v>0.65</v>
      </c>
      <c r="Q2" s="139">
        <f t="shared" ref="Q2:Q66" si="0">IF(OR(O2="",P2=""),"",AVERAGE(O2,P2))</f>
        <v>0.625</v>
      </c>
      <c r="R2" s="247">
        <v>17.2</v>
      </c>
      <c r="S2" s="247">
        <v>135</v>
      </c>
      <c r="T2" s="140">
        <f t="shared" ref="T2:T65" si="1">IF(H2="","",IF(OR(H2="GREEN",H2="GK"),IF(S2&gt;=$AX$2,VLOOKUP(S2,$AX$2:$AY$15,2,1),""),IF(S2&gt;=$AZ$2,VLOOKUP(S2,$AZ$2:$BA$15,2,1),"")))</f>
        <v>25</v>
      </c>
      <c r="U2" s="247">
        <v>148</v>
      </c>
      <c r="V2" s="141">
        <f>IF(OR(N2="",U2="",T2=""),"",U2/N2*T2)</f>
        <v>3700</v>
      </c>
      <c r="W2" s="247">
        <v>3</v>
      </c>
      <c r="X2" s="137" t="s">
        <v>39</v>
      </c>
      <c r="Y2" s="247" t="s">
        <v>97</v>
      </c>
      <c r="Z2" s="247" t="s">
        <v>78</v>
      </c>
      <c r="AA2" s="247" t="s">
        <v>88</v>
      </c>
      <c r="AB2" s="137" t="s">
        <v>342</v>
      </c>
      <c r="AC2" s="142"/>
      <c r="AE2" s="218" t="s">
        <v>35</v>
      </c>
      <c r="AG2" s="49" t="s">
        <v>249</v>
      </c>
      <c r="AH2" s="49" t="s">
        <v>248</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340</v>
      </c>
      <c r="C3" s="137">
        <v>2018</v>
      </c>
      <c r="D3" s="138" t="s">
        <v>424</v>
      </c>
      <c r="E3" s="137" t="s">
        <v>249</v>
      </c>
      <c r="F3" s="137" t="s">
        <v>248</v>
      </c>
      <c r="G3" s="137" t="s">
        <v>42</v>
      </c>
      <c r="H3" s="247" t="s">
        <v>157</v>
      </c>
      <c r="I3" s="247" t="s">
        <v>155</v>
      </c>
      <c r="J3" s="137" t="s">
        <v>38</v>
      </c>
      <c r="K3" s="247" t="s">
        <v>156</v>
      </c>
      <c r="L3" s="247">
        <v>2</v>
      </c>
      <c r="M3" s="247"/>
      <c r="N3" s="247">
        <v>1</v>
      </c>
      <c r="O3" s="247">
        <v>0.75</v>
      </c>
      <c r="P3" s="247">
        <v>0.7</v>
      </c>
      <c r="Q3" s="139">
        <f t="shared" si="0"/>
        <v>0.72499999999999998</v>
      </c>
      <c r="R3" s="247">
        <v>17.2</v>
      </c>
      <c r="S3" s="247">
        <v>134</v>
      </c>
      <c r="T3" s="140">
        <f t="shared" si="1"/>
        <v>25</v>
      </c>
      <c r="U3" s="247">
        <v>148</v>
      </c>
      <c r="V3" s="141">
        <f t="shared" ref="V3:V66" si="2">IF(OR(N3="",U3="",T3=""),"",U3/N3*T3)</f>
        <v>3700</v>
      </c>
      <c r="W3" s="247">
        <v>3</v>
      </c>
      <c r="X3" s="137" t="s">
        <v>39</v>
      </c>
      <c r="Y3" s="247" t="s">
        <v>97</v>
      </c>
      <c r="Z3" s="247" t="s">
        <v>78</v>
      </c>
      <c r="AA3" s="247" t="s">
        <v>88</v>
      </c>
      <c r="AB3" s="137" t="s">
        <v>342</v>
      </c>
      <c r="AC3" s="142"/>
      <c r="AE3" s="223" t="s">
        <v>41</v>
      </c>
      <c r="AG3" s="49" t="s">
        <v>250</v>
      </c>
      <c r="AH3" s="49" t="s">
        <v>251</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340</v>
      </c>
      <c r="C4" s="137">
        <v>2018</v>
      </c>
      <c r="D4" s="138" t="s">
        <v>424</v>
      </c>
      <c r="E4" s="137" t="s">
        <v>249</v>
      </c>
      <c r="F4" s="137" t="s">
        <v>248</v>
      </c>
      <c r="G4" s="137" t="s">
        <v>42</v>
      </c>
      <c r="H4" s="247" t="s">
        <v>157</v>
      </c>
      <c r="I4" s="247" t="s">
        <v>155</v>
      </c>
      <c r="J4" s="137" t="s">
        <v>38</v>
      </c>
      <c r="K4" s="247" t="s">
        <v>156</v>
      </c>
      <c r="L4" s="247">
        <v>3</v>
      </c>
      <c r="M4" s="247"/>
      <c r="N4" s="247">
        <v>1</v>
      </c>
      <c r="O4" s="247">
        <v>0.8</v>
      </c>
      <c r="P4" s="247">
        <v>0.75</v>
      </c>
      <c r="Q4" s="139">
        <f t="shared" si="0"/>
        <v>0.77500000000000002</v>
      </c>
      <c r="R4" s="247">
        <v>17</v>
      </c>
      <c r="S4" s="247">
        <v>135</v>
      </c>
      <c r="T4" s="140">
        <f t="shared" si="1"/>
        <v>25</v>
      </c>
      <c r="U4" s="247">
        <v>148</v>
      </c>
      <c r="V4" s="141">
        <f t="shared" si="2"/>
        <v>3700</v>
      </c>
      <c r="W4" s="247">
        <v>3</v>
      </c>
      <c r="X4" s="137" t="s">
        <v>39</v>
      </c>
      <c r="Y4" s="247" t="s">
        <v>97</v>
      </c>
      <c r="Z4" s="247" t="s">
        <v>78</v>
      </c>
      <c r="AA4" s="247" t="s">
        <v>88</v>
      </c>
      <c r="AB4" s="137" t="s">
        <v>342</v>
      </c>
      <c r="AC4" s="142"/>
      <c r="AE4" s="223" t="s">
        <v>34</v>
      </c>
      <c r="AG4" s="49" t="s">
        <v>252</v>
      </c>
      <c r="AH4" s="49" t="s">
        <v>253</v>
      </c>
      <c r="AJ4" s="228" t="s">
        <v>48</v>
      </c>
      <c r="AL4" s="228" t="s">
        <v>129</v>
      </c>
      <c r="AN4" s="229" t="s">
        <v>49</v>
      </c>
      <c r="AP4" s="224" t="s">
        <v>167</v>
      </c>
      <c r="AR4" s="238" t="s">
        <v>121</v>
      </c>
      <c r="AT4" s="229"/>
      <c r="AV4" s="238" t="s">
        <v>50</v>
      </c>
      <c r="AX4" s="225">
        <v>75</v>
      </c>
      <c r="AY4" s="226">
        <v>42</v>
      </c>
      <c r="AZ4" s="226">
        <v>76</v>
      </c>
      <c r="BA4" s="227">
        <v>39</v>
      </c>
    </row>
    <row r="5" spans="1:53" x14ac:dyDescent="0.15">
      <c r="A5" s="137" t="s">
        <v>61</v>
      </c>
      <c r="B5" s="137" t="s">
        <v>340</v>
      </c>
      <c r="C5" s="137">
        <v>2018</v>
      </c>
      <c r="D5" s="138" t="s">
        <v>424</v>
      </c>
      <c r="E5" s="137" t="s">
        <v>249</v>
      </c>
      <c r="F5" s="137" t="s">
        <v>248</v>
      </c>
      <c r="G5" s="137" t="s">
        <v>42</v>
      </c>
      <c r="H5" s="247" t="s">
        <v>168</v>
      </c>
      <c r="I5" s="247" t="s">
        <v>155</v>
      </c>
      <c r="J5" s="137" t="s">
        <v>38</v>
      </c>
      <c r="K5" s="247" t="s">
        <v>156</v>
      </c>
      <c r="L5" s="247">
        <v>1</v>
      </c>
      <c r="M5" s="247"/>
      <c r="N5" s="247">
        <v>1</v>
      </c>
      <c r="O5" s="247">
        <v>0.5</v>
      </c>
      <c r="P5" s="247">
        <v>0.6</v>
      </c>
      <c r="Q5" s="139">
        <f t="shared" si="0"/>
        <v>0.55000000000000004</v>
      </c>
      <c r="R5" s="247">
        <v>17.5</v>
      </c>
      <c r="S5" s="247">
        <v>124</v>
      </c>
      <c r="T5" s="140">
        <f t="shared" si="1"/>
        <v>27</v>
      </c>
      <c r="U5" s="247">
        <v>148</v>
      </c>
      <c r="V5" s="141">
        <f t="shared" si="2"/>
        <v>3996</v>
      </c>
      <c r="W5" s="247">
        <v>3</v>
      </c>
      <c r="X5" s="137" t="s">
        <v>39</v>
      </c>
      <c r="Y5" s="247" t="s">
        <v>97</v>
      </c>
      <c r="Z5" s="247" t="s">
        <v>78</v>
      </c>
      <c r="AA5" s="247" t="s">
        <v>88</v>
      </c>
      <c r="AB5" s="137" t="s">
        <v>342</v>
      </c>
      <c r="AC5" s="142"/>
      <c r="AE5" s="223" t="s">
        <v>51</v>
      </c>
      <c r="AG5" s="49" t="s">
        <v>254</v>
      </c>
      <c r="AH5" s="49" t="s">
        <v>255</v>
      </c>
      <c r="AJ5" s="228"/>
      <c r="AL5" s="230" t="s">
        <v>169</v>
      </c>
      <c r="AN5" s="230" t="s">
        <v>170</v>
      </c>
      <c r="AP5" s="224" t="s">
        <v>119</v>
      </c>
      <c r="AR5" s="238" t="s">
        <v>54</v>
      </c>
      <c r="AT5" s="247"/>
      <c r="AV5" s="238" t="s">
        <v>55</v>
      </c>
      <c r="AX5" s="225">
        <v>84</v>
      </c>
      <c r="AY5" s="226">
        <v>39</v>
      </c>
      <c r="AZ5" s="226">
        <v>84</v>
      </c>
      <c r="BA5" s="227">
        <v>36</v>
      </c>
    </row>
    <row r="6" spans="1:53" x14ac:dyDescent="0.15">
      <c r="A6" s="137" t="s">
        <v>61</v>
      </c>
      <c r="B6" s="137" t="s">
        <v>340</v>
      </c>
      <c r="C6" s="137">
        <v>2018</v>
      </c>
      <c r="D6" s="138" t="s">
        <v>424</v>
      </c>
      <c r="E6" s="137" t="s">
        <v>249</v>
      </c>
      <c r="F6" s="137" t="s">
        <v>248</v>
      </c>
      <c r="G6" s="137" t="s">
        <v>42</v>
      </c>
      <c r="H6" s="247" t="s">
        <v>168</v>
      </c>
      <c r="I6" s="247" t="s">
        <v>155</v>
      </c>
      <c r="J6" s="137" t="s">
        <v>38</v>
      </c>
      <c r="K6" s="247" t="s">
        <v>156</v>
      </c>
      <c r="L6" s="247">
        <v>2</v>
      </c>
      <c r="M6" s="247"/>
      <c r="N6" s="247">
        <v>1</v>
      </c>
      <c r="O6" s="247">
        <v>0.6</v>
      </c>
      <c r="P6" s="247">
        <v>0.65</v>
      </c>
      <c r="Q6" s="139">
        <f t="shared" si="0"/>
        <v>0.625</v>
      </c>
      <c r="R6" s="247">
        <v>17.8</v>
      </c>
      <c r="S6" s="247">
        <v>132</v>
      </c>
      <c r="T6" s="140">
        <f t="shared" si="1"/>
        <v>25</v>
      </c>
      <c r="U6" s="247">
        <v>148</v>
      </c>
      <c r="V6" s="141">
        <f t="shared" si="2"/>
        <v>3700</v>
      </c>
      <c r="W6" s="247">
        <v>3</v>
      </c>
      <c r="X6" s="137" t="s">
        <v>39</v>
      </c>
      <c r="Y6" s="247" t="s">
        <v>97</v>
      </c>
      <c r="Z6" s="247" t="s">
        <v>78</v>
      </c>
      <c r="AA6" s="247" t="s">
        <v>88</v>
      </c>
      <c r="AB6" s="137" t="s">
        <v>342</v>
      </c>
      <c r="AC6" s="142"/>
      <c r="AE6" s="223" t="s">
        <v>56</v>
      </c>
      <c r="AG6" s="49" t="s">
        <v>256</v>
      </c>
      <c r="AH6" s="49" t="s">
        <v>257</v>
      </c>
      <c r="AJ6" s="228"/>
      <c r="AL6" s="230" t="s">
        <v>99</v>
      </c>
      <c r="AN6" s="230" t="s">
        <v>171</v>
      </c>
      <c r="AP6" s="224" t="s">
        <v>53</v>
      </c>
      <c r="AR6" s="238" t="s">
        <v>59</v>
      </c>
      <c r="AT6" s="247"/>
      <c r="AV6" s="238" t="s">
        <v>60</v>
      </c>
      <c r="AX6" s="225">
        <v>97</v>
      </c>
      <c r="AY6" s="226">
        <v>36</v>
      </c>
      <c r="AZ6" s="226">
        <v>99</v>
      </c>
      <c r="BA6" s="227">
        <v>33</v>
      </c>
    </row>
    <row r="7" spans="1:53" x14ac:dyDescent="0.15">
      <c r="A7" s="137" t="s">
        <v>61</v>
      </c>
      <c r="B7" s="137" t="s">
        <v>340</v>
      </c>
      <c r="C7" s="137">
        <v>2018</v>
      </c>
      <c r="D7" s="138" t="s">
        <v>424</v>
      </c>
      <c r="E7" s="137" t="s">
        <v>249</v>
      </c>
      <c r="F7" s="137" t="s">
        <v>248</v>
      </c>
      <c r="G7" s="137" t="s">
        <v>42</v>
      </c>
      <c r="H7" s="247" t="s">
        <v>168</v>
      </c>
      <c r="I7" s="247" t="s">
        <v>155</v>
      </c>
      <c r="J7" s="137" t="s">
        <v>38</v>
      </c>
      <c r="K7" s="247" t="s">
        <v>156</v>
      </c>
      <c r="L7" s="247">
        <v>3</v>
      </c>
      <c r="M7" s="247"/>
      <c r="N7" s="247">
        <v>1</v>
      </c>
      <c r="O7" s="247">
        <v>0.6</v>
      </c>
      <c r="P7" s="247">
        <v>0.6</v>
      </c>
      <c r="Q7" s="139">
        <f t="shared" si="0"/>
        <v>0.6</v>
      </c>
      <c r="R7" s="247">
        <v>17.2</v>
      </c>
      <c r="S7" s="247">
        <v>128</v>
      </c>
      <c r="T7" s="140">
        <f t="shared" si="1"/>
        <v>27</v>
      </c>
      <c r="U7" s="247">
        <v>148</v>
      </c>
      <c r="V7" s="141">
        <f t="shared" si="2"/>
        <v>3996</v>
      </c>
      <c r="W7" s="247">
        <v>3</v>
      </c>
      <c r="X7" s="137" t="s">
        <v>39</v>
      </c>
      <c r="Y7" s="247" t="s">
        <v>97</v>
      </c>
      <c r="Z7" s="247" t="s">
        <v>78</v>
      </c>
      <c r="AA7" s="247" t="s">
        <v>88</v>
      </c>
      <c r="AB7" s="137" t="s">
        <v>342</v>
      </c>
      <c r="AC7" s="142"/>
      <c r="AE7" s="223" t="s">
        <v>61</v>
      </c>
      <c r="AG7" s="49" t="s">
        <v>258</v>
      </c>
      <c r="AH7" s="49" t="s">
        <v>259</v>
      </c>
      <c r="AJ7" s="228"/>
      <c r="AL7" s="235" t="s">
        <v>172</v>
      </c>
      <c r="AN7" s="148"/>
      <c r="AP7" s="224" t="s">
        <v>58</v>
      </c>
      <c r="AR7" s="231" t="s">
        <v>122</v>
      </c>
      <c r="AT7" s="247"/>
      <c r="AV7" s="238" t="s">
        <v>64</v>
      </c>
      <c r="AX7" s="225">
        <v>109</v>
      </c>
      <c r="AY7" s="226">
        <v>33</v>
      </c>
      <c r="AZ7" s="226">
        <v>113</v>
      </c>
      <c r="BA7" s="227">
        <v>30</v>
      </c>
    </row>
    <row r="8" spans="1:53" x14ac:dyDescent="0.15">
      <c r="A8" s="137" t="s">
        <v>61</v>
      </c>
      <c r="B8" s="137" t="s">
        <v>392</v>
      </c>
      <c r="C8" s="137">
        <v>2018</v>
      </c>
      <c r="D8" s="138" t="s">
        <v>425</v>
      </c>
      <c r="E8" s="137" t="s">
        <v>249</v>
      </c>
      <c r="F8" s="137" t="s">
        <v>248</v>
      </c>
      <c r="G8" s="137" t="s">
        <v>42</v>
      </c>
      <c r="H8" s="247" t="s">
        <v>127</v>
      </c>
      <c r="I8" s="247" t="s">
        <v>155</v>
      </c>
      <c r="J8" s="137" t="s">
        <v>80</v>
      </c>
      <c r="K8" s="247" t="s">
        <v>45</v>
      </c>
      <c r="L8" s="247">
        <v>1</v>
      </c>
      <c r="M8" s="247"/>
      <c r="N8" s="247">
        <v>5</v>
      </c>
      <c r="O8" s="247">
        <v>1.5</v>
      </c>
      <c r="P8" s="247">
        <v>1.4</v>
      </c>
      <c r="Q8" s="139">
        <f t="shared" si="0"/>
        <v>1.45</v>
      </c>
      <c r="R8" s="247">
        <v>11.2</v>
      </c>
      <c r="S8" s="247">
        <v>81</v>
      </c>
      <c r="T8" s="140">
        <f t="shared" si="1"/>
        <v>39</v>
      </c>
      <c r="U8" s="247">
        <v>248</v>
      </c>
      <c r="V8" s="141">
        <f t="shared" si="2"/>
        <v>1934.4</v>
      </c>
      <c r="W8" s="247">
        <v>3</v>
      </c>
      <c r="X8" s="137" t="s">
        <v>39</v>
      </c>
      <c r="Y8" s="247" t="s">
        <v>97</v>
      </c>
      <c r="Z8" s="247" t="s">
        <v>78</v>
      </c>
      <c r="AA8" s="247" t="s">
        <v>88</v>
      </c>
      <c r="AB8" s="137" t="s">
        <v>426</v>
      </c>
      <c r="AC8" s="142"/>
      <c r="AE8" s="223" t="s">
        <v>59</v>
      </c>
      <c r="AG8" s="49" t="s">
        <v>260</v>
      </c>
      <c r="AH8" s="49" t="s">
        <v>261</v>
      </c>
      <c r="AJ8" s="229"/>
      <c r="AL8" s="235" t="s">
        <v>358</v>
      </c>
      <c r="AN8" s="230"/>
      <c r="AP8" s="224" t="s">
        <v>62</v>
      </c>
      <c r="AR8" s="238" t="s">
        <v>81</v>
      </c>
      <c r="AV8" s="238" t="s">
        <v>97</v>
      </c>
      <c r="AX8" s="225">
        <v>119</v>
      </c>
      <c r="AY8" s="226">
        <v>30</v>
      </c>
      <c r="AZ8" s="226">
        <v>121</v>
      </c>
      <c r="BA8" s="227">
        <v>27</v>
      </c>
    </row>
    <row r="9" spans="1:53" x14ac:dyDescent="0.15">
      <c r="A9" s="137" t="s">
        <v>61</v>
      </c>
      <c r="B9" s="137" t="s">
        <v>392</v>
      </c>
      <c r="C9" s="137">
        <v>2018</v>
      </c>
      <c r="D9" s="138" t="s">
        <v>425</v>
      </c>
      <c r="E9" s="137" t="s">
        <v>249</v>
      </c>
      <c r="F9" s="137" t="s">
        <v>248</v>
      </c>
      <c r="G9" s="137" t="s">
        <v>42</v>
      </c>
      <c r="H9" s="247" t="s">
        <v>127</v>
      </c>
      <c r="I9" s="247" t="s">
        <v>155</v>
      </c>
      <c r="J9" s="137" t="s">
        <v>80</v>
      </c>
      <c r="K9" s="247" t="s">
        <v>45</v>
      </c>
      <c r="L9" s="247">
        <v>2</v>
      </c>
      <c r="M9" s="247"/>
      <c r="N9" s="247">
        <v>5</v>
      </c>
      <c r="O9" s="247">
        <v>1.4</v>
      </c>
      <c r="P9" s="247">
        <v>1.4</v>
      </c>
      <c r="Q9" s="139">
        <f t="shared" si="0"/>
        <v>1.4</v>
      </c>
      <c r="R9" s="142">
        <v>11</v>
      </c>
      <c r="S9" s="247">
        <v>88</v>
      </c>
      <c r="T9" s="140">
        <f t="shared" si="1"/>
        <v>36</v>
      </c>
      <c r="U9" s="247">
        <v>248</v>
      </c>
      <c r="V9" s="141">
        <f t="shared" si="2"/>
        <v>1785.6000000000001</v>
      </c>
      <c r="W9" s="247">
        <v>3</v>
      </c>
      <c r="X9" s="137" t="s">
        <v>39</v>
      </c>
      <c r="Y9" s="247" t="s">
        <v>97</v>
      </c>
      <c r="Z9" s="247" t="s">
        <v>78</v>
      </c>
      <c r="AA9" s="247" t="s">
        <v>88</v>
      </c>
      <c r="AB9" s="137" t="s">
        <v>426</v>
      </c>
      <c r="AC9" s="142"/>
      <c r="AE9" s="223" t="s">
        <v>98</v>
      </c>
      <c r="AG9" s="49" t="s">
        <v>133</v>
      </c>
      <c r="AH9" s="49" t="s">
        <v>262</v>
      </c>
      <c r="AL9" s="230"/>
      <c r="AN9" s="230"/>
      <c r="AP9" s="224" t="s">
        <v>95</v>
      </c>
      <c r="AR9" s="231" t="s">
        <v>89</v>
      </c>
      <c r="AV9" s="238" t="s">
        <v>102</v>
      </c>
      <c r="AX9" s="225">
        <v>128</v>
      </c>
      <c r="AY9" s="226">
        <v>27</v>
      </c>
      <c r="AZ9" s="226">
        <v>129</v>
      </c>
      <c r="BA9" s="227">
        <v>25</v>
      </c>
    </row>
    <row r="10" spans="1:53" x14ac:dyDescent="0.15">
      <c r="A10" s="137" t="s">
        <v>61</v>
      </c>
      <c r="B10" s="137" t="s">
        <v>395</v>
      </c>
      <c r="C10" s="137">
        <v>2018</v>
      </c>
      <c r="D10" s="138" t="s">
        <v>427</v>
      </c>
      <c r="E10" s="137" t="s">
        <v>249</v>
      </c>
      <c r="F10" s="137" t="s">
        <v>248</v>
      </c>
      <c r="G10" s="137" t="s">
        <v>42</v>
      </c>
      <c r="H10" s="247" t="s">
        <v>127</v>
      </c>
      <c r="I10" s="247" t="s">
        <v>155</v>
      </c>
      <c r="J10" s="137" t="s">
        <v>80</v>
      </c>
      <c r="K10" s="247" t="s">
        <v>45</v>
      </c>
      <c r="L10" s="247">
        <v>3</v>
      </c>
      <c r="M10" s="247"/>
      <c r="N10" s="247">
        <v>5</v>
      </c>
      <c r="O10" s="247">
        <v>1.25</v>
      </c>
      <c r="P10" s="247">
        <v>1</v>
      </c>
      <c r="Q10" s="139">
        <f t="shared" si="0"/>
        <v>1.125</v>
      </c>
      <c r="R10" s="247">
        <v>11</v>
      </c>
      <c r="S10" s="247">
        <v>89</v>
      </c>
      <c r="T10" s="140">
        <f t="shared" si="1"/>
        <v>36</v>
      </c>
      <c r="U10" s="247">
        <v>248</v>
      </c>
      <c r="V10" s="141">
        <f t="shared" si="2"/>
        <v>1785.6000000000001</v>
      </c>
      <c r="W10" s="247">
        <v>3</v>
      </c>
      <c r="X10" s="137" t="s">
        <v>39</v>
      </c>
      <c r="Y10" s="247" t="s">
        <v>97</v>
      </c>
      <c r="Z10" s="247" t="s">
        <v>78</v>
      </c>
      <c r="AA10" s="247" t="s">
        <v>88</v>
      </c>
      <c r="AB10" s="137" t="s">
        <v>428</v>
      </c>
      <c r="AC10" s="142"/>
      <c r="AE10" s="223" t="s">
        <v>103</v>
      </c>
      <c r="AG10" s="49" t="s">
        <v>263</v>
      </c>
      <c r="AH10" s="49" t="s">
        <v>264</v>
      </c>
      <c r="AL10" s="228"/>
      <c r="AP10" s="224" t="s">
        <v>100</v>
      </c>
      <c r="AR10" s="231" t="s">
        <v>123</v>
      </c>
      <c r="AV10" s="238" t="s">
        <v>106</v>
      </c>
      <c r="AX10" s="225">
        <v>138</v>
      </c>
      <c r="AY10" s="226">
        <v>25</v>
      </c>
      <c r="AZ10" s="226">
        <v>138</v>
      </c>
      <c r="BA10" s="227">
        <v>22</v>
      </c>
    </row>
    <row r="11" spans="1:53" x14ac:dyDescent="0.15">
      <c r="A11" s="137" t="s">
        <v>429</v>
      </c>
      <c r="B11" s="137" t="s">
        <v>395</v>
      </c>
      <c r="C11" s="137">
        <v>2018</v>
      </c>
      <c r="D11" s="138" t="s">
        <v>427</v>
      </c>
      <c r="E11" s="137" t="s">
        <v>250</v>
      </c>
      <c r="F11" s="137" t="s">
        <v>251</v>
      </c>
      <c r="G11" s="137" t="s">
        <v>42</v>
      </c>
      <c r="H11" s="247" t="s">
        <v>157</v>
      </c>
      <c r="I11" s="247" t="s">
        <v>155</v>
      </c>
      <c r="J11" s="137" t="s">
        <v>38</v>
      </c>
      <c r="K11" s="247" t="s">
        <v>156</v>
      </c>
      <c r="L11" s="247">
        <v>1</v>
      </c>
      <c r="M11" s="247"/>
      <c r="N11" s="247">
        <v>1</v>
      </c>
      <c r="O11" s="247">
        <v>0.9</v>
      </c>
      <c r="P11" s="247">
        <v>0.85</v>
      </c>
      <c r="Q11" s="139">
        <f t="shared" si="0"/>
        <v>0.875</v>
      </c>
      <c r="R11" s="247">
        <v>17.399999999999999</v>
      </c>
      <c r="S11" s="247">
        <v>145</v>
      </c>
      <c r="T11" s="140">
        <f t="shared" si="1"/>
        <v>22</v>
      </c>
      <c r="U11" s="247">
        <v>98</v>
      </c>
      <c r="V11" s="141">
        <f t="shared" si="2"/>
        <v>2156</v>
      </c>
      <c r="W11" s="247">
        <v>8</v>
      </c>
      <c r="X11" s="137" t="s">
        <v>46</v>
      </c>
      <c r="Y11" s="247" t="s">
        <v>97</v>
      </c>
      <c r="Z11" s="247" t="s">
        <v>64</v>
      </c>
      <c r="AA11" s="247" t="s">
        <v>78</v>
      </c>
      <c r="AB11" s="137" t="s">
        <v>428</v>
      </c>
      <c r="AC11" s="142"/>
      <c r="AE11" s="223" t="s">
        <v>65</v>
      </c>
      <c r="AG11" s="49" t="s">
        <v>265</v>
      </c>
      <c r="AH11" s="49" t="s">
        <v>264</v>
      </c>
      <c r="AL11" s="149"/>
      <c r="AP11" s="224" t="s">
        <v>104</v>
      </c>
      <c r="AR11" s="231" t="s">
        <v>87</v>
      </c>
      <c r="AV11" s="150" t="s">
        <v>430</v>
      </c>
      <c r="AX11" s="225">
        <v>151</v>
      </c>
      <c r="AY11" s="226">
        <v>22</v>
      </c>
      <c r="AZ11" s="226">
        <v>152</v>
      </c>
      <c r="BA11" s="227">
        <v>18</v>
      </c>
    </row>
    <row r="12" spans="1:53" x14ac:dyDescent="0.15">
      <c r="A12" s="137" t="s">
        <v>61</v>
      </c>
      <c r="B12" s="137" t="s">
        <v>400</v>
      </c>
      <c r="C12" s="137">
        <v>2018</v>
      </c>
      <c r="D12" s="138" t="s">
        <v>431</v>
      </c>
      <c r="E12" s="137" t="s">
        <v>250</v>
      </c>
      <c r="F12" s="137" t="s">
        <v>251</v>
      </c>
      <c r="G12" s="137" t="s">
        <v>42</v>
      </c>
      <c r="H12" s="247" t="s">
        <v>157</v>
      </c>
      <c r="I12" s="247" t="s">
        <v>155</v>
      </c>
      <c r="J12" s="137" t="s">
        <v>38</v>
      </c>
      <c r="K12" s="247" t="s">
        <v>156</v>
      </c>
      <c r="L12" s="247">
        <v>2</v>
      </c>
      <c r="M12" s="247"/>
      <c r="N12" s="247">
        <v>1</v>
      </c>
      <c r="O12" s="247">
        <v>0.95</v>
      </c>
      <c r="P12" s="247">
        <v>0.9</v>
      </c>
      <c r="Q12" s="139">
        <f t="shared" si="0"/>
        <v>0.92500000000000004</v>
      </c>
      <c r="R12" s="142">
        <v>17.5</v>
      </c>
      <c r="S12" s="247">
        <v>152</v>
      </c>
      <c r="T12" s="140">
        <f t="shared" si="1"/>
        <v>18</v>
      </c>
      <c r="U12" s="247">
        <v>98</v>
      </c>
      <c r="V12" s="141">
        <f t="shared" si="2"/>
        <v>1764</v>
      </c>
      <c r="W12" s="247">
        <v>8</v>
      </c>
      <c r="X12" s="137" t="s">
        <v>46</v>
      </c>
      <c r="Y12" s="247" t="s">
        <v>97</v>
      </c>
      <c r="Z12" s="247" t="s">
        <v>64</v>
      </c>
      <c r="AA12" s="247" t="s">
        <v>78</v>
      </c>
      <c r="AB12" s="137" t="s">
        <v>432</v>
      </c>
      <c r="AC12" s="142"/>
      <c r="AE12" s="223" t="s">
        <v>70</v>
      </c>
      <c r="AG12" s="224"/>
      <c r="AH12" s="223"/>
      <c r="AL12" s="149"/>
      <c r="AP12" s="224" t="s">
        <v>67</v>
      </c>
      <c r="AR12" s="231" t="s">
        <v>124</v>
      </c>
      <c r="AV12" s="150" t="s">
        <v>433</v>
      </c>
      <c r="AX12" s="225">
        <v>180</v>
      </c>
      <c r="AY12" s="226">
        <v>18</v>
      </c>
      <c r="AZ12" s="226">
        <v>181</v>
      </c>
      <c r="BA12" s="227">
        <v>16</v>
      </c>
    </row>
    <row r="13" spans="1:53" x14ac:dyDescent="0.15">
      <c r="A13" s="137" t="s">
        <v>61</v>
      </c>
      <c r="B13" s="137" t="s">
        <v>404</v>
      </c>
      <c r="C13" s="137">
        <v>2018</v>
      </c>
      <c r="D13" s="138" t="s">
        <v>434</v>
      </c>
      <c r="E13" s="137" t="s">
        <v>250</v>
      </c>
      <c r="F13" s="137" t="s">
        <v>251</v>
      </c>
      <c r="G13" s="137" t="s">
        <v>42</v>
      </c>
      <c r="H13" s="247" t="s">
        <v>157</v>
      </c>
      <c r="I13" s="247" t="s">
        <v>155</v>
      </c>
      <c r="J13" s="137" t="s">
        <v>38</v>
      </c>
      <c r="K13" s="247" t="s">
        <v>156</v>
      </c>
      <c r="L13" s="247">
        <v>3</v>
      </c>
      <c r="M13" s="247"/>
      <c r="N13" s="247">
        <v>1</v>
      </c>
      <c r="O13" s="247">
        <v>0.9</v>
      </c>
      <c r="P13" s="247">
        <v>0.9</v>
      </c>
      <c r="Q13" s="139">
        <f t="shared" si="0"/>
        <v>0.9</v>
      </c>
      <c r="R13" s="247">
        <v>17.2</v>
      </c>
      <c r="S13" s="247">
        <v>145</v>
      </c>
      <c r="T13" s="140">
        <f t="shared" si="1"/>
        <v>22</v>
      </c>
      <c r="U13" s="247">
        <v>98</v>
      </c>
      <c r="V13" s="141">
        <f t="shared" si="2"/>
        <v>2156</v>
      </c>
      <c r="W13" s="247">
        <v>8</v>
      </c>
      <c r="X13" s="137" t="s">
        <v>46</v>
      </c>
      <c r="Y13" s="247" t="s">
        <v>97</v>
      </c>
      <c r="Z13" s="247" t="s">
        <v>64</v>
      </c>
      <c r="AA13" s="247" t="s">
        <v>78</v>
      </c>
      <c r="AB13" s="137" t="s">
        <v>435</v>
      </c>
      <c r="AC13" s="142"/>
      <c r="AE13" s="223" t="s">
        <v>73</v>
      </c>
      <c r="AG13" s="224"/>
      <c r="AH13" s="223"/>
      <c r="AL13" s="151"/>
      <c r="AP13" s="224" t="s">
        <v>71</v>
      </c>
      <c r="AR13" s="231" t="s">
        <v>103</v>
      </c>
      <c r="AV13" s="150" t="s">
        <v>436</v>
      </c>
      <c r="AX13" s="225"/>
      <c r="AY13" s="226"/>
      <c r="AZ13" s="226"/>
      <c r="BA13" s="227"/>
    </row>
    <row r="14" spans="1:53" x14ac:dyDescent="0.15">
      <c r="A14" s="137" t="s">
        <v>61</v>
      </c>
      <c r="B14" s="137" t="s">
        <v>406</v>
      </c>
      <c r="C14" s="137">
        <v>2018</v>
      </c>
      <c r="D14" s="138" t="s">
        <v>437</v>
      </c>
      <c r="E14" s="137" t="s">
        <v>250</v>
      </c>
      <c r="F14" s="137" t="s">
        <v>251</v>
      </c>
      <c r="G14" s="137" t="s">
        <v>42</v>
      </c>
      <c r="H14" s="247" t="s">
        <v>168</v>
      </c>
      <c r="I14" s="247" t="s">
        <v>155</v>
      </c>
      <c r="J14" s="137" t="s">
        <v>38</v>
      </c>
      <c r="K14" s="247" t="s">
        <v>156</v>
      </c>
      <c r="L14" s="247">
        <v>1</v>
      </c>
      <c r="M14" s="247"/>
      <c r="N14" s="247">
        <v>1</v>
      </c>
      <c r="O14" s="247">
        <v>0.5</v>
      </c>
      <c r="P14" s="247">
        <v>0.5</v>
      </c>
      <c r="Q14" s="139">
        <f t="shared" si="0"/>
        <v>0.5</v>
      </c>
      <c r="R14" s="247">
        <v>18.3</v>
      </c>
      <c r="S14" s="247">
        <v>138</v>
      </c>
      <c r="T14" s="140">
        <f t="shared" si="1"/>
        <v>22</v>
      </c>
      <c r="U14" s="247">
        <v>158</v>
      </c>
      <c r="V14" s="141">
        <f t="shared" si="2"/>
        <v>3476</v>
      </c>
      <c r="W14" s="247">
        <v>8</v>
      </c>
      <c r="X14" s="137" t="s">
        <v>46</v>
      </c>
      <c r="Y14" s="247" t="s">
        <v>97</v>
      </c>
      <c r="Z14" s="247" t="s">
        <v>64</v>
      </c>
      <c r="AA14" s="247" t="s">
        <v>78</v>
      </c>
      <c r="AB14" s="137" t="s">
        <v>438</v>
      </c>
      <c r="AC14" s="142"/>
      <c r="AE14" s="223" t="s">
        <v>76</v>
      </c>
      <c r="AG14" s="224"/>
      <c r="AH14" s="223"/>
      <c r="AL14" s="235"/>
      <c r="AP14" s="224" t="s">
        <v>74</v>
      </c>
      <c r="AR14" s="231" t="s">
        <v>125</v>
      </c>
      <c r="AV14" s="150" t="s">
        <v>439</v>
      </c>
      <c r="AX14" s="225"/>
      <c r="AY14" s="226"/>
      <c r="AZ14" s="226"/>
      <c r="BA14" s="227"/>
    </row>
    <row r="15" spans="1:53" x14ac:dyDescent="0.15">
      <c r="A15" s="137" t="s">
        <v>61</v>
      </c>
      <c r="B15" s="137" t="s">
        <v>406</v>
      </c>
      <c r="C15" s="137">
        <v>2018</v>
      </c>
      <c r="D15" s="138" t="s">
        <v>437</v>
      </c>
      <c r="E15" s="137" t="s">
        <v>250</v>
      </c>
      <c r="F15" s="137" t="s">
        <v>251</v>
      </c>
      <c r="G15" s="137" t="s">
        <v>42</v>
      </c>
      <c r="H15" s="247" t="s">
        <v>168</v>
      </c>
      <c r="I15" s="247" t="s">
        <v>155</v>
      </c>
      <c r="J15" s="137" t="s">
        <v>38</v>
      </c>
      <c r="K15" s="247" t="s">
        <v>156</v>
      </c>
      <c r="L15" s="247">
        <v>2</v>
      </c>
      <c r="M15" s="247"/>
      <c r="N15" s="247">
        <v>1</v>
      </c>
      <c r="O15" s="247">
        <v>0.65</v>
      </c>
      <c r="P15" s="247">
        <v>0.65</v>
      </c>
      <c r="Q15" s="139">
        <f t="shared" si="0"/>
        <v>0.65</v>
      </c>
      <c r="R15" s="142">
        <v>17.3</v>
      </c>
      <c r="S15" s="247">
        <v>137</v>
      </c>
      <c r="T15" s="140">
        <f t="shared" si="1"/>
        <v>25</v>
      </c>
      <c r="U15" s="247">
        <v>158</v>
      </c>
      <c r="V15" s="141">
        <f t="shared" si="2"/>
        <v>3950</v>
      </c>
      <c r="W15" s="247">
        <v>8</v>
      </c>
      <c r="X15" s="137" t="s">
        <v>46</v>
      </c>
      <c r="Y15" s="247" t="s">
        <v>97</v>
      </c>
      <c r="Z15" s="247" t="s">
        <v>64</v>
      </c>
      <c r="AA15" s="247" t="s">
        <v>78</v>
      </c>
      <c r="AB15" s="137" t="s">
        <v>438</v>
      </c>
      <c r="AC15" s="142"/>
      <c r="AE15" s="223" t="s">
        <v>79</v>
      </c>
      <c r="AG15" s="224"/>
      <c r="AH15" s="224"/>
      <c r="AL15" s="235"/>
      <c r="AP15" s="224" t="s">
        <v>77</v>
      </c>
      <c r="AR15" s="231" t="s">
        <v>94</v>
      </c>
      <c r="AV15" s="150" t="s">
        <v>440</v>
      </c>
      <c r="AX15" s="232"/>
      <c r="AY15" s="233"/>
      <c r="AZ15" s="233"/>
      <c r="BA15" s="234"/>
    </row>
    <row r="16" spans="1:53" x14ac:dyDescent="0.15">
      <c r="A16" s="137" t="s">
        <v>61</v>
      </c>
      <c r="B16" s="137" t="s">
        <v>410</v>
      </c>
      <c r="C16" s="137">
        <v>2018</v>
      </c>
      <c r="D16" s="138" t="s">
        <v>441</v>
      </c>
      <c r="E16" s="137" t="s">
        <v>250</v>
      </c>
      <c r="F16" s="137" t="s">
        <v>251</v>
      </c>
      <c r="G16" s="137" t="s">
        <v>42</v>
      </c>
      <c r="H16" s="247" t="s">
        <v>168</v>
      </c>
      <c r="I16" s="247" t="s">
        <v>155</v>
      </c>
      <c r="J16" s="137" t="s">
        <v>38</v>
      </c>
      <c r="K16" s="247" t="s">
        <v>156</v>
      </c>
      <c r="L16" s="247">
        <v>3</v>
      </c>
      <c r="M16" s="247"/>
      <c r="N16" s="247">
        <v>1</v>
      </c>
      <c r="O16" s="247">
        <v>0.85</v>
      </c>
      <c r="P16" s="247">
        <v>0.75</v>
      </c>
      <c r="Q16" s="139">
        <f t="shared" si="0"/>
        <v>0.8</v>
      </c>
      <c r="R16" s="247">
        <v>17.2</v>
      </c>
      <c r="S16" s="247">
        <v>141</v>
      </c>
      <c r="T16" s="140">
        <f t="shared" si="1"/>
        <v>22</v>
      </c>
      <c r="U16" s="247">
        <v>158</v>
      </c>
      <c r="V16" s="141">
        <f t="shared" si="2"/>
        <v>3476</v>
      </c>
      <c r="W16" s="247">
        <v>8</v>
      </c>
      <c r="X16" s="137" t="s">
        <v>46</v>
      </c>
      <c r="Y16" s="247" t="s">
        <v>97</v>
      </c>
      <c r="Z16" s="247" t="s">
        <v>64</v>
      </c>
      <c r="AA16" s="247" t="s">
        <v>78</v>
      </c>
      <c r="AB16" s="137" t="s">
        <v>442</v>
      </c>
      <c r="AC16" s="142"/>
      <c r="AE16" s="223" t="s">
        <v>82</v>
      </c>
      <c r="AG16" s="224"/>
      <c r="AH16" s="224"/>
      <c r="AP16" s="224" t="s">
        <v>80</v>
      </c>
      <c r="AR16" s="238" t="s">
        <v>63</v>
      </c>
      <c r="AV16" s="150" t="s">
        <v>443</v>
      </c>
    </row>
    <row r="17" spans="1:48" x14ac:dyDescent="0.15">
      <c r="A17" s="137" t="s">
        <v>61</v>
      </c>
      <c r="B17" s="137" t="s">
        <v>410</v>
      </c>
      <c r="C17" s="137">
        <v>2018</v>
      </c>
      <c r="D17" s="138" t="s">
        <v>441</v>
      </c>
      <c r="E17" s="137" t="s">
        <v>252</v>
      </c>
      <c r="F17" s="137" t="s">
        <v>253</v>
      </c>
      <c r="G17" s="137" t="s">
        <v>42</v>
      </c>
      <c r="H17" s="247" t="s">
        <v>157</v>
      </c>
      <c r="I17" s="247" t="s">
        <v>155</v>
      </c>
      <c r="J17" s="137" t="s">
        <v>38</v>
      </c>
      <c r="K17" s="247" t="s">
        <v>156</v>
      </c>
      <c r="L17" s="247">
        <v>1</v>
      </c>
      <c r="M17" s="247"/>
      <c r="N17" s="247">
        <v>1</v>
      </c>
      <c r="O17" s="247">
        <v>0.8</v>
      </c>
      <c r="P17" s="247">
        <v>0.75</v>
      </c>
      <c r="Q17" s="139">
        <f t="shared" si="0"/>
        <v>0.77500000000000002</v>
      </c>
      <c r="R17" s="247">
        <v>17.100000000000001</v>
      </c>
      <c r="S17" s="247">
        <v>151</v>
      </c>
      <c r="T17" s="140">
        <f t="shared" si="1"/>
        <v>22</v>
      </c>
      <c r="U17" s="247">
        <v>128</v>
      </c>
      <c r="V17" s="141">
        <f t="shared" si="2"/>
        <v>2816</v>
      </c>
      <c r="W17" s="247">
        <v>9</v>
      </c>
      <c r="X17" s="137" t="s">
        <v>46</v>
      </c>
      <c r="Y17" s="247" t="s">
        <v>55</v>
      </c>
      <c r="Z17" s="247" t="s">
        <v>69</v>
      </c>
      <c r="AA17" s="247" t="s">
        <v>47</v>
      </c>
      <c r="AB17" s="137" t="s">
        <v>442</v>
      </c>
      <c r="AC17" s="142"/>
      <c r="AE17" s="223" t="s">
        <v>85</v>
      </c>
      <c r="AP17" s="239" t="s">
        <v>110</v>
      </c>
      <c r="AR17" s="238" t="s">
        <v>96</v>
      </c>
      <c r="AV17" s="150" t="s">
        <v>444</v>
      </c>
    </row>
    <row r="18" spans="1:48" x14ac:dyDescent="0.15">
      <c r="A18" s="137" t="s">
        <v>61</v>
      </c>
      <c r="B18" s="137" t="s">
        <v>410</v>
      </c>
      <c r="C18" s="137">
        <v>2018</v>
      </c>
      <c r="D18" s="138" t="s">
        <v>441</v>
      </c>
      <c r="E18" s="137" t="s">
        <v>252</v>
      </c>
      <c r="F18" s="137" t="s">
        <v>253</v>
      </c>
      <c r="G18" s="137" t="s">
        <v>42</v>
      </c>
      <c r="H18" s="247" t="s">
        <v>157</v>
      </c>
      <c r="I18" s="247" t="s">
        <v>155</v>
      </c>
      <c r="J18" s="137" t="s">
        <v>38</v>
      </c>
      <c r="K18" s="247" t="s">
        <v>156</v>
      </c>
      <c r="L18" s="247">
        <v>2</v>
      </c>
      <c r="M18" s="247"/>
      <c r="N18" s="247">
        <v>1</v>
      </c>
      <c r="O18" s="247">
        <v>0.55000000000000004</v>
      </c>
      <c r="P18" s="247">
        <v>0.65</v>
      </c>
      <c r="Q18" s="139">
        <f t="shared" si="0"/>
        <v>0.60000000000000009</v>
      </c>
      <c r="R18" s="142">
        <v>17.7</v>
      </c>
      <c r="S18" s="247">
        <v>151</v>
      </c>
      <c r="T18" s="140">
        <f t="shared" si="1"/>
        <v>22</v>
      </c>
      <c r="U18" s="247">
        <v>128</v>
      </c>
      <c r="V18" s="141">
        <f t="shared" si="2"/>
        <v>2816</v>
      </c>
      <c r="W18" s="247">
        <v>9</v>
      </c>
      <c r="X18" s="137" t="s">
        <v>46</v>
      </c>
      <c r="Y18" s="247" t="s">
        <v>55</v>
      </c>
      <c r="Z18" s="247" t="s">
        <v>69</v>
      </c>
      <c r="AA18" s="247" t="s">
        <v>47</v>
      </c>
      <c r="AB18" s="137" t="s">
        <v>442</v>
      </c>
      <c r="AC18" s="142"/>
      <c r="AE18" s="223" t="s">
        <v>87</v>
      </c>
      <c r="AP18" s="239" t="s">
        <v>111</v>
      </c>
      <c r="AR18" s="238" t="s">
        <v>101</v>
      </c>
      <c r="AV18" s="150" t="s">
        <v>359</v>
      </c>
    </row>
    <row r="19" spans="1:48" x14ac:dyDescent="0.15">
      <c r="A19" s="137" t="s">
        <v>61</v>
      </c>
      <c r="B19" s="137" t="s">
        <v>400</v>
      </c>
      <c r="C19" s="137">
        <v>2018</v>
      </c>
      <c r="D19" s="138" t="s">
        <v>431</v>
      </c>
      <c r="E19" s="137" t="s">
        <v>252</v>
      </c>
      <c r="F19" s="137" t="s">
        <v>253</v>
      </c>
      <c r="G19" s="137" t="s">
        <v>42</v>
      </c>
      <c r="H19" s="247" t="s">
        <v>157</v>
      </c>
      <c r="I19" s="247" t="s">
        <v>155</v>
      </c>
      <c r="J19" s="137" t="s">
        <v>38</v>
      </c>
      <c r="K19" s="247" t="s">
        <v>156</v>
      </c>
      <c r="L19" s="247">
        <v>3</v>
      </c>
      <c r="M19" s="247"/>
      <c r="N19" s="247">
        <v>1</v>
      </c>
      <c r="O19" s="142">
        <v>0.5</v>
      </c>
      <c r="P19" s="247">
        <v>0.5</v>
      </c>
      <c r="Q19" s="139">
        <f t="shared" si="0"/>
        <v>0.5</v>
      </c>
      <c r="R19" s="247">
        <v>17.100000000000001</v>
      </c>
      <c r="S19" s="247">
        <v>153</v>
      </c>
      <c r="T19" s="140">
        <f t="shared" si="1"/>
        <v>18</v>
      </c>
      <c r="U19" s="247">
        <v>128</v>
      </c>
      <c r="V19" s="141">
        <f t="shared" si="2"/>
        <v>2304</v>
      </c>
      <c r="W19" s="247">
        <v>9</v>
      </c>
      <c r="X19" s="137" t="s">
        <v>46</v>
      </c>
      <c r="Y19" s="247" t="s">
        <v>55</v>
      </c>
      <c r="Z19" s="247" t="s">
        <v>69</v>
      </c>
      <c r="AA19" s="247" t="s">
        <v>47</v>
      </c>
      <c r="AB19" s="137" t="s">
        <v>432</v>
      </c>
      <c r="AC19" s="142"/>
      <c r="AE19" s="236" t="s">
        <v>89</v>
      </c>
      <c r="AP19" s="239" t="s">
        <v>112</v>
      </c>
      <c r="AR19" s="231" t="s">
        <v>126</v>
      </c>
      <c r="AV19" s="150" t="s">
        <v>445</v>
      </c>
    </row>
    <row r="20" spans="1:48" x14ac:dyDescent="0.15">
      <c r="A20" s="137" t="s">
        <v>61</v>
      </c>
      <c r="B20" s="137" t="s">
        <v>400</v>
      </c>
      <c r="C20" s="137">
        <v>2018</v>
      </c>
      <c r="D20" s="138" t="s">
        <v>431</v>
      </c>
      <c r="E20" s="137" t="s">
        <v>252</v>
      </c>
      <c r="F20" s="137" t="s">
        <v>253</v>
      </c>
      <c r="G20" s="137" t="s">
        <v>42</v>
      </c>
      <c r="H20" s="247" t="s">
        <v>216</v>
      </c>
      <c r="I20" s="247" t="s">
        <v>155</v>
      </c>
      <c r="J20" s="137" t="s">
        <v>38</v>
      </c>
      <c r="K20" s="247" t="s">
        <v>156</v>
      </c>
      <c r="L20" s="247">
        <v>1</v>
      </c>
      <c r="M20" s="247"/>
      <c r="N20" s="247">
        <v>4</v>
      </c>
      <c r="O20" s="247">
        <v>0.5</v>
      </c>
      <c r="P20" s="247">
        <v>0.5</v>
      </c>
      <c r="Q20" s="139">
        <f t="shared" si="0"/>
        <v>0.5</v>
      </c>
      <c r="R20" s="247">
        <v>18.8</v>
      </c>
      <c r="S20" s="247">
        <v>96</v>
      </c>
      <c r="T20" s="140">
        <f t="shared" si="1"/>
        <v>36</v>
      </c>
      <c r="U20" s="247">
        <v>358</v>
      </c>
      <c r="V20" s="141">
        <f t="shared" si="2"/>
        <v>3222</v>
      </c>
      <c r="W20" s="247">
        <v>9</v>
      </c>
      <c r="X20" s="137" t="s">
        <v>46</v>
      </c>
      <c r="Y20" s="247" t="s">
        <v>55</v>
      </c>
      <c r="Z20" s="247" t="s">
        <v>69</v>
      </c>
      <c r="AA20" s="247" t="s">
        <v>47</v>
      </c>
      <c r="AB20" s="137" t="s">
        <v>432</v>
      </c>
      <c r="AC20" s="142"/>
      <c r="AE20" s="223"/>
      <c r="AP20" s="239" t="s">
        <v>113</v>
      </c>
      <c r="AR20" s="238" t="s">
        <v>105</v>
      </c>
      <c r="AV20" s="150" t="s">
        <v>446</v>
      </c>
    </row>
    <row r="21" spans="1:48" x14ac:dyDescent="0.15">
      <c r="A21" s="137" t="s">
        <v>61</v>
      </c>
      <c r="B21" s="137" t="s">
        <v>400</v>
      </c>
      <c r="C21" s="137">
        <v>2018</v>
      </c>
      <c r="D21" s="138" t="s">
        <v>431</v>
      </c>
      <c r="E21" s="137" t="s">
        <v>252</v>
      </c>
      <c r="F21" s="137" t="s">
        <v>253</v>
      </c>
      <c r="G21" s="137" t="s">
        <v>42</v>
      </c>
      <c r="H21" s="247" t="s">
        <v>216</v>
      </c>
      <c r="I21" s="247" t="s">
        <v>155</v>
      </c>
      <c r="J21" s="137" t="s">
        <v>38</v>
      </c>
      <c r="K21" s="247" t="s">
        <v>156</v>
      </c>
      <c r="L21" s="247">
        <v>2</v>
      </c>
      <c r="M21" s="247"/>
      <c r="N21" s="247">
        <v>4</v>
      </c>
      <c r="O21" s="247">
        <v>0.55000000000000004</v>
      </c>
      <c r="P21" s="247">
        <v>0.6</v>
      </c>
      <c r="Q21" s="139">
        <f t="shared" si="0"/>
        <v>0.57499999999999996</v>
      </c>
      <c r="R21" s="247">
        <v>18.100000000000001</v>
      </c>
      <c r="S21" s="247">
        <v>103</v>
      </c>
      <c r="T21" s="140">
        <f t="shared" si="1"/>
        <v>33</v>
      </c>
      <c r="U21" s="247">
        <v>358</v>
      </c>
      <c r="V21" s="141">
        <f t="shared" si="2"/>
        <v>2953.5</v>
      </c>
      <c r="W21" s="247">
        <v>9</v>
      </c>
      <c r="X21" s="137" t="s">
        <v>46</v>
      </c>
      <c r="Y21" s="247" t="s">
        <v>55</v>
      </c>
      <c r="Z21" s="247" t="s">
        <v>69</v>
      </c>
      <c r="AA21" s="247" t="s">
        <v>47</v>
      </c>
      <c r="AB21" s="137" t="s">
        <v>432</v>
      </c>
      <c r="AC21" s="142"/>
      <c r="AE21" s="223"/>
      <c r="AP21" s="239" t="s">
        <v>114</v>
      </c>
      <c r="AR21" s="238" t="s">
        <v>68</v>
      </c>
      <c r="AV21" s="150" t="s">
        <v>447</v>
      </c>
    </row>
    <row r="22" spans="1:48" x14ac:dyDescent="0.15">
      <c r="A22" s="137" t="s">
        <v>61</v>
      </c>
      <c r="B22" s="137" t="s">
        <v>400</v>
      </c>
      <c r="C22" s="137">
        <v>2018</v>
      </c>
      <c r="D22" s="138" t="s">
        <v>431</v>
      </c>
      <c r="E22" s="137" t="s">
        <v>252</v>
      </c>
      <c r="F22" s="137" t="s">
        <v>253</v>
      </c>
      <c r="G22" s="137" t="s">
        <v>42</v>
      </c>
      <c r="H22" s="247" t="s">
        <v>216</v>
      </c>
      <c r="I22" s="247" t="s">
        <v>155</v>
      </c>
      <c r="J22" s="137" t="s">
        <v>38</v>
      </c>
      <c r="K22" s="247" t="s">
        <v>156</v>
      </c>
      <c r="L22" s="247">
        <v>3</v>
      </c>
      <c r="M22" s="247"/>
      <c r="N22" s="247">
        <v>4</v>
      </c>
      <c r="O22" s="142">
        <v>0.5</v>
      </c>
      <c r="P22" s="247">
        <v>0.5</v>
      </c>
      <c r="Q22" s="139">
        <f t="shared" si="0"/>
        <v>0.5</v>
      </c>
      <c r="R22" s="247">
        <v>17.8</v>
      </c>
      <c r="S22" s="247">
        <v>93</v>
      </c>
      <c r="T22" s="140">
        <f t="shared" si="1"/>
        <v>36</v>
      </c>
      <c r="U22" s="247">
        <v>358</v>
      </c>
      <c r="V22" s="141">
        <f t="shared" si="2"/>
        <v>3222</v>
      </c>
      <c r="W22" s="247">
        <v>9</v>
      </c>
      <c r="X22" s="137" t="s">
        <v>46</v>
      </c>
      <c r="Y22" s="247" t="s">
        <v>55</v>
      </c>
      <c r="Z22" s="247" t="s">
        <v>69</v>
      </c>
      <c r="AA22" s="247" t="s">
        <v>47</v>
      </c>
      <c r="AB22" s="137" t="s">
        <v>432</v>
      </c>
      <c r="AC22" s="142"/>
      <c r="AE22" s="236"/>
      <c r="AP22" s="239" t="s">
        <v>115</v>
      </c>
      <c r="AR22" s="238" t="s">
        <v>83</v>
      </c>
      <c r="AV22" s="224"/>
    </row>
    <row r="23" spans="1:48" x14ac:dyDescent="0.15">
      <c r="A23" s="137" t="s">
        <v>61</v>
      </c>
      <c r="B23" s="137" t="s">
        <v>400</v>
      </c>
      <c r="C23" s="137">
        <v>2018</v>
      </c>
      <c r="D23" s="138" t="s">
        <v>431</v>
      </c>
      <c r="E23" s="137" t="s">
        <v>252</v>
      </c>
      <c r="F23" s="137" t="s">
        <v>253</v>
      </c>
      <c r="G23" s="137" t="s">
        <v>42</v>
      </c>
      <c r="H23" s="247" t="s">
        <v>168</v>
      </c>
      <c r="I23" s="247" t="s">
        <v>155</v>
      </c>
      <c r="J23" s="137" t="s">
        <v>38</v>
      </c>
      <c r="K23" s="247" t="s">
        <v>156</v>
      </c>
      <c r="L23" s="247">
        <v>1</v>
      </c>
      <c r="M23" s="247"/>
      <c r="N23" s="247">
        <v>1</v>
      </c>
      <c r="O23" s="247">
        <v>0.6</v>
      </c>
      <c r="P23" s="247">
        <v>0.6</v>
      </c>
      <c r="Q23" s="139">
        <f t="shared" si="0"/>
        <v>0.6</v>
      </c>
      <c r="R23" s="247">
        <v>17.600000000000001</v>
      </c>
      <c r="S23" s="247">
        <v>176</v>
      </c>
      <c r="T23" s="140">
        <f t="shared" si="1"/>
        <v>18</v>
      </c>
      <c r="U23" s="247">
        <v>158</v>
      </c>
      <c r="V23" s="141">
        <f t="shared" si="2"/>
        <v>2844</v>
      </c>
      <c r="W23" s="247">
        <v>9</v>
      </c>
      <c r="X23" s="137" t="s">
        <v>46</v>
      </c>
      <c r="Y23" s="247" t="s">
        <v>55</v>
      </c>
      <c r="Z23" s="247" t="s">
        <v>69</v>
      </c>
      <c r="AA23" s="247" t="s">
        <v>47</v>
      </c>
      <c r="AB23" s="137" t="s">
        <v>432</v>
      </c>
      <c r="AC23" s="142"/>
      <c r="AE23" s="223"/>
      <c r="AP23" s="239" t="s">
        <v>415</v>
      </c>
      <c r="AR23" s="238" t="s">
        <v>61</v>
      </c>
    </row>
    <row r="24" spans="1:48" x14ac:dyDescent="0.15">
      <c r="A24" s="137" t="s">
        <v>61</v>
      </c>
      <c r="B24" s="137" t="s">
        <v>400</v>
      </c>
      <c r="C24" s="137">
        <v>2018</v>
      </c>
      <c r="D24" s="138" t="s">
        <v>431</v>
      </c>
      <c r="E24" s="137" t="s">
        <v>252</v>
      </c>
      <c r="F24" s="137" t="s">
        <v>253</v>
      </c>
      <c r="G24" s="137" t="s">
        <v>42</v>
      </c>
      <c r="H24" s="247" t="s">
        <v>168</v>
      </c>
      <c r="I24" s="247" t="s">
        <v>155</v>
      </c>
      <c r="J24" s="137" t="s">
        <v>38</v>
      </c>
      <c r="K24" s="247" t="s">
        <v>156</v>
      </c>
      <c r="L24" s="247">
        <v>2</v>
      </c>
      <c r="M24" s="247"/>
      <c r="N24" s="247">
        <v>1</v>
      </c>
      <c r="O24" s="247">
        <v>0.5</v>
      </c>
      <c r="P24" s="247">
        <v>0.5</v>
      </c>
      <c r="Q24" s="139">
        <f t="shared" si="0"/>
        <v>0.5</v>
      </c>
      <c r="R24" s="247">
        <v>17.5</v>
      </c>
      <c r="S24" s="247">
        <v>148</v>
      </c>
      <c r="T24" s="140">
        <f t="shared" si="1"/>
        <v>22</v>
      </c>
      <c r="U24" s="247">
        <v>158</v>
      </c>
      <c r="V24" s="141">
        <f t="shared" si="2"/>
        <v>3476</v>
      </c>
      <c r="W24" s="247">
        <v>9</v>
      </c>
      <c r="X24" s="137" t="s">
        <v>46</v>
      </c>
      <c r="Y24" s="247" t="s">
        <v>55</v>
      </c>
      <c r="Z24" s="247" t="s">
        <v>69</v>
      </c>
      <c r="AA24" s="247" t="s">
        <v>47</v>
      </c>
      <c r="AB24" s="137" t="s">
        <v>432</v>
      </c>
      <c r="AC24" s="142"/>
      <c r="AE24" s="223"/>
      <c r="AP24" s="239" t="s">
        <v>416</v>
      </c>
      <c r="AR24" s="238" t="s">
        <v>91</v>
      </c>
    </row>
    <row r="25" spans="1:48" x14ac:dyDescent="0.15">
      <c r="A25" s="137" t="s">
        <v>61</v>
      </c>
      <c r="B25" s="137" t="s">
        <v>400</v>
      </c>
      <c r="C25" s="137">
        <v>2018</v>
      </c>
      <c r="D25" s="138" t="s">
        <v>431</v>
      </c>
      <c r="E25" s="137" t="s">
        <v>252</v>
      </c>
      <c r="F25" s="137" t="s">
        <v>253</v>
      </c>
      <c r="G25" s="137" t="s">
        <v>42</v>
      </c>
      <c r="H25" s="247" t="s">
        <v>168</v>
      </c>
      <c r="I25" s="247" t="s">
        <v>155</v>
      </c>
      <c r="J25" s="137" t="s">
        <v>38</v>
      </c>
      <c r="K25" s="247" t="s">
        <v>156</v>
      </c>
      <c r="L25" s="247">
        <v>3</v>
      </c>
      <c r="M25" s="247"/>
      <c r="N25" s="247">
        <v>1</v>
      </c>
      <c r="O25" s="142">
        <v>0.5</v>
      </c>
      <c r="P25" s="247">
        <v>0.5</v>
      </c>
      <c r="Q25" s="139">
        <f t="shared" si="0"/>
        <v>0.5</v>
      </c>
      <c r="R25" s="247">
        <v>18.3</v>
      </c>
      <c r="S25" s="247">
        <v>163</v>
      </c>
      <c r="T25" s="140">
        <f t="shared" si="1"/>
        <v>18</v>
      </c>
      <c r="U25" s="247">
        <v>158</v>
      </c>
      <c r="V25" s="141">
        <f t="shared" si="2"/>
        <v>2844</v>
      </c>
      <c r="W25" s="247">
        <v>9</v>
      </c>
      <c r="X25" s="137" t="s">
        <v>46</v>
      </c>
      <c r="Y25" s="247" t="s">
        <v>55</v>
      </c>
      <c r="Z25" s="247" t="s">
        <v>69</v>
      </c>
      <c r="AA25" s="247" t="s">
        <v>47</v>
      </c>
      <c r="AB25" s="137" t="s">
        <v>432</v>
      </c>
      <c r="AC25" s="142"/>
      <c r="AE25" s="236"/>
      <c r="AP25" s="239" t="s">
        <v>116</v>
      </c>
      <c r="AR25" s="42" t="s">
        <v>92</v>
      </c>
    </row>
    <row r="26" spans="1:48" x14ac:dyDescent="0.15">
      <c r="A26" s="137" t="s">
        <v>61</v>
      </c>
      <c r="B26" s="137" t="s">
        <v>400</v>
      </c>
      <c r="C26" s="137">
        <v>2018</v>
      </c>
      <c r="D26" s="138" t="s">
        <v>431</v>
      </c>
      <c r="E26" s="137" t="s">
        <v>254</v>
      </c>
      <c r="F26" s="137" t="s">
        <v>255</v>
      </c>
      <c r="G26" s="137" t="s">
        <v>42</v>
      </c>
      <c r="H26" s="247" t="s">
        <v>157</v>
      </c>
      <c r="I26" s="247" t="s">
        <v>155</v>
      </c>
      <c r="J26" s="137" t="s">
        <v>38</v>
      </c>
      <c r="K26" s="247" t="s">
        <v>156</v>
      </c>
      <c r="L26" s="247">
        <v>1</v>
      </c>
      <c r="M26" s="247"/>
      <c r="N26" s="247">
        <v>1</v>
      </c>
      <c r="O26" s="247">
        <v>0.55000000000000004</v>
      </c>
      <c r="P26" s="142">
        <v>0.65</v>
      </c>
      <c r="Q26" s="139">
        <f t="shared" si="0"/>
        <v>0.60000000000000009</v>
      </c>
      <c r="R26" s="247">
        <v>17.3</v>
      </c>
      <c r="S26" s="247">
        <v>120</v>
      </c>
      <c r="T26" s="140">
        <f t="shared" si="1"/>
        <v>30</v>
      </c>
      <c r="U26" s="247">
        <v>138</v>
      </c>
      <c r="V26" s="141">
        <f t="shared" si="2"/>
        <v>4140</v>
      </c>
      <c r="W26" s="247">
        <v>10</v>
      </c>
      <c r="X26" s="137" t="s">
        <v>46</v>
      </c>
      <c r="Y26" s="247" t="s">
        <v>97</v>
      </c>
      <c r="Z26" s="247" t="s">
        <v>64</v>
      </c>
      <c r="AA26" s="247" t="s">
        <v>69</v>
      </c>
      <c r="AB26" s="137" t="s">
        <v>432</v>
      </c>
      <c r="AC26" s="142"/>
      <c r="AD26" s="235"/>
      <c r="AE26" s="236"/>
      <c r="AP26" s="239" t="s">
        <v>117</v>
      </c>
      <c r="AR26" s="224" t="s">
        <v>292</v>
      </c>
    </row>
    <row r="27" spans="1:48" x14ac:dyDescent="0.15">
      <c r="A27" s="137" t="s">
        <v>61</v>
      </c>
      <c r="B27" s="137" t="s">
        <v>400</v>
      </c>
      <c r="C27" s="137">
        <v>2018</v>
      </c>
      <c r="D27" s="138" t="s">
        <v>431</v>
      </c>
      <c r="E27" s="137" t="s">
        <v>254</v>
      </c>
      <c r="F27" s="137" t="s">
        <v>255</v>
      </c>
      <c r="G27" s="137" t="s">
        <v>42</v>
      </c>
      <c r="H27" s="247" t="s">
        <v>157</v>
      </c>
      <c r="I27" s="247" t="s">
        <v>155</v>
      </c>
      <c r="J27" s="137" t="s">
        <v>38</v>
      </c>
      <c r="K27" s="247" t="s">
        <v>156</v>
      </c>
      <c r="L27" s="247">
        <v>2</v>
      </c>
      <c r="M27" s="247"/>
      <c r="N27" s="247">
        <v>1</v>
      </c>
      <c r="O27" s="247">
        <v>0.55000000000000004</v>
      </c>
      <c r="P27" s="142">
        <v>0.65</v>
      </c>
      <c r="Q27" s="139">
        <f t="shared" si="0"/>
        <v>0.60000000000000009</v>
      </c>
      <c r="R27" s="247">
        <v>17.2</v>
      </c>
      <c r="S27" s="247">
        <v>124</v>
      </c>
      <c r="T27" s="140">
        <f t="shared" si="1"/>
        <v>27</v>
      </c>
      <c r="U27" s="247">
        <v>138</v>
      </c>
      <c r="V27" s="141">
        <f t="shared" si="2"/>
        <v>3726</v>
      </c>
      <c r="W27" s="247">
        <v>10</v>
      </c>
      <c r="X27" s="137" t="s">
        <v>46</v>
      </c>
      <c r="Y27" s="247" t="s">
        <v>97</v>
      </c>
      <c r="Z27" s="247" t="s">
        <v>64</v>
      </c>
      <c r="AA27" s="247" t="s">
        <v>69</v>
      </c>
      <c r="AB27" s="137" t="s">
        <v>432</v>
      </c>
      <c r="AC27" s="142"/>
      <c r="AD27" s="235"/>
      <c r="AE27" s="229"/>
      <c r="AP27" s="239" t="s">
        <v>118</v>
      </c>
      <c r="AR27" s="224"/>
    </row>
    <row r="28" spans="1:48" x14ac:dyDescent="0.15">
      <c r="A28" s="137" t="s">
        <v>61</v>
      </c>
      <c r="B28" s="137" t="s">
        <v>400</v>
      </c>
      <c r="C28" s="137">
        <v>2018</v>
      </c>
      <c r="D28" s="138" t="s">
        <v>431</v>
      </c>
      <c r="E28" s="137" t="s">
        <v>254</v>
      </c>
      <c r="F28" s="137" t="s">
        <v>255</v>
      </c>
      <c r="G28" s="137" t="s">
        <v>42</v>
      </c>
      <c r="H28" s="247" t="s">
        <v>157</v>
      </c>
      <c r="I28" s="247" t="s">
        <v>155</v>
      </c>
      <c r="J28" s="137" t="s">
        <v>38</v>
      </c>
      <c r="K28" s="247" t="s">
        <v>156</v>
      </c>
      <c r="L28" s="247">
        <v>3</v>
      </c>
      <c r="M28" s="247"/>
      <c r="N28" s="247">
        <v>1</v>
      </c>
      <c r="O28" s="247">
        <v>0.6</v>
      </c>
      <c r="P28" s="142">
        <v>0.65</v>
      </c>
      <c r="Q28" s="139">
        <f t="shared" si="0"/>
        <v>0.625</v>
      </c>
      <c r="R28" s="247">
        <v>16.899999999999999</v>
      </c>
      <c r="S28" s="247">
        <v>124</v>
      </c>
      <c r="T28" s="140">
        <f t="shared" si="1"/>
        <v>27</v>
      </c>
      <c r="U28" s="247">
        <v>138</v>
      </c>
      <c r="V28" s="141">
        <f t="shared" si="2"/>
        <v>3726</v>
      </c>
      <c r="W28" s="247">
        <v>10</v>
      </c>
      <c r="X28" s="137" t="s">
        <v>46</v>
      </c>
      <c r="Y28" s="247" t="s">
        <v>97</v>
      </c>
      <c r="Z28" s="247" t="s">
        <v>64</v>
      </c>
      <c r="AA28" s="247" t="s">
        <v>69</v>
      </c>
      <c r="AB28" s="137" t="s">
        <v>432</v>
      </c>
      <c r="AC28" s="142"/>
      <c r="AD28" s="235"/>
      <c r="AP28" s="228"/>
      <c r="AR28" s="224"/>
    </row>
    <row r="29" spans="1:48" x14ac:dyDescent="0.15">
      <c r="A29" s="137" t="s">
        <v>61</v>
      </c>
      <c r="B29" s="137" t="s">
        <v>400</v>
      </c>
      <c r="C29" s="137">
        <v>2018</v>
      </c>
      <c r="D29" s="138" t="s">
        <v>431</v>
      </c>
      <c r="E29" s="137" t="s">
        <v>254</v>
      </c>
      <c r="F29" s="137" t="s">
        <v>255</v>
      </c>
      <c r="G29" s="137" t="s">
        <v>42</v>
      </c>
      <c r="H29" s="247" t="s">
        <v>216</v>
      </c>
      <c r="I29" s="247" t="s">
        <v>155</v>
      </c>
      <c r="J29" s="137" t="s">
        <v>38</v>
      </c>
      <c r="K29" s="247" t="s">
        <v>156</v>
      </c>
      <c r="L29" s="247">
        <v>1</v>
      </c>
      <c r="M29" s="247"/>
      <c r="N29" s="247">
        <v>4</v>
      </c>
      <c r="O29" s="247">
        <v>0.5</v>
      </c>
      <c r="P29" s="247">
        <v>0.65</v>
      </c>
      <c r="Q29" s="139">
        <f t="shared" si="0"/>
        <v>0.57499999999999996</v>
      </c>
      <c r="R29" s="247">
        <v>16.2</v>
      </c>
      <c r="S29" s="247">
        <v>95</v>
      </c>
      <c r="T29" s="140">
        <f t="shared" si="1"/>
        <v>36</v>
      </c>
      <c r="U29" s="247">
        <v>429</v>
      </c>
      <c r="V29" s="141">
        <f t="shared" si="2"/>
        <v>3861</v>
      </c>
      <c r="W29" s="247">
        <v>10</v>
      </c>
      <c r="X29" s="137" t="s">
        <v>46</v>
      </c>
      <c r="Y29" s="247" t="s">
        <v>97</v>
      </c>
      <c r="Z29" s="247" t="s">
        <v>64</v>
      </c>
      <c r="AA29" s="247" t="s">
        <v>69</v>
      </c>
      <c r="AB29" s="137" t="s">
        <v>432</v>
      </c>
      <c r="AC29" s="142"/>
    </row>
    <row r="30" spans="1:48" x14ac:dyDescent="0.15">
      <c r="A30" s="137" t="s">
        <v>61</v>
      </c>
      <c r="B30" s="137" t="s">
        <v>400</v>
      </c>
      <c r="C30" s="137">
        <v>2018</v>
      </c>
      <c r="D30" s="138" t="s">
        <v>431</v>
      </c>
      <c r="E30" s="137" t="s">
        <v>254</v>
      </c>
      <c r="F30" s="137" t="s">
        <v>255</v>
      </c>
      <c r="G30" s="137" t="s">
        <v>42</v>
      </c>
      <c r="H30" s="247" t="s">
        <v>216</v>
      </c>
      <c r="I30" s="247" t="s">
        <v>155</v>
      </c>
      <c r="J30" s="137" t="s">
        <v>38</v>
      </c>
      <c r="K30" s="247" t="s">
        <v>156</v>
      </c>
      <c r="L30" s="247">
        <v>2</v>
      </c>
      <c r="M30" s="247"/>
      <c r="N30" s="247">
        <v>4</v>
      </c>
      <c r="O30" s="247">
        <v>0.6</v>
      </c>
      <c r="P30" s="142">
        <v>0.6</v>
      </c>
      <c r="Q30" s="139">
        <f t="shared" si="0"/>
        <v>0.6</v>
      </c>
      <c r="R30" s="247">
        <v>18</v>
      </c>
      <c r="S30" s="247">
        <v>95</v>
      </c>
      <c r="T30" s="140">
        <f t="shared" si="1"/>
        <v>36</v>
      </c>
      <c r="U30" s="247">
        <v>429</v>
      </c>
      <c r="V30" s="141">
        <f t="shared" si="2"/>
        <v>3861</v>
      </c>
      <c r="W30" s="247">
        <v>10</v>
      </c>
      <c r="X30" s="137" t="s">
        <v>46</v>
      </c>
      <c r="Y30" s="247" t="s">
        <v>97</v>
      </c>
      <c r="Z30" s="247" t="s">
        <v>64</v>
      </c>
      <c r="AA30" s="247" t="s">
        <v>69</v>
      </c>
      <c r="AB30" s="137" t="s">
        <v>432</v>
      </c>
      <c r="AC30" s="142"/>
    </row>
    <row r="31" spans="1:48" x14ac:dyDescent="0.15">
      <c r="A31" s="137" t="s">
        <v>61</v>
      </c>
      <c r="B31" s="137" t="s">
        <v>400</v>
      </c>
      <c r="C31" s="137">
        <v>2018</v>
      </c>
      <c r="D31" s="138" t="s">
        <v>431</v>
      </c>
      <c r="E31" s="137" t="s">
        <v>254</v>
      </c>
      <c r="F31" s="137" t="s">
        <v>255</v>
      </c>
      <c r="G31" s="137" t="s">
        <v>42</v>
      </c>
      <c r="H31" s="247" t="s">
        <v>216</v>
      </c>
      <c r="I31" s="247" t="s">
        <v>155</v>
      </c>
      <c r="J31" s="137" t="s">
        <v>38</v>
      </c>
      <c r="K31" s="247" t="s">
        <v>156</v>
      </c>
      <c r="L31" s="247">
        <v>3</v>
      </c>
      <c r="M31" s="247"/>
      <c r="N31" s="247">
        <v>4</v>
      </c>
      <c r="O31" s="247">
        <v>0.8</v>
      </c>
      <c r="P31" s="247">
        <v>0.7</v>
      </c>
      <c r="Q31" s="139">
        <f t="shared" si="0"/>
        <v>0.75</v>
      </c>
      <c r="R31" s="247">
        <v>17.600000000000001</v>
      </c>
      <c r="S31" s="247">
        <v>100</v>
      </c>
      <c r="T31" s="140">
        <f t="shared" si="1"/>
        <v>33</v>
      </c>
      <c r="U31" s="247">
        <v>429</v>
      </c>
      <c r="V31" s="141">
        <f t="shared" si="2"/>
        <v>3539.25</v>
      </c>
      <c r="W31" s="247">
        <v>10</v>
      </c>
      <c r="X31" s="137" t="s">
        <v>46</v>
      </c>
      <c r="Y31" s="247" t="s">
        <v>97</v>
      </c>
      <c r="Z31" s="247" t="s">
        <v>64</v>
      </c>
      <c r="AA31" s="247" t="s">
        <v>69</v>
      </c>
      <c r="AB31" s="137" t="s">
        <v>432</v>
      </c>
      <c r="AC31" s="142"/>
    </row>
    <row r="32" spans="1:48" x14ac:dyDescent="0.15">
      <c r="A32" s="137" t="s">
        <v>61</v>
      </c>
      <c r="B32" s="137" t="s">
        <v>400</v>
      </c>
      <c r="C32" s="137">
        <v>2018</v>
      </c>
      <c r="D32" s="138" t="s">
        <v>431</v>
      </c>
      <c r="E32" s="137" t="s">
        <v>254</v>
      </c>
      <c r="F32" s="137" t="s">
        <v>255</v>
      </c>
      <c r="G32" s="137" t="s">
        <v>42</v>
      </c>
      <c r="H32" s="247" t="s">
        <v>168</v>
      </c>
      <c r="I32" s="247" t="s">
        <v>155</v>
      </c>
      <c r="J32" s="137" t="s">
        <v>38</v>
      </c>
      <c r="K32" s="247" t="s">
        <v>156</v>
      </c>
      <c r="L32" s="247">
        <v>1</v>
      </c>
      <c r="M32" s="247"/>
      <c r="N32" s="247">
        <v>1</v>
      </c>
      <c r="O32" s="247">
        <v>0.5</v>
      </c>
      <c r="P32" s="247">
        <v>0.5</v>
      </c>
      <c r="Q32" s="139">
        <f t="shared" si="0"/>
        <v>0.5</v>
      </c>
      <c r="R32" s="247">
        <v>18.899999999999999</v>
      </c>
      <c r="S32" s="247">
        <v>136</v>
      </c>
      <c r="T32" s="140">
        <f t="shared" si="1"/>
        <v>25</v>
      </c>
      <c r="U32" s="247">
        <v>149</v>
      </c>
      <c r="V32" s="141">
        <f t="shared" si="2"/>
        <v>3725</v>
      </c>
      <c r="W32" s="247">
        <v>10</v>
      </c>
      <c r="X32" s="137" t="s">
        <v>46</v>
      </c>
      <c r="Y32" s="247" t="s">
        <v>97</v>
      </c>
      <c r="Z32" s="247" t="s">
        <v>64</v>
      </c>
      <c r="AA32" s="247" t="s">
        <v>69</v>
      </c>
      <c r="AB32" s="137" t="s">
        <v>432</v>
      </c>
      <c r="AC32" s="142"/>
    </row>
    <row r="33" spans="1:29" x14ac:dyDescent="0.15">
      <c r="A33" s="137" t="s">
        <v>61</v>
      </c>
      <c r="B33" s="137" t="s">
        <v>400</v>
      </c>
      <c r="C33" s="137">
        <v>2018</v>
      </c>
      <c r="D33" s="138" t="s">
        <v>431</v>
      </c>
      <c r="E33" s="137" t="s">
        <v>254</v>
      </c>
      <c r="F33" s="137" t="s">
        <v>255</v>
      </c>
      <c r="G33" s="137" t="s">
        <v>42</v>
      </c>
      <c r="H33" s="247" t="s">
        <v>168</v>
      </c>
      <c r="I33" s="247" t="s">
        <v>155</v>
      </c>
      <c r="J33" s="137" t="s">
        <v>38</v>
      </c>
      <c r="K33" s="247" t="s">
        <v>156</v>
      </c>
      <c r="L33" s="247">
        <v>2</v>
      </c>
      <c r="M33" s="247"/>
      <c r="N33" s="247">
        <v>1</v>
      </c>
      <c r="O33" s="247">
        <v>0.55000000000000004</v>
      </c>
      <c r="P33" s="247">
        <v>0.6</v>
      </c>
      <c r="Q33" s="139">
        <f t="shared" si="0"/>
        <v>0.57499999999999996</v>
      </c>
      <c r="R33" s="247">
        <v>18.2</v>
      </c>
      <c r="S33" s="247">
        <v>137</v>
      </c>
      <c r="T33" s="140">
        <f t="shared" si="1"/>
        <v>25</v>
      </c>
      <c r="U33" s="247">
        <v>149</v>
      </c>
      <c r="V33" s="141">
        <f t="shared" si="2"/>
        <v>3725</v>
      </c>
      <c r="W33" s="247">
        <v>10</v>
      </c>
      <c r="X33" s="137" t="s">
        <v>46</v>
      </c>
      <c r="Y33" s="247" t="s">
        <v>97</v>
      </c>
      <c r="Z33" s="247" t="s">
        <v>64</v>
      </c>
      <c r="AA33" s="247" t="s">
        <v>69</v>
      </c>
      <c r="AB33" s="137" t="s">
        <v>432</v>
      </c>
      <c r="AC33" s="142"/>
    </row>
    <row r="34" spans="1:29" x14ac:dyDescent="0.15">
      <c r="A34" s="137" t="s">
        <v>61</v>
      </c>
      <c r="B34" s="137" t="s">
        <v>400</v>
      </c>
      <c r="C34" s="137">
        <v>2018</v>
      </c>
      <c r="D34" s="138" t="s">
        <v>431</v>
      </c>
      <c r="E34" s="137" t="s">
        <v>254</v>
      </c>
      <c r="F34" s="137" t="s">
        <v>255</v>
      </c>
      <c r="G34" s="137" t="s">
        <v>42</v>
      </c>
      <c r="H34" s="247" t="s">
        <v>168</v>
      </c>
      <c r="I34" s="247" t="s">
        <v>155</v>
      </c>
      <c r="J34" s="137" t="s">
        <v>38</v>
      </c>
      <c r="K34" s="247" t="s">
        <v>156</v>
      </c>
      <c r="L34" s="247">
        <v>3</v>
      </c>
      <c r="M34" s="247"/>
      <c r="N34" s="247">
        <v>1</v>
      </c>
      <c r="O34" s="247">
        <v>0.55000000000000004</v>
      </c>
      <c r="P34" s="247">
        <v>0.65</v>
      </c>
      <c r="Q34" s="139">
        <f t="shared" si="0"/>
        <v>0.60000000000000009</v>
      </c>
      <c r="R34" s="247">
        <v>17.5</v>
      </c>
      <c r="S34" s="247">
        <v>140</v>
      </c>
      <c r="T34" s="140">
        <f t="shared" si="1"/>
        <v>22</v>
      </c>
      <c r="U34" s="247">
        <v>149</v>
      </c>
      <c r="V34" s="141">
        <f t="shared" si="2"/>
        <v>3278</v>
      </c>
      <c r="W34" s="247">
        <v>10</v>
      </c>
      <c r="X34" s="137" t="s">
        <v>46</v>
      </c>
      <c r="Y34" s="247" t="s">
        <v>97</v>
      </c>
      <c r="Z34" s="247" t="s">
        <v>64</v>
      </c>
      <c r="AA34" s="247" t="s">
        <v>69</v>
      </c>
      <c r="AB34" s="137" t="s">
        <v>432</v>
      </c>
      <c r="AC34" s="142"/>
    </row>
    <row r="35" spans="1:29" x14ac:dyDescent="0.15">
      <c r="A35" s="137" t="s">
        <v>61</v>
      </c>
      <c r="B35" s="137" t="s">
        <v>400</v>
      </c>
      <c r="C35" s="137">
        <v>2018</v>
      </c>
      <c r="D35" s="138" t="s">
        <v>431</v>
      </c>
      <c r="E35" s="137" t="s">
        <v>256</v>
      </c>
      <c r="F35" s="137" t="s">
        <v>257</v>
      </c>
      <c r="G35" s="137" t="s">
        <v>42</v>
      </c>
      <c r="H35" s="247" t="s">
        <v>157</v>
      </c>
      <c r="I35" s="247" t="s">
        <v>155</v>
      </c>
      <c r="J35" s="137" t="s">
        <v>38</v>
      </c>
      <c r="K35" s="247" t="s">
        <v>156</v>
      </c>
      <c r="L35" s="247">
        <v>1</v>
      </c>
      <c r="M35" s="247"/>
      <c r="N35" s="247">
        <v>1</v>
      </c>
      <c r="O35" s="247">
        <v>0.6</v>
      </c>
      <c r="P35" s="247">
        <v>0.6</v>
      </c>
      <c r="Q35" s="139">
        <f t="shared" si="0"/>
        <v>0.6</v>
      </c>
      <c r="R35" s="247">
        <v>17.2</v>
      </c>
      <c r="S35" s="247">
        <v>130</v>
      </c>
      <c r="T35" s="140">
        <f t="shared" si="1"/>
        <v>25</v>
      </c>
      <c r="U35" s="247">
        <v>100</v>
      </c>
      <c r="V35" s="141">
        <f t="shared" si="2"/>
        <v>2500</v>
      </c>
      <c r="W35" s="247">
        <v>17</v>
      </c>
      <c r="X35" s="137" t="s">
        <v>46</v>
      </c>
      <c r="Y35" s="247" t="s">
        <v>55</v>
      </c>
      <c r="Z35" s="247" t="s">
        <v>78</v>
      </c>
      <c r="AA35" s="247" t="s">
        <v>69</v>
      </c>
      <c r="AB35" s="137" t="s">
        <v>432</v>
      </c>
      <c r="AC35" s="142"/>
    </row>
    <row r="36" spans="1:29" x14ac:dyDescent="0.15">
      <c r="A36" s="137" t="s">
        <v>61</v>
      </c>
      <c r="B36" s="137" t="s">
        <v>400</v>
      </c>
      <c r="C36" s="137">
        <v>2018</v>
      </c>
      <c r="D36" s="138" t="s">
        <v>431</v>
      </c>
      <c r="E36" s="137" t="s">
        <v>256</v>
      </c>
      <c r="F36" s="137" t="s">
        <v>257</v>
      </c>
      <c r="G36" s="137" t="s">
        <v>42</v>
      </c>
      <c r="H36" s="247" t="s">
        <v>157</v>
      </c>
      <c r="I36" s="247" t="s">
        <v>155</v>
      </c>
      <c r="J36" s="137" t="s">
        <v>38</v>
      </c>
      <c r="K36" s="247" t="s">
        <v>156</v>
      </c>
      <c r="L36" s="247">
        <v>2</v>
      </c>
      <c r="M36" s="247"/>
      <c r="N36" s="247">
        <v>1</v>
      </c>
      <c r="O36" s="247">
        <v>0.55000000000000004</v>
      </c>
      <c r="P36" s="247">
        <v>0.55000000000000004</v>
      </c>
      <c r="Q36" s="139">
        <f t="shared" si="0"/>
        <v>0.55000000000000004</v>
      </c>
      <c r="R36" s="247">
        <v>17.5</v>
      </c>
      <c r="S36" s="247">
        <v>135</v>
      </c>
      <c r="T36" s="140">
        <f t="shared" si="1"/>
        <v>25</v>
      </c>
      <c r="U36" s="247">
        <v>100</v>
      </c>
      <c r="V36" s="141">
        <f t="shared" si="2"/>
        <v>2500</v>
      </c>
      <c r="W36" s="247">
        <v>17</v>
      </c>
      <c r="X36" s="137" t="s">
        <v>46</v>
      </c>
      <c r="Y36" s="247" t="s">
        <v>55</v>
      </c>
      <c r="Z36" s="247" t="s">
        <v>78</v>
      </c>
      <c r="AA36" s="247" t="s">
        <v>69</v>
      </c>
      <c r="AB36" s="137" t="s">
        <v>432</v>
      </c>
      <c r="AC36" s="142"/>
    </row>
    <row r="37" spans="1:29" x14ac:dyDescent="0.15">
      <c r="A37" s="137" t="s">
        <v>61</v>
      </c>
      <c r="B37" s="137" t="s">
        <v>400</v>
      </c>
      <c r="C37" s="137">
        <v>2018</v>
      </c>
      <c r="D37" s="138" t="s">
        <v>431</v>
      </c>
      <c r="E37" s="137" t="s">
        <v>256</v>
      </c>
      <c r="F37" s="137" t="s">
        <v>257</v>
      </c>
      <c r="G37" s="137" t="s">
        <v>42</v>
      </c>
      <c r="H37" s="247" t="s">
        <v>157</v>
      </c>
      <c r="I37" s="247" t="s">
        <v>155</v>
      </c>
      <c r="J37" s="137" t="s">
        <v>38</v>
      </c>
      <c r="K37" s="247" t="s">
        <v>156</v>
      </c>
      <c r="L37" s="247">
        <v>3</v>
      </c>
      <c r="M37" s="247"/>
      <c r="N37" s="247">
        <v>1</v>
      </c>
      <c r="O37" s="247">
        <v>0.5</v>
      </c>
      <c r="P37" s="247">
        <v>0.55000000000000004</v>
      </c>
      <c r="Q37" s="139">
        <f t="shared" si="0"/>
        <v>0.52500000000000002</v>
      </c>
      <c r="R37" s="247">
        <v>15.7</v>
      </c>
      <c r="S37" s="247">
        <v>130</v>
      </c>
      <c r="T37" s="140">
        <f t="shared" si="1"/>
        <v>25</v>
      </c>
      <c r="U37" s="247">
        <v>100</v>
      </c>
      <c r="V37" s="141">
        <f t="shared" si="2"/>
        <v>2500</v>
      </c>
      <c r="W37" s="247">
        <v>17</v>
      </c>
      <c r="X37" s="137" t="s">
        <v>46</v>
      </c>
      <c r="Y37" s="247" t="s">
        <v>55</v>
      </c>
      <c r="Z37" s="247" t="s">
        <v>78</v>
      </c>
      <c r="AA37" s="247" t="s">
        <v>69</v>
      </c>
      <c r="AB37" s="137" t="s">
        <v>432</v>
      </c>
      <c r="AC37" s="142"/>
    </row>
    <row r="38" spans="1:29" x14ac:dyDescent="0.15">
      <c r="A38" s="137" t="s">
        <v>61</v>
      </c>
      <c r="B38" s="137" t="s">
        <v>400</v>
      </c>
      <c r="C38" s="137">
        <v>2018</v>
      </c>
      <c r="D38" s="138" t="s">
        <v>431</v>
      </c>
      <c r="E38" s="137" t="s">
        <v>256</v>
      </c>
      <c r="F38" s="137" t="s">
        <v>257</v>
      </c>
      <c r="G38" s="137" t="s">
        <v>42</v>
      </c>
      <c r="H38" s="247" t="s">
        <v>216</v>
      </c>
      <c r="I38" s="247" t="s">
        <v>155</v>
      </c>
      <c r="J38" s="137" t="s">
        <v>38</v>
      </c>
      <c r="K38" s="247" t="s">
        <v>156</v>
      </c>
      <c r="L38" s="247">
        <v>1</v>
      </c>
      <c r="M38" s="247"/>
      <c r="N38" s="247">
        <v>5</v>
      </c>
      <c r="O38" s="247">
        <v>0.5</v>
      </c>
      <c r="P38" s="247">
        <v>0.5</v>
      </c>
      <c r="Q38" s="139">
        <f t="shared" si="0"/>
        <v>0.5</v>
      </c>
      <c r="R38" s="247">
        <v>18.2</v>
      </c>
      <c r="S38" s="247">
        <v>88</v>
      </c>
      <c r="T38" s="140">
        <f t="shared" si="1"/>
        <v>36</v>
      </c>
      <c r="U38" s="247">
        <v>429</v>
      </c>
      <c r="V38" s="141">
        <f t="shared" si="2"/>
        <v>3088.7999999999997</v>
      </c>
      <c r="W38" s="247">
        <v>17</v>
      </c>
      <c r="X38" s="137" t="s">
        <v>46</v>
      </c>
      <c r="Y38" s="247" t="s">
        <v>55</v>
      </c>
      <c r="Z38" s="247" t="s">
        <v>78</v>
      </c>
      <c r="AA38" s="247" t="s">
        <v>69</v>
      </c>
      <c r="AB38" s="137" t="s">
        <v>432</v>
      </c>
      <c r="AC38" s="142"/>
    </row>
    <row r="39" spans="1:29" x14ac:dyDescent="0.15">
      <c r="A39" s="137" t="s">
        <v>61</v>
      </c>
      <c r="B39" s="137" t="s">
        <v>400</v>
      </c>
      <c r="C39" s="137">
        <v>2018</v>
      </c>
      <c r="D39" s="138" t="s">
        <v>431</v>
      </c>
      <c r="E39" s="137" t="s">
        <v>256</v>
      </c>
      <c r="F39" s="137" t="s">
        <v>257</v>
      </c>
      <c r="G39" s="137" t="s">
        <v>42</v>
      </c>
      <c r="H39" s="247" t="s">
        <v>216</v>
      </c>
      <c r="I39" s="247" t="s">
        <v>155</v>
      </c>
      <c r="J39" s="137" t="s">
        <v>38</v>
      </c>
      <c r="K39" s="247" t="s">
        <v>156</v>
      </c>
      <c r="L39" s="247">
        <v>2</v>
      </c>
      <c r="M39" s="247"/>
      <c r="N39" s="247">
        <v>5</v>
      </c>
      <c r="O39" s="247">
        <v>0.5</v>
      </c>
      <c r="P39" s="247">
        <v>0.5</v>
      </c>
      <c r="Q39" s="139">
        <f t="shared" si="0"/>
        <v>0.5</v>
      </c>
      <c r="R39" s="247">
        <v>17.2</v>
      </c>
      <c r="S39" s="247">
        <v>90</v>
      </c>
      <c r="T39" s="140">
        <f t="shared" si="1"/>
        <v>36</v>
      </c>
      <c r="U39" s="247">
        <v>429</v>
      </c>
      <c r="V39" s="141">
        <f t="shared" si="2"/>
        <v>3088.7999999999997</v>
      </c>
      <c r="W39" s="247">
        <v>17</v>
      </c>
      <c r="X39" s="137" t="s">
        <v>46</v>
      </c>
      <c r="Y39" s="247" t="s">
        <v>55</v>
      </c>
      <c r="Z39" s="247" t="s">
        <v>78</v>
      </c>
      <c r="AA39" s="247" t="s">
        <v>69</v>
      </c>
      <c r="AB39" s="137" t="s">
        <v>432</v>
      </c>
      <c r="AC39" s="142"/>
    </row>
    <row r="40" spans="1:29" x14ac:dyDescent="0.15">
      <c r="A40" s="137" t="s">
        <v>61</v>
      </c>
      <c r="B40" s="137" t="s">
        <v>400</v>
      </c>
      <c r="C40" s="137">
        <v>2018</v>
      </c>
      <c r="D40" s="138" t="s">
        <v>431</v>
      </c>
      <c r="E40" s="137" t="s">
        <v>256</v>
      </c>
      <c r="F40" s="137" t="s">
        <v>257</v>
      </c>
      <c r="G40" s="137" t="s">
        <v>42</v>
      </c>
      <c r="H40" s="247" t="s">
        <v>216</v>
      </c>
      <c r="I40" s="247" t="s">
        <v>155</v>
      </c>
      <c r="J40" s="137" t="s">
        <v>38</v>
      </c>
      <c r="K40" s="247" t="s">
        <v>156</v>
      </c>
      <c r="L40" s="247">
        <v>3</v>
      </c>
      <c r="M40" s="247"/>
      <c r="N40" s="247">
        <v>5</v>
      </c>
      <c r="O40" s="247">
        <v>0.5</v>
      </c>
      <c r="P40" s="247">
        <v>0.5</v>
      </c>
      <c r="Q40" s="139">
        <f t="shared" si="0"/>
        <v>0.5</v>
      </c>
      <c r="R40" s="247">
        <v>17.8</v>
      </c>
      <c r="S40" s="247">
        <v>87</v>
      </c>
      <c r="T40" s="140">
        <f t="shared" si="1"/>
        <v>36</v>
      </c>
      <c r="U40" s="247">
        <v>429</v>
      </c>
      <c r="V40" s="141">
        <f t="shared" si="2"/>
        <v>3088.7999999999997</v>
      </c>
      <c r="W40" s="247">
        <v>17</v>
      </c>
      <c r="X40" s="137" t="s">
        <v>46</v>
      </c>
      <c r="Y40" s="247" t="s">
        <v>55</v>
      </c>
      <c r="Z40" s="247" t="s">
        <v>78</v>
      </c>
      <c r="AA40" s="247" t="s">
        <v>69</v>
      </c>
      <c r="AB40" s="137" t="s">
        <v>432</v>
      </c>
      <c r="AC40" s="142"/>
    </row>
    <row r="41" spans="1:29" x14ac:dyDescent="0.15">
      <c r="A41" s="137" t="s">
        <v>61</v>
      </c>
      <c r="B41" s="137" t="s">
        <v>400</v>
      </c>
      <c r="C41" s="137">
        <v>2018</v>
      </c>
      <c r="D41" s="138" t="s">
        <v>431</v>
      </c>
      <c r="E41" s="137" t="s">
        <v>256</v>
      </c>
      <c r="F41" s="137" t="s">
        <v>257</v>
      </c>
      <c r="G41" s="137" t="s">
        <v>42</v>
      </c>
      <c r="H41" s="247" t="s">
        <v>168</v>
      </c>
      <c r="I41" s="247" t="s">
        <v>155</v>
      </c>
      <c r="J41" s="137" t="s">
        <v>38</v>
      </c>
      <c r="K41" s="247" t="s">
        <v>156</v>
      </c>
      <c r="L41" s="247">
        <v>1</v>
      </c>
      <c r="M41" s="247"/>
      <c r="N41" s="247">
        <v>1</v>
      </c>
      <c r="O41" s="247">
        <v>0.55000000000000004</v>
      </c>
      <c r="P41" s="247">
        <v>0.6</v>
      </c>
      <c r="Q41" s="139">
        <f t="shared" si="0"/>
        <v>0.57499999999999996</v>
      </c>
      <c r="R41" s="247">
        <v>17.7</v>
      </c>
      <c r="S41" s="247">
        <v>132</v>
      </c>
      <c r="T41" s="140">
        <f t="shared" si="1"/>
        <v>25</v>
      </c>
      <c r="U41" s="247">
        <v>100</v>
      </c>
      <c r="V41" s="141">
        <f t="shared" si="2"/>
        <v>2500</v>
      </c>
      <c r="W41" s="247">
        <v>17</v>
      </c>
      <c r="X41" s="137" t="s">
        <v>46</v>
      </c>
      <c r="Y41" s="247" t="s">
        <v>55</v>
      </c>
      <c r="Z41" s="247" t="s">
        <v>78</v>
      </c>
      <c r="AA41" s="247" t="s">
        <v>69</v>
      </c>
      <c r="AB41" s="137" t="s">
        <v>432</v>
      </c>
      <c r="AC41" s="142"/>
    </row>
    <row r="42" spans="1:29" x14ac:dyDescent="0.15">
      <c r="A42" s="137" t="s">
        <v>61</v>
      </c>
      <c r="B42" s="137" t="s">
        <v>400</v>
      </c>
      <c r="C42" s="137">
        <v>2018</v>
      </c>
      <c r="D42" s="138" t="s">
        <v>431</v>
      </c>
      <c r="E42" s="137" t="s">
        <v>256</v>
      </c>
      <c r="F42" s="137" t="s">
        <v>257</v>
      </c>
      <c r="G42" s="137" t="s">
        <v>42</v>
      </c>
      <c r="H42" s="247" t="s">
        <v>168</v>
      </c>
      <c r="I42" s="247" t="s">
        <v>155</v>
      </c>
      <c r="J42" s="137" t="s">
        <v>38</v>
      </c>
      <c r="K42" s="247" t="s">
        <v>156</v>
      </c>
      <c r="L42" s="247">
        <v>2</v>
      </c>
      <c r="M42" s="247"/>
      <c r="N42" s="247">
        <v>1</v>
      </c>
      <c r="O42" s="247">
        <v>0.55000000000000004</v>
      </c>
      <c r="P42" s="247">
        <v>0.55000000000000004</v>
      </c>
      <c r="Q42" s="139">
        <f t="shared" si="0"/>
        <v>0.55000000000000004</v>
      </c>
      <c r="R42" s="247">
        <v>18.100000000000001</v>
      </c>
      <c r="S42" s="247">
        <v>135</v>
      </c>
      <c r="T42" s="140">
        <f t="shared" si="1"/>
        <v>25</v>
      </c>
      <c r="U42" s="247">
        <v>100</v>
      </c>
      <c r="V42" s="141">
        <f t="shared" si="2"/>
        <v>2500</v>
      </c>
      <c r="W42" s="247">
        <v>17</v>
      </c>
      <c r="X42" s="137" t="s">
        <v>46</v>
      </c>
      <c r="Y42" s="247" t="s">
        <v>55</v>
      </c>
      <c r="Z42" s="247" t="s">
        <v>78</v>
      </c>
      <c r="AA42" s="247" t="s">
        <v>69</v>
      </c>
      <c r="AB42" s="137" t="s">
        <v>432</v>
      </c>
      <c r="AC42" s="142"/>
    </row>
    <row r="43" spans="1:29" x14ac:dyDescent="0.15">
      <c r="A43" s="137" t="s">
        <v>61</v>
      </c>
      <c r="B43" s="137" t="s">
        <v>400</v>
      </c>
      <c r="C43" s="137">
        <v>2018</v>
      </c>
      <c r="D43" s="138" t="s">
        <v>431</v>
      </c>
      <c r="E43" s="137" t="s">
        <v>256</v>
      </c>
      <c r="F43" s="137" t="s">
        <v>257</v>
      </c>
      <c r="G43" s="137" t="s">
        <v>42</v>
      </c>
      <c r="H43" s="247" t="s">
        <v>168</v>
      </c>
      <c r="I43" s="247" t="s">
        <v>155</v>
      </c>
      <c r="J43" s="137" t="s">
        <v>38</v>
      </c>
      <c r="K43" s="247" t="s">
        <v>156</v>
      </c>
      <c r="L43" s="247">
        <v>3</v>
      </c>
      <c r="M43" s="247"/>
      <c r="N43" s="247">
        <v>1</v>
      </c>
      <c r="O43" s="247">
        <v>0.55000000000000004</v>
      </c>
      <c r="P43" s="247">
        <v>0.6</v>
      </c>
      <c r="Q43" s="139">
        <f t="shared" si="0"/>
        <v>0.57499999999999996</v>
      </c>
      <c r="R43" s="247">
        <v>18.600000000000001</v>
      </c>
      <c r="S43" s="247">
        <v>142</v>
      </c>
      <c r="T43" s="140">
        <f t="shared" si="1"/>
        <v>22</v>
      </c>
      <c r="U43" s="247">
        <v>100</v>
      </c>
      <c r="V43" s="141">
        <f t="shared" si="2"/>
        <v>2200</v>
      </c>
      <c r="W43" s="247">
        <v>17</v>
      </c>
      <c r="X43" s="137" t="s">
        <v>46</v>
      </c>
      <c r="Y43" s="247" t="s">
        <v>55</v>
      </c>
      <c r="Z43" s="247" t="s">
        <v>78</v>
      </c>
      <c r="AA43" s="247" t="s">
        <v>69</v>
      </c>
      <c r="AB43" s="137" t="s">
        <v>432</v>
      </c>
      <c r="AC43" s="142"/>
    </row>
    <row r="44" spans="1:29" x14ac:dyDescent="0.15">
      <c r="A44" s="137" t="s">
        <v>61</v>
      </c>
      <c r="B44" s="137" t="s">
        <v>400</v>
      </c>
      <c r="C44" s="137">
        <v>2018</v>
      </c>
      <c r="D44" s="138" t="s">
        <v>431</v>
      </c>
      <c r="E44" s="137" t="s">
        <v>258</v>
      </c>
      <c r="F44" s="137" t="s">
        <v>259</v>
      </c>
      <c r="G44" s="137" t="s">
        <v>42</v>
      </c>
      <c r="H44" s="247" t="s">
        <v>157</v>
      </c>
      <c r="I44" s="247" t="s">
        <v>155</v>
      </c>
      <c r="J44" s="137" t="s">
        <v>38</v>
      </c>
      <c r="K44" s="247" t="s">
        <v>156</v>
      </c>
      <c r="L44" s="247">
        <v>1</v>
      </c>
      <c r="M44" s="247"/>
      <c r="N44" s="247">
        <v>1</v>
      </c>
      <c r="O44" s="247">
        <v>0.65</v>
      </c>
      <c r="P44" s="247">
        <v>0.65</v>
      </c>
      <c r="Q44" s="139">
        <f t="shared" si="0"/>
        <v>0.65</v>
      </c>
      <c r="R44" s="247">
        <v>17.2</v>
      </c>
      <c r="S44" s="247">
        <v>120</v>
      </c>
      <c r="T44" s="140">
        <f t="shared" si="1"/>
        <v>30</v>
      </c>
      <c r="U44" s="247">
        <v>98</v>
      </c>
      <c r="V44" s="141">
        <f t="shared" si="2"/>
        <v>2940</v>
      </c>
      <c r="W44" s="247">
        <v>8</v>
      </c>
      <c r="X44" s="137" t="s">
        <v>46</v>
      </c>
      <c r="Y44" s="247" t="s">
        <v>55</v>
      </c>
      <c r="Z44" s="247" t="s">
        <v>97</v>
      </c>
      <c r="AA44" s="247" t="s">
        <v>64</v>
      </c>
      <c r="AB44" s="137" t="s">
        <v>432</v>
      </c>
      <c r="AC44" s="247"/>
    </row>
    <row r="45" spans="1:29" x14ac:dyDescent="0.15">
      <c r="A45" s="137" t="s">
        <v>61</v>
      </c>
      <c r="B45" s="137" t="s">
        <v>400</v>
      </c>
      <c r="C45" s="137">
        <v>2018</v>
      </c>
      <c r="D45" s="138" t="s">
        <v>431</v>
      </c>
      <c r="E45" s="137" t="s">
        <v>258</v>
      </c>
      <c r="F45" s="137" t="s">
        <v>259</v>
      </c>
      <c r="G45" s="137" t="s">
        <v>42</v>
      </c>
      <c r="H45" s="247" t="s">
        <v>157</v>
      </c>
      <c r="I45" s="247" t="s">
        <v>155</v>
      </c>
      <c r="J45" s="137" t="s">
        <v>38</v>
      </c>
      <c r="K45" s="247" t="s">
        <v>156</v>
      </c>
      <c r="L45" s="247">
        <v>2</v>
      </c>
      <c r="M45" s="247"/>
      <c r="N45" s="247">
        <v>1</v>
      </c>
      <c r="O45" s="247">
        <v>0.65</v>
      </c>
      <c r="P45" s="247">
        <v>0.7</v>
      </c>
      <c r="Q45" s="139">
        <f t="shared" si="0"/>
        <v>0.67500000000000004</v>
      </c>
      <c r="R45" s="247">
        <v>17.3</v>
      </c>
      <c r="S45" s="247">
        <v>121</v>
      </c>
      <c r="T45" s="140">
        <f t="shared" si="1"/>
        <v>27</v>
      </c>
      <c r="U45" s="247">
        <v>98</v>
      </c>
      <c r="V45" s="141">
        <f t="shared" si="2"/>
        <v>2646</v>
      </c>
      <c r="W45" s="247">
        <v>8</v>
      </c>
      <c r="X45" s="137" t="s">
        <v>46</v>
      </c>
      <c r="Y45" s="247" t="s">
        <v>55</v>
      </c>
      <c r="Z45" s="247" t="s">
        <v>97</v>
      </c>
      <c r="AA45" s="247" t="s">
        <v>64</v>
      </c>
      <c r="AB45" s="137" t="s">
        <v>432</v>
      </c>
      <c r="AC45" s="247"/>
    </row>
    <row r="46" spans="1:29" x14ac:dyDescent="0.15">
      <c r="A46" s="137" t="s">
        <v>61</v>
      </c>
      <c r="B46" s="137" t="s">
        <v>400</v>
      </c>
      <c r="C46" s="137">
        <v>2018</v>
      </c>
      <c r="D46" s="138" t="s">
        <v>431</v>
      </c>
      <c r="E46" s="137" t="s">
        <v>258</v>
      </c>
      <c r="F46" s="137" t="s">
        <v>259</v>
      </c>
      <c r="G46" s="137" t="s">
        <v>42</v>
      </c>
      <c r="H46" s="247" t="s">
        <v>157</v>
      </c>
      <c r="I46" s="247" t="s">
        <v>155</v>
      </c>
      <c r="J46" s="137" t="s">
        <v>38</v>
      </c>
      <c r="K46" s="247" t="s">
        <v>156</v>
      </c>
      <c r="L46" s="247">
        <v>3</v>
      </c>
      <c r="M46" s="247"/>
      <c r="N46" s="247">
        <v>1</v>
      </c>
      <c r="O46" s="247">
        <v>0.55000000000000004</v>
      </c>
      <c r="P46" s="247">
        <v>0.55000000000000004</v>
      </c>
      <c r="Q46" s="139">
        <f t="shared" si="0"/>
        <v>0.55000000000000004</v>
      </c>
      <c r="R46" s="247">
        <v>17.399999999999999</v>
      </c>
      <c r="S46" s="247">
        <v>126</v>
      </c>
      <c r="T46" s="140">
        <f t="shared" si="1"/>
        <v>27</v>
      </c>
      <c r="U46" s="247">
        <v>98</v>
      </c>
      <c r="V46" s="141">
        <f t="shared" si="2"/>
        <v>2646</v>
      </c>
      <c r="W46" s="247">
        <v>8</v>
      </c>
      <c r="X46" s="137" t="s">
        <v>46</v>
      </c>
      <c r="Y46" s="247" t="s">
        <v>55</v>
      </c>
      <c r="Z46" s="247" t="s">
        <v>97</v>
      </c>
      <c r="AA46" s="247" t="s">
        <v>64</v>
      </c>
      <c r="AB46" s="137" t="s">
        <v>432</v>
      </c>
      <c r="AC46" s="247"/>
    </row>
    <row r="47" spans="1:29" x14ac:dyDescent="0.15">
      <c r="A47" s="137" t="s">
        <v>61</v>
      </c>
      <c r="B47" s="137" t="s">
        <v>400</v>
      </c>
      <c r="C47" s="137">
        <v>2018</v>
      </c>
      <c r="D47" s="138" t="s">
        <v>431</v>
      </c>
      <c r="E47" s="137" t="s">
        <v>258</v>
      </c>
      <c r="F47" s="137" t="s">
        <v>259</v>
      </c>
      <c r="G47" s="137" t="s">
        <v>42</v>
      </c>
      <c r="H47" s="247" t="s">
        <v>168</v>
      </c>
      <c r="I47" s="247" t="s">
        <v>155</v>
      </c>
      <c r="J47" s="137" t="s">
        <v>38</v>
      </c>
      <c r="K47" s="247" t="s">
        <v>156</v>
      </c>
      <c r="L47" s="247">
        <v>1</v>
      </c>
      <c r="M47" s="247"/>
      <c r="N47" s="247">
        <v>1</v>
      </c>
      <c r="O47" s="247">
        <v>0.5</v>
      </c>
      <c r="P47" s="247">
        <v>0.6</v>
      </c>
      <c r="Q47" s="139">
        <f t="shared" si="0"/>
        <v>0.55000000000000004</v>
      </c>
      <c r="R47" s="247">
        <v>18.899999999999999</v>
      </c>
      <c r="S47" s="247">
        <v>151</v>
      </c>
      <c r="T47" s="140">
        <f t="shared" si="1"/>
        <v>22</v>
      </c>
      <c r="U47" s="247">
        <v>128</v>
      </c>
      <c r="V47" s="141">
        <f t="shared" si="2"/>
        <v>2816</v>
      </c>
      <c r="W47" s="247">
        <v>8</v>
      </c>
      <c r="X47" s="137" t="s">
        <v>46</v>
      </c>
      <c r="Y47" s="247" t="s">
        <v>55</v>
      </c>
      <c r="Z47" s="247" t="s">
        <v>97</v>
      </c>
      <c r="AA47" s="247" t="s">
        <v>64</v>
      </c>
      <c r="AB47" s="137" t="s">
        <v>432</v>
      </c>
      <c r="AC47" s="142"/>
    </row>
    <row r="48" spans="1:29" x14ac:dyDescent="0.15">
      <c r="A48" s="137" t="s">
        <v>61</v>
      </c>
      <c r="B48" s="137" t="s">
        <v>400</v>
      </c>
      <c r="C48" s="137">
        <v>2018</v>
      </c>
      <c r="D48" s="138" t="s">
        <v>431</v>
      </c>
      <c r="E48" s="137" t="s">
        <v>258</v>
      </c>
      <c r="F48" s="137" t="s">
        <v>259</v>
      </c>
      <c r="G48" s="137" t="s">
        <v>42</v>
      </c>
      <c r="H48" s="247" t="s">
        <v>168</v>
      </c>
      <c r="I48" s="247" t="s">
        <v>155</v>
      </c>
      <c r="J48" s="137" t="s">
        <v>38</v>
      </c>
      <c r="K48" s="247" t="s">
        <v>156</v>
      </c>
      <c r="L48" s="247">
        <v>2</v>
      </c>
      <c r="M48" s="247"/>
      <c r="N48" s="247">
        <v>1</v>
      </c>
      <c r="O48" s="247">
        <v>0.6</v>
      </c>
      <c r="P48" s="247">
        <v>0.6</v>
      </c>
      <c r="Q48" s="139">
        <f t="shared" si="0"/>
        <v>0.6</v>
      </c>
      <c r="R48" s="247">
        <v>18.3</v>
      </c>
      <c r="S48" s="247">
        <v>135</v>
      </c>
      <c r="T48" s="140">
        <f t="shared" si="1"/>
        <v>25</v>
      </c>
      <c r="U48" s="247">
        <v>128</v>
      </c>
      <c r="V48" s="141">
        <f t="shared" si="2"/>
        <v>3200</v>
      </c>
      <c r="W48" s="247">
        <v>8</v>
      </c>
      <c r="X48" s="137" t="s">
        <v>46</v>
      </c>
      <c r="Y48" s="247" t="s">
        <v>55</v>
      </c>
      <c r="Z48" s="247" t="s">
        <v>97</v>
      </c>
      <c r="AA48" s="247" t="s">
        <v>64</v>
      </c>
      <c r="AB48" s="137" t="s">
        <v>432</v>
      </c>
      <c r="AC48" s="142"/>
    </row>
    <row r="49" spans="1:29" x14ac:dyDescent="0.15">
      <c r="A49" s="137" t="s">
        <v>61</v>
      </c>
      <c r="B49" s="137" t="s">
        <v>400</v>
      </c>
      <c r="C49" s="137">
        <v>2018</v>
      </c>
      <c r="D49" s="138" t="s">
        <v>431</v>
      </c>
      <c r="E49" s="137" t="s">
        <v>258</v>
      </c>
      <c r="F49" s="137" t="s">
        <v>259</v>
      </c>
      <c r="G49" s="137" t="s">
        <v>42</v>
      </c>
      <c r="H49" s="247" t="s">
        <v>168</v>
      </c>
      <c r="I49" s="247" t="s">
        <v>155</v>
      </c>
      <c r="J49" s="137" t="s">
        <v>38</v>
      </c>
      <c r="K49" s="247" t="s">
        <v>156</v>
      </c>
      <c r="L49" s="247">
        <v>3</v>
      </c>
      <c r="M49" s="247"/>
      <c r="N49" s="247">
        <v>1</v>
      </c>
      <c r="O49" s="247">
        <v>0.7</v>
      </c>
      <c r="P49" s="247">
        <v>0.65</v>
      </c>
      <c r="Q49" s="139">
        <f t="shared" si="0"/>
        <v>0.67500000000000004</v>
      </c>
      <c r="R49" s="247">
        <v>17.5</v>
      </c>
      <c r="S49" s="247">
        <v>134</v>
      </c>
      <c r="T49" s="140">
        <f t="shared" si="1"/>
        <v>25</v>
      </c>
      <c r="U49" s="247">
        <v>128</v>
      </c>
      <c r="V49" s="141">
        <f t="shared" si="2"/>
        <v>3200</v>
      </c>
      <c r="W49" s="247">
        <v>8</v>
      </c>
      <c r="X49" s="137" t="s">
        <v>46</v>
      </c>
      <c r="Y49" s="247" t="s">
        <v>55</v>
      </c>
      <c r="Z49" s="247" t="s">
        <v>97</v>
      </c>
      <c r="AA49" s="247" t="s">
        <v>64</v>
      </c>
      <c r="AB49" s="137" t="s">
        <v>432</v>
      </c>
      <c r="AC49" s="142"/>
    </row>
    <row r="50" spans="1:29" x14ac:dyDescent="0.15">
      <c r="A50" s="137" t="s">
        <v>61</v>
      </c>
      <c r="B50" s="137" t="s">
        <v>400</v>
      </c>
      <c r="C50" s="137">
        <v>2018</v>
      </c>
      <c r="D50" s="138" t="s">
        <v>431</v>
      </c>
      <c r="E50" s="137" t="s">
        <v>260</v>
      </c>
      <c r="F50" s="137" t="s">
        <v>261</v>
      </c>
      <c r="G50" s="137" t="s">
        <v>42</v>
      </c>
      <c r="H50" s="247" t="s">
        <v>157</v>
      </c>
      <c r="I50" s="247" t="s">
        <v>155</v>
      </c>
      <c r="J50" s="137" t="s">
        <v>38</v>
      </c>
      <c r="K50" s="247" t="s">
        <v>156</v>
      </c>
      <c r="L50" s="247">
        <v>1</v>
      </c>
      <c r="M50" s="247"/>
      <c r="N50" s="247">
        <v>1</v>
      </c>
      <c r="O50" s="247">
        <v>0.8</v>
      </c>
      <c r="P50" s="247">
        <v>0.85</v>
      </c>
      <c r="Q50" s="139">
        <f t="shared" si="0"/>
        <v>0.82499999999999996</v>
      </c>
      <c r="R50" s="247">
        <v>17.8</v>
      </c>
      <c r="S50" s="247">
        <v>118</v>
      </c>
      <c r="T50" s="140">
        <f t="shared" si="1"/>
        <v>30</v>
      </c>
      <c r="U50" s="247">
        <v>138</v>
      </c>
      <c r="V50" s="141">
        <f t="shared" si="2"/>
        <v>4140</v>
      </c>
      <c r="W50" s="247">
        <v>13</v>
      </c>
      <c r="X50" s="137" t="s">
        <v>46</v>
      </c>
      <c r="Y50" s="247" t="s">
        <v>55</v>
      </c>
      <c r="Z50" s="247" t="s">
        <v>97</v>
      </c>
      <c r="AA50" s="247" t="s">
        <v>86</v>
      </c>
      <c r="AB50" s="137" t="s">
        <v>432</v>
      </c>
      <c r="AC50" s="142"/>
    </row>
    <row r="51" spans="1:29" x14ac:dyDescent="0.15">
      <c r="A51" s="137" t="s">
        <v>61</v>
      </c>
      <c r="B51" s="137" t="s">
        <v>400</v>
      </c>
      <c r="C51" s="137">
        <v>2018</v>
      </c>
      <c r="D51" s="138" t="s">
        <v>431</v>
      </c>
      <c r="E51" s="137" t="s">
        <v>260</v>
      </c>
      <c r="F51" s="137" t="s">
        <v>261</v>
      </c>
      <c r="G51" s="137" t="s">
        <v>42</v>
      </c>
      <c r="H51" s="247" t="s">
        <v>157</v>
      </c>
      <c r="I51" s="247" t="s">
        <v>155</v>
      </c>
      <c r="J51" s="137" t="s">
        <v>38</v>
      </c>
      <c r="K51" s="247" t="s">
        <v>156</v>
      </c>
      <c r="L51" s="247">
        <v>2</v>
      </c>
      <c r="M51" s="247"/>
      <c r="N51" s="247">
        <v>1</v>
      </c>
      <c r="O51" s="247">
        <v>0.7</v>
      </c>
      <c r="P51" s="247">
        <v>0.65</v>
      </c>
      <c r="Q51" s="139">
        <f t="shared" si="0"/>
        <v>0.67500000000000004</v>
      </c>
      <c r="R51" s="247">
        <v>17.3</v>
      </c>
      <c r="S51" s="247">
        <v>133</v>
      </c>
      <c r="T51" s="140">
        <f t="shared" si="1"/>
        <v>25</v>
      </c>
      <c r="U51" s="247">
        <v>138</v>
      </c>
      <c r="V51" s="141">
        <f t="shared" si="2"/>
        <v>3450</v>
      </c>
      <c r="W51" s="247">
        <v>13</v>
      </c>
      <c r="X51" s="137" t="s">
        <v>46</v>
      </c>
      <c r="Y51" s="247" t="s">
        <v>55</v>
      </c>
      <c r="Z51" s="247" t="s">
        <v>97</v>
      </c>
      <c r="AA51" s="247" t="s">
        <v>86</v>
      </c>
      <c r="AB51" s="137" t="s">
        <v>432</v>
      </c>
      <c r="AC51" s="142"/>
    </row>
    <row r="52" spans="1:29" x14ac:dyDescent="0.15">
      <c r="A52" s="137" t="s">
        <v>61</v>
      </c>
      <c r="B52" s="137" t="s">
        <v>400</v>
      </c>
      <c r="C52" s="137">
        <v>2018</v>
      </c>
      <c r="D52" s="138" t="s">
        <v>431</v>
      </c>
      <c r="E52" s="137" t="s">
        <v>260</v>
      </c>
      <c r="F52" s="137" t="s">
        <v>261</v>
      </c>
      <c r="G52" s="137" t="s">
        <v>42</v>
      </c>
      <c r="H52" s="247" t="s">
        <v>157</v>
      </c>
      <c r="I52" s="247" t="s">
        <v>155</v>
      </c>
      <c r="J52" s="137" t="s">
        <v>38</v>
      </c>
      <c r="K52" s="247" t="s">
        <v>156</v>
      </c>
      <c r="L52" s="247">
        <v>3</v>
      </c>
      <c r="M52" s="247"/>
      <c r="N52" s="247">
        <v>1</v>
      </c>
      <c r="O52" s="247">
        <v>0.8</v>
      </c>
      <c r="P52" s="247">
        <v>0.85</v>
      </c>
      <c r="Q52" s="139">
        <f t="shared" si="0"/>
        <v>0.82499999999999996</v>
      </c>
      <c r="R52" s="247">
        <v>17.600000000000001</v>
      </c>
      <c r="S52" s="247">
        <v>140</v>
      </c>
      <c r="T52" s="140">
        <f t="shared" si="1"/>
        <v>22</v>
      </c>
      <c r="U52" s="247">
        <v>138</v>
      </c>
      <c r="V52" s="141">
        <f t="shared" si="2"/>
        <v>3036</v>
      </c>
      <c r="W52" s="247">
        <v>13</v>
      </c>
      <c r="X52" s="137" t="s">
        <v>46</v>
      </c>
      <c r="Y52" s="247" t="s">
        <v>55</v>
      </c>
      <c r="Z52" s="247" t="s">
        <v>97</v>
      </c>
      <c r="AA52" s="247" t="s">
        <v>86</v>
      </c>
      <c r="AB52" s="137" t="s">
        <v>432</v>
      </c>
      <c r="AC52" s="142"/>
    </row>
    <row r="53" spans="1:29" x14ac:dyDescent="0.15">
      <c r="A53" s="137" t="s">
        <v>61</v>
      </c>
      <c r="B53" s="137" t="s">
        <v>400</v>
      </c>
      <c r="C53" s="137">
        <v>2018</v>
      </c>
      <c r="D53" s="138" t="s">
        <v>431</v>
      </c>
      <c r="E53" s="137" t="s">
        <v>260</v>
      </c>
      <c r="F53" s="137" t="s">
        <v>261</v>
      </c>
      <c r="G53" s="137" t="s">
        <v>42</v>
      </c>
      <c r="H53" s="247" t="s">
        <v>168</v>
      </c>
      <c r="I53" s="247" t="s">
        <v>155</v>
      </c>
      <c r="J53" s="137" t="s">
        <v>38</v>
      </c>
      <c r="K53" s="247" t="s">
        <v>156</v>
      </c>
      <c r="L53" s="247">
        <v>1</v>
      </c>
      <c r="M53" s="247"/>
      <c r="N53" s="247">
        <v>1</v>
      </c>
      <c r="O53" s="247">
        <v>0.6</v>
      </c>
      <c r="P53" s="247">
        <v>0.6</v>
      </c>
      <c r="Q53" s="139">
        <f t="shared" si="0"/>
        <v>0.6</v>
      </c>
      <c r="R53" s="247">
        <v>17.8</v>
      </c>
      <c r="S53" s="247">
        <v>158</v>
      </c>
      <c r="T53" s="140">
        <f t="shared" si="1"/>
        <v>18</v>
      </c>
      <c r="U53" s="247">
        <v>149</v>
      </c>
      <c r="V53" s="141">
        <f t="shared" si="2"/>
        <v>2682</v>
      </c>
      <c r="W53" s="247">
        <v>13</v>
      </c>
      <c r="X53" s="137" t="s">
        <v>46</v>
      </c>
      <c r="Y53" s="247" t="s">
        <v>55</v>
      </c>
      <c r="Z53" s="247" t="s">
        <v>97</v>
      </c>
      <c r="AA53" s="247" t="s">
        <v>86</v>
      </c>
      <c r="AB53" s="137" t="s">
        <v>432</v>
      </c>
      <c r="AC53" s="142"/>
    </row>
    <row r="54" spans="1:29" x14ac:dyDescent="0.15">
      <c r="A54" s="137" t="s">
        <v>61</v>
      </c>
      <c r="B54" s="137" t="s">
        <v>400</v>
      </c>
      <c r="C54" s="137">
        <v>2018</v>
      </c>
      <c r="D54" s="138" t="s">
        <v>431</v>
      </c>
      <c r="E54" s="137" t="s">
        <v>260</v>
      </c>
      <c r="F54" s="137" t="s">
        <v>261</v>
      </c>
      <c r="G54" s="137" t="s">
        <v>42</v>
      </c>
      <c r="H54" s="247" t="s">
        <v>168</v>
      </c>
      <c r="I54" s="247" t="s">
        <v>155</v>
      </c>
      <c r="J54" s="137" t="s">
        <v>38</v>
      </c>
      <c r="K54" s="247" t="s">
        <v>156</v>
      </c>
      <c r="L54" s="247">
        <v>2</v>
      </c>
      <c r="M54" s="247"/>
      <c r="N54" s="247">
        <v>1</v>
      </c>
      <c r="O54" s="247">
        <v>0.65</v>
      </c>
      <c r="P54" s="247">
        <v>0.65</v>
      </c>
      <c r="Q54" s="139">
        <f t="shared" si="0"/>
        <v>0.65</v>
      </c>
      <c r="R54" s="247">
        <v>17.8</v>
      </c>
      <c r="S54" s="247">
        <v>162</v>
      </c>
      <c r="T54" s="140">
        <f t="shared" si="1"/>
        <v>18</v>
      </c>
      <c r="U54" s="247">
        <v>149</v>
      </c>
      <c r="V54" s="141">
        <f t="shared" si="2"/>
        <v>2682</v>
      </c>
      <c r="W54" s="247">
        <v>13</v>
      </c>
      <c r="X54" s="137" t="s">
        <v>46</v>
      </c>
      <c r="Y54" s="247" t="s">
        <v>55</v>
      </c>
      <c r="Z54" s="247" t="s">
        <v>97</v>
      </c>
      <c r="AA54" s="247" t="s">
        <v>86</v>
      </c>
      <c r="AB54" s="137" t="s">
        <v>432</v>
      </c>
      <c r="AC54" s="142"/>
    </row>
    <row r="55" spans="1:29" x14ac:dyDescent="0.15">
      <c r="A55" s="137" t="s">
        <v>61</v>
      </c>
      <c r="B55" s="137" t="s">
        <v>400</v>
      </c>
      <c r="C55" s="137">
        <v>2018</v>
      </c>
      <c r="D55" s="138" t="s">
        <v>431</v>
      </c>
      <c r="E55" s="137" t="s">
        <v>260</v>
      </c>
      <c r="F55" s="137" t="s">
        <v>261</v>
      </c>
      <c r="G55" s="137" t="s">
        <v>42</v>
      </c>
      <c r="H55" s="247" t="s">
        <v>168</v>
      </c>
      <c r="I55" s="247" t="s">
        <v>155</v>
      </c>
      <c r="J55" s="137" t="s">
        <v>38</v>
      </c>
      <c r="K55" s="247" t="s">
        <v>156</v>
      </c>
      <c r="L55" s="247">
        <v>3</v>
      </c>
      <c r="M55" s="247"/>
      <c r="N55" s="247">
        <v>1</v>
      </c>
      <c r="O55" s="247">
        <v>0.65</v>
      </c>
      <c r="P55" s="247">
        <v>0.55000000000000004</v>
      </c>
      <c r="Q55" s="139">
        <f t="shared" si="0"/>
        <v>0.60000000000000009</v>
      </c>
      <c r="R55" s="247">
        <v>17.8</v>
      </c>
      <c r="S55" s="247">
        <v>170</v>
      </c>
      <c r="T55" s="140">
        <f t="shared" si="1"/>
        <v>18</v>
      </c>
      <c r="U55" s="247">
        <v>149</v>
      </c>
      <c r="V55" s="141">
        <f t="shared" si="2"/>
        <v>2682</v>
      </c>
      <c r="W55" s="247">
        <v>13</v>
      </c>
      <c r="X55" s="137" t="s">
        <v>46</v>
      </c>
      <c r="Y55" s="247" t="s">
        <v>55</v>
      </c>
      <c r="Z55" s="247" t="s">
        <v>97</v>
      </c>
      <c r="AA55" s="247" t="s">
        <v>86</v>
      </c>
      <c r="AB55" s="137" t="s">
        <v>432</v>
      </c>
      <c r="AC55" s="142"/>
    </row>
    <row r="56" spans="1:29" x14ac:dyDescent="0.15">
      <c r="A56" s="137" t="s">
        <v>61</v>
      </c>
      <c r="B56" s="137" t="s">
        <v>400</v>
      </c>
      <c r="C56" s="137">
        <v>2018</v>
      </c>
      <c r="D56" s="138" t="s">
        <v>431</v>
      </c>
      <c r="E56" s="137" t="s">
        <v>133</v>
      </c>
      <c r="F56" s="137" t="s">
        <v>262</v>
      </c>
      <c r="G56" s="137" t="s">
        <v>42</v>
      </c>
      <c r="H56" s="247" t="s">
        <v>157</v>
      </c>
      <c r="I56" s="247" t="s">
        <v>155</v>
      </c>
      <c r="J56" s="137" t="s">
        <v>38</v>
      </c>
      <c r="K56" s="247" t="s">
        <v>156</v>
      </c>
      <c r="L56" s="247">
        <v>1</v>
      </c>
      <c r="M56" s="247"/>
      <c r="N56" s="247">
        <v>1</v>
      </c>
      <c r="O56" s="247">
        <v>0.55000000000000004</v>
      </c>
      <c r="P56" s="247">
        <v>0.6</v>
      </c>
      <c r="Q56" s="139">
        <f t="shared" si="0"/>
        <v>0.57499999999999996</v>
      </c>
      <c r="R56" s="247">
        <v>17.600000000000001</v>
      </c>
      <c r="S56" s="247">
        <v>151</v>
      </c>
      <c r="T56" s="140">
        <f t="shared" si="1"/>
        <v>22</v>
      </c>
      <c r="U56" s="247">
        <v>105</v>
      </c>
      <c r="V56" s="141">
        <f t="shared" si="2"/>
        <v>2310</v>
      </c>
      <c r="W56" s="247">
        <v>25</v>
      </c>
      <c r="X56" s="137" t="s">
        <v>46</v>
      </c>
      <c r="Y56" s="247" t="s">
        <v>55</v>
      </c>
      <c r="Z56" s="247" t="s">
        <v>97</v>
      </c>
      <c r="AA56" s="247" t="s">
        <v>106</v>
      </c>
      <c r="AB56" s="137" t="s">
        <v>432</v>
      </c>
      <c r="AC56" s="142"/>
    </row>
    <row r="57" spans="1:29" x14ac:dyDescent="0.15">
      <c r="A57" s="137" t="s">
        <v>61</v>
      </c>
      <c r="B57" s="137" t="s">
        <v>400</v>
      </c>
      <c r="C57" s="137">
        <v>2018</v>
      </c>
      <c r="D57" s="138" t="s">
        <v>431</v>
      </c>
      <c r="E57" s="137" t="s">
        <v>133</v>
      </c>
      <c r="F57" s="137" t="s">
        <v>262</v>
      </c>
      <c r="G57" s="137" t="s">
        <v>42</v>
      </c>
      <c r="H57" s="247" t="s">
        <v>157</v>
      </c>
      <c r="I57" s="247" t="s">
        <v>155</v>
      </c>
      <c r="J57" s="137" t="s">
        <v>38</v>
      </c>
      <c r="K57" s="247" t="s">
        <v>156</v>
      </c>
      <c r="L57" s="247">
        <v>2</v>
      </c>
      <c r="M57" s="247"/>
      <c r="N57" s="247">
        <v>1</v>
      </c>
      <c r="O57" s="247">
        <v>0.65</v>
      </c>
      <c r="P57" s="247">
        <v>0.65</v>
      </c>
      <c r="Q57" s="139">
        <f t="shared" si="0"/>
        <v>0.65</v>
      </c>
      <c r="R57" s="247">
        <v>16.899999999999999</v>
      </c>
      <c r="S57" s="247">
        <v>169</v>
      </c>
      <c r="T57" s="140">
        <f t="shared" si="1"/>
        <v>18</v>
      </c>
      <c r="U57" s="247">
        <v>105</v>
      </c>
      <c r="V57" s="141">
        <f t="shared" si="2"/>
        <v>1890</v>
      </c>
      <c r="W57" s="247">
        <v>25</v>
      </c>
      <c r="X57" s="137" t="s">
        <v>46</v>
      </c>
      <c r="Y57" s="247" t="s">
        <v>55</v>
      </c>
      <c r="Z57" s="247" t="s">
        <v>97</v>
      </c>
      <c r="AA57" s="247" t="s">
        <v>106</v>
      </c>
      <c r="AB57" s="137" t="s">
        <v>432</v>
      </c>
      <c r="AC57" s="142"/>
    </row>
    <row r="58" spans="1:29" x14ac:dyDescent="0.15">
      <c r="A58" s="137" t="s">
        <v>61</v>
      </c>
      <c r="B58" s="137" t="s">
        <v>400</v>
      </c>
      <c r="C58" s="137">
        <v>2018</v>
      </c>
      <c r="D58" s="138" t="s">
        <v>431</v>
      </c>
      <c r="E58" s="137" t="s">
        <v>133</v>
      </c>
      <c r="F58" s="137" t="s">
        <v>262</v>
      </c>
      <c r="G58" s="137" t="s">
        <v>42</v>
      </c>
      <c r="H58" s="247" t="s">
        <v>157</v>
      </c>
      <c r="I58" s="247" t="s">
        <v>155</v>
      </c>
      <c r="J58" s="137" t="s">
        <v>38</v>
      </c>
      <c r="K58" s="247" t="s">
        <v>156</v>
      </c>
      <c r="L58" s="247">
        <v>3</v>
      </c>
      <c r="M58" s="247"/>
      <c r="N58" s="247">
        <v>1</v>
      </c>
      <c r="O58" s="247">
        <v>0.6</v>
      </c>
      <c r="P58" s="247">
        <v>0.6</v>
      </c>
      <c r="Q58" s="139">
        <f t="shared" si="0"/>
        <v>0.6</v>
      </c>
      <c r="R58" s="247">
        <v>17.2</v>
      </c>
      <c r="S58" s="247">
        <v>156</v>
      </c>
      <c r="T58" s="140">
        <f t="shared" si="1"/>
        <v>18</v>
      </c>
      <c r="U58" s="247">
        <v>105</v>
      </c>
      <c r="V58" s="141">
        <f t="shared" si="2"/>
        <v>1890</v>
      </c>
      <c r="W58" s="247">
        <v>25</v>
      </c>
      <c r="X58" s="137" t="s">
        <v>46</v>
      </c>
      <c r="Y58" s="247" t="s">
        <v>55</v>
      </c>
      <c r="Z58" s="247" t="s">
        <v>97</v>
      </c>
      <c r="AA58" s="247" t="s">
        <v>106</v>
      </c>
      <c r="AB58" s="137" t="s">
        <v>432</v>
      </c>
      <c r="AC58" s="142"/>
    </row>
    <row r="59" spans="1:29" x14ac:dyDescent="0.15">
      <c r="A59" s="137" t="s">
        <v>61</v>
      </c>
      <c r="B59" s="137" t="s">
        <v>400</v>
      </c>
      <c r="C59" s="137">
        <v>2018</v>
      </c>
      <c r="D59" s="138" t="s">
        <v>431</v>
      </c>
      <c r="E59" s="137" t="s">
        <v>133</v>
      </c>
      <c r="F59" s="137" t="s">
        <v>262</v>
      </c>
      <c r="G59" s="137" t="s">
        <v>42</v>
      </c>
      <c r="H59" s="247" t="s">
        <v>216</v>
      </c>
      <c r="I59" s="247" t="s">
        <v>155</v>
      </c>
      <c r="J59" s="137" t="s">
        <v>38</v>
      </c>
      <c r="K59" s="247" t="s">
        <v>156</v>
      </c>
      <c r="L59" s="247">
        <v>1</v>
      </c>
      <c r="M59" s="247"/>
      <c r="N59" s="247">
        <v>1</v>
      </c>
      <c r="O59" s="247">
        <v>0.65</v>
      </c>
      <c r="P59" s="247">
        <v>0.5</v>
      </c>
      <c r="Q59" s="139">
        <f t="shared" si="0"/>
        <v>0.57499999999999996</v>
      </c>
      <c r="R59" s="247">
        <v>17.7</v>
      </c>
      <c r="S59" s="247">
        <v>117</v>
      </c>
      <c r="T59" s="140">
        <f t="shared" si="1"/>
        <v>30</v>
      </c>
      <c r="U59" s="247">
        <v>105</v>
      </c>
      <c r="V59" s="141">
        <f t="shared" si="2"/>
        <v>3150</v>
      </c>
      <c r="W59" s="247">
        <v>25</v>
      </c>
      <c r="X59" s="137" t="s">
        <v>46</v>
      </c>
      <c r="Y59" s="247" t="s">
        <v>55</v>
      </c>
      <c r="Z59" s="247" t="s">
        <v>97</v>
      </c>
      <c r="AA59" s="247" t="s">
        <v>106</v>
      </c>
      <c r="AB59" s="137" t="s">
        <v>432</v>
      </c>
      <c r="AC59" s="247"/>
    </row>
    <row r="60" spans="1:29" x14ac:dyDescent="0.15">
      <c r="A60" s="137" t="s">
        <v>61</v>
      </c>
      <c r="B60" s="137" t="s">
        <v>400</v>
      </c>
      <c r="C60" s="137">
        <v>2018</v>
      </c>
      <c r="D60" s="138" t="s">
        <v>431</v>
      </c>
      <c r="E60" s="137" t="s">
        <v>133</v>
      </c>
      <c r="F60" s="137" t="s">
        <v>262</v>
      </c>
      <c r="G60" s="137" t="s">
        <v>42</v>
      </c>
      <c r="H60" s="247" t="s">
        <v>216</v>
      </c>
      <c r="I60" s="247" t="s">
        <v>155</v>
      </c>
      <c r="J60" s="137" t="s">
        <v>38</v>
      </c>
      <c r="K60" s="247" t="s">
        <v>156</v>
      </c>
      <c r="L60" s="247">
        <v>2</v>
      </c>
      <c r="M60" s="247"/>
      <c r="N60" s="247">
        <v>1</v>
      </c>
      <c r="O60" s="247">
        <v>0.7</v>
      </c>
      <c r="P60" s="247">
        <v>0.75</v>
      </c>
      <c r="Q60" s="139">
        <f t="shared" si="0"/>
        <v>0.72499999999999998</v>
      </c>
      <c r="R60" s="247">
        <v>18.7</v>
      </c>
      <c r="S60" s="247">
        <v>116</v>
      </c>
      <c r="T60" s="140">
        <f t="shared" si="1"/>
        <v>30</v>
      </c>
      <c r="U60" s="247">
        <v>105</v>
      </c>
      <c r="V60" s="141">
        <f t="shared" si="2"/>
        <v>3150</v>
      </c>
      <c r="W60" s="247">
        <v>25</v>
      </c>
      <c r="X60" s="137" t="s">
        <v>46</v>
      </c>
      <c r="Y60" s="247" t="s">
        <v>55</v>
      </c>
      <c r="Z60" s="247" t="s">
        <v>97</v>
      </c>
      <c r="AA60" s="247" t="s">
        <v>106</v>
      </c>
      <c r="AB60" s="137" t="s">
        <v>432</v>
      </c>
      <c r="AC60" s="247"/>
    </row>
    <row r="61" spans="1:29" x14ac:dyDescent="0.15">
      <c r="A61" s="137" t="s">
        <v>61</v>
      </c>
      <c r="B61" s="137" t="s">
        <v>400</v>
      </c>
      <c r="C61" s="137">
        <v>2018</v>
      </c>
      <c r="D61" s="138" t="s">
        <v>431</v>
      </c>
      <c r="E61" s="137" t="s">
        <v>133</v>
      </c>
      <c r="F61" s="137" t="s">
        <v>262</v>
      </c>
      <c r="G61" s="137" t="s">
        <v>42</v>
      </c>
      <c r="H61" s="247" t="s">
        <v>216</v>
      </c>
      <c r="I61" s="247" t="s">
        <v>155</v>
      </c>
      <c r="J61" s="137" t="s">
        <v>38</v>
      </c>
      <c r="K61" s="247" t="s">
        <v>156</v>
      </c>
      <c r="L61" s="247">
        <v>3</v>
      </c>
      <c r="M61" s="247"/>
      <c r="N61" s="247">
        <v>1</v>
      </c>
      <c r="O61" s="247">
        <v>0.65</v>
      </c>
      <c r="P61" s="247">
        <v>0.6</v>
      </c>
      <c r="Q61" s="139">
        <f t="shared" si="0"/>
        <v>0.625</v>
      </c>
      <c r="R61" s="247">
        <v>17.399999999999999</v>
      </c>
      <c r="S61" s="247">
        <v>117</v>
      </c>
      <c r="T61" s="140">
        <f t="shared" si="1"/>
        <v>30</v>
      </c>
      <c r="U61" s="247">
        <v>105</v>
      </c>
      <c r="V61" s="141">
        <f t="shared" si="2"/>
        <v>3150</v>
      </c>
      <c r="W61" s="247">
        <v>25</v>
      </c>
      <c r="X61" s="137" t="s">
        <v>46</v>
      </c>
      <c r="Y61" s="247" t="s">
        <v>55</v>
      </c>
      <c r="Z61" s="247" t="s">
        <v>97</v>
      </c>
      <c r="AA61" s="247" t="s">
        <v>106</v>
      </c>
      <c r="AB61" s="137" t="s">
        <v>432</v>
      </c>
      <c r="AC61" s="247"/>
    </row>
    <row r="62" spans="1:29" x14ac:dyDescent="0.15">
      <c r="A62" s="137" t="s">
        <v>61</v>
      </c>
      <c r="B62" s="137" t="s">
        <v>400</v>
      </c>
      <c r="C62" s="137">
        <v>2018</v>
      </c>
      <c r="D62" s="138" t="s">
        <v>431</v>
      </c>
      <c r="E62" s="137" t="s">
        <v>133</v>
      </c>
      <c r="F62" s="137" t="s">
        <v>262</v>
      </c>
      <c r="G62" s="137" t="s">
        <v>42</v>
      </c>
      <c r="H62" s="247" t="s">
        <v>168</v>
      </c>
      <c r="I62" s="247" t="s">
        <v>155</v>
      </c>
      <c r="J62" s="137" t="s">
        <v>38</v>
      </c>
      <c r="K62" s="247" t="s">
        <v>156</v>
      </c>
      <c r="L62" s="247">
        <v>1</v>
      </c>
      <c r="M62" s="247"/>
      <c r="N62" s="247">
        <v>1</v>
      </c>
      <c r="O62" s="247">
        <v>0.75</v>
      </c>
      <c r="P62" s="247">
        <v>0.75</v>
      </c>
      <c r="Q62" s="139">
        <f>IF(OR(O62="",P62=""),"",AVERAGE(O62,P62))</f>
        <v>0.75</v>
      </c>
      <c r="R62" s="247">
        <v>17.100000000000001</v>
      </c>
      <c r="S62" s="247">
        <v>172</v>
      </c>
      <c r="T62" s="140">
        <f t="shared" si="1"/>
        <v>18</v>
      </c>
      <c r="U62" s="247">
        <v>149</v>
      </c>
      <c r="V62" s="141">
        <f t="shared" si="2"/>
        <v>2682</v>
      </c>
      <c r="W62" s="247">
        <v>25</v>
      </c>
      <c r="X62" s="137" t="s">
        <v>46</v>
      </c>
      <c r="Y62" s="247" t="s">
        <v>55</v>
      </c>
      <c r="Z62" s="247" t="s">
        <v>97</v>
      </c>
      <c r="AA62" s="247" t="s">
        <v>106</v>
      </c>
      <c r="AB62" s="137" t="s">
        <v>432</v>
      </c>
      <c r="AC62" s="247"/>
    </row>
    <row r="63" spans="1:29" x14ac:dyDescent="0.15">
      <c r="A63" s="137" t="s">
        <v>61</v>
      </c>
      <c r="B63" s="137" t="s">
        <v>400</v>
      </c>
      <c r="C63" s="137">
        <v>2018</v>
      </c>
      <c r="D63" s="138" t="s">
        <v>431</v>
      </c>
      <c r="E63" s="137" t="s">
        <v>133</v>
      </c>
      <c r="F63" s="137" t="s">
        <v>262</v>
      </c>
      <c r="G63" s="137" t="s">
        <v>42</v>
      </c>
      <c r="H63" s="247" t="s">
        <v>168</v>
      </c>
      <c r="I63" s="247" t="s">
        <v>155</v>
      </c>
      <c r="J63" s="137" t="s">
        <v>38</v>
      </c>
      <c r="K63" s="247" t="s">
        <v>156</v>
      </c>
      <c r="L63" s="247">
        <v>2</v>
      </c>
      <c r="M63" s="247"/>
      <c r="N63" s="247">
        <v>1</v>
      </c>
      <c r="O63" s="247">
        <v>0.6</v>
      </c>
      <c r="P63" s="247">
        <v>0.75</v>
      </c>
      <c r="Q63" s="139">
        <f t="shared" si="0"/>
        <v>0.67500000000000004</v>
      </c>
      <c r="R63" s="247">
        <v>17.2</v>
      </c>
      <c r="S63" s="247">
        <v>179</v>
      </c>
      <c r="T63" s="140">
        <f t="shared" si="1"/>
        <v>18</v>
      </c>
      <c r="U63" s="247">
        <v>149</v>
      </c>
      <c r="V63" s="141">
        <f t="shared" si="2"/>
        <v>2682</v>
      </c>
      <c r="W63" s="247">
        <v>25</v>
      </c>
      <c r="X63" s="137" t="s">
        <v>46</v>
      </c>
      <c r="Y63" s="247" t="s">
        <v>55</v>
      </c>
      <c r="Z63" s="247" t="s">
        <v>97</v>
      </c>
      <c r="AA63" s="247" t="s">
        <v>106</v>
      </c>
      <c r="AB63" s="137" t="s">
        <v>432</v>
      </c>
      <c r="AC63" s="247"/>
    </row>
    <row r="64" spans="1:29" x14ac:dyDescent="0.15">
      <c r="A64" s="137" t="s">
        <v>61</v>
      </c>
      <c r="B64" s="137" t="s">
        <v>400</v>
      </c>
      <c r="C64" s="137">
        <v>2018</v>
      </c>
      <c r="D64" s="138" t="s">
        <v>431</v>
      </c>
      <c r="E64" s="137" t="s">
        <v>133</v>
      </c>
      <c r="F64" s="137" t="s">
        <v>262</v>
      </c>
      <c r="G64" s="137" t="s">
        <v>42</v>
      </c>
      <c r="H64" s="247" t="s">
        <v>168</v>
      </c>
      <c r="I64" s="247" t="s">
        <v>155</v>
      </c>
      <c r="J64" s="137" t="s">
        <v>38</v>
      </c>
      <c r="K64" s="247" t="s">
        <v>156</v>
      </c>
      <c r="L64" s="247">
        <v>3</v>
      </c>
      <c r="M64" s="247"/>
      <c r="N64" s="247">
        <v>1</v>
      </c>
      <c r="O64" s="247">
        <v>0.55000000000000004</v>
      </c>
      <c r="P64" s="247">
        <v>0.65</v>
      </c>
      <c r="Q64" s="139">
        <f t="shared" si="0"/>
        <v>0.60000000000000009</v>
      </c>
      <c r="R64" s="247">
        <v>17.3</v>
      </c>
      <c r="S64" s="247">
        <v>153</v>
      </c>
      <c r="T64" s="140">
        <f t="shared" si="1"/>
        <v>18</v>
      </c>
      <c r="U64" s="247">
        <v>149</v>
      </c>
      <c r="V64" s="141">
        <f t="shared" si="2"/>
        <v>2682</v>
      </c>
      <c r="W64" s="247">
        <v>25</v>
      </c>
      <c r="X64" s="137" t="s">
        <v>46</v>
      </c>
      <c r="Y64" s="247" t="s">
        <v>55</v>
      </c>
      <c r="Z64" s="247" t="s">
        <v>97</v>
      </c>
      <c r="AA64" s="247" t="s">
        <v>106</v>
      </c>
      <c r="AB64" s="137" t="s">
        <v>432</v>
      </c>
      <c r="AC64" s="247"/>
    </row>
    <row r="65" spans="1:29" x14ac:dyDescent="0.15">
      <c r="A65" s="137" t="s">
        <v>61</v>
      </c>
      <c r="B65" s="137" t="s">
        <v>400</v>
      </c>
      <c r="C65" s="137">
        <v>2018</v>
      </c>
      <c r="D65" s="138" t="s">
        <v>431</v>
      </c>
      <c r="E65" s="137" t="s">
        <v>133</v>
      </c>
      <c r="F65" s="137" t="s">
        <v>262</v>
      </c>
      <c r="G65" s="137" t="s">
        <v>42</v>
      </c>
      <c r="H65" s="247" t="s">
        <v>157</v>
      </c>
      <c r="I65" s="247" t="s">
        <v>158</v>
      </c>
      <c r="J65" s="137" t="s">
        <v>38</v>
      </c>
      <c r="K65" s="247" t="s">
        <v>156</v>
      </c>
      <c r="L65" s="247">
        <v>1</v>
      </c>
      <c r="M65" s="247"/>
      <c r="N65" s="247">
        <v>4</v>
      </c>
      <c r="O65" s="247">
        <v>0.5</v>
      </c>
      <c r="P65" s="247">
        <v>0.5</v>
      </c>
      <c r="Q65" s="139">
        <f t="shared" si="0"/>
        <v>0.5</v>
      </c>
      <c r="R65" s="247">
        <v>11.2</v>
      </c>
      <c r="S65" s="247">
        <v>95</v>
      </c>
      <c r="T65" s="140">
        <f t="shared" si="1"/>
        <v>36</v>
      </c>
      <c r="U65" s="247">
        <v>429</v>
      </c>
      <c r="V65" s="141">
        <f t="shared" si="2"/>
        <v>3861</v>
      </c>
      <c r="W65" s="247">
        <v>25</v>
      </c>
      <c r="X65" s="137" t="s">
        <v>46</v>
      </c>
      <c r="Y65" s="247" t="s">
        <v>55</v>
      </c>
      <c r="Z65" s="247" t="s">
        <v>97</v>
      </c>
      <c r="AA65" s="247" t="s">
        <v>106</v>
      </c>
      <c r="AB65" s="137" t="s">
        <v>432</v>
      </c>
      <c r="AC65" s="142"/>
    </row>
    <row r="66" spans="1:29" x14ac:dyDescent="0.15">
      <c r="A66" s="137" t="s">
        <v>61</v>
      </c>
      <c r="B66" s="137" t="s">
        <v>400</v>
      </c>
      <c r="C66" s="137">
        <v>2018</v>
      </c>
      <c r="D66" s="138" t="s">
        <v>431</v>
      </c>
      <c r="E66" s="137" t="s">
        <v>133</v>
      </c>
      <c r="F66" s="137" t="s">
        <v>262</v>
      </c>
      <c r="G66" s="137" t="s">
        <v>42</v>
      </c>
      <c r="H66" s="247" t="s">
        <v>157</v>
      </c>
      <c r="I66" s="247" t="s">
        <v>158</v>
      </c>
      <c r="J66" s="137" t="s">
        <v>38</v>
      </c>
      <c r="K66" s="247" t="s">
        <v>156</v>
      </c>
      <c r="L66" s="247">
        <v>2</v>
      </c>
      <c r="M66" s="247"/>
      <c r="N66" s="247">
        <v>4</v>
      </c>
      <c r="O66" s="247">
        <v>0.65</v>
      </c>
      <c r="P66" s="247">
        <v>0.75</v>
      </c>
      <c r="Q66" s="139">
        <f t="shared" si="0"/>
        <v>0.7</v>
      </c>
      <c r="R66" s="247">
        <v>11.4</v>
      </c>
      <c r="S66" s="247">
        <v>98</v>
      </c>
      <c r="T66" s="140">
        <f t="shared" ref="T66:T85" si="3">IF(H66="","",IF(OR(H66="GREEN",H66="GK"),IF(S66&gt;=$AX$2,VLOOKUP(S66,$AX$2:$AY$15,2,1),""),IF(S66&gt;=$AZ$2,VLOOKUP(S66,$AZ$2:$BA$15,2,1),"")))</f>
        <v>36</v>
      </c>
      <c r="U66" s="247">
        <v>429</v>
      </c>
      <c r="V66" s="141">
        <f t="shared" si="2"/>
        <v>3861</v>
      </c>
      <c r="W66" s="247">
        <v>25</v>
      </c>
      <c r="X66" s="137" t="s">
        <v>46</v>
      </c>
      <c r="Y66" s="247" t="s">
        <v>55</v>
      </c>
      <c r="Z66" s="247" t="s">
        <v>97</v>
      </c>
      <c r="AA66" s="247" t="s">
        <v>106</v>
      </c>
      <c r="AB66" s="137" t="s">
        <v>432</v>
      </c>
      <c r="AC66" s="142"/>
    </row>
    <row r="67" spans="1:29" x14ac:dyDescent="0.15">
      <c r="A67" s="137" t="s">
        <v>61</v>
      </c>
      <c r="B67" s="137" t="s">
        <v>400</v>
      </c>
      <c r="C67" s="137">
        <v>2018</v>
      </c>
      <c r="D67" s="138" t="s">
        <v>431</v>
      </c>
      <c r="E67" s="137" t="s">
        <v>133</v>
      </c>
      <c r="F67" s="137" t="s">
        <v>262</v>
      </c>
      <c r="G67" s="137" t="s">
        <v>42</v>
      </c>
      <c r="H67" s="247" t="s">
        <v>157</v>
      </c>
      <c r="I67" s="247" t="s">
        <v>158</v>
      </c>
      <c r="J67" s="137" t="s">
        <v>38</v>
      </c>
      <c r="K67" s="247" t="s">
        <v>156</v>
      </c>
      <c r="L67" s="247">
        <v>3</v>
      </c>
      <c r="M67" s="247"/>
      <c r="N67" s="247">
        <v>4</v>
      </c>
      <c r="O67" s="247">
        <v>0.55000000000000004</v>
      </c>
      <c r="P67" s="247">
        <v>0.5</v>
      </c>
      <c r="Q67" s="139">
        <f t="shared" ref="Q67:Q85" si="4">IF(OR(O67="",P67=""),"",AVERAGE(O67,P67))</f>
        <v>0.52500000000000002</v>
      </c>
      <c r="R67" s="142">
        <v>17.399999999999999</v>
      </c>
      <c r="S67" s="247">
        <v>97</v>
      </c>
      <c r="T67" s="140">
        <f t="shared" si="3"/>
        <v>36</v>
      </c>
      <c r="U67" s="247">
        <v>429</v>
      </c>
      <c r="V67" s="141">
        <f t="shared" ref="V67:V85" si="5">IF(OR(N67="",U67="",T67=""),"",U67/N67*T67)</f>
        <v>3861</v>
      </c>
      <c r="W67" s="247">
        <v>25</v>
      </c>
      <c r="X67" s="137" t="s">
        <v>46</v>
      </c>
      <c r="Y67" s="247" t="s">
        <v>55</v>
      </c>
      <c r="Z67" s="247" t="s">
        <v>97</v>
      </c>
      <c r="AA67" s="247" t="s">
        <v>106</v>
      </c>
      <c r="AB67" s="137" t="s">
        <v>432</v>
      </c>
      <c r="AC67" s="142"/>
    </row>
    <row r="68" spans="1:29" x14ac:dyDescent="0.15">
      <c r="A68" s="137" t="s">
        <v>61</v>
      </c>
      <c r="B68" s="137" t="s">
        <v>400</v>
      </c>
      <c r="C68" s="137">
        <v>2018</v>
      </c>
      <c r="D68" s="138" t="s">
        <v>431</v>
      </c>
      <c r="E68" s="137" t="s">
        <v>133</v>
      </c>
      <c r="F68" s="137" t="s">
        <v>262</v>
      </c>
      <c r="G68" s="137" t="s">
        <v>42</v>
      </c>
      <c r="H68" s="247" t="s">
        <v>168</v>
      </c>
      <c r="I68" s="247" t="s">
        <v>158</v>
      </c>
      <c r="J68" s="137" t="s">
        <v>38</v>
      </c>
      <c r="K68" s="247" t="s">
        <v>156</v>
      </c>
      <c r="L68" s="247">
        <v>1</v>
      </c>
      <c r="M68" s="247"/>
      <c r="N68" s="247">
        <v>2</v>
      </c>
      <c r="O68" s="247">
        <v>0.55000000000000004</v>
      </c>
      <c r="P68" s="247">
        <v>0.65</v>
      </c>
      <c r="Q68" s="139">
        <f t="shared" si="4"/>
        <v>0.60000000000000009</v>
      </c>
      <c r="R68" s="247">
        <v>17.3</v>
      </c>
      <c r="S68" s="247">
        <v>156</v>
      </c>
      <c r="T68" s="140">
        <f t="shared" si="3"/>
        <v>18</v>
      </c>
      <c r="U68" s="247">
        <v>429</v>
      </c>
      <c r="V68" s="141">
        <f t="shared" si="5"/>
        <v>3861</v>
      </c>
      <c r="W68" s="247">
        <v>25</v>
      </c>
      <c r="X68" s="137" t="s">
        <v>46</v>
      </c>
      <c r="Y68" s="247" t="s">
        <v>55</v>
      </c>
      <c r="Z68" s="247" t="s">
        <v>97</v>
      </c>
      <c r="AA68" s="247" t="s">
        <v>106</v>
      </c>
      <c r="AB68" s="137" t="s">
        <v>432</v>
      </c>
      <c r="AC68" s="142"/>
    </row>
    <row r="69" spans="1:29" x14ac:dyDescent="0.15">
      <c r="A69" s="137" t="s">
        <v>61</v>
      </c>
      <c r="B69" s="137" t="s">
        <v>400</v>
      </c>
      <c r="C69" s="137">
        <v>2018</v>
      </c>
      <c r="D69" s="138" t="s">
        <v>431</v>
      </c>
      <c r="E69" s="137" t="s">
        <v>133</v>
      </c>
      <c r="F69" s="137" t="s">
        <v>262</v>
      </c>
      <c r="G69" s="137" t="s">
        <v>42</v>
      </c>
      <c r="H69" s="247" t="s">
        <v>168</v>
      </c>
      <c r="I69" s="247" t="s">
        <v>158</v>
      </c>
      <c r="J69" s="137" t="s">
        <v>38</v>
      </c>
      <c r="K69" s="247" t="s">
        <v>156</v>
      </c>
      <c r="L69" s="247">
        <v>2</v>
      </c>
      <c r="M69" s="247"/>
      <c r="N69" s="247">
        <v>2</v>
      </c>
      <c r="O69" s="247">
        <v>0.5</v>
      </c>
      <c r="P69" s="247">
        <v>0.6</v>
      </c>
      <c r="Q69" s="139">
        <f t="shared" si="4"/>
        <v>0.55000000000000004</v>
      </c>
      <c r="R69" s="142">
        <v>18.899999999999999</v>
      </c>
      <c r="S69" s="247">
        <v>157</v>
      </c>
      <c r="T69" s="140">
        <f t="shared" si="3"/>
        <v>18</v>
      </c>
      <c r="U69" s="247">
        <v>429</v>
      </c>
      <c r="V69" s="141">
        <f t="shared" si="5"/>
        <v>3861</v>
      </c>
      <c r="W69" s="247">
        <v>25</v>
      </c>
      <c r="X69" s="137" t="s">
        <v>46</v>
      </c>
      <c r="Y69" s="247" t="s">
        <v>55</v>
      </c>
      <c r="Z69" s="247" t="s">
        <v>97</v>
      </c>
      <c r="AA69" s="247" t="s">
        <v>106</v>
      </c>
      <c r="AB69" s="137" t="s">
        <v>432</v>
      </c>
      <c r="AC69" s="142"/>
    </row>
    <row r="70" spans="1:29" x14ac:dyDescent="0.15">
      <c r="A70" s="137" t="s">
        <v>61</v>
      </c>
      <c r="B70" s="137" t="s">
        <v>400</v>
      </c>
      <c r="C70" s="137">
        <v>2018</v>
      </c>
      <c r="D70" s="138" t="s">
        <v>431</v>
      </c>
      <c r="E70" s="137" t="s">
        <v>133</v>
      </c>
      <c r="F70" s="137" t="s">
        <v>262</v>
      </c>
      <c r="G70" s="137" t="s">
        <v>42</v>
      </c>
      <c r="H70" s="247" t="s">
        <v>168</v>
      </c>
      <c r="I70" s="247" t="s">
        <v>158</v>
      </c>
      <c r="J70" s="137" t="s">
        <v>38</v>
      </c>
      <c r="K70" s="247" t="s">
        <v>156</v>
      </c>
      <c r="L70" s="247">
        <v>3</v>
      </c>
      <c r="M70" s="247"/>
      <c r="N70" s="247">
        <v>2</v>
      </c>
      <c r="O70" s="247">
        <v>0.6</v>
      </c>
      <c r="P70" s="247">
        <v>0.65</v>
      </c>
      <c r="Q70" s="139">
        <f t="shared" si="4"/>
        <v>0.625</v>
      </c>
      <c r="R70" s="142">
        <v>17.600000000000001</v>
      </c>
      <c r="S70" s="247">
        <v>144</v>
      </c>
      <c r="T70" s="140">
        <f t="shared" si="3"/>
        <v>22</v>
      </c>
      <c r="U70" s="247">
        <v>429</v>
      </c>
      <c r="V70" s="141">
        <f t="shared" si="5"/>
        <v>4719</v>
      </c>
      <c r="W70" s="247">
        <v>25</v>
      </c>
      <c r="X70" s="137" t="s">
        <v>46</v>
      </c>
      <c r="Y70" s="247" t="s">
        <v>55</v>
      </c>
      <c r="Z70" s="247" t="s">
        <v>97</v>
      </c>
      <c r="AA70" s="247" t="s">
        <v>106</v>
      </c>
      <c r="AB70" s="137" t="s">
        <v>432</v>
      </c>
      <c r="AC70" s="142"/>
    </row>
    <row r="71" spans="1:29" x14ac:dyDescent="0.15">
      <c r="A71" s="137" t="s">
        <v>61</v>
      </c>
      <c r="B71" s="137" t="s">
        <v>400</v>
      </c>
      <c r="C71" s="137">
        <v>2018</v>
      </c>
      <c r="D71" s="138" t="s">
        <v>431</v>
      </c>
      <c r="E71" s="137" t="s">
        <v>263</v>
      </c>
      <c r="F71" s="137" t="s">
        <v>264</v>
      </c>
      <c r="G71" s="137" t="s">
        <v>42</v>
      </c>
      <c r="H71" s="247" t="s">
        <v>157</v>
      </c>
      <c r="I71" s="247" t="s">
        <v>155</v>
      </c>
      <c r="J71" s="137" t="s">
        <v>38</v>
      </c>
      <c r="K71" s="247" t="s">
        <v>156</v>
      </c>
      <c r="L71" s="247">
        <v>1</v>
      </c>
      <c r="M71" s="247"/>
      <c r="N71" s="247">
        <v>1</v>
      </c>
      <c r="O71" s="247">
        <v>0.85</v>
      </c>
      <c r="P71" s="247">
        <v>0.8</v>
      </c>
      <c r="Q71" s="139">
        <f t="shared" si="4"/>
        <v>0.82499999999999996</v>
      </c>
      <c r="R71" s="247">
        <v>17.100000000000001</v>
      </c>
      <c r="S71" s="247">
        <v>139</v>
      </c>
      <c r="T71" s="140">
        <f t="shared" si="3"/>
        <v>22</v>
      </c>
      <c r="U71" s="247">
        <v>128</v>
      </c>
      <c r="V71" s="141">
        <f t="shared" si="5"/>
        <v>2816</v>
      </c>
      <c r="W71" s="247">
        <v>12</v>
      </c>
      <c r="X71" s="137" t="s">
        <v>46</v>
      </c>
      <c r="Y71" s="247" t="s">
        <v>97</v>
      </c>
      <c r="Z71" s="247" t="s">
        <v>86</v>
      </c>
      <c r="AA71" s="247" t="s">
        <v>78</v>
      </c>
      <c r="AB71" s="137" t="s">
        <v>432</v>
      </c>
      <c r="AC71" s="142"/>
    </row>
    <row r="72" spans="1:29" x14ac:dyDescent="0.15">
      <c r="A72" s="137" t="s">
        <v>61</v>
      </c>
      <c r="B72" s="137" t="s">
        <v>400</v>
      </c>
      <c r="C72" s="137">
        <v>2018</v>
      </c>
      <c r="D72" s="138" t="s">
        <v>431</v>
      </c>
      <c r="E72" s="137" t="s">
        <v>263</v>
      </c>
      <c r="F72" s="137" t="s">
        <v>264</v>
      </c>
      <c r="G72" s="137" t="s">
        <v>42</v>
      </c>
      <c r="H72" s="247" t="s">
        <v>157</v>
      </c>
      <c r="I72" s="247" t="s">
        <v>155</v>
      </c>
      <c r="J72" s="137" t="s">
        <v>38</v>
      </c>
      <c r="K72" s="247" t="s">
        <v>156</v>
      </c>
      <c r="L72" s="247">
        <v>2</v>
      </c>
      <c r="M72" s="247"/>
      <c r="N72" s="247">
        <v>1</v>
      </c>
      <c r="O72" s="247">
        <v>1</v>
      </c>
      <c r="P72" s="247">
        <v>1</v>
      </c>
      <c r="Q72" s="139">
        <f t="shared" si="4"/>
        <v>1</v>
      </c>
      <c r="R72" s="247">
        <v>15.7</v>
      </c>
      <c r="S72" s="247">
        <v>139</v>
      </c>
      <c r="T72" s="140">
        <f t="shared" si="3"/>
        <v>22</v>
      </c>
      <c r="U72" s="247">
        <v>128</v>
      </c>
      <c r="V72" s="141">
        <f t="shared" si="5"/>
        <v>2816</v>
      </c>
      <c r="W72" s="247">
        <v>12</v>
      </c>
      <c r="X72" s="137" t="s">
        <v>46</v>
      </c>
      <c r="Y72" s="247" t="s">
        <v>97</v>
      </c>
      <c r="Z72" s="247" t="s">
        <v>86</v>
      </c>
      <c r="AA72" s="247" t="s">
        <v>78</v>
      </c>
      <c r="AB72" s="137" t="s">
        <v>432</v>
      </c>
      <c r="AC72" s="142"/>
    </row>
    <row r="73" spans="1:29" x14ac:dyDescent="0.15">
      <c r="A73" s="137" t="s">
        <v>61</v>
      </c>
      <c r="B73" s="137" t="s">
        <v>400</v>
      </c>
      <c r="C73" s="137">
        <v>2018</v>
      </c>
      <c r="D73" s="138" t="s">
        <v>431</v>
      </c>
      <c r="E73" s="137" t="s">
        <v>263</v>
      </c>
      <c r="F73" s="137" t="s">
        <v>264</v>
      </c>
      <c r="G73" s="137" t="s">
        <v>42</v>
      </c>
      <c r="H73" s="247" t="s">
        <v>157</v>
      </c>
      <c r="I73" s="247" t="s">
        <v>155</v>
      </c>
      <c r="J73" s="137" t="s">
        <v>38</v>
      </c>
      <c r="K73" s="247" t="s">
        <v>156</v>
      </c>
      <c r="L73" s="247">
        <v>3</v>
      </c>
      <c r="M73" s="247"/>
      <c r="N73" s="247">
        <v>1</v>
      </c>
      <c r="O73" s="247">
        <v>0.8</v>
      </c>
      <c r="P73" s="247">
        <v>1</v>
      </c>
      <c r="Q73" s="139">
        <f t="shared" si="4"/>
        <v>0.9</v>
      </c>
      <c r="R73" s="247">
        <v>17.600000000000001</v>
      </c>
      <c r="S73" s="247">
        <v>141</v>
      </c>
      <c r="T73" s="140">
        <f t="shared" si="3"/>
        <v>22</v>
      </c>
      <c r="U73" s="247">
        <v>128</v>
      </c>
      <c r="V73" s="141">
        <f t="shared" si="5"/>
        <v>2816</v>
      </c>
      <c r="W73" s="247">
        <v>12</v>
      </c>
      <c r="X73" s="137" t="s">
        <v>46</v>
      </c>
      <c r="Y73" s="247" t="s">
        <v>97</v>
      </c>
      <c r="Z73" s="247" t="s">
        <v>86</v>
      </c>
      <c r="AA73" s="247" t="s">
        <v>78</v>
      </c>
      <c r="AB73" s="137" t="s">
        <v>432</v>
      </c>
      <c r="AC73" s="142"/>
    </row>
    <row r="74" spans="1:29" x14ac:dyDescent="0.15">
      <c r="A74" s="137" t="s">
        <v>61</v>
      </c>
      <c r="B74" s="137" t="s">
        <v>400</v>
      </c>
      <c r="C74" s="137">
        <v>2018</v>
      </c>
      <c r="D74" s="138" t="s">
        <v>431</v>
      </c>
      <c r="E74" s="137" t="s">
        <v>263</v>
      </c>
      <c r="F74" s="137" t="s">
        <v>264</v>
      </c>
      <c r="G74" s="137" t="s">
        <v>42</v>
      </c>
      <c r="H74" s="247" t="s">
        <v>168</v>
      </c>
      <c r="I74" s="247" t="s">
        <v>155</v>
      </c>
      <c r="J74" s="137" t="s">
        <v>38</v>
      </c>
      <c r="K74" s="247" t="s">
        <v>156</v>
      </c>
      <c r="L74" s="247">
        <v>1</v>
      </c>
      <c r="M74" s="247"/>
      <c r="N74" s="247">
        <v>1</v>
      </c>
      <c r="O74" s="247">
        <v>0.5</v>
      </c>
      <c r="P74" s="247">
        <v>0.5</v>
      </c>
      <c r="Q74" s="139">
        <f t="shared" si="4"/>
        <v>0.5</v>
      </c>
      <c r="R74" s="247">
        <v>17.7</v>
      </c>
      <c r="S74" s="247">
        <v>139</v>
      </c>
      <c r="T74" s="140">
        <f t="shared" si="3"/>
        <v>22</v>
      </c>
      <c r="U74" s="247">
        <v>138</v>
      </c>
      <c r="V74" s="141">
        <f t="shared" si="5"/>
        <v>3036</v>
      </c>
      <c r="W74" s="247">
        <v>12</v>
      </c>
      <c r="X74" s="137" t="s">
        <v>46</v>
      </c>
      <c r="Y74" s="247" t="s">
        <v>97</v>
      </c>
      <c r="Z74" s="247" t="s">
        <v>86</v>
      </c>
      <c r="AA74" s="247" t="s">
        <v>78</v>
      </c>
      <c r="AB74" s="137" t="s">
        <v>432</v>
      </c>
      <c r="AC74" s="247"/>
    </row>
    <row r="75" spans="1:29" x14ac:dyDescent="0.15">
      <c r="A75" s="137" t="s">
        <v>61</v>
      </c>
      <c r="B75" s="137" t="s">
        <v>400</v>
      </c>
      <c r="C75" s="137">
        <v>2018</v>
      </c>
      <c r="D75" s="138" t="s">
        <v>431</v>
      </c>
      <c r="E75" s="137" t="s">
        <v>263</v>
      </c>
      <c r="F75" s="137" t="s">
        <v>264</v>
      </c>
      <c r="G75" s="137" t="s">
        <v>42</v>
      </c>
      <c r="H75" s="247" t="s">
        <v>168</v>
      </c>
      <c r="I75" s="247" t="s">
        <v>155</v>
      </c>
      <c r="J75" s="137" t="s">
        <v>38</v>
      </c>
      <c r="K75" s="247" t="s">
        <v>156</v>
      </c>
      <c r="L75" s="247">
        <v>2</v>
      </c>
      <c r="M75" s="247"/>
      <c r="N75" s="247">
        <v>1</v>
      </c>
      <c r="O75" s="247">
        <v>0.55000000000000004</v>
      </c>
      <c r="P75" s="247">
        <v>0.55000000000000004</v>
      </c>
      <c r="Q75" s="139">
        <f t="shared" si="4"/>
        <v>0.55000000000000004</v>
      </c>
      <c r="R75" s="247">
        <v>17.5</v>
      </c>
      <c r="S75" s="247">
        <v>132</v>
      </c>
      <c r="T75" s="140">
        <f t="shared" si="3"/>
        <v>25</v>
      </c>
      <c r="U75" s="247">
        <v>138</v>
      </c>
      <c r="V75" s="141">
        <f t="shared" si="5"/>
        <v>3450</v>
      </c>
      <c r="W75" s="247">
        <v>12</v>
      </c>
      <c r="X75" s="137" t="s">
        <v>46</v>
      </c>
      <c r="Y75" s="247" t="s">
        <v>97</v>
      </c>
      <c r="Z75" s="247" t="s">
        <v>86</v>
      </c>
      <c r="AA75" s="247" t="s">
        <v>78</v>
      </c>
      <c r="AB75" s="137" t="s">
        <v>432</v>
      </c>
      <c r="AC75" s="247"/>
    </row>
    <row r="76" spans="1:29" x14ac:dyDescent="0.15">
      <c r="A76" s="137" t="s">
        <v>61</v>
      </c>
      <c r="B76" s="137" t="s">
        <v>400</v>
      </c>
      <c r="C76" s="137">
        <v>2018</v>
      </c>
      <c r="D76" s="138" t="s">
        <v>431</v>
      </c>
      <c r="E76" s="137" t="s">
        <v>263</v>
      </c>
      <c r="F76" s="137" t="s">
        <v>264</v>
      </c>
      <c r="G76" s="137" t="s">
        <v>42</v>
      </c>
      <c r="H76" s="247" t="s">
        <v>168</v>
      </c>
      <c r="I76" s="247" t="s">
        <v>155</v>
      </c>
      <c r="J76" s="137" t="s">
        <v>38</v>
      </c>
      <c r="K76" s="247" t="s">
        <v>156</v>
      </c>
      <c r="L76" s="247">
        <v>3</v>
      </c>
      <c r="M76" s="247"/>
      <c r="N76" s="247">
        <v>1</v>
      </c>
      <c r="O76" s="247">
        <v>0.55000000000000004</v>
      </c>
      <c r="P76" s="247">
        <v>0.55000000000000004</v>
      </c>
      <c r="Q76" s="139">
        <f t="shared" si="4"/>
        <v>0.55000000000000004</v>
      </c>
      <c r="R76" s="247">
        <v>18.2</v>
      </c>
      <c r="S76" s="247">
        <v>140</v>
      </c>
      <c r="T76" s="140">
        <f t="shared" si="3"/>
        <v>22</v>
      </c>
      <c r="U76" s="247">
        <v>138</v>
      </c>
      <c r="V76" s="141">
        <f t="shared" si="5"/>
        <v>3036</v>
      </c>
      <c r="W76" s="247">
        <v>12</v>
      </c>
      <c r="X76" s="137" t="s">
        <v>46</v>
      </c>
      <c r="Y76" s="247" t="s">
        <v>97</v>
      </c>
      <c r="Z76" s="247" t="s">
        <v>86</v>
      </c>
      <c r="AA76" s="247" t="s">
        <v>78</v>
      </c>
      <c r="AB76" s="137" t="s">
        <v>432</v>
      </c>
      <c r="AC76" s="247"/>
    </row>
    <row r="77" spans="1:29" x14ac:dyDescent="0.15">
      <c r="A77" s="137" t="s">
        <v>61</v>
      </c>
      <c r="B77" s="137" t="s">
        <v>400</v>
      </c>
      <c r="C77" s="137">
        <v>2018</v>
      </c>
      <c r="D77" s="138" t="s">
        <v>431</v>
      </c>
      <c r="E77" s="137" t="s">
        <v>265</v>
      </c>
      <c r="F77" s="137" t="s">
        <v>264</v>
      </c>
      <c r="G77" s="137" t="s">
        <v>42</v>
      </c>
      <c r="H77" s="247" t="s">
        <v>157</v>
      </c>
      <c r="I77" s="247" t="s">
        <v>155</v>
      </c>
      <c r="J77" s="137" t="s">
        <v>38</v>
      </c>
      <c r="K77" s="247" t="s">
        <v>156</v>
      </c>
      <c r="L77" s="247">
        <v>1</v>
      </c>
      <c r="M77" s="247"/>
      <c r="N77" s="247">
        <v>1</v>
      </c>
      <c r="O77" s="247">
        <v>0.5</v>
      </c>
      <c r="P77" s="247">
        <v>0.65</v>
      </c>
      <c r="Q77" s="139">
        <f t="shared" si="4"/>
        <v>0.57499999999999996</v>
      </c>
      <c r="R77" s="247">
        <v>18</v>
      </c>
      <c r="S77" s="247">
        <v>143</v>
      </c>
      <c r="T77" s="140">
        <f t="shared" si="3"/>
        <v>22</v>
      </c>
      <c r="U77" s="247">
        <v>149</v>
      </c>
      <c r="V77" s="141">
        <f t="shared" si="5"/>
        <v>3278</v>
      </c>
      <c r="W77" s="247">
        <v>40</v>
      </c>
      <c r="X77" s="137" t="s">
        <v>46</v>
      </c>
      <c r="Y77" s="247" t="s">
        <v>97</v>
      </c>
      <c r="Z77" s="247" t="s">
        <v>55</v>
      </c>
      <c r="AA77" s="247" t="s">
        <v>78</v>
      </c>
      <c r="AB77" s="137" t="s">
        <v>432</v>
      </c>
      <c r="AC77" s="247"/>
    </row>
    <row r="78" spans="1:29" x14ac:dyDescent="0.15">
      <c r="A78" s="137" t="s">
        <v>61</v>
      </c>
      <c r="B78" s="137" t="s">
        <v>400</v>
      </c>
      <c r="C78" s="137">
        <v>2018</v>
      </c>
      <c r="D78" s="138" t="s">
        <v>431</v>
      </c>
      <c r="E78" s="137" t="s">
        <v>265</v>
      </c>
      <c r="F78" s="137" t="s">
        <v>264</v>
      </c>
      <c r="G78" s="137" t="s">
        <v>42</v>
      </c>
      <c r="H78" s="247" t="s">
        <v>157</v>
      </c>
      <c r="I78" s="247" t="s">
        <v>155</v>
      </c>
      <c r="J78" s="137" t="s">
        <v>38</v>
      </c>
      <c r="K78" s="247" t="s">
        <v>156</v>
      </c>
      <c r="L78" s="247">
        <v>2</v>
      </c>
      <c r="M78" s="247"/>
      <c r="N78" s="247">
        <v>1</v>
      </c>
      <c r="O78" s="247">
        <v>0.5</v>
      </c>
      <c r="P78" s="247">
        <v>0.5</v>
      </c>
      <c r="Q78" s="139">
        <f t="shared" si="4"/>
        <v>0.5</v>
      </c>
      <c r="R78" s="247">
        <v>17.899999999999999</v>
      </c>
      <c r="S78" s="247">
        <v>138</v>
      </c>
      <c r="T78" s="140">
        <f t="shared" si="3"/>
        <v>22</v>
      </c>
      <c r="U78" s="247">
        <v>149</v>
      </c>
      <c r="V78" s="141">
        <f t="shared" si="5"/>
        <v>3278</v>
      </c>
      <c r="W78" s="247">
        <v>40</v>
      </c>
      <c r="X78" s="137" t="s">
        <v>46</v>
      </c>
      <c r="Y78" s="247" t="s">
        <v>97</v>
      </c>
      <c r="Z78" s="247" t="s">
        <v>55</v>
      </c>
      <c r="AA78" s="247" t="s">
        <v>78</v>
      </c>
      <c r="AB78" s="137" t="s">
        <v>432</v>
      </c>
      <c r="AC78" s="247"/>
    </row>
    <row r="79" spans="1:29" x14ac:dyDescent="0.15">
      <c r="A79" s="137" t="s">
        <v>61</v>
      </c>
      <c r="B79" s="137" t="s">
        <v>400</v>
      </c>
      <c r="C79" s="137">
        <v>2018</v>
      </c>
      <c r="D79" s="138" t="s">
        <v>431</v>
      </c>
      <c r="E79" s="137" t="s">
        <v>265</v>
      </c>
      <c r="F79" s="137" t="s">
        <v>264</v>
      </c>
      <c r="G79" s="137" t="s">
        <v>42</v>
      </c>
      <c r="H79" s="247" t="s">
        <v>157</v>
      </c>
      <c r="I79" s="247" t="s">
        <v>155</v>
      </c>
      <c r="J79" s="137" t="s">
        <v>38</v>
      </c>
      <c r="K79" s="247" t="s">
        <v>156</v>
      </c>
      <c r="L79" s="247">
        <v>3</v>
      </c>
      <c r="M79" s="247"/>
      <c r="N79" s="247">
        <v>1</v>
      </c>
      <c r="O79" s="247">
        <v>0.55000000000000004</v>
      </c>
      <c r="P79" s="247">
        <v>0.55000000000000004</v>
      </c>
      <c r="Q79" s="139">
        <f t="shared" si="4"/>
        <v>0.55000000000000004</v>
      </c>
      <c r="R79" s="247">
        <v>17.399999999999999</v>
      </c>
      <c r="S79" s="247">
        <v>126</v>
      </c>
      <c r="T79" s="140">
        <f t="shared" si="3"/>
        <v>27</v>
      </c>
      <c r="U79" s="247">
        <v>149</v>
      </c>
      <c r="V79" s="141">
        <f t="shared" si="5"/>
        <v>4023</v>
      </c>
      <c r="W79" s="247">
        <v>40</v>
      </c>
      <c r="X79" s="137" t="s">
        <v>46</v>
      </c>
      <c r="Y79" s="247" t="s">
        <v>97</v>
      </c>
      <c r="Z79" s="247" t="s">
        <v>55</v>
      </c>
      <c r="AA79" s="247" t="s">
        <v>78</v>
      </c>
      <c r="AB79" s="137" t="s">
        <v>432</v>
      </c>
      <c r="AC79" s="247"/>
    </row>
    <row r="80" spans="1:29" x14ac:dyDescent="0.15">
      <c r="A80" s="137" t="s">
        <v>61</v>
      </c>
      <c r="B80" s="137" t="s">
        <v>400</v>
      </c>
      <c r="C80" s="137">
        <v>2018</v>
      </c>
      <c r="D80" s="138" t="s">
        <v>431</v>
      </c>
      <c r="E80" s="137" t="s">
        <v>265</v>
      </c>
      <c r="F80" s="137" t="s">
        <v>264</v>
      </c>
      <c r="G80" s="137" t="s">
        <v>42</v>
      </c>
      <c r="H80" s="247" t="s">
        <v>216</v>
      </c>
      <c r="I80" s="247" t="s">
        <v>155</v>
      </c>
      <c r="J80" s="137" t="s">
        <v>38</v>
      </c>
      <c r="K80" s="247" t="s">
        <v>156</v>
      </c>
      <c r="L80" s="247">
        <v>1</v>
      </c>
      <c r="M80" s="247"/>
      <c r="N80" s="247">
        <v>4</v>
      </c>
      <c r="O80" s="247">
        <v>0.5</v>
      </c>
      <c r="P80" s="247">
        <v>0.55000000000000004</v>
      </c>
      <c r="Q80" s="139">
        <f t="shared" si="4"/>
        <v>0.52500000000000002</v>
      </c>
      <c r="R80" s="247">
        <v>19</v>
      </c>
      <c r="S80" s="247">
        <v>101</v>
      </c>
      <c r="T80" s="140">
        <f t="shared" si="3"/>
        <v>33</v>
      </c>
      <c r="U80" s="247">
        <v>429</v>
      </c>
      <c r="V80" s="141">
        <f t="shared" si="5"/>
        <v>3539.25</v>
      </c>
      <c r="W80" s="247">
        <v>40</v>
      </c>
      <c r="X80" s="137" t="s">
        <v>46</v>
      </c>
      <c r="Y80" s="247" t="s">
        <v>97</v>
      </c>
      <c r="Z80" s="247" t="s">
        <v>55</v>
      </c>
      <c r="AA80" s="247" t="s">
        <v>78</v>
      </c>
      <c r="AB80" s="137" t="s">
        <v>432</v>
      </c>
      <c r="AC80" s="247"/>
    </row>
    <row r="81" spans="1:29" x14ac:dyDescent="0.15">
      <c r="A81" s="137" t="s">
        <v>61</v>
      </c>
      <c r="B81" s="137" t="s">
        <v>400</v>
      </c>
      <c r="C81" s="137">
        <v>2018</v>
      </c>
      <c r="D81" s="138" t="s">
        <v>431</v>
      </c>
      <c r="E81" s="137" t="s">
        <v>265</v>
      </c>
      <c r="F81" s="137" t="s">
        <v>264</v>
      </c>
      <c r="G81" s="137" t="s">
        <v>42</v>
      </c>
      <c r="H81" s="247" t="s">
        <v>216</v>
      </c>
      <c r="I81" s="247" t="s">
        <v>155</v>
      </c>
      <c r="J81" s="137" t="s">
        <v>38</v>
      </c>
      <c r="K81" s="247" t="s">
        <v>156</v>
      </c>
      <c r="L81" s="247">
        <v>2</v>
      </c>
      <c r="M81" s="247"/>
      <c r="N81" s="247">
        <v>4</v>
      </c>
      <c r="O81" s="247">
        <v>0.5</v>
      </c>
      <c r="P81" s="247">
        <v>0.5</v>
      </c>
      <c r="Q81" s="139">
        <f t="shared" si="4"/>
        <v>0.5</v>
      </c>
      <c r="R81" s="247">
        <v>18.399999999999999</v>
      </c>
      <c r="S81" s="247">
        <v>97</v>
      </c>
      <c r="T81" s="140">
        <f t="shared" si="3"/>
        <v>36</v>
      </c>
      <c r="U81" s="247">
        <v>429</v>
      </c>
      <c r="V81" s="141">
        <f t="shared" si="5"/>
        <v>3861</v>
      </c>
      <c r="W81" s="247">
        <v>40</v>
      </c>
      <c r="X81" s="137" t="s">
        <v>46</v>
      </c>
      <c r="Y81" s="247" t="s">
        <v>97</v>
      </c>
      <c r="Z81" s="247" t="s">
        <v>55</v>
      </c>
      <c r="AA81" s="247" t="s">
        <v>78</v>
      </c>
      <c r="AB81" s="137" t="s">
        <v>432</v>
      </c>
      <c r="AC81" s="247"/>
    </row>
    <row r="82" spans="1:29" x14ac:dyDescent="0.15">
      <c r="A82" s="137" t="s">
        <v>61</v>
      </c>
      <c r="B82" s="137" t="s">
        <v>400</v>
      </c>
      <c r="C82" s="137">
        <v>2018</v>
      </c>
      <c r="D82" s="138" t="s">
        <v>431</v>
      </c>
      <c r="E82" s="137" t="s">
        <v>265</v>
      </c>
      <c r="F82" s="137" t="s">
        <v>264</v>
      </c>
      <c r="G82" s="137" t="s">
        <v>42</v>
      </c>
      <c r="H82" s="247" t="s">
        <v>216</v>
      </c>
      <c r="I82" s="247" t="s">
        <v>155</v>
      </c>
      <c r="J82" s="137" t="s">
        <v>38</v>
      </c>
      <c r="K82" s="247" t="s">
        <v>156</v>
      </c>
      <c r="L82" s="247">
        <v>3</v>
      </c>
      <c r="M82" s="247"/>
      <c r="N82" s="247">
        <v>4</v>
      </c>
      <c r="O82" s="247">
        <v>0.5</v>
      </c>
      <c r="P82" s="247">
        <v>0.5</v>
      </c>
      <c r="Q82" s="139">
        <f t="shared" si="4"/>
        <v>0.5</v>
      </c>
      <c r="R82" s="247">
        <v>17.899999999999999</v>
      </c>
      <c r="S82" s="247">
        <v>95</v>
      </c>
      <c r="T82" s="140">
        <f t="shared" si="3"/>
        <v>36</v>
      </c>
      <c r="U82" s="247">
        <v>429</v>
      </c>
      <c r="V82" s="141">
        <f t="shared" si="5"/>
        <v>3861</v>
      </c>
      <c r="W82" s="247">
        <v>40</v>
      </c>
      <c r="X82" s="137" t="s">
        <v>46</v>
      </c>
      <c r="Y82" s="247" t="s">
        <v>97</v>
      </c>
      <c r="Z82" s="247" t="s">
        <v>55</v>
      </c>
      <c r="AA82" s="247" t="s">
        <v>78</v>
      </c>
      <c r="AB82" s="137" t="s">
        <v>432</v>
      </c>
      <c r="AC82" s="247"/>
    </row>
    <row r="83" spans="1:29" x14ac:dyDescent="0.15">
      <c r="A83" s="137" t="s">
        <v>61</v>
      </c>
      <c r="B83" s="137" t="s">
        <v>400</v>
      </c>
      <c r="C83" s="137">
        <v>2018</v>
      </c>
      <c r="D83" s="138" t="s">
        <v>431</v>
      </c>
      <c r="E83" s="137" t="s">
        <v>265</v>
      </c>
      <c r="F83" s="137" t="s">
        <v>264</v>
      </c>
      <c r="G83" s="137" t="s">
        <v>42</v>
      </c>
      <c r="H83" s="247" t="s">
        <v>168</v>
      </c>
      <c r="I83" s="247" t="s">
        <v>155</v>
      </c>
      <c r="J83" s="137" t="s">
        <v>38</v>
      </c>
      <c r="K83" s="247" t="s">
        <v>156</v>
      </c>
      <c r="L83" s="247">
        <v>1</v>
      </c>
      <c r="M83" s="247"/>
      <c r="N83" s="247">
        <v>1</v>
      </c>
      <c r="O83" s="247">
        <v>0.5</v>
      </c>
      <c r="P83" s="247">
        <v>0.6</v>
      </c>
      <c r="Q83" s="139">
        <f t="shared" si="4"/>
        <v>0.55000000000000004</v>
      </c>
      <c r="R83" s="247">
        <v>17.899999999999999</v>
      </c>
      <c r="S83" s="247">
        <v>143</v>
      </c>
      <c r="T83" s="140">
        <f t="shared" si="3"/>
        <v>22</v>
      </c>
      <c r="U83" s="247">
        <v>149</v>
      </c>
      <c r="V83" s="141">
        <f t="shared" si="5"/>
        <v>3278</v>
      </c>
      <c r="W83" s="247">
        <v>40</v>
      </c>
      <c r="X83" s="137" t="s">
        <v>46</v>
      </c>
      <c r="Y83" s="247" t="s">
        <v>97</v>
      </c>
      <c r="Z83" s="247" t="s">
        <v>55</v>
      </c>
      <c r="AA83" s="247" t="s">
        <v>78</v>
      </c>
      <c r="AB83" s="137" t="s">
        <v>432</v>
      </c>
      <c r="AC83" s="247"/>
    </row>
    <row r="84" spans="1:29" x14ac:dyDescent="0.15">
      <c r="A84" s="137" t="s">
        <v>61</v>
      </c>
      <c r="B84" s="137" t="s">
        <v>400</v>
      </c>
      <c r="C84" s="137">
        <v>2018</v>
      </c>
      <c r="D84" s="138" t="s">
        <v>431</v>
      </c>
      <c r="E84" s="137" t="s">
        <v>265</v>
      </c>
      <c r="F84" s="137" t="s">
        <v>264</v>
      </c>
      <c r="G84" s="137" t="s">
        <v>42</v>
      </c>
      <c r="H84" s="247" t="s">
        <v>168</v>
      </c>
      <c r="I84" s="247" t="s">
        <v>155</v>
      </c>
      <c r="J84" s="137" t="s">
        <v>38</v>
      </c>
      <c r="K84" s="247" t="s">
        <v>156</v>
      </c>
      <c r="L84" s="247">
        <v>2</v>
      </c>
      <c r="M84" s="247"/>
      <c r="N84" s="247">
        <v>1</v>
      </c>
      <c r="O84" s="247">
        <v>0.7</v>
      </c>
      <c r="P84" s="247">
        <v>0.85</v>
      </c>
      <c r="Q84" s="139">
        <f t="shared" si="4"/>
        <v>0.77499999999999991</v>
      </c>
      <c r="R84" s="247">
        <v>17.600000000000001</v>
      </c>
      <c r="S84" s="247">
        <v>146</v>
      </c>
      <c r="T84" s="140">
        <f t="shared" si="3"/>
        <v>22</v>
      </c>
      <c r="U84" s="247">
        <v>149</v>
      </c>
      <c r="V84" s="141">
        <f t="shared" si="5"/>
        <v>3278</v>
      </c>
      <c r="W84" s="247">
        <v>40</v>
      </c>
      <c r="X84" s="137" t="s">
        <v>46</v>
      </c>
      <c r="Y84" s="247" t="s">
        <v>97</v>
      </c>
      <c r="Z84" s="247" t="s">
        <v>55</v>
      </c>
      <c r="AA84" s="247" t="s">
        <v>78</v>
      </c>
      <c r="AB84" s="137" t="s">
        <v>432</v>
      </c>
      <c r="AC84" s="247"/>
    </row>
    <row r="85" spans="1:29" x14ac:dyDescent="0.15">
      <c r="A85" s="137" t="s">
        <v>61</v>
      </c>
      <c r="B85" s="137" t="s">
        <v>400</v>
      </c>
      <c r="C85" s="137">
        <v>2018</v>
      </c>
      <c r="D85" s="138" t="s">
        <v>431</v>
      </c>
      <c r="E85" s="137" t="s">
        <v>265</v>
      </c>
      <c r="F85" s="137" t="s">
        <v>264</v>
      </c>
      <c r="G85" s="137" t="s">
        <v>42</v>
      </c>
      <c r="H85" s="247" t="s">
        <v>168</v>
      </c>
      <c r="I85" s="247" t="s">
        <v>155</v>
      </c>
      <c r="J85" s="137" t="s">
        <v>38</v>
      </c>
      <c r="K85" s="247" t="s">
        <v>156</v>
      </c>
      <c r="L85" s="247">
        <v>3</v>
      </c>
      <c r="M85" s="247"/>
      <c r="N85" s="247">
        <v>1</v>
      </c>
      <c r="O85" s="247">
        <v>0.6</v>
      </c>
      <c r="P85" s="247">
        <v>0.6</v>
      </c>
      <c r="Q85" s="139">
        <f t="shared" si="4"/>
        <v>0.6</v>
      </c>
      <c r="R85" s="247">
        <v>17.600000000000001</v>
      </c>
      <c r="S85" s="247">
        <v>134</v>
      </c>
      <c r="T85" s="140">
        <f t="shared" si="3"/>
        <v>25</v>
      </c>
      <c r="U85" s="247">
        <v>149</v>
      </c>
      <c r="V85" s="141">
        <f t="shared" si="5"/>
        <v>3725</v>
      </c>
      <c r="W85" s="247">
        <v>40</v>
      </c>
      <c r="X85" s="137" t="s">
        <v>46</v>
      </c>
      <c r="Y85" s="247" t="s">
        <v>97</v>
      </c>
      <c r="Z85" s="247" t="s">
        <v>55</v>
      </c>
      <c r="AA85" s="247" t="s">
        <v>78</v>
      </c>
      <c r="AB85" s="137" t="s">
        <v>432</v>
      </c>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448</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5:O7 P5:P16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R73" sqref="R73"/>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449</v>
      </c>
      <c r="D1" s="203" t="s">
        <v>3</v>
      </c>
      <c r="E1" s="241" t="s">
        <v>4</v>
      </c>
      <c r="F1" s="241" t="s">
        <v>5</v>
      </c>
      <c r="G1" s="241" t="s">
        <v>6</v>
      </c>
      <c r="H1" s="241" t="s">
        <v>7</v>
      </c>
      <c r="I1" s="241" t="s">
        <v>8</v>
      </c>
      <c r="J1" s="241" t="s">
        <v>9</v>
      </c>
      <c r="K1" s="241" t="s">
        <v>10</v>
      </c>
      <c r="L1" s="203" t="s">
        <v>450</v>
      </c>
      <c r="M1" s="203" t="s">
        <v>12</v>
      </c>
      <c r="N1" s="203" t="s">
        <v>451</v>
      </c>
      <c r="O1" s="203" t="s">
        <v>452</v>
      </c>
      <c r="P1" s="203" t="s">
        <v>453</v>
      </c>
      <c r="Q1" s="204" t="s">
        <v>16</v>
      </c>
      <c r="R1" s="203" t="s">
        <v>454</v>
      </c>
      <c r="S1" s="203" t="s">
        <v>455</v>
      </c>
      <c r="T1" s="204" t="s">
        <v>19</v>
      </c>
      <c r="U1" s="205" t="s">
        <v>456</v>
      </c>
      <c r="V1" s="206" t="s">
        <v>20</v>
      </c>
      <c r="W1" s="203" t="s">
        <v>21</v>
      </c>
      <c r="X1" s="241" t="s">
        <v>22</v>
      </c>
      <c r="Y1" s="241" t="s">
        <v>23</v>
      </c>
      <c r="Z1" s="241" t="s">
        <v>24</v>
      </c>
      <c r="AA1" s="242" t="s">
        <v>25</v>
      </c>
      <c r="AB1" s="207" t="s">
        <v>457</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458</v>
      </c>
      <c r="AY1" s="214" t="s">
        <v>459</v>
      </c>
      <c r="AZ1" s="214" t="s">
        <v>460</v>
      </c>
      <c r="BA1" s="215" t="s">
        <v>461</v>
      </c>
    </row>
    <row r="2" spans="1:53" x14ac:dyDescent="0.15">
      <c r="A2" s="208" t="s">
        <v>59</v>
      </c>
      <c r="B2" s="237" t="s">
        <v>462</v>
      </c>
      <c r="C2" s="152">
        <v>2018</v>
      </c>
      <c r="D2" s="153" t="s">
        <v>463</v>
      </c>
      <c r="E2" s="208" t="s">
        <v>464</v>
      </c>
      <c r="F2" s="208" t="s">
        <v>306</v>
      </c>
      <c r="G2" s="208" t="s">
        <v>36</v>
      </c>
      <c r="H2" s="208" t="s">
        <v>168</v>
      </c>
      <c r="I2" s="208" t="s">
        <v>155</v>
      </c>
      <c r="J2" s="208" t="s">
        <v>38</v>
      </c>
      <c r="K2" s="208" t="s">
        <v>156</v>
      </c>
      <c r="L2" s="208">
        <v>1</v>
      </c>
      <c r="N2" s="208">
        <v>4</v>
      </c>
      <c r="O2" s="208">
        <v>0.55000000000000004</v>
      </c>
      <c r="P2" s="208">
        <v>0.5</v>
      </c>
      <c r="Q2" s="245">
        <f>IF(OR(O2="",P2=""),"",AVERAGE(O2,P2))</f>
        <v>0.52500000000000002</v>
      </c>
      <c r="R2" s="208">
        <v>15.5</v>
      </c>
      <c r="S2" s="208">
        <v>136</v>
      </c>
      <c r="T2" s="217">
        <f t="shared" ref="T2:T73" si="0">IF(H2="","",IF(OR(H2="GREEN",H2="GK"),IF(S2&gt;=$AX$2,VLOOKUP(S2,$AX$2:$AY$12,2,1),""),IF(S2&gt;=$AZ$2,VLOOKUP(S2,$AZ$2:$BA$12,2,1),"")))</f>
        <v>25</v>
      </c>
      <c r="U2" s="208">
        <v>480</v>
      </c>
      <c r="V2" s="217">
        <f t="shared" ref="V2:V73" si="1">IF(J2="","",IF(OR(J2="GREEN",J2="GK"),IF(U2&gt;=$AX$2,VLOOKUP(U2,$AX$2:$AY$12,2,1),""),IF(U2&gt;=$AZ$2,VLOOKUP(U2,$AZ$2:$BA$12,2,1),"")))</f>
        <v>16</v>
      </c>
      <c r="W2" s="208">
        <v>3</v>
      </c>
      <c r="X2" s="208" t="s">
        <v>39</v>
      </c>
      <c r="Y2" s="208" t="s">
        <v>90</v>
      </c>
      <c r="Z2" s="208" t="s">
        <v>78</v>
      </c>
      <c r="AA2" s="208" t="s">
        <v>86</v>
      </c>
      <c r="AB2" s="237" t="s">
        <v>465</v>
      </c>
      <c r="AE2" s="218" t="s">
        <v>35</v>
      </c>
      <c r="AG2" s="154" t="s">
        <v>313</v>
      </c>
      <c r="AH2" s="155" t="s">
        <v>305</v>
      </c>
      <c r="AJ2" s="248" t="s">
        <v>36</v>
      </c>
      <c r="AL2" s="219" t="s">
        <v>127</v>
      </c>
      <c r="AN2" s="156" t="s">
        <v>466</v>
      </c>
      <c r="AP2" s="219" t="s">
        <v>38</v>
      </c>
      <c r="AR2" s="219" t="s">
        <v>467</v>
      </c>
      <c r="AT2" s="248" t="s">
        <v>39</v>
      </c>
      <c r="AV2" s="224" t="s">
        <v>55</v>
      </c>
      <c r="AX2" s="157">
        <v>1</v>
      </c>
      <c r="AY2" s="158">
        <v>50</v>
      </c>
      <c r="AZ2" s="158">
        <v>1</v>
      </c>
      <c r="BA2" s="159">
        <v>50</v>
      </c>
    </row>
    <row r="3" spans="1:53" x14ac:dyDescent="0.15">
      <c r="A3" s="208" t="s">
        <v>59</v>
      </c>
      <c r="B3" s="237" t="s">
        <v>468</v>
      </c>
      <c r="C3" s="152">
        <v>2018</v>
      </c>
      <c r="D3" s="153" t="s">
        <v>469</v>
      </c>
      <c r="E3" s="208" t="s">
        <v>470</v>
      </c>
      <c r="F3" s="208" t="s">
        <v>306</v>
      </c>
      <c r="G3" s="208" t="s">
        <v>36</v>
      </c>
      <c r="H3" s="208" t="s">
        <v>168</v>
      </c>
      <c r="I3" s="208" t="s">
        <v>155</v>
      </c>
      <c r="J3" s="208" t="s">
        <v>38</v>
      </c>
      <c r="K3" s="208" t="s">
        <v>156</v>
      </c>
      <c r="L3" s="208">
        <v>2</v>
      </c>
      <c r="N3" s="208">
        <v>4</v>
      </c>
      <c r="O3" s="208">
        <v>0.6</v>
      </c>
      <c r="P3" s="208">
        <v>0.63</v>
      </c>
      <c r="Q3" s="245">
        <f t="shared" ref="Q3:Q73" si="2">IF(OR(O3="",P3=""),"",AVERAGE(O3,P3))</f>
        <v>0.61499999999999999</v>
      </c>
      <c r="R3" s="208">
        <v>15.8</v>
      </c>
      <c r="S3" s="208">
        <v>135</v>
      </c>
      <c r="T3" s="217">
        <f t="shared" si="0"/>
        <v>25</v>
      </c>
      <c r="U3" s="208">
        <v>480</v>
      </c>
      <c r="V3" s="217">
        <f t="shared" si="1"/>
        <v>16</v>
      </c>
      <c r="W3" s="208">
        <v>3</v>
      </c>
      <c r="X3" s="208" t="s">
        <v>39</v>
      </c>
      <c r="Y3" s="208" t="s">
        <v>90</v>
      </c>
      <c r="Z3" s="208" t="s">
        <v>78</v>
      </c>
      <c r="AA3" s="208" t="s">
        <v>86</v>
      </c>
      <c r="AB3" s="237" t="s">
        <v>471</v>
      </c>
      <c r="AE3" s="223" t="s">
        <v>41</v>
      </c>
      <c r="AG3" s="154" t="s">
        <v>314</v>
      </c>
      <c r="AH3" s="155" t="s">
        <v>306</v>
      </c>
      <c r="AJ3" s="224" t="s">
        <v>42</v>
      </c>
      <c r="AL3" s="224" t="s">
        <v>128</v>
      </c>
      <c r="AN3" s="224" t="s">
        <v>43</v>
      </c>
      <c r="AP3" s="224" t="s">
        <v>44</v>
      </c>
      <c r="AR3" s="238" t="s">
        <v>45</v>
      </c>
      <c r="AT3" s="224" t="s">
        <v>46</v>
      </c>
      <c r="AV3" s="224" t="s">
        <v>472</v>
      </c>
      <c r="AX3" s="225">
        <v>72</v>
      </c>
      <c r="AY3" s="226">
        <v>46</v>
      </c>
      <c r="AZ3" s="226">
        <v>71</v>
      </c>
      <c r="BA3" s="227">
        <v>42</v>
      </c>
    </row>
    <row r="4" spans="1:53" x14ac:dyDescent="0.15">
      <c r="A4" s="208" t="s">
        <v>59</v>
      </c>
      <c r="B4" s="237" t="s">
        <v>468</v>
      </c>
      <c r="C4" s="152">
        <v>2018</v>
      </c>
      <c r="D4" s="153" t="s">
        <v>469</v>
      </c>
      <c r="E4" s="208" t="s">
        <v>470</v>
      </c>
      <c r="F4" s="208" t="s">
        <v>306</v>
      </c>
      <c r="G4" s="208" t="s">
        <v>36</v>
      </c>
      <c r="H4" s="208" t="s">
        <v>168</v>
      </c>
      <c r="I4" s="208" t="s">
        <v>473</v>
      </c>
      <c r="J4" s="208" t="s">
        <v>38</v>
      </c>
      <c r="K4" s="208" t="s">
        <v>156</v>
      </c>
      <c r="L4" s="208">
        <v>3</v>
      </c>
      <c r="N4" s="208">
        <v>4</v>
      </c>
      <c r="O4" s="208">
        <v>0.56999999999999995</v>
      </c>
      <c r="P4" s="208">
        <v>0.6</v>
      </c>
      <c r="Q4" s="245">
        <f t="shared" si="2"/>
        <v>0.58499999999999996</v>
      </c>
      <c r="R4" s="208">
        <v>16.100000000000001</v>
      </c>
      <c r="S4" s="208">
        <v>149</v>
      </c>
      <c r="T4" s="217">
        <f t="shared" si="0"/>
        <v>22</v>
      </c>
      <c r="U4" s="208">
        <v>480</v>
      </c>
      <c r="V4" s="217">
        <f t="shared" si="1"/>
        <v>16</v>
      </c>
      <c r="W4" s="208">
        <v>3</v>
      </c>
      <c r="X4" s="208" t="s">
        <v>39</v>
      </c>
      <c r="Y4" s="208" t="s">
        <v>90</v>
      </c>
      <c r="Z4" s="208" t="s">
        <v>78</v>
      </c>
      <c r="AA4" s="208" t="s">
        <v>86</v>
      </c>
      <c r="AB4" s="237" t="s">
        <v>471</v>
      </c>
      <c r="AE4" s="223" t="s">
        <v>34</v>
      </c>
      <c r="AG4" s="154" t="s">
        <v>315</v>
      </c>
      <c r="AH4" s="155" t="s">
        <v>307</v>
      </c>
      <c r="AJ4" s="228" t="s">
        <v>48</v>
      </c>
      <c r="AL4" s="228" t="s">
        <v>129</v>
      </c>
      <c r="AN4" s="229" t="s">
        <v>49</v>
      </c>
      <c r="AP4" s="224" t="s">
        <v>474</v>
      </c>
      <c r="AR4" s="238" t="s">
        <v>266</v>
      </c>
      <c r="AT4" s="229"/>
      <c r="AV4" s="224" t="s">
        <v>475</v>
      </c>
      <c r="AX4" s="225">
        <v>75</v>
      </c>
      <c r="AY4" s="226">
        <v>42</v>
      </c>
      <c r="AZ4" s="226">
        <v>76</v>
      </c>
      <c r="BA4" s="227">
        <v>39</v>
      </c>
    </row>
    <row r="5" spans="1:53" x14ac:dyDescent="0.15">
      <c r="A5" s="208" t="s">
        <v>59</v>
      </c>
      <c r="B5" s="237" t="s">
        <v>468</v>
      </c>
      <c r="C5" s="152">
        <v>2018</v>
      </c>
      <c r="D5" s="153" t="s">
        <v>469</v>
      </c>
      <c r="E5" s="208" t="s">
        <v>470</v>
      </c>
      <c r="F5" s="208" t="s">
        <v>306</v>
      </c>
      <c r="G5" s="208" t="s">
        <v>36</v>
      </c>
      <c r="H5" s="208" t="s">
        <v>157</v>
      </c>
      <c r="I5" s="208" t="s">
        <v>155</v>
      </c>
      <c r="J5" s="208" t="s">
        <v>38</v>
      </c>
      <c r="K5" s="208" t="s">
        <v>156</v>
      </c>
      <c r="L5" s="208">
        <v>1</v>
      </c>
      <c r="N5" s="208">
        <v>5</v>
      </c>
      <c r="O5" s="208">
        <v>0.84</v>
      </c>
      <c r="P5" s="208">
        <v>0.98</v>
      </c>
      <c r="Q5" s="245">
        <f t="shared" si="2"/>
        <v>0.90999999999999992</v>
      </c>
      <c r="R5" s="208">
        <v>14.4</v>
      </c>
      <c r="S5" s="208">
        <v>90</v>
      </c>
      <c r="T5" s="217">
        <f t="shared" si="0"/>
        <v>36</v>
      </c>
      <c r="U5" s="208">
        <v>398</v>
      </c>
      <c r="V5" s="217">
        <f t="shared" si="1"/>
        <v>16</v>
      </c>
      <c r="W5" s="208">
        <v>3</v>
      </c>
      <c r="X5" s="208" t="s">
        <v>39</v>
      </c>
      <c r="Y5" s="208" t="s">
        <v>90</v>
      </c>
      <c r="Z5" s="208" t="s">
        <v>78</v>
      </c>
      <c r="AA5" s="208" t="s">
        <v>86</v>
      </c>
      <c r="AB5" s="237" t="s">
        <v>471</v>
      </c>
      <c r="AE5" s="223" t="s">
        <v>51</v>
      </c>
      <c r="AG5" s="154" t="s">
        <v>267</v>
      </c>
      <c r="AH5" s="155" t="s">
        <v>308</v>
      </c>
      <c r="AJ5" s="229"/>
      <c r="AL5" s="230" t="s">
        <v>476</v>
      </c>
      <c r="AN5" s="72" t="s">
        <v>477</v>
      </c>
      <c r="AP5" s="224" t="s">
        <v>478</v>
      </c>
      <c r="AR5" s="238" t="s">
        <v>54</v>
      </c>
      <c r="AV5" s="224" t="s">
        <v>479</v>
      </c>
      <c r="AX5" s="225">
        <v>84</v>
      </c>
      <c r="AY5" s="226">
        <v>39</v>
      </c>
      <c r="AZ5" s="226">
        <v>84</v>
      </c>
      <c r="BA5" s="227">
        <v>36</v>
      </c>
    </row>
    <row r="6" spans="1:53" x14ac:dyDescent="0.15">
      <c r="A6" s="208" t="s">
        <v>59</v>
      </c>
      <c r="B6" s="237" t="s">
        <v>468</v>
      </c>
      <c r="C6" s="152">
        <v>2018</v>
      </c>
      <c r="D6" s="153" t="s">
        <v>469</v>
      </c>
      <c r="E6" s="208" t="s">
        <v>470</v>
      </c>
      <c r="F6" s="208" t="s">
        <v>306</v>
      </c>
      <c r="G6" s="208" t="s">
        <v>36</v>
      </c>
      <c r="H6" s="208" t="s">
        <v>157</v>
      </c>
      <c r="I6" s="208" t="s">
        <v>155</v>
      </c>
      <c r="J6" s="208" t="s">
        <v>38</v>
      </c>
      <c r="K6" s="208" t="s">
        <v>156</v>
      </c>
      <c r="L6" s="208">
        <v>2</v>
      </c>
      <c r="N6" s="208">
        <v>5</v>
      </c>
      <c r="O6" s="208">
        <v>0.65</v>
      </c>
      <c r="P6" s="208">
        <v>0.74</v>
      </c>
      <c r="Q6" s="245">
        <f t="shared" si="2"/>
        <v>0.69500000000000006</v>
      </c>
      <c r="R6" s="208">
        <v>15.3</v>
      </c>
      <c r="S6" s="208">
        <v>94</v>
      </c>
      <c r="T6" s="217">
        <f t="shared" si="0"/>
        <v>36</v>
      </c>
      <c r="U6" s="208">
        <v>398</v>
      </c>
      <c r="V6" s="217">
        <f t="shared" si="1"/>
        <v>16</v>
      </c>
      <c r="W6" s="208">
        <v>3</v>
      </c>
      <c r="X6" s="208" t="s">
        <v>39</v>
      </c>
      <c r="Y6" s="208" t="s">
        <v>90</v>
      </c>
      <c r="Z6" s="208" t="s">
        <v>78</v>
      </c>
      <c r="AA6" s="208" t="s">
        <v>86</v>
      </c>
      <c r="AB6" s="237" t="s">
        <v>471</v>
      </c>
      <c r="AE6" s="223" t="s">
        <v>56</v>
      </c>
      <c r="AG6" s="154" t="s">
        <v>316</v>
      </c>
      <c r="AH6" s="155" t="s">
        <v>309</v>
      </c>
      <c r="AL6" s="230" t="s">
        <v>480</v>
      </c>
      <c r="AN6" s="230" t="s">
        <v>481</v>
      </c>
      <c r="AP6" s="224" t="s">
        <v>53</v>
      </c>
      <c r="AR6" s="238" t="s">
        <v>173</v>
      </c>
      <c r="AV6" s="224" t="s">
        <v>60</v>
      </c>
      <c r="AX6" s="225">
        <v>97</v>
      </c>
      <c r="AY6" s="226">
        <v>36</v>
      </c>
      <c r="AZ6" s="226">
        <v>99</v>
      </c>
      <c r="BA6" s="227">
        <v>33</v>
      </c>
    </row>
    <row r="7" spans="1:53" x14ac:dyDescent="0.15">
      <c r="A7" s="208" t="s">
        <v>59</v>
      </c>
      <c r="B7" s="237" t="s">
        <v>400</v>
      </c>
      <c r="C7" s="152">
        <v>2018</v>
      </c>
      <c r="D7" s="153" t="s">
        <v>482</v>
      </c>
      <c r="E7" s="208" t="s">
        <v>483</v>
      </c>
      <c r="F7" s="208" t="s">
        <v>306</v>
      </c>
      <c r="G7" s="208" t="s">
        <v>36</v>
      </c>
      <c r="H7" s="208" t="s">
        <v>157</v>
      </c>
      <c r="I7" s="208" t="s">
        <v>155</v>
      </c>
      <c r="J7" s="208" t="s">
        <v>38</v>
      </c>
      <c r="K7" s="208" t="s">
        <v>156</v>
      </c>
      <c r="L7" s="208">
        <v>3</v>
      </c>
      <c r="N7" s="208">
        <v>5</v>
      </c>
      <c r="O7" s="208">
        <v>0.6</v>
      </c>
      <c r="P7" s="208">
        <v>0.65</v>
      </c>
      <c r="Q7" s="245">
        <f t="shared" si="2"/>
        <v>0.625</v>
      </c>
      <c r="R7" s="208">
        <v>15.2</v>
      </c>
      <c r="S7" s="208">
        <v>89</v>
      </c>
      <c r="T7" s="217">
        <f t="shared" si="0"/>
        <v>36</v>
      </c>
      <c r="U7" s="208">
        <v>398</v>
      </c>
      <c r="V7" s="217">
        <f t="shared" si="1"/>
        <v>16</v>
      </c>
      <c r="W7" s="208">
        <v>3</v>
      </c>
      <c r="X7" s="208" t="s">
        <v>39</v>
      </c>
      <c r="Y7" s="208" t="s">
        <v>90</v>
      </c>
      <c r="Z7" s="208" t="s">
        <v>78</v>
      </c>
      <c r="AA7" s="208" t="s">
        <v>86</v>
      </c>
      <c r="AB7" s="237" t="s">
        <v>484</v>
      </c>
      <c r="AE7" s="223" t="s">
        <v>61</v>
      </c>
      <c r="AG7" s="154" t="s">
        <v>317</v>
      </c>
      <c r="AH7" s="155" t="s">
        <v>310</v>
      </c>
      <c r="AL7" s="235" t="s">
        <v>485</v>
      </c>
      <c r="AP7" s="224" t="s">
        <v>58</v>
      </c>
      <c r="AR7" s="231" t="s">
        <v>268</v>
      </c>
      <c r="AV7" s="224" t="s">
        <v>64</v>
      </c>
      <c r="AX7" s="225">
        <v>109</v>
      </c>
      <c r="AY7" s="226">
        <v>33</v>
      </c>
      <c r="AZ7" s="226">
        <v>113</v>
      </c>
      <c r="BA7" s="227">
        <v>30</v>
      </c>
    </row>
    <row r="8" spans="1:53" x14ac:dyDescent="0.15">
      <c r="A8" s="208" t="s">
        <v>59</v>
      </c>
      <c r="B8" s="237" t="s">
        <v>486</v>
      </c>
      <c r="C8" s="152">
        <v>2018</v>
      </c>
      <c r="D8" s="153" t="s">
        <v>487</v>
      </c>
      <c r="E8" s="208" t="s">
        <v>313</v>
      </c>
      <c r="F8" s="208" t="s">
        <v>305</v>
      </c>
      <c r="G8" s="208" t="s">
        <v>36</v>
      </c>
      <c r="H8" s="208" t="s">
        <v>168</v>
      </c>
      <c r="I8" s="208" t="s">
        <v>155</v>
      </c>
      <c r="J8" s="208" t="s">
        <v>38</v>
      </c>
      <c r="K8" s="208" t="s">
        <v>156</v>
      </c>
      <c r="L8" s="208">
        <v>1</v>
      </c>
      <c r="N8" s="208">
        <v>2</v>
      </c>
      <c r="O8" s="208">
        <v>0.68</v>
      </c>
      <c r="P8" s="208">
        <v>0.6</v>
      </c>
      <c r="Q8" s="245">
        <f t="shared" si="2"/>
        <v>0.64</v>
      </c>
      <c r="R8" s="208">
        <v>14.2</v>
      </c>
      <c r="S8" s="208">
        <v>193</v>
      </c>
      <c r="T8" s="217">
        <f t="shared" si="0"/>
        <v>16</v>
      </c>
      <c r="U8" s="208">
        <v>297</v>
      </c>
      <c r="V8" s="217">
        <f t="shared" si="1"/>
        <v>16</v>
      </c>
      <c r="W8" s="208">
        <v>11</v>
      </c>
      <c r="X8" s="208" t="s">
        <v>39</v>
      </c>
      <c r="Y8" s="208" t="s">
        <v>69</v>
      </c>
      <c r="Z8" s="208" t="s">
        <v>90</v>
      </c>
      <c r="AA8" s="208" t="s">
        <v>86</v>
      </c>
      <c r="AB8" s="237" t="s">
        <v>471</v>
      </c>
      <c r="AE8" s="223" t="s">
        <v>59</v>
      </c>
      <c r="AG8" s="160" t="s">
        <v>318</v>
      </c>
      <c r="AH8" s="155" t="s">
        <v>311</v>
      </c>
      <c r="AL8" s="235" t="s">
        <v>488</v>
      </c>
      <c r="AP8" s="224" t="s">
        <v>62</v>
      </c>
      <c r="AR8" s="238" t="s">
        <v>81</v>
      </c>
      <c r="AV8" s="224" t="s">
        <v>97</v>
      </c>
      <c r="AX8" s="225">
        <v>119</v>
      </c>
      <c r="AY8" s="226">
        <v>30</v>
      </c>
      <c r="AZ8" s="226">
        <v>121</v>
      </c>
      <c r="BA8" s="227">
        <v>27</v>
      </c>
    </row>
    <row r="9" spans="1:53" x14ac:dyDescent="0.15">
      <c r="A9" s="208" t="s">
        <v>59</v>
      </c>
      <c r="B9" s="237" t="s">
        <v>468</v>
      </c>
      <c r="C9" s="152">
        <v>2018</v>
      </c>
      <c r="D9" s="153" t="s">
        <v>469</v>
      </c>
      <c r="E9" s="208" t="s">
        <v>313</v>
      </c>
      <c r="F9" s="208" t="s">
        <v>305</v>
      </c>
      <c r="G9" s="208" t="s">
        <v>36</v>
      </c>
      <c r="H9" s="208" t="s">
        <v>168</v>
      </c>
      <c r="I9" s="208" t="s">
        <v>155</v>
      </c>
      <c r="J9" s="208" t="s">
        <v>38</v>
      </c>
      <c r="K9" s="208" t="s">
        <v>156</v>
      </c>
      <c r="L9" s="208">
        <v>2</v>
      </c>
      <c r="N9" s="208">
        <v>2</v>
      </c>
      <c r="O9" s="208">
        <v>0.67</v>
      </c>
      <c r="P9" s="208">
        <v>0.45</v>
      </c>
      <c r="Q9" s="245">
        <f t="shared" si="2"/>
        <v>0.56000000000000005</v>
      </c>
      <c r="R9" s="208">
        <v>18</v>
      </c>
      <c r="S9" s="208">
        <v>202</v>
      </c>
      <c r="T9" s="217">
        <f t="shared" si="0"/>
        <v>16</v>
      </c>
      <c r="U9" s="208">
        <v>297</v>
      </c>
      <c r="V9" s="217">
        <f t="shared" si="1"/>
        <v>16</v>
      </c>
      <c r="W9" s="208">
        <v>11</v>
      </c>
      <c r="X9" s="208" t="s">
        <v>39</v>
      </c>
      <c r="Y9" s="208" t="s">
        <v>69</v>
      </c>
      <c r="Z9" s="208" t="s">
        <v>90</v>
      </c>
      <c r="AA9" s="208" t="s">
        <v>86</v>
      </c>
      <c r="AB9" s="237" t="s">
        <v>471</v>
      </c>
      <c r="AE9" s="223" t="s">
        <v>98</v>
      </c>
      <c r="AG9" s="160" t="s">
        <v>319</v>
      </c>
      <c r="AH9" s="155" t="s">
        <v>311</v>
      </c>
      <c r="AL9" s="230"/>
      <c r="AP9" s="224" t="s">
        <v>270</v>
      </c>
      <c r="AR9" s="231" t="s">
        <v>89</v>
      </c>
      <c r="AV9" s="224" t="s">
        <v>102</v>
      </c>
      <c r="AX9" s="225">
        <v>128</v>
      </c>
      <c r="AY9" s="226">
        <v>27</v>
      </c>
      <c r="AZ9" s="226">
        <v>129</v>
      </c>
      <c r="BA9" s="227">
        <v>25</v>
      </c>
    </row>
    <row r="10" spans="1:53" x14ac:dyDescent="0.15">
      <c r="A10" s="208" t="s">
        <v>59</v>
      </c>
      <c r="B10" s="237" t="s">
        <v>395</v>
      </c>
      <c r="C10" s="152">
        <v>2018</v>
      </c>
      <c r="D10" s="153" t="s">
        <v>489</v>
      </c>
      <c r="E10" s="208" t="s">
        <v>313</v>
      </c>
      <c r="F10" s="208" t="s">
        <v>305</v>
      </c>
      <c r="G10" s="208" t="s">
        <v>36</v>
      </c>
      <c r="H10" s="208" t="s">
        <v>168</v>
      </c>
      <c r="I10" s="208" t="s">
        <v>155</v>
      </c>
      <c r="J10" s="208" t="s">
        <v>38</v>
      </c>
      <c r="K10" s="208" t="s">
        <v>156</v>
      </c>
      <c r="L10" s="208">
        <v>3</v>
      </c>
      <c r="N10" s="208">
        <v>2</v>
      </c>
      <c r="O10" s="208">
        <v>0.7</v>
      </c>
      <c r="P10" s="208">
        <v>0.65</v>
      </c>
      <c r="Q10" s="245">
        <f t="shared" si="2"/>
        <v>0.67500000000000004</v>
      </c>
      <c r="R10" s="208">
        <v>17.2</v>
      </c>
      <c r="S10" s="208">
        <v>184</v>
      </c>
      <c r="T10" s="217">
        <f t="shared" si="0"/>
        <v>16</v>
      </c>
      <c r="U10" s="208">
        <v>297</v>
      </c>
      <c r="V10" s="217">
        <f t="shared" si="1"/>
        <v>16</v>
      </c>
      <c r="W10" s="208">
        <v>11</v>
      </c>
      <c r="X10" s="208" t="s">
        <v>39</v>
      </c>
      <c r="Y10" s="208" t="s">
        <v>69</v>
      </c>
      <c r="Z10" s="208" t="s">
        <v>90</v>
      </c>
      <c r="AA10" s="208" t="s">
        <v>86</v>
      </c>
      <c r="AB10" s="237" t="s">
        <v>471</v>
      </c>
      <c r="AE10" s="223" t="s">
        <v>103</v>
      </c>
      <c r="AG10" s="154" t="s">
        <v>320</v>
      </c>
      <c r="AH10" s="155" t="s">
        <v>308</v>
      </c>
      <c r="AL10" s="88"/>
      <c r="AP10" s="224" t="s">
        <v>100</v>
      </c>
      <c r="AR10" s="231" t="s">
        <v>123</v>
      </c>
      <c r="AV10" s="224" t="s">
        <v>106</v>
      </c>
      <c r="AX10" s="225">
        <v>138</v>
      </c>
      <c r="AY10" s="226">
        <v>25</v>
      </c>
      <c r="AZ10" s="226">
        <v>138</v>
      </c>
      <c r="BA10" s="227">
        <v>22</v>
      </c>
    </row>
    <row r="11" spans="1:53" x14ac:dyDescent="0.15">
      <c r="A11" s="208" t="s">
        <v>59</v>
      </c>
      <c r="B11" s="237" t="s">
        <v>468</v>
      </c>
      <c r="C11" s="152">
        <v>2018</v>
      </c>
      <c r="D11" s="153" t="s">
        <v>469</v>
      </c>
      <c r="E11" s="208" t="s">
        <v>313</v>
      </c>
      <c r="F11" s="208" t="s">
        <v>305</v>
      </c>
      <c r="G11" s="208" t="s">
        <v>36</v>
      </c>
      <c r="H11" s="208" t="s">
        <v>157</v>
      </c>
      <c r="I11" s="208" t="s">
        <v>155</v>
      </c>
      <c r="J11" s="208" t="s">
        <v>38</v>
      </c>
      <c r="K11" s="208" t="s">
        <v>156</v>
      </c>
      <c r="L11" s="208">
        <v>1</v>
      </c>
      <c r="N11" s="208">
        <v>2</v>
      </c>
      <c r="O11" s="208">
        <v>0.7</v>
      </c>
      <c r="P11" s="208">
        <v>0.79</v>
      </c>
      <c r="Q11" s="245">
        <f t="shared" si="2"/>
        <v>0.745</v>
      </c>
      <c r="R11" s="208">
        <v>14.7</v>
      </c>
      <c r="S11" s="208">
        <v>155</v>
      </c>
      <c r="T11" s="217">
        <f t="shared" si="0"/>
        <v>18</v>
      </c>
      <c r="U11" s="208">
        <v>277</v>
      </c>
      <c r="V11" s="217">
        <f t="shared" si="1"/>
        <v>16</v>
      </c>
      <c r="W11" s="208">
        <v>8</v>
      </c>
      <c r="X11" s="208" t="s">
        <v>39</v>
      </c>
      <c r="Y11" s="208" t="s">
        <v>69</v>
      </c>
      <c r="Z11" s="208" t="s">
        <v>90</v>
      </c>
      <c r="AA11" s="208" t="s">
        <v>86</v>
      </c>
      <c r="AB11" s="237" t="s">
        <v>471</v>
      </c>
      <c r="AE11" s="223" t="s">
        <v>65</v>
      </c>
      <c r="AG11" s="160" t="s">
        <v>321</v>
      </c>
      <c r="AH11" s="155" t="s">
        <v>312</v>
      </c>
      <c r="AL11" s="88"/>
      <c r="AP11" s="224" t="s">
        <v>269</v>
      </c>
      <c r="AR11" s="231" t="s">
        <v>271</v>
      </c>
      <c r="AV11" s="224" t="s">
        <v>490</v>
      </c>
      <c r="AX11" s="225">
        <v>151</v>
      </c>
      <c r="AY11" s="226">
        <v>22</v>
      </c>
      <c r="AZ11" s="226">
        <v>152</v>
      </c>
      <c r="BA11" s="227">
        <v>18</v>
      </c>
    </row>
    <row r="12" spans="1:53" x14ac:dyDescent="0.15">
      <c r="A12" s="208" t="s">
        <v>59</v>
      </c>
      <c r="B12" s="237" t="s">
        <v>491</v>
      </c>
      <c r="C12" s="152">
        <v>2018</v>
      </c>
      <c r="D12" s="153" t="s">
        <v>492</v>
      </c>
      <c r="E12" s="208" t="s">
        <v>313</v>
      </c>
      <c r="F12" s="208" t="s">
        <v>305</v>
      </c>
      <c r="G12" s="208" t="s">
        <v>36</v>
      </c>
      <c r="H12" s="208" t="s">
        <v>157</v>
      </c>
      <c r="I12" s="208" t="s">
        <v>155</v>
      </c>
      <c r="J12" s="208" t="s">
        <v>38</v>
      </c>
      <c r="K12" s="208" t="s">
        <v>156</v>
      </c>
      <c r="L12" s="208">
        <v>2</v>
      </c>
      <c r="N12" s="208">
        <v>2</v>
      </c>
      <c r="O12" s="208">
        <v>0.92</v>
      </c>
      <c r="P12" s="208">
        <v>0.92</v>
      </c>
      <c r="Q12" s="245">
        <f t="shared" si="2"/>
        <v>0.92</v>
      </c>
      <c r="R12" s="208">
        <v>15.7</v>
      </c>
      <c r="S12" s="208">
        <v>180</v>
      </c>
      <c r="T12" s="217">
        <f t="shared" si="0"/>
        <v>18</v>
      </c>
      <c r="U12" s="208">
        <v>277</v>
      </c>
      <c r="V12" s="217">
        <f t="shared" si="1"/>
        <v>16</v>
      </c>
      <c r="W12" s="208">
        <v>8</v>
      </c>
      <c r="X12" s="208" t="s">
        <v>39</v>
      </c>
      <c r="Y12" s="208" t="s">
        <v>69</v>
      </c>
      <c r="Z12" s="208" t="s">
        <v>90</v>
      </c>
      <c r="AA12" s="208" t="s">
        <v>86</v>
      </c>
      <c r="AB12" s="237" t="s">
        <v>471</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404</v>
      </c>
      <c r="C13" s="152">
        <v>2018</v>
      </c>
      <c r="D13" s="153" t="s">
        <v>493</v>
      </c>
      <c r="E13" s="208" t="s">
        <v>313</v>
      </c>
      <c r="F13" s="208" t="s">
        <v>305</v>
      </c>
      <c r="G13" s="208" t="s">
        <v>36</v>
      </c>
      <c r="H13" s="208" t="s">
        <v>157</v>
      </c>
      <c r="I13" s="208" t="s">
        <v>155</v>
      </c>
      <c r="J13" s="208" t="s">
        <v>38</v>
      </c>
      <c r="K13" s="208" t="s">
        <v>156</v>
      </c>
      <c r="L13" s="208">
        <v>3</v>
      </c>
      <c r="N13" s="208">
        <v>2</v>
      </c>
      <c r="O13" s="208">
        <v>0.75</v>
      </c>
      <c r="P13" s="208">
        <v>0.78</v>
      </c>
      <c r="Q13" s="245">
        <f t="shared" si="2"/>
        <v>0.76500000000000001</v>
      </c>
      <c r="R13" s="208">
        <v>14.3</v>
      </c>
      <c r="S13" s="208">
        <v>158</v>
      </c>
      <c r="T13" s="217">
        <f t="shared" si="0"/>
        <v>18</v>
      </c>
      <c r="U13" s="208">
        <v>277</v>
      </c>
      <c r="V13" s="217">
        <f t="shared" si="1"/>
        <v>16</v>
      </c>
      <c r="W13" s="208">
        <v>8</v>
      </c>
      <c r="X13" s="208" t="s">
        <v>39</v>
      </c>
      <c r="Y13" s="208" t="s">
        <v>69</v>
      </c>
      <c r="Z13" s="208" t="s">
        <v>90</v>
      </c>
      <c r="AA13" s="208" t="s">
        <v>86</v>
      </c>
      <c r="AB13" s="237" t="s">
        <v>471</v>
      </c>
      <c r="AE13" s="223" t="s">
        <v>73</v>
      </c>
      <c r="AG13" s="224"/>
      <c r="AH13" s="224"/>
      <c r="AP13" s="224" t="s">
        <v>71</v>
      </c>
      <c r="AR13" s="231" t="s">
        <v>103</v>
      </c>
      <c r="AV13" s="224" t="s">
        <v>75</v>
      </c>
    </row>
    <row r="14" spans="1:53" x14ac:dyDescent="0.15">
      <c r="A14" s="208" t="s">
        <v>59</v>
      </c>
      <c r="B14" s="237" t="s">
        <v>406</v>
      </c>
      <c r="C14" s="152">
        <v>2018</v>
      </c>
      <c r="D14" s="153" t="s">
        <v>494</v>
      </c>
      <c r="E14" s="208" t="s">
        <v>267</v>
      </c>
      <c r="F14" s="208" t="s">
        <v>308</v>
      </c>
      <c r="G14" s="208" t="s">
        <v>36</v>
      </c>
      <c r="H14" s="208" t="s">
        <v>168</v>
      </c>
      <c r="I14" s="208" t="s">
        <v>155</v>
      </c>
      <c r="J14" s="208" t="s">
        <v>38</v>
      </c>
      <c r="K14" s="208" t="s">
        <v>156</v>
      </c>
      <c r="L14" s="208">
        <v>1</v>
      </c>
      <c r="N14" s="208">
        <v>4</v>
      </c>
      <c r="O14" s="208">
        <v>0.55000000000000004</v>
      </c>
      <c r="P14" s="208">
        <v>0.63</v>
      </c>
      <c r="Q14" s="245">
        <f t="shared" si="2"/>
        <v>0.59000000000000008</v>
      </c>
      <c r="R14" s="208">
        <v>16.399999999999999</v>
      </c>
      <c r="S14" s="208">
        <v>124</v>
      </c>
      <c r="T14" s="217">
        <f t="shared" si="0"/>
        <v>27</v>
      </c>
      <c r="U14" s="208">
        <v>450</v>
      </c>
      <c r="V14" s="217">
        <f t="shared" si="1"/>
        <v>16</v>
      </c>
      <c r="W14" s="208">
        <v>8</v>
      </c>
      <c r="X14" s="208" t="s">
        <v>46</v>
      </c>
      <c r="Y14" s="208" t="s">
        <v>55</v>
      </c>
      <c r="Z14" s="208" t="s">
        <v>90</v>
      </c>
      <c r="AA14" s="208" t="s">
        <v>69</v>
      </c>
      <c r="AB14" s="237" t="s">
        <v>495</v>
      </c>
      <c r="AE14" s="223" t="s">
        <v>76</v>
      </c>
      <c r="AG14" s="224"/>
      <c r="AH14" s="224"/>
      <c r="AP14" s="224" t="s">
        <v>272</v>
      </c>
      <c r="AR14" s="231" t="s">
        <v>125</v>
      </c>
      <c r="AV14" s="224" t="s">
        <v>78</v>
      </c>
    </row>
    <row r="15" spans="1:53" x14ac:dyDescent="0.15">
      <c r="A15" s="208" t="s">
        <v>59</v>
      </c>
      <c r="B15" s="237" t="s">
        <v>406</v>
      </c>
      <c r="C15" s="152">
        <v>2018</v>
      </c>
      <c r="D15" s="153" t="s">
        <v>494</v>
      </c>
      <c r="E15" s="208" t="s">
        <v>267</v>
      </c>
      <c r="F15" s="208" t="s">
        <v>308</v>
      </c>
      <c r="G15" s="208" t="s">
        <v>36</v>
      </c>
      <c r="H15" s="208" t="s">
        <v>168</v>
      </c>
      <c r="I15" s="208" t="s">
        <v>155</v>
      </c>
      <c r="J15" s="208" t="s">
        <v>38</v>
      </c>
      <c r="K15" s="208" t="s">
        <v>156</v>
      </c>
      <c r="L15" s="208">
        <v>2</v>
      </c>
      <c r="N15" s="208">
        <v>4</v>
      </c>
      <c r="O15" s="208">
        <v>0.57999999999999996</v>
      </c>
      <c r="P15" s="208">
        <v>0.5</v>
      </c>
      <c r="Q15" s="245">
        <f t="shared" si="2"/>
        <v>0.54</v>
      </c>
      <c r="R15" s="208">
        <v>18.2</v>
      </c>
      <c r="S15" s="208">
        <v>130</v>
      </c>
      <c r="T15" s="217">
        <f t="shared" si="0"/>
        <v>25</v>
      </c>
      <c r="U15" s="208">
        <v>450</v>
      </c>
      <c r="V15" s="217">
        <f t="shared" si="1"/>
        <v>16</v>
      </c>
      <c r="W15" s="208">
        <v>8</v>
      </c>
      <c r="X15" s="208" t="s">
        <v>46</v>
      </c>
      <c r="Y15" s="208" t="s">
        <v>55</v>
      </c>
      <c r="Z15" s="208" t="s">
        <v>90</v>
      </c>
      <c r="AA15" s="208" t="s">
        <v>69</v>
      </c>
      <c r="AB15" s="237" t="s">
        <v>495</v>
      </c>
      <c r="AE15" s="223" t="s">
        <v>79</v>
      </c>
      <c r="AG15" s="224"/>
      <c r="AH15" s="224"/>
      <c r="AP15" s="224" t="s">
        <v>273</v>
      </c>
      <c r="AR15" s="231" t="s">
        <v>94</v>
      </c>
      <c r="AV15" s="224" t="s">
        <v>107</v>
      </c>
    </row>
    <row r="16" spans="1:53" x14ac:dyDescent="0.15">
      <c r="A16" s="208" t="s">
        <v>59</v>
      </c>
      <c r="B16" s="237" t="s">
        <v>410</v>
      </c>
      <c r="C16" s="152">
        <v>2018</v>
      </c>
      <c r="D16" s="153" t="s">
        <v>496</v>
      </c>
      <c r="E16" s="208" t="s">
        <v>267</v>
      </c>
      <c r="F16" s="208" t="s">
        <v>308</v>
      </c>
      <c r="G16" s="208" t="s">
        <v>36</v>
      </c>
      <c r="H16" s="208" t="s">
        <v>168</v>
      </c>
      <c r="I16" s="208" t="s">
        <v>155</v>
      </c>
      <c r="J16" s="208" t="s">
        <v>38</v>
      </c>
      <c r="K16" s="208" t="s">
        <v>156</v>
      </c>
      <c r="L16" s="208">
        <v>3</v>
      </c>
      <c r="N16" s="208">
        <v>4</v>
      </c>
      <c r="O16" s="208">
        <v>0.55000000000000004</v>
      </c>
      <c r="P16" s="208">
        <v>0.62</v>
      </c>
      <c r="Q16" s="245">
        <f t="shared" si="2"/>
        <v>0.58499999999999996</v>
      </c>
      <c r="R16" s="208">
        <v>16.600000000000001</v>
      </c>
      <c r="S16" s="208">
        <v>125</v>
      </c>
      <c r="T16" s="217">
        <f t="shared" si="0"/>
        <v>27</v>
      </c>
      <c r="U16" s="208">
        <v>450</v>
      </c>
      <c r="V16" s="217">
        <f t="shared" si="1"/>
        <v>16</v>
      </c>
      <c r="W16" s="208">
        <v>8</v>
      </c>
      <c r="X16" s="208" t="s">
        <v>46</v>
      </c>
      <c r="Y16" s="208" t="s">
        <v>55</v>
      </c>
      <c r="Z16" s="208" t="s">
        <v>90</v>
      </c>
      <c r="AA16" s="208" t="s">
        <v>69</v>
      </c>
      <c r="AB16" s="237" t="s">
        <v>497</v>
      </c>
      <c r="AE16" s="223" t="s">
        <v>82</v>
      </c>
      <c r="AG16" s="229"/>
      <c r="AH16" s="229"/>
      <c r="AP16" s="224" t="s">
        <v>80</v>
      </c>
      <c r="AR16" s="238" t="s">
        <v>63</v>
      </c>
      <c r="AV16" s="224" t="s">
        <v>84</v>
      </c>
    </row>
    <row r="17" spans="1:48" x14ac:dyDescent="0.15">
      <c r="A17" s="208" t="s">
        <v>59</v>
      </c>
      <c r="B17" s="237" t="s">
        <v>410</v>
      </c>
      <c r="C17" s="152">
        <v>2018</v>
      </c>
      <c r="D17" s="153" t="s">
        <v>496</v>
      </c>
      <c r="E17" s="208" t="s">
        <v>267</v>
      </c>
      <c r="F17" s="208" t="s">
        <v>308</v>
      </c>
      <c r="G17" s="208" t="s">
        <v>36</v>
      </c>
      <c r="H17" s="208" t="s">
        <v>157</v>
      </c>
      <c r="I17" s="208" t="s">
        <v>155</v>
      </c>
      <c r="J17" s="208" t="s">
        <v>38</v>
      </c>
      <c r="K17" s="208" t="s">
        <v>156</v>
      </c>
      <c r="L17" s="208">
        <v>1</v>
      </c>
      <c r="N17" s="208">
        <v>1</v>
      </c>
      <c r="O17" s="208">
        <v>0.54</v>
      </c>
      <c r="P17" s="208">
        <v>0.5</v>
      </c>
      <c r="Q17" s="245">
        <f t="shared" si="2"/>
        <v>0.52</v>
      </c>
      <c r="R17" s="208">
        <v>15</v>
      </c>
      <c r="S17" s="208">
        <v>134</v>
      </c>
      <c r="T17" s="217">
        <f t="shared" si="0"/>
        <v>25</v>
      </c>
      <c r="U17" s="208">
        <v>149</v>
      </c>
      <c r="V17" s="217">
        <f t="shared" si="1"/>
        <v>22</v>
      </c>
      <c r="W17" s="208">
        <v>6</v>
      </c>
      <c r="X17" s="208" t="s">
        <v>46</v>
      </c>
      <c r="Y17" s="208" t="s">
        <v>55</v>
      </c>
      <c r="Z17" s="208" t="s">
        <v>90</v>
      </c>
      <c r="AA17" s="208" t="s">
        <v>69</v>
      </c>
      <c r="AB17" s="237" t="s">
        <v>497</v>
      </c>
      <c r="AE17" s="223" t="s">
        <v>85</v>
      </c>
      <c r="AP17" s="239" t="s">
        <v>110</v>
      </c>
      <c r="AR17" s="238" t="s">
        <v>96</v>
      </c>
      <c r="AV17" s="224" t="s">
        <v>86</v>
      </c>
    </row>
    <row r="18" spans="1:48" x14ac:dyDescent="0.15">
      <c r="A18" s="208" t="s">
        <v>59</v>
      </c>
      <c r="B18" s="237" t="s">
        <v>410</v>
      </c>
      <c r="C18" s="152">
        <v>2018</v>
      </c>
      <c r="D18" s="153" t="s">
        <v>496</v>
      </c>
      <c r="E18" s="208" t="s">
        <v>267</v>
      </c>
      <c r="F18" s="208" t="s">
        <v>308</v>
      </c>
      <c r="G18" s="208" t="s">
        <v>36</v>
      </c>
      <c r="H18" s="208" t="s">
        <v>157</v>
      </c>
      <c r="I18" s="208" t="s">
        <v>155</v>
      </c>
      <c r="J18" s="208" t="s">
        <v>38</v>
      </c>
      <c r="K18" s="208" t="s">
        <v>156</v>
      </c>
      <c r="L18" s="208">
        <v>2</v>
      </c>
      <c r="N18" s="208">
        <v>1</v>
      </c>
      <c r="O18" s="208">
        <v>0.4</v>
      </c>
      <c r="P18" s="208">
        <v>0.45</v>
      </c>
      <c r="Q18" s="245">
        <f t="shared" si="2"/>
        <v>0.42500000000000004</v>
      </c>
      <c r="R18" s="208">
        <v>15.9</v>
      </c>
      <c r="S18" s="208">
        <v>125</v>
      </c>
      <c r="T18" s="217">
        <f t="shared" si="0"/>
        <v>27</v>
      </c>
      <c r="U18" s="208">
        <v>149</v>
      </c>
      <c r="V18" s="217">
        <f t="shared" si="1"/>
        <v>22</v>
      </c>
      <c r="W18" s="208">
        <v>6</v>
      </c>
      <c r="X18" s="208" t="s">
        <v>46</v>
      </c>
      <c r="Y18" s="208" t="s">
        <v>55</v>
      </c>
      <c r="Z18" s="208" t="s">
        <v>90</v>
      </c>
      <c r="AA18" s="208" t="s">
        <v>69</v>
      </c>
      <c r="AB18" s="237" t="s">
        <v>497</v>
      </c>
      <c r="AE18" s="223" t="s">
        <v>87</v>
      </c>
      <c r="AP18" s="239" t="s">
        <v>275</v>
      </c>
      <c r="AR18" s="238" t="s">
        <v>101</v>
      </c>
      <c r="AV18" s="224" t="s">
        <v>88</v>
      </c>
    </row>
    <row r="19" spans="1:48" x14ac:dyDescent="0.15">
      <c r="A19" s="208" t="s">
        <v>59</v>
      </c>
      <c r="B19" s="237" t="s">
        <v>400</v>
      </c>
      <c r="C19" s="152">
        <v>2018</v>
      </c>
      <c r="D19" s="153" t="s">
        <v>482</v>
      </c>
      <c r="E19" s="208" t="s">
        <v>267</v>
      </c>
      <c r="F19" s="208" t="s">
        <v>308</v>
      </c>
      <c r="G19" s="208" t="s">
        <v>36</v>
      </c>
      <c r="H19" s="208" t="s">
        <v>157</v>
      </c>
      <c r="I19" s="208" t="s">
        <v>155</v>
      </c>
      <c r="J19" s="208" t="s">
        <v>38</v>
      </c>
      <c r="K19" s="208" t="s">
        <v>156</v>
      </c>
      <c r="L19" s="208">
        <v>3</v>
      </c>
      <c r="N19" s="208">
        <v>1</v>
      </c>
      <c r="O19" s="208">
        <v>0.45</v>
      </c>
      <c r="P19" s="208">
        <v>0.53</v>
      </c>
      <c r="Q19" s="245">
        <f t="shared" si="2"/>
        <v>0.49</v>
      </c>
      <c r="R19" s="208">
        <v>14.9</v>
      </c>
      <c r="S19" s="208">
        <v>129</v>
      </c>
      <c r="T19" s="217">
        <f t="shared" si="0"/>
        <v>25</v>
      </c>
      <c r="U19" s="208">
        <v>149</v>
      </c>
      <c r="V19" s="217">
        <f t="shared" si="1"/>
        <v>22</v>
      </c>
      <c r="W19" s="208">
        <v>6</v>
      </c>
      <c r="X19" s="208" t="s">
        <v>46</v>
      </c>
      <c r="Y19" s="208" t="s">
        <v>55</v>
      </c>
      <c r="Z19" s="208" t="s">
        <v>90</v>
      </c>
      <c r="AA19" s="208" t="s">
        <v>69</v>
      </c>
      <c r="AB19" s="237" t="s">
        <v>484</v>
      </c>
      <c r="AD19" s="237"/>
      <c r="AE19" s="236" t="s">
        <v>89</v>
      </c>
      <c r="AP19" s="239" t="s">
        <v>112</v>
      </c>
      <c r="AR19" s="231" t="s">
        <v>126</v>
      </c>
      <c r="AV19" s="224" t="s">
        <v>276</v>
      </c>
    </row>
    <row r="20" spans="1:48" x14ac:dyDescent="0.15">
      <c r="A20" s="208" t="s">
        <v>59</v>
      </c>
      <c r="B20" s="237" t="s">
        <v>498</v>
      </c>
      <c r="C20" s="152">
        <v>2018</v>
      </c>
      <c r="D20" s="153" t="s">
        <v>499</v>
      </c>
      <c r="E20" s="208" t="s">
        <v>267</v>
      </c>
      <c r="F20" s="208" t="s">
        <v>308</v>
      </c>
      <c r="G20" s="208" t="s">
        <v>36</v>
      </c>
      <c r="H20" s="208" t="s">
        <v>216</v>
      </c>
      <c r="I20" s="208" t="s">
        <v>155</v>
      </c>
      <c r="J20" s="208" t="s">
        <v>38</v>
      </c>
      <c r="K20" s="208" t="s">
        <v>156</v>
      </c>
      <c r="L20" s="208">
        <v>1</v>
      </c>
      <c r="N20" s="208">
        <v>4</v>
      </c>
      <c r="O20" s="208">
        <v>0.7</v>
      </c>
      <c r="P20" s="208">
        <v>0.55000000000000004</v>
      </c>
      <c r="Q20" s="245">
        <f t="shared" si="2"/>
        <v>0.625</v>
      </c>
      <c r="R20" s="208">
        <v>15.9</v>
      </c>
      <c r="S20" s="208">
        <v>93</v>
      </c>
      <c r="T20" s="217">
        <f t="shared" si="0"/>
        <v>36</v>
      </c>
      <c r="U20" s="208">
        <v>399</v>
      </c>
      <c r="V20" s="217">
        <f t="shared" si="1"/>
        <v>16</v>
      </c>
      <c r="W20" s="208">
        <v>1</v>
      </c>
      <c r="X20" s="208" t="s">
        <v>46</v>
      </c>
      <c r="Y20" s="208" t="s">
        <v>55</v>
      </c>
      <c r="Z20" s="208" t="s">
        <v>90</v>
      </c>
      <c r="AA20" s="208" t="s">
        <v>69</v>
      </c>
      <c r="AB20" s="237" t="s">
        <v>500</v>
      </c>
      <c r="AD20" s="237"/>
      <c r="AE20" s="236"/>
      <c r="AP20" s="239" t="s">
        <v>113</v>
      </c>
      <c r="AR20" s="238" t="s">
        <v>105</v>
      </c>
      <c r="AV20" s="228" t="s">
        <v>501</v>
      </c>
    </row>
    <row r="21" spans="1:48" x14ac:dyDescent="0.15">
      <c r="A21" s="208" t="s">
        <v>59</v>
      </c>
      <c r="B21" s="237" t="s">
        <v>498</v>
      </c>
      <c r="C21" s="152">
        <v>2018</v>
      </c>
      <c r="D21" s="153" t="s">
        <v>499</v>
      </c>
      <c r="E21" s="208" t="s">
        <v>267</v>
      </c>
      <c r="F21" s="208" t="s">
        <v>308</v>
      </c>
      <c r="G21" s="208" t="s">
        <v>36</v>
      </c>
      <c r="H21" s="208" t="s">
        <v>216</v>
      </c>
      <c r="I21" s="208" t="s">
        <v>155</v>
      </c>
      <c r="J21" s="208" t="s">
        <v>38</v>
      </c>
      <c r="K21" s="208" t="s">
        <v>156</v>
      </c>
      <c r="L21" s="208">
        <v>2</v>
      </c>
      <c r="N21" s="208">
        <v>4</v>
      </c>
      <c r="O21" s="208">
        <v>0.4</v>
      </c>
      <c r="P21" s="208">
        <v>0.44</v>
      </c>
      <c r="Q21" s="245">
        <f t="shared" si="2"/>
        <v>0.42000000000000004</v>
      </c>
      <c r="R21" s="208">
        <v>15.9</v>
      </c>
      <c r="S21" s="208">
        <v>90</v>
      </c>
      <c r="T21" s="217">
        <f t="shared" si="0"/>
        <v>36</v>
      </c>
      <c r="U21" s="208">
        <v>399</v>
      </c>
      <c r="V21" s="217">
        <f t="shared" si="1"/>
        <v>16</v>
      </c>
      <c r="W21" s="208">
        <v>1</v>
      </c>
      <c r="X21" s="208" t="s">
        <v>46</v>
      </c>
      <c r="Y21" s="208" t="s">
        <v>55</v>
      </c>
      <c r="Z21" s="208" t="s">
        <v>90</v>
      </c>
      <c r="AA21" s="208" t="s">
        <v>69</v>
      </c>
      <c r="AB21" s="237" t="s">
        <v>500</v>
      </c>
      <c r="AD21" s="237"/>
      <c r="AE21" s="229"/>
      <c r="AP21" s="239" t="s">
        <v>277</v>
      </c>
      <c r="AR21" s="238" t="s">
        <v>68</v>
      </c>
      <c r="AV21" s="228" t="s">
        <v>502</v>
      </c>
    </row>
    <row r="22" spans="1:48" x14ac:dyDescent="0.15">
      <c r="A22" s="208" t="s">
        <v>59</v>
      </c>
      <c r="B22" s="237" t="s">
        <v>498</v>
      </c>
      <c r="C22" s="152">
        <v>2018</v>
      </c>
      <c r="D22" s="153" t="s">
        <v>499</v>
      </c>
      <c r="E22" s="208" t="s">
        <v>267</v>
      </c>
      <c r="F22" s="208" t="s">
        <v>308</v>
      </c>
      <c r="G22" s="208" t="s">
        <v>36</v>
      </c>
      <c r="H22" s="208" t="s">
        <v>216</v>
      </c>
      <c r="I22" s="208" t="s">
        <v>155</v>
      </c>
      <c r="J22" s="208" t="s">
        <v>38</v>
      </c>
      <c r="K22" s="208" t="s">
        <v>156</v>
      </c>
      <c r="L22" s="208">
        <v>3</v>
      </c>
      <c r="N22" s="208">
        <v>4</v>
      </c>
      <c r="O22" s="208">
        <v>0.62</v>
      </c>
      <c r="P22" s="208">
        <v>0.66</v>
      </c>
      <c r="Q22" s="245">
        <f t="shared" si="2"/>
        <v>0.64</v>
      </c>
      <c r="R22" s="208">
        <v>16.5</v>
      </c>
      <c r="S22" s="208">
        <v>90</v>
      </c>
      <c r="T22" s="217">
        <f t="shared" si="0"/>
        <v>36</v>
      </c>
      <c r="U22" s="208">
        <v>399</v>
      </c>
      <c r="V22" s="217">
        <f t="shared" si="1"/>
        <v>16</v>
      </c>
      <c r="W22" s="208">
        <v>1</v>
      </c>
      <c r="X22" s="208" t="s">
        <v>46</v>
      </c>
      <c r="Y22" s="208" t="s">
        <v>55</v>
      </c>
      <c r="Z22" s="208" t="s">
        <v>90</v>
      </c>
      <c r="AA22" s="208" t="s">
        <v>69</v>
      </c>
      <c r="AB22" s="237" t="s">
        <v>500</v>
      </c>
      <c r="AD22" s="237"/>
      <c r="AP22" s="239" t="s">
        <v>274</v>
      </c>
      <c r="AR22" s="238" t="s">
        <v>83</v>
      </c>
      <c r="AV22" s="228" t="s">
        <v>278</v>
      </c>
    </row>
    <row r="23" spans="1:48" x14ac:dyDescent="0.15">
      <c r="A23" s="208" t="s">
        <v>59</v>
      </c>
      <c r="B23" s="237" t="s">
        <v>498</v>
      </c>
      <c r="C23" s="152">
        <v>2018</v>
      </c>
      <c r="D23" s="153" t="s">
        <v>499</v>
      </c>
      <c r="E23" s="208" t="s">
        <v>267</v>
      </c>
      <c r="F23" s="208" t="s">
        <v>308</v>
      </c>
      <c r="G23" s="208" t="s">
        <v>36</v>
      </c>
      <c r="H23" s="208" t="s">
        <v>157</v>
      </c>
      <c r="I23" s="208" t="s">
        <v>158</v>
      </c>
      <c r="J23" s="208" t="s">
        <v>38</v>
      </c>
      <c r="K23" s="208" t="s">
        <v>156</v>
      </c>
      <c r="L23" s="208">
        <v>1</v>
      </c>
      <c r="N23" s="208">
        <v>3</v>
      </c>
      <c r="O23" s="208">
        <v>1.05</v>
      </c>
      <c r="P23" s="208">
        <v>0.8</v>
      </c>
      <c r="Q23" s="245">
        <f t="shared" si="2"/>
        <v>0.92500000000000004</v>
      </c>
      <c r="R23" s="208">
        <v>14.7</v>
      </c>
      <c r="S23" s="208">
        <v>110</v>
      </c>
      <c r="T23" s="217">
        <f t="shared" si="0"/>
        <v>33</v>
      </c>
      <c r="U23" s="208">
        <v>399</v>
      </c>
      <c r="V23" s="217">
        <f t="shared" si="1"/>
        <v>16</v>
      </c>
      <c r="W23" s="208">
        <v>1</v>
      </c>
      <c r="X23" s="208" t="s">
        <v>46</v>
      </c>
      <c r="Y23" s="208" t="s">
        <v>55</v>
      </c>
      <c r="Z23" s="208" t="s">
        <v>90</v>
      </c>
      <c r="AA23" s="208" t="s">
        <v>69</v>
      </c>
      <c r="AB23" s="237" t="s">
        <v>500</v>
      </c>
      <c r="AP23" s="239" t="s">
        <v>503</v>
      </c>
      <c r="AR23" s="238" t="s">
        <v>61</v>
      </c>
      <c r="AV23" s="228" t="s">
        <v>504</v>
      </c>
    </row>
    <row r="24" spans="1:48" x14ac:dyDescent="0.15">
      <c r="A24" s="208" t="s">
        <v>59</v>
      </c>
      <c r="B24" s="237" t="s">
        <v>498</v>
      </c>
      <c r="C24" s="152">
        <v>2018</v>
      </c>
      <c r="D24" s="153" t="s">
        <v>499</v>
      </c>
      <c r="E24" s="208" t="s">
        <v>267</v>
      </c>
      <c r="F24" s="208" t="s">
        <v>308</v>
      </c>
      <c r="G24" s="208" t="s">
        <v>36</v>
      </c>
      <c r="H24" s="208" t="s">
        <v>157</v>
      </c>
      <c r="I24" s="208" t="s">
        <v>158</v>
      </c>
      <c r="J24" s="208" t="s">
        <v>38</v>
      </c>
      <c r="K24" s="208" t="s">
        <v>156</v>
      </c>
      <c r="L24" s="208">
        <v>2</v>
      </c>
      <c r="N24" s="208">
        <v>3</v>
      </c>
      <c r="O24" s="208">
        <v>0.75</v>
      </c>
      <c r="P24" s="208">
        <v>0.75</v>
      </c>
      <c r="Q24" s="245">
        <f t="shared" si="2"/>
        <v>0.75</v>
      </c>
      <c r="R24" s="208">
        <v>14.1</v>
      </c>
      <c r="S24" s="208">
        <v>113</v>
      </c>
      <c r="T24" s="217">
        <f t="shared" si="0"/>
        <v>30</v>
      </c>
      <c r="U24" s="208">
        <v>399</v>
      </c>
      <c r="V24" s="217">
        <f t="shared" si="1"/>
        <v>16</v>
      </c>
      <c r="W24" s="208">
        <v>1</v>
      </c>
      <c r="X24" s="208" t="s">
        <v>46</v>
      </c>
      <c r="Y24" s="208" t="s">
        <v>55</v>
      </c>
      <c r="Z24" s="208" t="s">
        <v>90</v>
      </c>
      <c r="AA24" s="208" t="s">
        <v>69</v>
      </c>
      <c r="AB24" s="237" t="s">
        <v>500</v>
      </c>
      <c r="AP24" s="239" t="s">
        <v>505</v>
      </c>
      <c r="AR24" s="238" t="s">
        <v>91</v>
      </c>
      <c r="AV24" s="228" t="s">
        <v>506</v>
      </c>
    </row>
    <row r="25" spans="1:48" x14ac:dyDescent="0.15">
      <c r="A25" s="208" t="s">
        <v>59</v>
      </c>
      <c r="B25" s="237" t="s">
        <v>498</v>
      </c>
      <c r="C25" s="152">
        <v>2018</v>
      </c>
      <c r="D25" s="153" t="s">
        <v>499</v>
      </c>
      <c r="E25" s="208" t="s">
        <v>267</v>
      </c>
      <c r="F25" s="208" t="s">
        <v>308</v>
      </c>
      <c r="G25" s="208" t="s">
        <v>36</v>
      </c>
      <c r="H25" s="208" t="s">
        <v>157</v>
      </c>
      <c r="I25" s="208" t="s">
        <v>158</v>
      </c>
      <c r="J25" s="208" t="s">
        <v>38</v>
      </c>
      <c r="K25" s="208" t="s">
        <v>156</v>
      </c>
      <c r="L25" s="208">
        <v>3</v>
      </c>
      <c r="N25" s="208">
        <v>3</v>
      </c>
      <c r="O25" s="208">
        <v>0.95</v>
      </c>
      <c r="P25" s="208">
        <v>0.8</v>
      </c>
      <c r="Q25" s="245">
        <f t="shared" si="2"/>
        <v>0.875</v>
      </c>
      <c r="R25" s="208">
        <v>13.9</v>
      </c>
      <c r="S25" s="208">
        <v>116</v>
      </c>
      <c r="T25" s="217">
        <f t="shared" si="0"/>
        <v>30</v>
      </c>
      <c r="U25" s="208">
        <v>399</v>
      </c>
      <c r="V25" s="217">
        <f t="shared" si="1"/>
        <v>16</v>
      </c>
      <c r="W25" s="208">
        <v>1</v>
      </c>
      <c r="X25" s="208" t="s">
        <v>46</v>
      </c>
      <c r="Y25" s="208" t="s">
        <v>55</v>
      </c>
      <c r="Z25" s="208" t="s">
        <v>90</v>
      </c>
      <c r="AA25" s="208" t="s">
        <v>69</v>
      </c>
      <c r="AB25" s="237" t="s">
        <v>500</v>
      </c>
      <c r="AD25" s="237"/>
      <c r="AP25" s="239" t="s">
        <v>116</v>
      </c>
      <c r="AR25" s="42" t="s">
        <v>92</v>
      </c>
      <c r="AV25" s="228" t="s">
        <v>507</v>
      </c>
    </row>
    <row r="26" spans="1:48" x14ac:dyDescent="0.15">
      <c r="A26" s="208" t="s">
        <v>59</v>
      </c>
      <c r="B26" s="237" t="s">
        <v>498</v>
      </c>
      <c r="C26" s="152">
        <v>2018</v>
      </c>
      <c r="D26" s="153" t="s">
        <v>499</v>
      </c>
      <c r="E26" s="208" t="s">
        <v>320</v>
      </c>
      <c r="F26" s="208" t="s">
        <v>308</v>
      </c>
      <c r="G26" s="208" t="s">
        <v>36</v>
      </c>
      <c r="H26" s="208" t="s">
        <v>168</v>
      </c>
      <c r="I26" s="208" t="s">
        <v>155</v>
      </c>
      <c r="J26" s="208" t="s">
        <v>38</v>
      </c>
      <c r="K26" s="208" t="s">
        <v>156</v>
      </c>
      <c r="L26" s="208">
        <v>1</v>
      </c>
      <c r="N26" s="208">
        <v>2</v>
      </c>
      <c r="O26" s="208">
        <v>0.33</v>
      </c>
      <c r="P26" s="208">
        <v>0.4</v>
      </c>
      <c r="Q26" s="245">
        <f t="shared" si="2"/>
        <v>0.36499999999999999</v>
      </c>
      <c r="R26" s="208">
        <v>18.5</v>
      </c>
      <c r="S26" s="208">
        <v>172</v>
      </c>
      <c r="T26" s="217">
        <f t="shared" si="0"/>
        <v>18</v>
      </c>
      <c r="U26" s="208">
        <v>410</v>
      </c>
      <c r="V26" s="217">
        <f t="shared" si="1"/>
        <v>16</v>
      </c>
      <c r="W26" s="208">
        <v>4</v>
      </c>
      <c r="X26" s="208" t="s">
        <v>46</v>
      </c>
      <c r="Y26" s="208" t="s">
        <v>90</v>
      </c>
      <c r="Z26" s="208" t="s">
        <v>69</v>
      </c>
      <c r="AA26" s="208" t="s">
        <v>86</v>
      </c>
      <c r="AB26" s="237" t="s">
        <v>500</v>
      </c>
      <c r="AD26" s="237"/>
      <c r="AP26" s="239" t="s">
        <v>117</v>
      </c>
      <c r="AR26" s="228" t="s">
        <v>279</v>
      </c>
      <c r="AV26" s="228"/>
    </row>
    <row r="27" spans="1:48" x14ac:dyDescent="0.15">
      <c r="A27" s="208" t="s">
        <v>59</v>
      </c>
      <c r="B27" s="237" t="s">
        <v>498</v>
      </c>
      <c r="C27" s="152">
        <v>2018</v>
      </c>
      <c r="D27" s="153" t="s">
        <v>499</v>
      </c>
      <c r="E27" s="208" t="s">
        <v>320</v>
      </c>
      <c r="F27" s="208" t="s">
        <v>308</v>
      </c>
      <c r="G27" s="208" t="s">
        <v>36</v>
      </c>
      <c r="H27" s="208" t="s">
        <v>168</v>
      </c>
      <c r="I27" s="208" t="s">
        <v>155</v>
      </c>
      <c r="J27" s="208" t="s">
        <v>38</v>
      </c>
      <c r="K27" s="208" t="s">
        <v>156</v>
      </c>
      <c r="L27" s="208">
        <v>2</v>
      </c>
      <c r="N27" s="208">
        <v>2</v>
      </c>
      <c r="O27" s="208">
        <v>0.47</v>
      </c>
      <c r="P27" s="208">
        <v>0.5</v>
      </c>
      <c r="Q27" s="245">
        <f t="shared" si="2"/>
        <v>0.48499999999999999</v>
      </c>
      <c r="R27" s="208">
        <v>15.2</v>
      </c>
      <c r="S27" s="208">
        <v>160</v>
      </c>
      <c r="T27" s="217">
        <f t="shared" si="0"/>
        <v>18</v>
      </c>
      <c r="U27" s="208">
        <v>410</v>
      </c>
      <c r="V27" s="217">
        <f t="shared" si="1"/>
        <v>16</v>
      </c>
      <c r="W27" s="208">
        <v>4</v>
      </c>
      <c r="X27" s="208" t="s">
        <v>46</v>
      </c>
      <c r="Y27" s="208" t="s">
        <v>90</v>
      </c>
      <c r="Z27" s="208" t="s">
        <v>69</v>
      </c>
      <c r="AA27" s="208" t="s">
        <v>86</v>
      </c>
      <c r="AB27" s="237" t="s">
        <v>500</v>
      </c>
      <c r="AD27" s="237"/>
      <c r="AP27" s="239" t="s">
        <v>118</v>
      </c>
      <c r="AR27" s="229" t="s">
        <v>292</v>
      </c>
      <c r="AV27" s="228"/>
    </row>
    <row r="28" spans="1:48" x14ac:dyDescent="0.15">
      <c r="A28" s="208" t="s">
        <v>59</v>
      </c>
      <c r="B28" s="237" t="s">
        <v>498</v>
      </c>
      <c r="C28" s="152">
        <v>2018</v>
      </c>
      <c r="D28" s="153" t="s">
        <v>499</v>
      </c>
      <c r="E28" s="208" t="s">
        <v>320</v>
      </c>
      <c r="F28" s="208" t="s">
        <v>308</v>
      </c>
      <c r="G28" s="208" t="s">
        <v>36</v>
      </c>
      <c r="H28" s="208" t="s">
        <v>168</v>
      </c>
      <c r="I28" s="208" t="s">
        <v>155</v>
      </c>
      <c r="J28" s="208" t="s">
        <v>38</v>
      </c>
      <c r="K28" s="208" t="s">
        <v>156</v>
      </c>
      <c r="L28" s="208">
        <v>3</v>
      </c>
      <c r="N28" s="208">
        <v>2</v>
      </c>
      <c r="O28" s="208">
        <v>0.45</v>
      </c>
      <c r="P28" s="208">
        <v>0.55000000000000004</v>
      </c>
      <c r="Q28" s="245">
        <f t="shared" si="2"/>
        <v>0.5</v>
      </c>
      <c r="R28" s="208">
        <v>18.2</v>
      </c>
      <c r="S28" s="208">
        <v>174</v>
      </c>
      <c r="T28" s="217">
        <f t="shared" si="0"/>
        <v>18</v>
      </c>
      <c r="U28" s="208">
        <v>410</v>
      </c>
      <c r="V28" s="217">
        <f t="shared" si="1"/>
        <v>16</v>
      </c>
      <c r="W28" s="208">
        <v>4</v>
      </c>
      <c r="X28" s="208" t="s">
        <v>46</v>
      </c>
      <c r="Y28" s="208" t="s">
        <v>90</v>
      </c>
      <c r="Z28" s="208" t="s">
        <v>69</v>
      </c>
      <c r="AA28" s="208" t="s">
        <v>86</v>
      </c>
      <c r="AB28" s="237" t="s">
        <v>500</v>
      </c>
      <c r="AD28" s="237"/>
      <c r="AV28" s="228"/>
    </row>
    <row r="29" spans="1:48" x14ac:dyDescent="0.15">
      <c r="A29" s="208" t="s">
        <v>59</v>
      </c>
      <c r="B29" s="237" t="s">
        <v>498</v>
      </c>
      <c r="C29" s="152">
        <v>2018</v>
      </c>
      <c r="D29" s="153" t="s">
        <v>499</v>
      </c>
      <c r="E29" s="208" t="s">
        <v>320</v>
      </c>
      <c r="F29" s="208" t="s">
        <v>308</v>
      </c>
      <c r="G29" s="208" t="s">
        <v>36</v>
      </c>
      <c r="H29" s="208" t="s">
        <v>157</v>
      </c>
      <c r="I29" s="208" t="s">
        <v>155</v>
      </c>
      <c r="J29" s="208" t="s">
        <v>38</v>
      </c>
      <c r="K29" s="208" t="s">
        <v>156</v>
      </c>
      <c r="L29" s="208">
        <v>1</v>
      </c>
      <c r="N29" s="208">
        <v>1</v>
      </c>
      <c r="O29" s="208">
        <v>0.8</v>
      </c>
      <c r="P29" s="208">
        <v>0.84</v>
      </c>
      <c r="Q29" s="245">
        <f t="shared" si="2"/>
        <v>0.82000000000000006</v>
      </c>
      <c r="R29" s="208">
        <v>14.8</v>
      </c>
      <c r="S29" s="208">
        <v>130</v>
      </c>
      <c r="T29" s="217">
        <f t="shared" si="0"/>
        <v>25</v>
      </c>
      <c r="U29" s="208">
        <v>108</v>
      </c>
      <c r="V29" s="217">
        <f t="shared" si="1"/>
        <v>33</v>
      </c>
      <c r="W29" s="208">
        <v>1</v>
      </c>
      <c r="X29" s="208" t="s">
        <v>46</v>
      </c>
      <c r="Y29" s="208" t="s">
        <v>90</v>
      </c>
      <c r="Z29" s="208" t="s">
        <v>69</v>
      </c>
      <c r="AA29" s="208" t="s">
        <v>86</v>
      </c>
      <c r="AB29" s="237" t="s">
        <v>500</v>
      </c>
      <c r="AV29" s="228"/>
    </row>
    <row r="30" spans="1:48" x14ac:dyDescent="0.15">
      <c r="A30" s="208" t="s">
        <v>59</v>
      </c>
      <c r="B30" s="237" t="s">
        <v>498</v>
      </c>
      <c r="C30" s="152">
        <v>2018</v>
      </c>
      <c r="D30" s="153" t="s">
        <v>499</v>
      </c>
      <c r="E30" s="208" t="s">
        <v>320</v>
      </c>
      <c r="F30" s="208" t="s">
        <v>308</v>
      </c>
      <c r="G30" s="208" t="s">
        <v>36</v>
      </c>
      <c r="H30" s="208" t="s">
        <v>157</v>
      </c>
      <c r="I30" s="208" t="s">
        <v>155</v>
      </c>
      <c r="J30" s="208" t="s">
        <v>38</v>
      </c>
      <c r="K30" s="208" t="s">
        <v>156</v>
      </c>
      <c r="L30" s="208">
        <v>2</v>
      </c>
      <c r="N30" s="208">
        <v>1</v>
      </c>
      <c r="O30" s="208">
        <v>0.97</v>
      </c>
      <c r="P30" s="208">
        <v>1.0900000000000001</v>
      </c>
      <c r="Q30" s="245">
        <f t="shared" si="2"/>
        <v>1.03</v>
      </c>
      <c r="R30" s="208">
        <v>13.3</v>
      </c>
      <c r="S30" s="208">
        <v>139</v>
      </c>
      <c r="T30" s="217">
        <f t="shared" si="0"/>
        <v>22</v>
      </c>
      <c r="U30" s="208">
        <v>108</v>
      </c>
      <c r="V30" s="217">
        <f t="shared" si="1"/>
        <v>33</v>
      </c>
      <c r="W30" s="208">
        <v>1</v>
      </c>
      <c r="X30" s="208" t="s">
        <v>46</v>
      </c>
      <c r="Y30" s="208" t="s">
        <v>90</v>
      </c>
      <c r="Z30" s="208" t="s">
        <v>69</v>
      </c>
      <c r="AA30" s="208" t="s">
        <v>86</v>
      </c>
      <c r="AB30" s="237" t="s">
        <v>500</v>
      </c>
      <c r="AV30" s="228"/>
    </row>
    <row r="31" spans="1:48" x14ac:dyDescent="0.15">
      <c r="A31" s="208" t="s">
        <v>59</v>
      </c>
      <c r="B31" s="237" t="s">
        <v>498</v>
      </c>
      <c r="C31" s="152">
        <v>2018</v>
      </c>
      <c r="D31" s="153" t="s">
        <v>499</v>
      </c>
      <c r="E31" s="208" t="s">
        <v>320</v>
      </c>
      <c r="F31" s="208" t="s">
        <v>308</v>
      </c>
      <c r="G31" s="208" t="s">
        <v>36</v>
      </c>
      <c r="H31" s="208" t="s">
        <v>157</v>
      </c>
      <c r="I31" s="208" t="s">
        <v>155</v>
      </c>
      <c r="J31" s="208" t="s">
        <v>38</v>
      </c>
      <c r="K31" s="208" t="s">
        <v>156</v>
      </c>
      <c r="L31" s="208">
        <v>3</v>
      </c>
      <c r="N31" s="208">
        <v>1</v>
      </c>
      <c r="O31" s="208">
        <v>0.84</v>
      </c>
      <c r="P31" s="208">
        <v>0.9</v>
      </c>
      <c r="Q31" s="245">
        <f t="shared" si="2"/>
        <v>0.87</v>
      </c>
      <c r="R31" s="208">
        <v>13.7</v>
      </c>
      <c r="S31" s="208">
        <v>139</v>
      </c>
      <c r="T31" s="217">
        <f t="shared" si="0"/>
        <v>22</v>
      </c>
      <c r="U31" s="208">
        <v>108</v>
      </c>
      <c r="V31" s="217">
        <f t="shared" si="1"/>
        <v>33</v>
      </c>
      <c r="W31" s="208">
        <v>1</v>
      </c>
      <c r="X31" s="208" t="s">
        <v>46</v>
      </c>
      <c r="Y31" s="208" t="s">
        <v>90</v>
      </c>
      <c r="Z31" s="208" t="s">
        <v>69</v>
      </c>
      <c r="AA31" s="208" t="s">
        <v>86</v>
      </c>
      <c r="AB31" s="237" t="s">
        <v>500</v>
      </c>
      <c r="AV31" s="228"/>
    </row>
    <row r="32" spans="1:48" x14ac:dyDescent="0.15">
      <c r="A32" s="208" t="s">
        <v>59</v>
      </c>
      <c r="B32" s="237" t="s">
        <v>498</v>
      </c>
      <c r="C32" s="152">
        <v>2018</v>
      </c>
      <c r="D32" s="153" t="s">
        <v>499</v>
      </c>
      <c r="E32" s="208" t="s">
        <v>320</v>
      </c>
      <c r="F32" s="208" t="s">
        <v>308</v>
      </c>
      <c r="G32" s="208" t="s">
        <v>36</v>
      </c>
      <c r="H32" s="208" t="s">
        <v>216</v>
      </c>
      <c r="I32" s="208" t="s">
        <v>155</v>
      </c>
      <c r="J32" s="208" t="s">
        <v>38</v>
      </c>
      <c r="K32" s="208" t="s">
        <v>156</v>
      </c>
      <c r="L32" s="208">
        <v>1</v>
      </c>
      <c r="N32" s="208">
        <v>5</v>
      </c>
      <c r="O32" s="208">
        <v>0.42</v>
      </c>
      <c r="P32" s="208">
        <v>0.55000000000000004</v>
      </c>
      <c r="Q32" s="245">
        <f t="shared" si="2"/>
        <v>0.48499999999999999</v>
      </c>
      <c r="R32" s="208">
        <v>19.899999999999999</v>
      </c>
      <c r="S32" s="208">
        <v>101</v>
      </c>
      <c r="T32" s="217">
        <f t="shared" si="0"/>
        <v>33</v>
      </c>
      <c r="U32" s="208">
        <v>410</v>
      </c>
      <c r="V32" s="217">
        <f t="shared" si="1"/>
        <v>16</v>
      </c>
      <c r="W32" s="208">
        <v>3</v>
      </c>
      <c r="X32" s="208" t="s">
        <v>46</v>
      </c>
      <c r="Y32" s="208" t="s">
        <v>90</v>
      </c>
      <c r="Z32" s="208" t="s">
        <v>69</v>
      </c>
      <c r="AA32" s="208" t="s">
        <v>86</v>
      </c>
      <c r="AB32" s="237" t="s">
        <v>500</v>
      </c>
      <c r="AV32" s="228"/>
    </row>
    <row r="33" spans="1:48" x14ac:dyDescent="0.15">
      <c r="A33" s="208" t="s">
        <v>59</v>
      </c>
      <c r="B33" s="237" t="s">
        <v>498</v>
      </c>
      <c r="C33" s="152">
        <v>2018</v>
      </c>
      <c r="D33" s="153" t="s">
        <v>499</v>
      </c>
      <c r="E33" s="208" t="s">
        <v>320</v>
      </c>
      <c r="F33" s="208" t="s">
        <v>308</v>
      </c>
      <c r="G33" s="208" t="s">
        <v>36</v>
      </c>
      <c r="H33" s="208" t="s">
        <v>216</v>
      </c>
      <c r="I33" s="208" t="s">
        <v>155</v>
      </c>
      <c r="J33" s="208" t="s">
        <v>38</v>
      </c>
      <c r="K33" s="208" t="s">
        <v>156</v>
      </c>
      <c r="L33" s="208">
        <v>2</v>
      </c>
      <c r="N33" s="208">
        <v>5</v>
      </c>
      <c r="O33" s="208">
        <v>0.63</v>
      </c>
      <c r="P33" s="208">
        <v>0.63</v>
      </c>
      <c r="Q33" s="245">
        <f t="shared" si="2"/>
        <v>0.63</v>
      </c>
      <c r="R33" s="208">
        <v>16.5</v>
      </c>
      <c r="S33" s="208">
        <v>109</v>
      </c>
      <c r="T33" s="217">
        <f t="shared" si="0"/>
        <v>33</v>
      </c>
      <c r="U33" s="208">
        <v>410</v>
      </c>
      <c r="V33" s="217">
        <f t="shared" si="1"/>
        <v>16</v>
      </c>
      <c r="W33" s="208">
        <v>3</v>
      </c>
      <c r="X33" s="208" t="s">
        <v>46</v>
      </c>
      <c r="Y33" s="208" t="s">
        <v>90</v>
      </c>
      <c r="Z33" s="208" t="s">
        <v>69</v>
      </c>
      <c r="AA33" s="208" t="s">
        <v>86</v>
      </c>
      <c r="AB33" s="237" t="s">
        <v>500</v>
      </c>
      <c r="AV33" s="228"/>
    </row>
    <row r="34" spans="1:48" x14ac:dyDescent="0.15">
      <c r="A34" s="208" t="s">
        <v>59</v>
      </c>
      <c r="B34" s="237" t="s">
        <v>498</v>
      </c>
      <c r="C34" s="152">
        <v>2018</v>
      </c>
      <c r="D34" s="153" t="s">
        <v>499</v>
      </c>
      <c r="E34" s="208" t="s">
        <v>320</v>
      </c>
      <c r="F34" s="208" t="s">
        <v>308</v>
      </c>
      <c r="G34" s="208" t="s">
        <v>36</v>
      </c>
      <c r="H34" s="208" t="s">
        <v>216</v>
      </c>
      <c r="I34" s="208" t="s">
        <v>155</v>
      </c>
      <c r="J34" s="208" t="s">
        <v>38</v>
      </c>
      <c r="K34" s="208" t="s">
        <v>156</v>
      </c>
      <c r="L34" s="208">
        <v>3</v>
      </c>
      <c r="N34" s="208">
        <v>5</v>
      </c>
      <c r="O34" s="208">
        <v>0.43</v>
      </c>
      <c r="P34" s="208">
        <v>0.57999999999999996</v>
      </c>
      <c r="Q34" s="245">
        <f t="shared" si="2"/>
        <v>0.505</v>
      </c>
      <c r="R34" s="208">
        <v>18.600000000000001</v>
      </c>
      <c r="S34" s="208">
        <v>100</v>
      </c>
      <c r="T34" s="217">
        <f t="shared" si="0"/>
        <v>33</v>
      </c>
      <c r="U34" s="208">
        <v>410</v>
      </c>
      <c r="V34" s="217">
        <f t="shared" si="1"/>
        <v>16</v>
      </c>
      <c r="W34" s="208">
        <v>3</v>
      </c>
      <c r="X34" s="208" t="s">
        <v>46</v>
      </c>
      <c r="Y34" s="208" t="s">
        <v>90</v>
      </c>
      <c r="Z34" s="208" t="s">
        <v>69</v>
      </c>
      <c r="AA34" s="208" t="s">
        <v>86</v>
      </c>
      <c r="AB34" s="237" t="s">
        <v>500</v>
      </c>
      <c r="AV34" s="228"/>
    </row>
    <row r="35" spans="1:48" x14ac:dyDescent="0.15">
      <c r="A35" s="208" t="s">
        <v>59</v>
      </c>
      <c r="B35" s="237" t="s">
        <v>498</v>
      </c>
      <c r="C35" s="152">
        <v>2018</v>
      </c>
      <c r="D35" s="153" t="s">
        <v>499</v>
      </c>
      <c r="E35" s="208" t="s">
        <v>319</v>
      </c>
      <c r="F35" s="208" t="s">
        <v>311</v>
      </c>
      <c r="G35" s="208" t="s">
        <v>36</v>
      </c>
      <c r="H35" s="208" t="s">
        <v>168</v>
      </c>
      <c r="I35" s="208" t="s">
        <v>155</v>
      </c>
      <c r="J35" s="208" t="s">
        <v>38</v>
      </c>
      <c r="K35" s="208" t="s">
        <v>156</v>
      </c>
      <c r="L35" s="208">
        <v>1</v>
      </c>
      <c r="N35" s="208">
        <v>2</v>
      </c>
      <c r="O35" s="208">
        <v>0.38</v>
      </c>
      <c r="P35" s="208">
        <v>0.25</v>
      </c>
      <c r="Q35" s="245">
        <f t="shared" si="2"/>
        <v>0.315</v>
      </c>
      <c r="R35" s="208">
        <v>18.399999999999999</v>
      </c>
      <c r="S35" s="208">
        <v>187</v>
      </c>
      <c r="T35" s="217">
        <f t="shared" si="0"/>
        <v>16</v>
      </c>
      <c r="U35" s="208">
        <v>380</v>
      </c>
      <c r="V35" s="217">
        <f t="shared" si="1"/>
        <v>16</v>
      </c>
      <c r="W35" s="208">
        <v>7</v>
      </c>
      <c r="X35" s="208" t="s">
        <v>46</v>
      </c>
      <c r="Y35" s="208" t="s">
        <v>90</v>
      </c>
      <c r="Z35" s="208" t="s">
        <v>86</v>
      </c>
      <c r="AA35" s="208" t="s">
        <v>55</v>
      </c>
      <c r="AB35" s="237" t="s">
        <v>500</v>
      </c>
      <c r="AV35" s="228"/>
    </row>
    <row r="36" spans="1:48" x14ac:dyDescent="0.15">
      <c r="A36" s="208" t="s">
        <v>59</v>
      </c>
      <c r="B36" s="237" t="s">
        <v>498</v>
      </c>
      <c r="C36" s="152">
        <v>2018</v>
      </c>
      <c r="D36" s="153" t="s">
        <v>499</v>
      </c>
      <c r="E36" s="208" t="s">
        <v>319</v>
      </c>
      <c r="F36" s="208" t="s">
        <v>311</v>
      </c>
      <c r="G36" s="208" t="s">
        <v>36</v>
      </c>
      <c r="H36" s="208" t="s">
        <v>168</v>
      </c>
      <c r="I36" s="208" t="s">
        <v>155</v>
      </c>
      <c r="J36" s="208" t="s">
        <v>38</v>
      </c>
      <c r="K36" s="208" t="s">
        <v>156</v>
      </c>
      <c r="L36" s="208">
        <v>2</v>
      </c>
      <c r="N36" s="208">
        <v>2</v>
      </c>
      <c r="O36" s="208">
        <v>0.32</v>
      </c>
      <c r="P36" s="208">
        <v>0.2</v>
      </c>
      <c r="Q36" s="245">
        <f t="shared" si="2"/>
        <v>0.26</v>
      </c>
      <c r="R36" s="208">
        <v>15.7</v>
      </c>
      <c r="S36" s="208">
        <v>184</v>
      </c>
      <c r="T36" s="217">
        <f t="shared" si="0"/>
        <v>16</v>
      </c>
      <c r="U36" s="208">
        <v>380</v>
      </c>
      <c r="V36" s="217">
        <f t="shared" si="1"/>
        <v>16</v>
      </c>
      <c r="W36" s="208">
        <v>7</v>
      </c>
      <c r="X36" s="208" t="s">
        <v>46</v>
      </c>
      <c r="Y36" s="208" t="s">
        <v>90</v>
      </c>
      <c r="Z36" s="208" t="s">
        <v>86</v>
      </c>
      <c r="AA36" s="208" t="s">
        <v>55</v>
      </c>
      <c r="AB36" s="237" t="s">
        <v>500</v>
      </c>
      <c r="AV36" s="228"/>
    </row>
    <row r="37" spans="1:48" x14ac:dyDescent="0.15">
      <c r="A37" s="208" t="s">
        <v>59</v>
      </c>
      <c r="B37" s="237" t="s">
        <v>498</v>
      </c>
      <c r="C37" s="152">
        <v>2018</v>
      </c>
      <c r="D37" s="153" t="s">
        <v>499</v>
      </c>
      <c r="E37" s="208" t="s">
        <v>319</v>
      </c>
      <c r="F37" s="208" t="s">
        <v>311</v>
      </c>
      <c r="G37" s="208" t="s">
        <v>36</v>
      </c>
      <c r="H37" s="208" t="s">
        <v>168</v>
      </c>
      <c r="I37" s="208" t="s">
        <v>155</v>
      </c>
      <c r="J37" s="208" t="s">
        <v>38</v>
      </c>
      <c r="K37" s="208" t="s">
        <v>156</v>
      </c>
      <c r="L37" s="208">
        <v>3</v>
      </c>
      <c r="N37" s="208">
        <v>2</v>
      </c>
      <c r="O37" s="208">
        <v>0.4</v>
      </c>
      <c r="P37" s="208">
        <v>0.35</v>
      </c>
      <c r="Q37" s="245">
        <f t="shared" si="2"/>
        <v>0.375</v>
      </c>
      <c r="R37" s="208">
        <v>15.9</v>
      </c>
      <c r="S37" s="208">
        <v>183</v>
      </c>
      <c r="T37" s="217">
        <f t="shared" si="0"/>
        <v>16</v>
      </c>
      <c r="U37" s="208">
        <v>380</v>
      </c>
      <c r="V37" s="217">
        <f t="shared" si="1"/>
        <v>16</v>
      </c>
      <c r="W37" s="208">
        <v>7</v>
      </c>
      <c r="X37" s="208" t="s">
        <v>46</v>
      </c>
      <c r="Y37" s="208" t="s">
        <v>90</v>
      </c>
      <c r="Z37" s="208" t="s">
        <v>86</v>
      </c>
      <c r="AA37" s="208" t="s">
        <v>55</v>
      </c>
      <c r="AB37" s="237" t="s">
        <v>500</v>
      </c>
      <c r="AV37" s="228"/>
    </row>
    <row r="38" spans="1:48" x14ac:dyDescent="0.15">
      <c r="A38" s="208" t="s">
        <v>59</v>
      </c>
      <c r="B38" s="237" t="s">
        <v>498</v>
      </c>
      <c r="C38" s="152">
        <v>2018</v>
      </c>
      <c r="D38" s="153" t="s">
        <v>499</v>
      </c>
      <c r="E38" s="208" t="s">
        <v>319</v>
      </c>
      <c r="F38" s="208" t="s">
        <v>311</v>
      </c>
      <c r="G38" s="208" t="s">
        <v>36</v>
      </c>
      <c r="H38" s="208" t="s">
        <v>157</v>
      </c>
      <c r="I38" s="208" t="s">
        <v>155</v>
      </c>
      <c r="J38" s="208" t="s">
        <v>38</v>
      </c>
      <c r="K38" s="208" t="s">
        <v>156</v>
      </c>
      <c r="L38" s="208">
        <v>1</v>
      </c>
      <c r="N38" s="208">
        <v>3</v>
      </c>
      <c r="O38" s="208">
        <v>0.65</v>
      </c>
      <c r="P38" s="208">
        <v>0.65</v>
      </c>
      <c r="Q38" s="245">
        <f t="shared" si="2"/>
        <v>0.65</v>
      </c>
      <c r="R38" s="208">
        <v>16.100000000000001</v>
      </c>
      <c r="S38" s="208">
        <v>130</v>
      </c>
      <c r="T38" s="217">
        <f t="shared" si="0"/>
        <v>25</v>
      </c>
      <c r="U38" s="208">
        <v>298</v>
      </c>
      <c r="V38" s="217">
        <f t="shared" si="1"/>
        <v>16</v>
      </c>
      <c r="W38" s="208">
        <v>5</v>
      </c>
      <c r="X38" s="208" t="s">
        <v>46</v>
      </c>
      <c r="Y38" s="208" t="s">
        <v>90</v>
      </c>
      <c r="Z38" s="208" t="s">
        <v>86</v>
      </c>
      <c r="AA38" s="208" t="s">
        <v>55</v>
      </c>
      <c r="AB38" s="237" t="s">
        <v>500</v>
      </c>
      <c r="AV38" s="229"/>
    </row>
    <row r="39" spans="1:48" x14ac:dyDescent="0.15">
      <c r="A39" s="208" t="s">
        <v>59</v>
      </c>
      <c r="B39" s="237" t="s">
        <v>498</v>
      </c>
      <c r="C39" s="152">
        <v>2018</v>
      </c>
      <c r="D39" s="153" t="s">
        <v>499</v>
      </c>
      <c r="E39" s="208" t="s">
        <v>319</v>
      </c>
      <c r="F39" s="208" t="s">
        <v>311</v>
      </c>
      <c r="G39" s="208" t="s">
        <v>36</v>
      </c>
      <c r="H39" s="208" t="s">
        <v>157</v>
      </c>
      <c r="I39" s="208" t="s">
        <v>155</v>
      </c>
      <c r="J39" s="208" t="s">
        <v>38</v>
      </c>
      <c r="K39" s="208" t="s">
        <v>156</v>
      </c>
      <c r="L39" s="208">
        <v>2</v>
      </c>
      <c r="N39" s="208">
        <v>3</v>
      </c>
      <c r="O39" s="208">
        <v>0.62</v>
      </c>
      <c r="P39" s="208">
        <v>0.63</v>
      </c>
      <c r="Q39" s="245">
        <f t="shared" si="2"/>
        <v>0.625</v>
      </c>
      <c r="R39" s="208">
        <v>14.1</v>
      </c>
      <c r="S39" s="208">
        <v>127</v>
      </c>
      <c r="T39" s="217">
        <f t="shared" si="0"/>
        <v>27</v>
      </c>
      <c r="U39" s="208">
        <v>298</v>
      </c>
      <c r="V39" s="217">
        <f t="shared" si="1"/>
        <v>16</v>
      </c>
      <c r="W39" s="208">
        <v>5</v>
      </c>
      <c r="X39" s="208" t="s">
        <v>46</v>
      </c>
      <c r="Y39" s="208" t="s">
        <v>90</v>
      </c>
      <c r="Z39" s="208" t="s">
        <v>86</v>
      </c>
      <c r="AA39" s="208" t="s">
        <v>55</v>
      </c>
      <c r="AB39" s="237" t="s">
        <v>500</v>
      </c>
    </row>
    <row r="40" spans="1:48" x14ac:dyDescent="0.15">
      <c r="A40" s="208" t="s">
        <v>59</v>
      </c>
      <c r="B40" s="237" t="s">
        <v>498</v>
      </c>
      <c r="C40" s="152">
        <v>2018</v>
      </c>
      <c r="D40" s="153" t="s">
        <v>499</v>
      </c>
      <c r="E40" s="208" t="s">
        <v>319</v>
      </c>
      <c r="F40" s="208" t="s">
        <v>311</v>
      </c>
      <c r="G40" s="208" t="s">
        <v>36</v>
      </c>
      <c r="H40" s="208" t="s">
        <v>157</v>
      </c>
      <c r="I40" s="208" t="s">
        <v>155</v>
      </c>
      <c r="J40" s="208" t="s">
        <v>38</v>
      </c>
      <c r="K40" s="208" t="s">
        <v>156</v>
      </c>
      <c r="L40" s="208">
        <v>3</v>
      </c>
      <c r="N40" s="208">
        <v>3</v>
      </c>
      <c r="O40" s="208">
        <v>0.65</v>
      </c>
      <c r="P40" s="208">
        <v>0.67</v>
      </c>
      <c r="Q40" s="245">
        <f t="shared" si="2"/>
        <v>0.66</v>
      </c>
      <c r="R40" s="208">
        <v>14.9</v>
      </c>
      <c r="S40" s="208">
        <v>129</v>
      </c>
      <c r="T40" s="217">
        <f t="shared" si="0"/>
        <v>25</v>
      </c>
      <c r="U40" s="208">
        <v>298</v>
      </c>
      <c r="V40" s="217">
        <f t="shared" si="1"/>
        <v>16</v>
      </c>
      <c r="W40" s="208">
        <v>5</v>
      </c>
      <c r="X40" s="208" t="s">
        <v>46</v>
      </c>
      <c r="Y40" s="208" t="s">
        <v>90</v>
      </c>
      <c r="Z40" s="208" t="s">
        <v>86</v>
      </c>
      <c r="AA40" s="208" t="s">
        <v>55</v>
      </c>
      <c r="AB40" s="237" t="s">
        <v>500</v>
      </c>
    </row>
    <row r="41" spans="1:48" x14ac:dyDescent="0.15">
      <c r="A41" s="208" t="s">
        <v>59</v>
      </c>
      <c r="B41" s="237" t="s">
        <v>498</v>
      </c>
      <c r="C41" s="152">
        <v>2018</v>
      </c>
      <c r="D41" s="153" t="s">
        <v>499</v>
      </c>
      <c r="E41" s="208" t="s">
        <v>318</v>
      </c>
      <c r="F41" s="208" t="s">
        <v>311</v>
      </c>
      <c r="G41" s="208" t="s">
        <v>36</v>
      </c>
      <c r="H41" s="208" t="s">
        <v>168</v>
      </c>
      <c r="I41" s="208" t="s">
        <v>155</v>
      </c>
      <c r="J41" s="208" t="s">
        <v>38</v>
      </c>
      <c r="K41" s="208" t="s">
        <v>156</v>
      </c>
      <c r="L41" s="208">
        <v>1</v>
      </c>
      <c r="N41" s="216">
        <v>4</v>
      </c>
      <c r="O41" s="216">
        <v>0.65</v>
      </c>
      <c r="P41" s="216">
        <v>0.5</v>
      </c>
      <c r="Q41" s="245">
        <f t="shared" si="2"/>
        <v>0.57499999999999996</v>
      </c>
      <c r="R41" s="208">
        <v>15.3</v>
      </c>
      <c r="S41" s="208">
        <v>94</v>
      </c>
      <c r="T41" s="217">
        <f t="shared" si="0"/>
        <v>36</v>
      </c>
      <c r="U41" s="208">
        <v>537</v>
      </c>
      <c r="V41" s="217">
        <f t="shared" si="1"/>
        <v>16</v>
      </c>
      <c r="W41" s="208">
        <v>4</v>
      </c>
      <c r="X41" s="208" t="s">
        <v>46</v>
      </c>
      <c r="Y41" s="208" t="s">
        <v>69</v>
      </c>
      <c r="Z41" s="208" t="s">
        <v>47</v>
      </c>
      <c r="AA41" s="208" t="s">
        <v>90</v>
      </c>
      <c r="AB41" s="237" t="s">
        <v>500</v>
      </c>
    </row>
    <row r="42" spans="1:48" x14ac:dyDescent="0.15">
      <c r="A42" s="208" t="s">
        <v>59</v>
      </c>
      <c r="B42" s="237" t="s">
        <v>498</v>
      </c>
      <c r="C42" s="152">
        <v>2018</v>
      </c>
      <c r="D42" s="153" t="s">
        <v>499</v>
      </c>
      <c r="E42" s="208" t="s">
        <v>318</v>
      </c>
      <c r="F42" s="208" t="s">
        <v>311</v>
      </c>
      <c r="G42" s="208" t="s">
        <v>36</v>
      </c>
      <c r="H42" s="208" t="s">
        <v>168</v>
      </c>
      <c r="I42" s="208" t="s">
        <v>155</v>
      </c>
      <c r="J42" s="208" t="s">
        <v>38</v>
      </c>
      <c r="K42" s="208" t="s">
        <v>156</v>
      </c>
      <c r="L42" s="208">
        <v>2</v>
      </c>
      <c r="N42" s="216">
        <v>4</v>
      </c>
      <c r="O42" s="216">
        <v>0.48</v>
      </c>
      <c r="P42" s="216">
        <v>0.46</v>
      </c>
      <c r="Q42" s="245">
        <f t="shared" si="2"/>
        <v>0.47</v>
      </c>
      <c r="R42" s="208">
        <v>15.1</v>
      </c>
      <c r="S42" s="208">
        <v>100</v>
      </c>
      <c r="T42" s="217">
        <f t="shared" si="0"/>
        <v>33</v>
      </c>
      <c r="U42" s="208">
        <v>537</v>
      </c>
      <c r="V42" s="217">
        <f t="shared" si="1"/>
        <v>16</v>
      </c>
      <c r="W42" s="208">
        <v>4</v>
      </c>
      <c r="X42" s="208" t="s">
        <v>46</v>
      </c>
      <c r="Y42" s="208" t="s">
        <v>69</v>
      </c>
      <c r="Z42" s="208" t="s">
        <v>47</v>
      </c>
      <c r="AA42" s="208" t="s">
        <v>90</v>
      </c>
      <c r="AB42" s="237" t="s">
        <v>500</v>
      </c>
    </row>
    <row r="43" spans="1:48" x14ac:dyDescent="0.15">
      <c r="A43" s="208" t="s">
        <v>59</v>
      </c>
      <c r="B43" s="237" t="s">
        <v>498</v>
      </c>
      <c r="C43" s="152">
        <v>2018</v>
      </c>
      <c r="D43" s="153" t="s">
        <v>499</v>
      </c>
      <c r="E43" s="208" t="s">
        <v>318</v>
      </c>
      <c r="F43" s="208" t="s">
        <v>311</v>
      </c>
      <c r="G43" s="208" t="s">
        <v>36</v>
      </c>
      <c r="H43" s="208" t="s">
        <v>168</v>
      </c>
      <c r="I43" s="208" t="s">
        <v>155</v>
      </c>
      <c r="J43" s="208" t="s">
        <v>38</v>
      </c>
      <c r="K43" s="208" t="s">
        <v>156</v>
      </c>
      <c r="L43" s="208">
        <v>3</v>
      </c>
      <c r="N43" s="216">
        <v>4</v>
      </c>
      <c r="O43" s="216">
        <v>0.45</v>
      </c>
      <c r="P43" s="216">
        <v>0.56999999999999995</v>
      </c>
      <c r="Q43" s="245">
        <f t="shared" si="2"/>
        <v>0.51</v>
      </c>
      <c r="R43" s="208">
        <v>15.6</v>
      </c>
      <c r="S43" s="208">
        <v>100</v>
      </c>
      <c r="T43" s="217">
        <f t="shared" si="0"/>
        <v>33</v>
      </c>
      <c r="U43" s="208">
        <v>537</v>
      </c>
      <c r="V43" s="217">
        <f t="shared" si="1"/>
        <v>16</v>
      </c>
      <c r="W43" s="208">
        <v>4</v>
      </c>
      <c r="X43" s="208" t="s">
        <v>46</v>
      </c>
      <c r="Y43" s="208" t="s">
        <v>69</v>
      </c>
      <c r="Z43" s="208" t="s">
        <v>47</v>
      </c>
      <c r="AA43" s="208" t="s">
        <v>90</v>
      </c>
      <c r="AB43" s="237" t="s">
        <v>500</v>
      </c>
    </row>
    <row r="44" spans="1:48" x14ac:dyDescent="0.15">
      <c r="A44" s="208" t="s">
        <v>59</v>
      </c>
      <c r="B44" s="237" t="s">
        <v>498</v>
      </c>
      <c r="C44" s="152">
        <v>2018</v>
      </c>
      <c r="D44" s="153" t="s">
        <v>499</v>
      </c>
      <c r="E44" s="208" t="s">
        <v>318</v>
      </c>
      <c r="F44" s="208" t="s">
        <v>311</v>
      </c>
      <c r="G44" s="208" t="s">
        <v>36</v>
      </c>
      <c r="H44" s="208" t="s">
        <v>157</v>
      </c>
      <c r="I44" s="208" t="s">
        <v>155</v>
      </c>
      <c r="J44" s="208" t="s">
        <v>38</v>
      </c>
      <c r="K44" s="208" t="s">
        <v>156</v>
      </c>
      <c r="L44" s="208">
        <v>1</v>
      </c>
      <c r="N44" s="216">
        <v>3</v>
      </c>
      <c r="O44" s="216">
        <v>0.8</v>
      </c>
      <c r="P44" s="216">
        <v>0.93</v>
      </c>
      <c r="Q44" s="245">
        <f t="shared" si="2"/>
        <v>0.86499999999999999</v>
      </c>
      <c r="R44" s="208">
        <v>14.5</v>
      </c>
      <c r="S44" s="208">
        <v>123</v>
      </c>
      <c r="T44" s="217">
        <f t="shared" si="0"/>
        <v>27</v>
      </c>
      <c r="U44" s="208">
        <v>321</v>
      </c>
      <c r="V44" s="217">
        <f t="shared" si="1"/>
        <v>16</v>
      </c>
      <c r="W44" s="208">
        <v>3</v>
      </c>
      <c r="X44" s="208" t="s">
        <v>46</v>
      </c>
      <c r="Y44" s="208" t="s">
        <v>69</v>
      </c>
      <c r="Z44" s="208" t="s">
        <v>47</v>
      </c>
      <c r="AA44" s="208" t="s">
        <v>90</v>
      </c>
      <c r="AB44" s="237" t="s">
        <v>500</v>
      </c>
    </row>
    <row r="45" spans="1:48" x14ac:dyDescent="0.15">
      <c r="A45" s="208" t="s">
        <v>59</v>
      </c>
      <c r="B45" s="237" t="s">
        <v>498</v>
      </c>
      <c r="C45" s="152">
        <v>2018</v>
      </c>
      <c r="D45" s="153" t="s">
        <v>499</v>
      </c>
      <c r="E45" s="208" t="s">
        <v>318</v>
      </c>
      <c r="F45" s="208" t="s">
        <v>311</v>
      </c>
      <c r="G45" s="208" t="s">
        <v>36</v>
      </c>
      <c r="H45" s="208" t="s">
        <v>157</v>
      </c>
      <c r="I45" s="208" t="s">
        <v>155</v>
      </c>
      <c r="J45" s="208" t="s">
        <v>38</v>
      </c>
      <c r="K45" s="208" t="s">
        <v>156</v>
      </c>
      <c r="L45" s="208">
        <v>2</v>
      </c>
      <c r="N45" s="208">
        <v>3</v>
      </c>
      <c r="O45" s="208">
        <v>0.65</v>
      </c>
      <c r="P45" s="208">
        <v>0.52</v>
      </c>
      <c r="Q45" s="245">
        <f t="shared" si="2"/>
        <v>0.58499999999999996</v>
      </c>
      <c r="R45" s="208">
        <v>14.6</v>
      </c>
      <c r="S45" s="208">
        <v>114</v>
      </c>
      <c r="T45" s="217">
        <f t="shared" si="0"/>
        <v>30</v>
      </c>
      <c r="U45" s="208">
        <v>321</v>
      </c>
      <c r="V45" s="217">
        <f t="shared" si="1"/>
        <v>16</v>
      </c>
      <c r="W45" s="208">
        <v>3</v>
      </c>
      <c r="X45" s="208" t="s">
        <v>46</v>
      </c>
      <c r="Y45" s="208" t="s">
        <v>69</v>
      </c>
      <c r="Z45" s="208" t="s">
        <v>47</v>
      </c>
      <c r="AA45" s="208" t="s">
        <v>90</v>
      </c>
      <c r="AB45" s="237" t="s">
        <v>500</v>
      </c>
    </row>
    <row r="46" spans="1:48" x14ac:dyDescent="0.15">
      <c r="A46" s="208" t="s">
        <v>59</v>
      </c>
      <c r="B46" s="237" t="s">
        <v>498</v>
      </c>
      <c r="C46" s="152">
        <v>2018</v>
      </c>
      <c r="D46" s="153" t="s">
        <v>499</v>
      </c>
      <c r="E46" s="208" t="s">
        <v>318</v>
      </c>
      <c r="F46" s="208" t="s">
        <v>311</v>
      </c>
      <c r="G46" s="208" t="s">
        <v>36</v>
      </c>
      <c r="H46" s="208" t="s">
        <v>157</v>
      </c>
      <c r="I46" s="208" t="s">
        <v>155</v>
      </c>
      <c r="J46" s="208" t="s">
        <v>38</v>
      </c>
      <c r="K46" s="208" t="s">
        <v>156</v>
      </c>
      <c r="L46" s="208">
        <v>3</v>
      </c>
      <c r="N46" s="208">
        <v>3</v>
      </c>
      <c r="O46" s="208">
        <v>0.75</v>
      </c>
      <c r="P46" s="208">
        <v>0.75</v>
      </c>
      <c r="Q46" s="245">
        <f t="shared" si="2"/>
        <v>0.75</v>
      </c>
      <c r="R46" s="208">
        <v>14.5</v>
      </c>
      <c r="S46" s="208">
        <v>114</v>
      </c>
      <c r="T46" s="217">
        <f t="shared" si="0"/>
        <v>30</v>
      </c>
      <c r="U46" s="208">
        <v>321</v>
      </c>
      <c r="V46" s="217">
        <f t="shared" si="1"/>
        <v>16</v>
      </c>
      <c r="W46" s="208">
        <v>3</v>
      </c>
      <c r="X46" s="208" t="s">
        <v>46</v>
      </c>
      <c r="Y46" s="208" t="s">
        <v>69</v>
      </c>
      <c r="Z46" s="208" t="s">
        <v>47</v>
      </c>
      <c r="AA46" s="208" t="s">
        <v>90</v>
      </c>
      <c r="AB46" s="237" t="s">
        <v>500</v>
      </c>
    </row>
    <row r="47" spans="1:48" x14ac:dyDescent="0.15">
      <c r="A47" s="208" t="s">
        <v>59</v>
      </c>
      <c r="B47" s="237" t="s">
        <v>498</v>
      </c>
      <c r="C47" s="152">
        <v>2018</v>
      </c>
      <c r="D47" s="153" t="s">
        <v>499</v>
      </c>
      <c r="E47" s="208" t="s">
        <v>318</v>
      </c>
      <c r="F47" s="208" t="s">
        <v>311</v>
      </c>
      <c r="G47" s="208" t="s">
        <v>36</v>
      </c>
      <c r="H47" s="208" t="s">
        <v>216</v>
      </c>
      <c r="I47" s="208" t="s">
        <v>155</v>
      </c>
      <c r="J47" s="208" t="s">
        <v>38</v>
      </c>
      <c r="K47" s="208" t="s">
        <v>156</v>
      </c>
      <c r="L47" s="208">
        <v>1</v>
      </c>
      <c r="N47" s="208">
        <v>5</v>
      </c>
      <c r="O47" s="208">
        <v>0.55000000000000004</v>
      </c>
      <c r="P47" s="208">
        <v>0.55000000000000004</v>
      </c>
      <c r="Q47" s="245">
        <f t="shared" si="2"/>
        <v>0.55000000000000004</v>
      </c>
      <c r="R47" s="208">
        <v>18.899999999999999</v>
      </c>
      <c r="S47" s="208">
        <v>110</v>
      </c>
      <c r="T47" s="217">
        <f t="shared" si="0"/>
        <v>33</v>
      </c>
      <c r="U47" s="208">
        <v>429</v>
      </c>
      <c r="V47" s="217">
        <f t="shared" si="1"/>
        <v>16</v>
      </c>
      <c r="W47" s="208">
        <v>1</v>
      </c>
      <c r="X47" s="208" t="s">
        <v>46</v>
      </c>
      <c r="Y47" s="208" t="s">
        <v>69</v>
      </c>
      <c r="Z47" s="208" t="s">
        <v>47</v>
      </c>
      <c r="AA47" s="208" t="s">
        <v>90</v>
      </c>
      <c r="AB47" s="237" t="s">
        <v>500</v>
      </c>
    </row>
    <row r="48" spans="1:48" x14ac:dyDescent="0.15">
      <c r="A48" s="208" t="s">
        <v>59</v>
      </c>
      <c r="B48" s="237" t="s">
        <v>498</v>
      </c>
      <c r="C48" s="152">
        <v>2018</v>
      </c>
      <c r="D48" s="153" t="s">
        <v>499</v>
      </c>
      <c r="E48" s="208" t="s">
        <v>318</v>
      </c>
      <c r="F48" s="208" t="s">
        <v>311</v>
      </c>
      <c r="G48" s="208" t="s">
        <v>36</v>
      </c>
      <c r="H48" s="208" t="s">
        <v>216</v>
      </c>
      <c r="I48" s="208" t="s">
        <v>155</v>
      </c>
      <c r="J48" s="208" t="s">
        <v>38</v>
      </c>
      <c r="K48" s="208" t="s">
        <v>156</v>
      </c>
      <c r="L48" s="208">
        <v>2</v>
      </c>
      <c r="N48" s="208">
        <v>5</v>
      </c>
      <c r="O48" s="208">
        <v>0.55000000000000004</v>
      </c>
      <c r="P48" s="208">
        <v>0.6</v>
      </c>
      <c r="Q48" s="245">
        <f t="shared" si="2"/>
        <v>0.57499999999999996</v>
      </c>
      <c r="R48" s="208">
        <v>16.3</v>
      </c>
      <c r="S48" s="208">
        <v>99</v>
      </c>
      <c r="T48" s="217">
        <f t="shared" si="0"/>
        <v>33</v>
      </c>
      <c r="U48" s="208">
        <v>429</v>
      </c>
      <c r="V48" s="217">
        <f t="shared" si="1"/>
        <v>16</v>
      </c>
      <c r="W48" s="208">
        <v>1</v>
      </c>
      <c r="X48" s="208" t="s">
        <v>46</v>
      </c>
      <c r="Y48" s="208" t="s">
        <v>69</v>
      </c>
      <c r="Z48" s="208" t="s">
        <v>47</v>
      </c>
      <c r="AA48" s="208" t="s">
        <v>90</v>
      </c>
      <c r="AB48" s="237" t="s">
        <v>500</v>
      </c>
    </row>
    <row r="49" spans="1:28" x14ac:dyDescent="0.15">
      <c r="A49" s="208" t="s">
        <v>59</v>
      </c>
      <c r="B49" s="237" t="s">
        <v>498</v>
      </c>
      <c r="C49" s="152">
        <v>2018</v>
      </c>
      <c r="D49" s="153" t="s">
        <v>499</v>
      </c>
      <c r="E49" s="208" t="s">
        <v>318</v>
      </c>
      <c r="F49" s="208" t="s">
        <v>311</v>
      </c>
      <c r="G49" s="208" t="s">
        <v>36</v>
      </c>
      <c r="H49" s="208" t="s">
        <v>216</v>
      </c>
      <c r="I49" s="208" t="s">
        <v>155</v>
      </c>
      <c r="J49" s="208" t="s">
        <v>38</v>
      </c>
      <c r="K49" s="208" t="s">
        <v>156</v>
      </c>
      <c r="L49" s="208">
        <v>3</v>
      </c>
      <c r="N49" s="208">
        <v>5</v>
      </c>
      <c r="O49" s="208">
        <v>0.6</v>
      </c>
      <c r="P49" s="208">
        <v>0.63</v>
      </c>
      <c r="Q49" s="245">
        <f t="shared" si="2"/>
        <v>0.61499999999999999</v>
      </c>
      <c r="R49" s="208">
        <v>17.100000000000001</v>
      </c>
      <c r="S49" s="208">
        <v>105</v>
      </c>
      <c r="T49" s="217">
        <f t="shared" si="0"/>
        <v>33</v>
      </c>
      <c r="U49" s="208">
        <v>429</v>
      </c>
      <c r="V49" s="217">
        <f t="shared" si="1"/>
        <v>16</v>
      </c>
      <c r="W49" s="208">
        <v>1</v>
      </c>
      <c r="X49" s="208" t="s">
        <v>46</v>
      </c>
      <c r="Y49" s="208" t="s">
        <v>69</v>
      </c>
      <c r="Z49" s="208" t="s">
        <v>47</v>
      </c>
      <c r="AA49" s="208" t="s">
        <v>90</v>
      </c>
      <c r="AB49" s="237" t="s">
        <v>500</v>
      </c>
    </row>
    <row r="50" spans="1:28" x14ac:dyDescent="0.15">
      <c r="A50" s="208" t="s">
        <v>59</v>
      </c>
      <c r="B50" s="237" t="s">
        <v>498</v>
      </c>
      <c r="C50" s="152">
        <v>2018</v>
      </c>
      <c r="D50" s="153" t="s">
        <v>499</v>
      </c>
      <c r="E50" s="208" t="s">
        <v>317</v>
      </c>
      <c r="F50" s="208" t="s">
        <v>310</v>
      </c>
      <c r="G50" s="208" t="s">
        <v>36</v>
      </c>
      <c r="H50" s="208" t="s">
        <v>168</v>
      </c>
      <c r="I50" s="208" t="s">
        <v>155</v>
      </c>
      <c r="J50" s="208" t="s">
        <v>38</v>
      </c>
      <c r="K50" s="208" t="s">
        <v>156</v>
      </c>
      <c r="L50" s="208">
        <v>1</v>
      </c>
      <c r="N50" s="208">
        <v>2</v>
      </c>
      <c r="O50" s="208">
        <v>0.4</v>
      </c>
      <c r="P50" s="208">
        <v>0.45</v>
      </c>
      <c r="Q50" s="245">
        <f t="shared" si="2"/>
        <v>0.42500000000000004</v>
      </c>
      <c r="R50" s="208">
        <v>15.9</v>
      </c>
      <c r="S50" s="208">
        <v>155</v>
      </c>
      <c r="T50" s="217">
        <f t="shared" si="0"/>
        <v>18</v>
      </c>
      <c r="U50" s="208">
        <v>399</v>
      </c>
      <c r="V50" s="217">
        <f t="shared" si="1"/>
        <v>16</v>
      </c>
      <c r="W50" s="208">
        <v>13</v>
      </c>
      <c r="X50" s="208" t="s">
        <v>39</v>
      </c>
      <c r="Y50" s="208" t="s">
        <v>69</v>
      </c>
      <c r="Z50" s="208" t="s">
        <v>55</v>
      </c>
      <c r="AA50" s="208" t="s">
        <v>97</v>
      </c>
      <c r="AB50" s="237" t="s">
        <v>508</v>
      </c>
    </row>
    <row r="51" spans="1:28" x14ac:dyDescent="0.15">
      <c r="A51" s="208" t="s">
        <v>59</v>
      </c>
      <c r="B51" s="237" t="s">
        <v>486</v>
      </c>
      <c r="C51" s="152">
        <v>2018</v>
      </c>
      <c r="D51" s="153" t="s">
        <v>487</v>
      </c>
      <c r="E51" s="208" t="s">
        <v>317</v>
      </c>
      <c r="F51" s="208" t="s">
        <v>310</v>
      </c>
      <c r="G51" s="208" t="s">
        <v>36</v>
      </c>
      <c r="H51" s="208" t="s">
        <v>168</v>
      </c>
      <c r="I51" s="208" t="s">
        <v>155</v>
      </c>
      <c r="J51" s="208" t="s">
        <v>38</v>
      </c>
      <c r="K51" s="208" t="s">
        <v>156</v>
      </c>
      <c r="L51" s="208">
        <v>2</v>
      </c>
      <c r="N51" s="208">
        <v>2</v>
      </c>
      <c r="O51" s="208">
        <v>0.45</v>
      </c>
      <c r="P51" s="208">
        <v>0.35</v>
      </c>
      <c r="Q51" s="245">
        <f t="shared" si="2"/>
        <v>0.4</v>
      </c>
      <c r="R51" s="208">
        <v>16.3</v>
      </c>
      <c r="S51" s="208">
        <v>156</v>
      </c>
      <c r="T51" s="217">
        <f t="shared" si="0"/>
        <v>18</v>
      </c>
      <c r="U51" s="208">
        <v>399</v>
      </c>
      <c r="V51" s="217">
        <f t="shared" si="1"/>
        <v>16</v>
      </c>
      <c r="W51" s="208">
        <v>13</v>
      </c>
      <c r="X51" s="208" t="s">
        <v>39</v>
      </c>
      <c r="Y51" s="208" t="s">
        <v>69</v>
      </c>
      <c r="Z51" s="208" t="s">
        <v>55</v>
      </c>
      <c r="AA51" s="208" t="s">
        <v>97</v>
      </c>
      <c r="AB51" s="237" t="s">
        <v>508</v>
      </c>
    </row>
    <row r="52" spans="1:28" x14ac:dyDescent="0.15">
      <c r="A52" s="208" t="s">
        <v>59</v>
      </c>
      <c r="B52" s="237" t="s">
        <v>486</v>
      </c>
      <c r="C52" s="152">
        <v>2018</v>
      </c>
      <c r="D52" s="153" t="s">
        <v>487</v>
      </c>
      <c r="E52" s="208" t="s">
        <v>317</v>
      </c>
      <c r="F52" s="208" t="s">
        <v>310</v>
      </c>
      <c r="G52" s="208" t="s">
        <v>36</v>
      </c>
      <c r="H52" s="208" t="s">
        <v>168</v>
      </c>
      <c r="I52" s="208" t="s">
        <v>155</v>
      </c>
      <c r="J52" s="208" t="s">
        <v>38</v>
      </c>
      <c r="K52" s="208" t="s">
        <v>156</v>
      </c>
      <c r="L52" s="208">
        <v>3</v>
      </c>
      <c r="N52" s="208">
        <v>2</v>
      </c>
      <c r="O52" s="208">
        <v>0.37</v>
      </c>
      <c r="P52" s="208">
        <v>0.4</v>
      </c>
      <c r="Q52" s="245">
        <f t="shared" si="2"/>
        <v>0.38500000000000001</v>
      </c>
      <c r="R52" s="208">
        <v>17.399999999999999</v>
      </c>
      <c r="S52" s="208">
        <v>160</v>
      </c>
      <c r="T52" s="217">
        <f t="shared" si="0"/>
        <v>18</v>
      </c>
      <c r="U52" s="208">
        <v>399</v>
      </c>
      <c r="V52" s="217">
        <f t="shared" si="1"/>
        <v>16</v>
      </c>
      <c r="W52" s="208">
        <v>13</v>
      </c>
      <c r="X52" s="208" t="s">
        <v>39</v>
      </c>
      <c r="Y52" s="208" t="s">
        <v>69</v>
      </c>
      <c r="Z52" s="208" t="s">
        <v>55</v>
      </c>
      <c r="AA52" s="208" t="s">
        <v>97</v>
      </c>
      <c r="AB52" s="237" t="s">
        <v>508</v>
      </c>
    </row>
    <row r="53" spans="1:28" x14ac:dyDescent="0.15">
      <c r="A53" s="208" t="s">
        <v>59</v>
      </c>
      <c r="B53" s="237" t="s">
        <v>486</v>
      </c>
      <c r="C53" s="152">
        <v>2018</v>
      </c>
      <c r="D53" s="153" t="s">
        <v>487</v>
      </c>
      <c r="E53" s="208" t="s">
        <v>317</v>
      </c>
      <c r="F53" s="208" t="s">
        <v>310</v>
      </c>
      <c r="G53" s="208" t="s">
        <v>36</v>
      </c>
      <c r="H53" s="208" t="s">
        <v>157</v>
      </c>
      <c r="I53" s="208" t="s">
        <v>155</v>
      </c>
      <c r="J53" s="208" t="s">
        <v>38</v>
      </c>
      <c r="K53" s="208" t="s">
        <v>156</v>
      </c>
      <c r="L53" s="208">
        <v>1</v>
      </c>
      <c r="N53" s="208">
        <v>3</v>
      </c>
      <c r="O53" s="208">
        <v>0.8</v>
      </c>
      <c r="P53" s="208">
        <v>0.5</v>
      </c>
      <c r="Q53" s="245">
        <f t="shared" si="2"/>
        <v>0.65</v>
      </c>
      <c r="R53" s="208">
        <v>14.6</v>
      </c>
      <c r="S53" s="208">
        <v>133</v>
      </c>
      <c r="T53" s="217">
        <f t="shared" si="0"/>
        <v>25</v>
      </c>
      <c r="U53" s="208">
        <v>399</v>
      </c>
      <c r="V53" s="217">
        <f t="shared" si="1"/>
        <v>16</v>
      </c>
      <c r="W53" s="208">
        <v>12</v>
      </c>
      <c r="X53" s="208" t="s">
        <v>39</v>
      </c>
      <c r="Y53" s="208" t="s">
        <v>69</v>
      </c>
      <c r="Z53" s="208" t="s">
        <v>55</v>
      </c>
      <c r="AA53" s="208" t="s">
        <v>97</v>
      </c>
      <c r="AB53" s="237" t="s">
        <v>508</v>
      </c>
    </row>
    <row r="54" spans="1:28" x14ac:dyDescent="0.15">
      <c r="A54" s="208" t="s">
        <v>59</v>
      </c>
      <c r="B54" s="237" t="s">
        <v>486</v>
      </c>
      <c r="C54" s="152">
        <v>2018</v>
      </c>
      <c r="D54" s="153" t="s">
        <v>487</v>
      </c>
      <c r="E54" s="208" t="s">
        <v>317</v>
      </c>
      <c r="F54" s="208" t="s">
        <v>310</v>
      </c>
      <c r="G54" s="208" t="s">
        <v>36</v>
      </c>
      <c r="H54" s="208" t="s">
        <v>157</v>
      </c>
      <c r="I54" s="208" t="s">
        <v>155</v>
      </c>
      <c r="J54" s="208" t="s">
        <v>38</v>
      </c>
      <c r="K54" s="208" t="s">
        <v>156</v>
      </c>
      <c r="L54" s="208">
        <v>2</v>
      </c>
      <c r="N54" s="208">
        <v>3</v>
      </c>
      <c r="O54" s="208">
        <v>0.62</v>
      </c>
      <c r="P54" s="208">
        <v>0.63</v>
      </c>
      <c r="Q54" s="245">
        <f t="shared" si="2"/>
        <v>0.625</v>
      </c>
      <c r="R54" s="208">
        <v>15.5</v>
      </c>
      <c r="S54" s="208">
        <v>126</v>
      </c>
      <c r="T54" s="217">
        <f t="shared" si="0"/>
        <v>27</v>
      </c>
      <c r="U54" s="208">
        <v>399</v>
      </c>
      <c r="V54" s="217">
        <f t="shared" si="1"/>
        <v>16</v>
      </c>
      <c r="W54" s="208">
        <v>12</v>
      </c>
      <c r="X54" s="208" t="s">
        <v>39</v>
      </c>
      <c r="Y54" s="208" t="s">
        <v>69</v>
      </c>
      <c r="Z54" s="208" t="s">
        <v>55</v>
      </c>
      <c r="AA54" s="208" t="s">
        <v>97</v>
      </c>
      <c r="AB54" s="237" t="s">
        <v>508</v>
      </c>
    </row>
    <row r="55" spans="1:28" x14ac:dyDescent="0.15">
      <c r="A55" s="208" t="s">
        <v>59</v>
      </c>
      <c r="B55" s="237" t="s">
        <v>486</v>
      </c>
      <c r="C55" s="152">
        <v>2018</v>
      </c>
      <c r="D55" s="153" t="s">
        <v>487</v>
      </c>
      <c r="E55" s="208" t="s">
        <v>317</v>
      </c>
      <c r="F55" s="208" t="s">
        <v>310</v>
      </c>
      <c r="G55" s="208" t="s">
        <v>36</v>
      </c>
      <c r="H55" s="208" t="s">
        <v>157</v>
      </c>
      <c r="I55" s="208" t="s">
        <v>155</v>
      </c>
      <c r="J55" s="208" t="s">
        <v>38</v>
      </c>
      <c r="K55" s="208" t="s">
        <v>156</v>
      </c>
      <c r="L55" s="208">
        <v>3</v>
      </c>
      <c r="N55" s="208">
        <v>3</v>
      </c>
      <c r="O55" s="208">
        <v>0.75</v>
      </c>
      <c r="P55" s="208">
        <v>0.82</v>
      </c>
      <c r="Q55" s="245">
        <f t="shared" si="2"/>
        <v>0.78499999999999992</v>
      </c>
      <c r="R55" s="208">
        <v>14.4</v>
      </c>
      <c r="S55" s="208">
        <v>145</v>
      </c>
      <c r="T55" s="217">
        <f t="shared" si="0"/>
        <v>22</v>
      </c>
      <c r="U55" s="208">
        <v>399</v>
      </c>
      <c r="V55" s="217">
        <f t="shared" si="1"/>
        <v>16</v>
      </c>
      <c r="W55" s="208">
        <v>12</v>
      </c>
      <c r="X55" s="208" t="s">
        <v>39</v>
      </c>
      <c r="Y55" s="208" t="s">
        <v>69</v>
      </c>
      <c r="Z55" s="208" t="s">
        <v>55</v>
      </c>
      <c r="AA55" s="208" t="s">
        <v>97</v>
      </c>
      <c r="AB55" s="237" t="s">
        <v>508</v>
      </c>
    </row>
    <row r="56" spans="1:28" x14ac:dyDescent="0.15">
      <c r="A56" s="208" t="s">
        <v>59</v>
      </c>
      <c r="B56" s="237" t="s">
        <v>486</v>
      </c>
      <c r="C56" s="152">
        <v>2018</v>
      </c>
      <c r="D56" s="153" t="s">
        <v>487</v>
      </c>
      <c r="E56" s="208" t="s">
        <v>315</v>
      </c>
      <c r="F56" s="208" t="s">
        <v>307</v>
      </c>
      <c r="G56" s="208" t="s">
        <v>36</v>
      </c>
      <c r="H56" s="208" t="s">
        <v>168</v>
      </c>
      <c r="I56" s="208" t="s">
        <v>155</v>
      </c>
      <c r="J56" s="208" t="s">
        <v>38</v>
      </c>
      <c r="K56" s="208" t="s">
        <v>156</v>
      </c>
      <c r="L56" s="208">
        <v>1</v>
      </c>
      <c r="N56" s="208">
        <v>4</v>
      </c>
      <c r="O56" s="208">
        <v>0.35</v>
      </c>
      <c r="P56" s="208">
        <v>0.48</v>
      </c>
      <c r="Q56" s="245">
        <f t="shared" si="2"/>
        <v>0.41499999999999998</v>
      </c>
      <c r="R56" s="208">
        <v>15.7</v>
      </c>
      <c r="S56" s="208">
        <v>112</v>
      </c>
      <c r="T56" s="217">
        <f t="shared" si="0"/>
        <v>33</v>
      </c>
      <c r="U56" s="208">
        <v>518</v>
      </c>
      <c r="V56" s="217">
        <f t="shared" si="1"/>
        <v>16</v>
      </c>
      <c r="W56" s="208">
        <v>4</v>
      </c>
      <c r="X56" s="208" t="s">
        <v>46</v>
      </c>
      <c r="Y56" s="208" t="s">
        <v>90</v>
      </c>
      <c r="Z56" s="208" t="s">
        <v>55</v>
      </c>
      <c r="AA56" s="208" t="s">
        <v>69</v>
      </c>
      <c r="AB56" s="237" t="s">
        <v>508</v>
      </c>
    </row>
    <row r="57" spans="1:28" x14ac:dyDescent="0.15">
      <c r="A57" s="208" t="s">
        <v>59</v>
      </c>
      <c r="B57" s="237" t="s">
        <v>486</v>
      </c>
      <c r="C57" s="152">
        <v>2018</v>
      </c>
      <c r="D57" s="153" t="s">
        <v>487</v>
      </c>
      <c r="E57" s="208" t="s">
        <v>315</v>
      </c>
      <c r="F57" s="208" t="s">
        <v>307</v>
      </c>
      <c r="G57" s="208" t="s">
        <v>36</v>
      </c>
      <c r="H57" s="208" t="s">
        <v>168</v>
      </c>
      <c r="I57" s="208" t="s">
        <v>155</v>
      </c>
      <c r="J57" s="208" t="s">
        <v>38</v>
      </c>
      <c r="K57" s="208" t="s">
        <v>156</v>
      </c>
      <c r="L57" s="208">
        <v>2</v>
      </c>
      <c r="N57" s="208">
        <v>4</v>
      </c>
      <c r="O57" s="208">
        <v>0.56999999999999995</v>
      </c>
      <c r="P57" s="208">
        <v>0.62</v>
      </c>
      <c r="Q57" s="245">
        <f t="shared" si="2"/>
        <v>0.59499999999999997</v>
      </c>
      <c r="R57" s="208">
        <v>17.2</v>
      </c>
      <c r="S57" s="208">
        <v>121</v>
      </c>
      <c r="T57" s="217">
        <f t="shared" si="0"/>
        <v>27</v>
      </c>
      <c r="U57" s="208">
        <v>518</v>
      </c>
      <c r="V57" s="217">
        <f t="shared" si="1"/>
        <v>16</v>
      </c>
      <c r="W57" s="208">
        <v>4</v>
      </c>
      <c r="X57" s="208" t="s">
        <v>46</v>
      </c>
      <c r="Y57" s="208" t="s">
        <v>90</v>
      </c>
      <c r="Z57" s="208" t="s">
        <v>55</v>
      </c>
      <c r="AA57" s="208" t="s">
        <v>69</v>
      </c>
      <c r="AB57" s="237" t="s">
        <v>508</v>
      </c>
    </row>
    <row r="58" spans="1:28" x14ac:dyDescent="0.15">
      <c r="A58" s="208" t="s">
        <v>59</v>
      </c>
      <c r="B58" s="237" t="s">
        <v>486</v>
      </c>
      <c r="C58" s="152">
        <v>2018</v>
      </c>
      <c r="D58" s="153" t="s">
        <v>487</v>
      </c>
      <c r="E58" s="208" t="s">
        <v>315</v>
      </c>
      <c r="F58" s="208" t="s">
        <v>307</v>
      </c>
      <c r="G58" s="208" t="s">
        <v>36</v>
      </c>
      <c r="H58" s="208" t="s">
        <v>168</v>
      </c>
      <c r="I58" s="208" t="s">
        <v>155</v>
      </c>
      <c r="J58" s="208" t="s">
        <v>38</v>
      </c>
      <c r="K58" s="208" t="s">
        <v>156</v>
      </c>
      <c r="L58" s="208">
        <v>3</v>
      </c>
      <c r="N58" s="208">
        <v>4</v>
      </c>
      <c r="O58" s="208">
        <v>0.6</v>
      </c>
      <c r="P58" s="208">
        <v>0.64</v>
      </c>
      <c r="Q58" s="245">
        <f t="shared" si="2"/>
        <v>0.62</v>
      </c>
      <c r="R58" s="208">
        <v>15.4</v>
      </c>
      <c r="S58" s="208">
        <v>115</v>
      </c>
      <c r="T58" s="217">
        <f t="shared" si="0"/>
        <v>30</v>
      </c>
      <c r="U58" s="208">
        <v>518</v>
      </c>
      <c r="V58" s="217">
        <f t="shared" si="1"/>
        <v>16</v>
      </c>
      <c r="W58" s="208">
        <v>4</v>
      </c>
      <c r="X58" s="208" t="s">
        <v>46</v>
      </c>
      <c r="Y58" s="208" t="s">
        <v>90</v>
      </c>
      <c r="Z58" s="208" t="s">
        <v>55</v>
      </c>
      <c r="AA58" s="208" t="s">
        <v>69</v>
      </c>
      <c r="AB58" s="237" t="s">
        <v>508</v>
      </c>
    </row>
    <row r="59" spans="1:28" x14ac:dyDescent="0.15">
      <c r="A59" s="208" t="s">
        <v>59</v>
      </c>
      <c r="B59" s="237" t="s">
        <v>486</v>
      </c>
      <c r="C59" s="152">
        <v>2018</v>
      </c>
      <c r="D59" s="153" t="s">
        <v>487</v>
      </c>
      <c r="E59" s="208" t="s">
        <v>315</v>
      </c>
      <c r="F59" s="208" t="s">
        <v>307</v>
      </c>
      <c r="G59" s="208" t="s">
        <v>36</v>
      </c>
      <c r="H59" s="208" t="s">
        <v>157</v>
      </c>
      <c r="I59" s="208" t="s">
        <v>155</v>
      </c>
      <c r="J59" s="208" t="s">
        <v>38</v>
      </c>
      <c r="K59" s="208" t="s">
        <v>156</v>
      </c>
      <c r="L59" s="208">
        <v>1</v>
      </c>
      <c r="N59" s="208">
        <v>5</v>
      </c>
      <c r="O59" s="208">
        <v>0.2</v>
      </c>
      <c r="P59" s="208">
        <v>0.25</v>
      </c>
      <c r="Q59" s="245">
        <f t="shared" si="2"/>
        <v>0.22500000000000001</v>
      </c>
      <c r="R59" s="208">
        <v>13.6</v>
      </c>
      <c r="S59" s="208">
        <v>92</v>
      </c>
      <c r="T59" s="217">
        <f t="shared" si="0"/>
        <v>36</v>
      </c>
      <c r="U59" s="208">
        <v>429</v>
      </c>
      <c r="V59" s="217">
        <f t="shared" si="1"/>
        <v>16</v>
      </c>
      <c r="W59" s="208">
        <v>2</v>
      </c>
      <c r="X59" s="208" t="s">
        <v>46</v>
      </c>
      <c r="Y59" s="208" t="s">
        <v>90</v>
      </c>
      <c r="Z59" s="208" t="s">
        <v>55</v>
      </c>
      <c r="AA59" s="208" t="s">
        <v>69</v>
      </c>
      <c r="AB59" s="237" t="s">
        <v>508</v>
      </c>
    </row>
    <row r="60" spans="1:28" x14ac:dyDescent="0.15">
      <c r="A60" s="208" t="s">
        <v>59</v>
      </c>
      <c r="B60" s="237" t="s">
        <v>486</v>
      </c>
      <c r="C60" s="152">
        <v>2018</v>
      </c>
      <c r="D60" s="153" t="s">
        <v>487</v>
      </c>
      <c r="E60" s="208" t="s">
        <v>315</v>
      </c>
      <c r="F60" s="208" t="s">
        <v>307</v>
      </c>
      <c r="G60" s="208" t="s">
        <v>36</v>
      </c>
      <c r="H60" s="208" t="s">
        <v>157</v>
      </c>
      <c r="I60" s="208" t="s">
        <v>155</v>
      </c>
      <c r="J60" s="208" t="s">
        <v>38</v>
      </c>
      <c r="K60" s="208" t="s">
        <v>156</v>
      </c>
      <c r="L60" s="208">
        <v>2</v>
      </c>
      <c r="N60" s="208">
        <v>5</v>
      </c>
      <c r="O60" s="208">
        <v>0.2</v>
      </c>
      <c r="P60" s="208">
        <v>0.22</v>
      </c>
      <c r="Q60" s="245">
        <f t="shared" si="2"/>
        <v>0.21000000000000002</v>
      </c>
      <c r="R60" s="208">
        <v>13</v>
      </c>
      <c r="S60" s="208">
        <v>93</v>
      </c>
      <c r="T60" s="217">
        <f t="shared" si="0"/>
        <v>36</v>
      </c>
      <c r="U60" s="208">
        <v>429</v>
      </c>
      <c r="V60" s="217">
        <f t="shared" si="1"/>
        <v>16</v>
      </c>
      <c r="W60" s="208">
        <v>2</v>
      </c>
      <c r="X60" s="208" t="s">
        <v>46</v>
      </c>
      <c r="Y60" s="208" t="s">
        <v>90</v>
      </c>
      <c r="Z60" s="208" t="s">
        <v>55</v>
      </c>
      <c r="AA60" s="208" t="s">
        <v>69</v>
      </c>
      <c r="AB60" s="237" t="s">
        <v>508</v>
      </c>
    </row>
    <row r="61" spans="1:28" x14ac:dyDescent="0.15">
      <c r="A61" s="208" t="s">
        <v>59</v>
      </c>
      <c r="B61" s="237" t="s">
        <v>486</v>
      </c>
      <c r="C61" s="152">
        <v>2018</v>
      </c>
      <c r="D61" s="153" t="s">
        <v>487</v>
      </c>
      <c r="E61" s="208" t="s">
        <v>315</v>
      </c>
      <c r="F61" s="208" t="s">
        <v>307</v>
      </c>
      <c r="G61" s="208" t="s">
        <v>36</v>
      </c>
      <c r="H61" s="208" t="s">
        <v>157</v>
      </c>
      <c r="I61" s="208" t="s">
        <v>155</v>
      </c>
      <c r="J61" s="208" t="s">
        <v>38</v>
      </c>
      <c r="K61" s="208" t="s">
        <v>156</v>
      </c>
      <c r="L61" s="208">
        <v>3</v>
      </c>
      <c r="N61" s="208">
        <v>5</v>
      </c>
      <c r="O61" s="208">
        <v>0.2</v>
      </c>
      <c r="P61" s="208">
        <v>0.25</v>
      </c>
      <c r="Q61" s="245">
        <f t="shared" si="2"/>
        <v>0.22500000000000001</v>
      </c>
      <c r="R61" s="208">
        <v>13.2</v>
      </c>
      <c r="S61" s="208">
        <v>92</v>
      </c>
      <c r="T61" s="217">
        <f t="shared" si="0"/>
        <v>36</v>
      </c>
      <c r="U61" s="208">
        <v>429</v>
      </c>
      <c r="V61" s="217">
        <f t="shared" si="1"/>
        <v>16</v>
      </c>
      <c r="W61" s="208">
        <v>2</v>
      </c>
      <c r="X61" s="208" t="s">
        <v>46</v>
      </c>
      <c r="Y61" s="208" t="s">
        <v>90</v>
      </c>
      <c r="Z61" s="208" t="s">
        <v>55</v>
      </c>
      <c r="AA61" s="208" t="s">
        <v>69</v>
      </c>
      <c r="AB61" s="237" t="s">
        <v>508</v>
      </c>
    </row>
    <row r="62" spans="1:28" x14ac:dyDescent="0.15">
      <c r="A62" s="208" t="s">
        <v>59</v>
      </c>
      <c r="B62" s="237" t="s">
        <v>486</v>
      </c>
      <c r="C62" s="152">
        <v>2018</v>
      </c>
      <c r="D62" s="153" t="s">
        <v>487</v>
      </c>
      <c r="E62" s="208" t="s">
        <v>321</v>
      </c>
      <c r="F62" s="208" t="s">
        <v>312</v>
      </c>
      <c r="G62" s="208" t="s">
        <v>36</v>
      </c>
      <c r="H62" s="208" t="s">
        <v>168</v>
      </c>
      <c r="I62" s="208" t="s">
        <v>155</v>
      </c>
      <c r="J62" s="208" t="s">
        <v>38</v>
      </c>
      <c r="K62" s="208" t="s">
        <v>156</v>
      </c>
      <c r="L62" s="208">
        <v>1</v>
      </c>
      <c r="N62" s="208">
        <v>4</v>
      </c>
      <c r="O62" s="208">
        <v>0.55000000000000004</v>
      </c>
      <c r="P62" s="208">
        <v>0.7</v>
      </c>
      <c r="Q62" s="245">
        <f t="shared" si="2"/>
        <v>0.625</v>
      </c>
      <c r="R62" s="208">
        <v>18.600000000000001</v>
      </c>
      <c r="S62" s="208">
        <v>110</v>
      </c>
      <c r="T62" s="217">
        <f t="shared" si="0"/>
        <v>33</v>
      </c>
      <c r="U62" s="208">
        <v>480</v>
      </c>
      <c r="V62" s="217">
        <f t="shared" si="1"/>
        <v>16</v>
      </c>
      <c r="W62" s="208">
        <v>9</v>
      </c>
      <c r="X62" s="208" t="s">
        <v>46</v>
      </c>
      <c r="Y62" s="208" t="s">
        <v>86</v>
      </c>
      <c r="Z62" s="208" t="s">
        <v>55</v>
      </c>
      <c r="AA62" s="208" t="s">
        <v>97</v>
      </c>
      <c r="AB62" s="237" t="s">
        <v>508</v>
      </c>
    </row>
    <row r="63" spans="1:28" x14ac:dyDescent="0.15">
      <c r="A63" s="208" t="s">
        <v>59</v>
      </c>
      <c r="B63" s="237" t="s">
        <v>486</v>
      </c>
      <c r="C63" s="152">
        <v>2018</v>
      </c>
      <c r="D63" s="153" t="s">
        <v>487</v>
      </c>
      <c r="E63" s="208" t="s">
        <v>321</v>
      </c>
      <c r="F63" s="208" t="s">
        <v>312</v>
      </c>
      <c r="G63" s="208" t="s">
        <v>36</v>
      </c>
      <c r="H63" s="208" t="s">
        <v>168</v>
      </c>
      <c r="I63" s="208" t="s">
        <v>155</v>
      </c>
      <c r="J63" s="208" t="s">
        <v>38</v>
      </c>
      <c r="K63" s="208" t="s">
        <v>156</v>
      </c>
      <c r="L63" s="208">
        <v>2</v>
      </c>
      <c r="N63" s="208">
        <v>4</v>
      </c>
      <c r="O63" s="208">
        <v>0.68</v>
      </c>
      <c r="P63" s="208">
        <v>0.63</v>
      </c>
      <c r="Q63" s="245">
        <f t="shared" si="2"/>
        <v>0.65500000000000003</v>
      </c>
      <c r="R63" s="208">
        <v>13.9</v>
      </c>
      <c r="S63" s="208">
        <v>110</v>
      </c>
      <c r="T63" s="217">
        <f t="shared" si="0"/>
        <v>33</v>
      </c>
      <c r="U63" s="208">
        <v>480</v>
      </c>
      <c r="V63" s="217">
        <f t="shared" si="1"/>
        <v>16</v>
      </c>
      <c r="W63" s="208">
        <v>9</v>
      </c>
      <c r="X63" s="208" t="s">
        <v>46</v>
      </c>
      <c r="Y63" s="208" t="s">
        <v>86</v>
      </c>
      <c r="Z63" s="208" t="s">
        <v>55</v>
      </c>
      <c r="AA63" s="208" t="s">
        <v>97</v>
      </c>
      <c r="AB63" s="237" t="s">
        <v>508</v>
      </c>
    </row>
    <row r="64" spans="1:28" x14ac:dyDescent="0.15">
      <c r="A64" s="208" t="s">
        <v>59</v>
      </c>
      <c r="B64" s="237" t="s">
        <v>486</v>
      </c>
      <c r="C64" s="152">
        <v>2018</v>
      </c>
      <c r="D64" s="153" t="s">
        <v>487</v>
      </c>
      <c r="E64" s="208" t="s">
        <v>321</v>
      </c>
      <c r="F64" s="208" t="s">
        <v>312</v>
      </c>
      <c r="G64" s="208" t="s">
        <v>36</v>
      </c>
      <c r="H64" s="208" t="s">
        <v>168</v>
      </c>
      <c r="I64" s="208" t="s">
        <v>155</v>
      </c>
      <c r="J64" s="208" t="s">
        <v>38</v>
      </c>
      <c r="K64" s="208" t="s">
        <v>156</v>
      </c>
      <c r="L64" s="208">
        <v>3</v>
      </c>
      <c r="N64" s="208">
        <v>4</v>
      </c>
      <c r="O64" s="208">
        <v>0.53</v>
      </c>
      <c r="P64" s="208">
        <v>0.65</v>
      </c>
      <c r="Q64" s="245">
        <f t="shared" si="2"/>
        <v>0.59000000000000008</v>
      </c>
      <c r="R64" s="208">
        <v>18.2</v>
      </c>
      <c r="S64" s="208">
        <v>111</v>
      </c>
      <c r="T64" s="217">
        <f t="shared" si="0"/>
        <v>33</v>
      </c>
      <c r="U64" s="208">
        <v>480</v>
      </c>
      <c r="V64" s="217">
        <f t="shared" si="1"/>
        <v>16</v>
      </c>
      <c r="W64" s="208">
        <v>9</v>
      </c>
      <c r="X64" s="208" t="s">
        <v>46</v>
      </c>
      <c r="Y64" s="208" t="s">
        <v>86</v>
      </c>
      <c r="Z64" s="208" t="s">
        <v>55</v>
      </c>
      <c r="AA64" s="208" t="s">
        <v>97</v>
      </c>
      <c r="AB64" s="237" t="s">
        <v>508</v>
      </c>
    </row>
    <row r="65" spans="1:28" x14ac:dyDescent="0.15">
      <c r="A65" s="208" t="s">
        <v>59</v>
      </c>
      <c r="B65" s="237" t="s">
        <v>486</v>
      </c>
      <c r="C65" s="152">
        <v>2018</v>
      </c>
      <c r="D65" s="153" t="s">
        <v>487</v>
      </c>
      <c r="E65" s="208" t="s">
        <v>321</v>
      </c>
      <c r="F65" s="208" t="s">
        <v>312</v>
      </c>
      <c r="G65" s="208" t="s">
        <v>36</v>
      </c>
      <c r="H65" s="208" t="s">
        <v>157</v>
      </c>
      <c r="I65" s="208" t="s">
        <v>155</v>
      </c>
      <c r="J65" s="208" t="s">
        <v>38</v>
      </c>
      <c r="K65" s="208" t="s">
        <v>156</v>
      </c>
      <c r="L65" s="208">
        <v>1</v>
      </c>
      <c r="N65" s="208">
        <v>4</v>
      </c>
      <c r="O65" s="208">
        <v>0.6</v>
      </c>
      <c r="P65" s="208">
        <v>0.54</v>
      </c>
      <c r="Q65" s="245">
        <f t="shared" si="2"/>
        <v>0.57000000000000006</v>
      </c>
      <c r="R65" s="208">
        <v>14.3</v>
      </c>
      <c r="S65" s="208">
        <v>149</v>
      </c>
      <c r="T65" s="217">
        <f t="shared" si="0"/>
        <v>22</v>
      </c>
      <c r="U65" s="208">
        <v>348</v>
      </c>
      <c r="V65" s="217">
        <f t="shared" si="1"/>
        <v>16</v>
      </c>
      <c r="W65" s="208">
        <v>5</v>
      </c>
      <c r="X65" s="208" t="s">
        <v>46</v>
      </c>
      <c r="Y65" s="208" t="s">
        <v>86</v>
      </c>
      <c r="Z65" s="208" t="s">
        <v>55</v>
      </c>
      <c r="AA65" s="208" t="s">
        <v>97</v>
      </c>
      <c r="AB65" s="237" t="s">
        <v>508</v>
      </c>
    </row>
    <row r="66" spans="1:28" x14ac:dyDescent="0.15">
      <c r="A66" s="208" t="s">
        <v>59</v>
      </c>
      <c r="B66" s="237" t="s">
        <v>486</v>
      </c>
      <c r="C66" s="152">
        <v>2018</v>
      </c>
      <c r="D66" s="153" t="s">
        <v>487</v>
      </c>
      <c r="E66" s="208" t="s">
        <v>321</v>
      </c>
      <c r="F66" s="208" t="s">
        <v>312</v>
      </c>
      <c r="G66" s="208" t="s">
        <v>36</v>
      </c>
      <c r="H66" s="208" t="s">
        <v>157</v>
      </c>
      <c r="I66" s="208" t="s">
        <v>155</v>
      </c>
      <c r="J66" s="208" t="s">
        <v>38</v>
      </c>
      <c r="K66" s="208" t="s">
        <v>156</v>
      </c>
      <c r="L66" s="208">
        <v>2</v>
      </c>
      <c r="N66" s="208">
        <v>4</v>
      </c>
      <c r="O66" s="208">
        <v>0.89</v>
      </c>
      <c r="P66" s="208">
        <v>0.95</v>
      </c>
      <c r="Q66" s="245">
        <f t="shared" si="2"/>
        <v>0.91999999999999993</v>
      </c>
      <c r="R66" s="208">
        <v>14.9</v>
      </c>
      <c r="S66" s="208">
        <v>143</v>
      </c>
      <c r="T66" s="217">
        <f t="shared" si="0"/>
        <v>22</v>
      </c>
      <c r="U66" s="208">
        <v>348</v>
      </c>
      <c r="V66" s="217">
        <f t="shared" si="1"/>
        <v>16</v>
      </c>
      <c r="W66" s="208">
        <v>5</v>
      </c>
      <c r="X66" s="208" t="s">
        <v>46</v>
      </c>
      <c r="Y66" s="208" t="s">
        <v>86</v>
      </c>
      <c r="Z66" s="208" t="s">
        <v>55</v>
      </c>
      <c r="AA66" s="208" t="s">
        <v>97</v>
      </c>
      <c r="AB66" s="237" t="s">
        <v>508</v>
      </c>
    </row>
    <row r="67" spans="1:28" x14ac:dyDescent="0.15">
      <c r="A67" s="208" t="s">
        <v>59</v>
      </c>
      <c r="B67" s="237" t="s">
        <v>486</v>
      </c>
      <c r="C67" s="152">
        <v>2018</v>
      </c>
      <c r="D67" s="153" t="s">
        <v>487</v>
      </c>
      <c r="E67" s="208" t="s">
        <v>321</v>
      </c>
      <c r="F67" s="208" t="s">
        <v>312</v>
      </c>
      <c r="G67" s="208" t="s">
        <v>36</v>
      </c>
      <c r="H67" s="208" t="s">
        <v>157</v>
      </c>
      <c r="I67" s="208" t="s">
        <v>155</v>
      </c>
      <c r="J67" s="208" t="s">
        <v>38</v>
      </c>
      <c r="K67" s="208" t="s">
        <v>156</v>
      </c>
      <c r="L67" s="208">
        <v>3</v>
      </c>
      <c r="N67" s="208">
        <v>4</v>
      </c>
      <c r="O67" s="208">
        <v>0.8</v>
      </c>
      <c r="P67" s="208">
        <v>0.86</v>
      </c>
      <c r="Q67" s="245">
        <f t="shared" si="2"/>
        <v>0.83000000000000007</v>
      </c>
      <c r="R67" s="208">
        <v>14.2</v>
      </c>
      <c r="S67" s="208">
        <v>145</v>
      </c>
      <c r="T67" s="217">
        <f t="shared" si="0"/>
        <v>22</v>
      </c>
      <c r="U67" s="208">
        <v>348</v>
      </c>
      <c r="V67" s="217">
        <f t="shared" si="1"/>
        <v>16</v>
      </c>
      <c r="W67" s="208">
        <v>5</v>
      </c>
      <c r="X67" s="208" t="s">
        <v>46</v>
      </c>
      <c r="Y67" s="208" t="s">
        <v>86</v>
      </c>
      <c r="Z67" s="208" t="s">
        <v>55</v>
      </c>
      <c r="AA67" s="208" t="s">
        <v>97</v>
      </c>
      <c r="AB67" s="237" t="s">
        <v>508</v>
      </c>
    </row>
    <row r="68" spans="1:28" x14ac:dyDescent="0.15">
      <c r="A68" s="208" t="s">
        <v>59</v>
      </c>
      <c r="B68" s="237" t="s">
        <v>486</v>
      </c>
      <c r="C68" s="152">
        <v>2018</v>
      </c>
      <c r="D68" s="153" t="s">
        <v>487</v>
      </c>
      <c r="E68" s="208" t="s">
        <v>316</v>
      </c>
      <c r="F68" s="208" t="s">
        <v>309</v>
      </c>
      <c r="G68" s="208" t="s">
        <v>36</v>
      </c>
      <c r="H68" s="208" t="s">
        <v>168</v>
      </c>
      <c r="I68" s="208" t="s">
        <v>155</v>
      </c>
      <c r="J68" s="208" t="s">
        <v>38</v>
      </c>
      <c r="K68" s="208" t="s">
        <v>156</v>
      </c>
      <c r="L68" s="208">
        <v>1</v>
      </c>
      <c r="N68" s="208">
        <v>4</v>
      </c>
      <c r="O68" s="208">
        <v>0.42</v>
      </c>
      <c r="P68" s="208">
        <v>0.45</v>
      </c>
      <c r="Q68" s="245">
        <f t="shared" si="2"/>
        <v>0.435</v>
      </c>
      <c r="R68" s="208">
        <v>18.2</v>
      </c>
      <c r="S68" s="208">
        <v>110</v>
      </c>
      <c r="T68" s="217">
        <f t="shared" si="0"/>
        <v>33</v>
      </c>
      <c r="U68" s="208">
        <v>429</v>
      </c>
      <c r="V68" s="217">
        <f t="shared" si="1"/>
        <v>16</v>
      </c>
      <c r="W68" s="208">
        <v>3</v>
      </c>
      <c r="X68" s="208" t="s">
        <v>46</v>
      </c>
      <c r="Y68" s="208" t="s">
        <v>86</v>
      </c>
      <c r="Z68" s="208" t="s">
        <v>97</v>
      </c>
      <c r="AA68" s="208" t="s">
        <v>69</v>
      </c>
      <c r="AB68" s="237" t="s">
        <v>508</v>
      </c>
    </row>
    <row r="69" spans="1:28" x14ac:dyDescent="0.15">
      <c r="A69" s="208" t="s">
        <v>59</v>
      </c>
      <c r="B69" s="237" t="s">
        <v>486</v>
      </c>
      <c r="C69" s="152">
        <v>2018</v>
      </c>
      <c r="D69" s="153" t="s">
        <v>487</v>
      </c>
      <c r="E69" s="208" t="s">
        <v>316</v>
      </c>
      <c r="F69" s="208" t="s">
        <v>309</v>
      </c>
      <c r="G69" s="208" t="s">
        <v>36</v>
      </c>
      <c r="H69" s="208" t="s">
        <v>168</v>
      </c>
      <c r="I69" s="208" t="s">
        <v>155</v>
      </c>
      <c r="J69" s="208" t="s">
        <v>38</v>
      </c>
      <c r="K69" s="208" t="s">
        <v>156</v>
      </c>
      <c r="L69" s="208">
        <v>2</v>
      </c>
      <c r="N69" s="208">
        <v>4</v>
      </c>
      <c r="O69" s="208">
        <v>0.2</v>
      </c>
      <c r="P69" s="208">
        <v>0.25</v>
      </c>
      <c r="Q69" s="245">
        <f t="shared" si="2"/>
        <v>0.22500000000000001</v>
      </c>
      <c r="R69" s="208">
        <v>18.5</v>
      </c>
      <c r="S69" s="208">
        <v>107</v>
      </c>
      <c r="T69" s="217">
        <f t="shared" si="0"/>
        <v>33</v>
      </c>
      <c r="U69" s="208">
        <v>429</v>
      </c>
      <c r="V69" s="217">
        <f t="shared" si="1"/>
        <v>16</v>
      </c>
      <c r="W69" s="208">
        <v>3</v>
      </c>
      <c r="X69" s="208" t="s">
        <v>46</v>
      </c>
      <c r="Y69" s="208" t="s">
        <v>86</v>
      </c>
      <c r="Z69" s="208" t="s">
        <v>97</v>
      </c>
      <c r="AA69" s="208" t="s">
        <v>69</v>
      </c>
      <c r="AB69" s="237" t="s">
        <v>508</v>
      </c>
    </row>
    <row r="70" spans="1:28" x14ac:dyDescent="0.15">
      <c r="A70" s="208" t="s">
        <v>59</v>
      </c>
      <c r="B70" s="237" t="s">
        <v>486</v>
      </c>
      <c r="C70" s="152">
        <v>2018</v>
      </c>
      <c r="D70" s="153" t="s">
        <v>487</v>
      </c>
      <c r="E70" s="208" t="s">
        <v>316</v>
      </c>
      <c r="F70" s="208" t="s">
        <v>309</v>
      </c>
      <c r="G70" s="208" t="s">
        <v>36</v>
      </c>
      <c r="H70" s="208" t="s">
        <v>168</v>
      </c>
      <c r="I70" s="208" t="s">
        <v>155</v>
      </c>
      <c r="J70" s="208" t="s">
        <v>38</v>
      </c>
      <c r="K70" s="208" t="s">
        <v>156</v>
      </c>
      <c r="L70" s="208">
        <v>3</v>
      </c>
      <c r="N70" s="208">
        <v>4</v>
      </c>
      <c r="O70" s="208">
        <v>0.45</v>
      </c>
      <c r="P70" s="208">
        <v>0.48</v>
      </c>
      <c r="Q70" s="245">
        <f t="shared" si="2"/>
        <v>0.46499999999999997</v>
      </c>
      <c r="R70" s="208">
        <v>18.8</v>
      </c>
      <c r="S70" s="208">
        <v>115</v>
      </c>
      <c r="T70" s="217">
        <f t="shared" si="0"/>
        <v>30</v>
      </c>
      <c r="U70" s="208">
        <v>429</v>
      </c>
      <c r="V70" s="217">
        <f t="shared" si="1"/>
        <v>16</v>
      </c>
      <c r="W70" s="208">
        <v>3</v>
      </c>
      <c r="X70" s="208" t="s">
        <v>46</v>
      </c>
      <c r="Y70" s="208" t="s">
        <v>86</v>
      </c>
      <c r="Z70" s="208" t="s">
        <v>97</v>
      </c>
      <c r="AA70" s="208" t="s">
        <v>69</v>
      </c>
      <c r="AB70" s="237" t="s">
        <v>508</v>
      </c>
    </row>
    <row r="71" spans="1:28" x14ac:dyDescent="0.15">
      <c r="A71" s="208" t="s">
        <v>59</v>
      </c>
      <c r="B71" s="237" t="s">
        <v>486</v>
      </c>
      <c r="C71" s="152">
        <v>2018</v>
      </c>
      <c r="D71" s="153" t="s">
        <v>487</v>
      </c>
      <c r="E71" s="208" t="s">
        <v>316</v>
      </c>
      <c r="F71" s="208" t="s">
        <v>309</v>
      </c>
      <c r="G71" s="208" t="s">
        <v>36</v>
      </c>
      <c r="H71" s="208" t="s">
        <v>157</v>
      </c>
      <c r="I71" s="208" t="s">
        <v>155</v>
      </c>
      <c r="J71" s="208" t="s">
        <v>38</v>
      </c>
      <c r="K71" s="208" t="s">
        <v>156</v>
      </c>
      <c r="L71" s="208">
        <v>1</v>
      </c>
      <c r="N71" s="208">
        <v>4</v>
      </c>
      <c r="O71" s="208">
        <v>0.7</v>
      </c>
      <c r="P71" s="208">
        <v>0.85</v>
      </c>
      <c r="Q71" s="245">
        <f t="shared" si="2"/>
        <v>0.77499999999999991</v>
      </c>
      <c r="R71" s="208">
        <v>13.9</v>
      </c>
      <c r="S71" s="208">
        <v>89</v>
      </c>
      <c r="T71" s="217">
        <f t="shared" si="0"/>
        <v>36</v>
      </c>
      <c r="U71" s="208">
        <v>321</v>
      </c>
      <c r="V71" s="217">
        <f t="shared" si="1"/>
        <v>16</v>
      </c>
      <c r="W71" s="208">
        <v>5</v>
      </c>
      <c r="X71" s="208" t="s">
        <v>39</v>
      </c>
      <c r="Y71" s="208" t="s">
        <v>86</v>
      </c>
      <c r="Z71" s="208" t="s">
        <v>97</v>
      </c>
      <c r="AA71" s="208" t="s">
        <v>69</v>
      </c>
      <c r="AB71" s="237" t="s">
        <v>508</v>
      </c>
    </row>
    <row r="72" spans="1:28" x14ac:dyDescent="0.15">
      <c r="A72" s="208" t="s">
        <v>59</v>
      </c>
      <c r="B72" s="237" t="s">
        <v>486</v>
      </c>
      <c r="C72" s="152">
        <v>2018</v>
      </c>
      <c r="D72" s="153" t="s">
        <v>487</v>
      </c>
      <c r="E72" s="208" t="s">
        <v>316</v>
      </c>
      <c r="F72" s="208" t="s">
        <v>309</v>
      </c>
      <c r="G72" s="208" t="s">
        <v>36</v>
      </c>
      <c r="H72" s="208" t="s">
        <v>157</v>
      </c>
      <c r="I72" s="208" t="s">
        <v>155</v>
      </c>
      <c r="J72" s="208" t="s">
        <v>38</v>
      </c>
      <c r="K72" s="208" t="s">
        <v>156</v>
      </c>
      <c r="L72" s="208">
        <v>2</v>
      </c>
      <c r="N72" s="208">
        <v>4</v>
      </c>
      <c r="O72" s="208">
        <v>0.67</v>
      </c>
      <c r="P72" s="208">
        <v>0.64</v>
      </c>
      <c r="Q72" s="245">
        <f t="shared" si="2"/>
        <v>0.65500000000000003</v>
      </c>
      <c r="R72" s="208">
        <v>13.4</v>
      </c>
      <c r="S72" s="208">
        <v>91</v>
      </c>
      <c r="T72" s="217">
        <f t="shared" si="0"/>
        <v>36</v>
      </c>
      <c r="U72" s="208">
        <v>321</v>
      </c>
      <c r="V72" s="217">
        <f t="shared" si="1"/>
        <v>16</v>
      </c>
      <c r="W72" s="208">
        <v>5</v>
      </c>
      <c r="X72" s="208" t="s">
        <v>39</v>
      </c>
      <c r="Y72" s="208" t="s">
        <v>86</v>
      </c>
      <c r="Z72" s="208" t="s">
        <v>97</v>
      </c>
      <c r="AA72" s="208" t="s">
        <v>69</v>
      </c>
      <c r="AB72" s="237" t="s">
        <v>508</v>
      </c>
    </row>
    <row r="73" spans="1:28" x14ac:dyDescent="0.15">
      <c r="A73" s="208" t="s">
        <v>59</v>
      </c>
      <c r="B73" s="237" t="s">
        <v>486</v>
      </c>
      <c r="C73" s="152">
        <v>2018</v>
      </c>
      <c r="D73" s="153" t="s">
        <v>487</v>
      </c>
      <c r="E73" s="208" t="s">
        <v>316</v>
      </c>
      <c r="F73" s="208" t="s">
        <v>309</v>
      </c>
      <c r="G73" s="208" t="s">
        <v>36</v>
      </c>
      <c r="H73" s="208" t="s">
        <v>157</v>
      </c>
      <c r="I73" s="208" t="s">
        <v>155</v>
      </c>
      <c r="J73" s="208" t="s">
        <v>38</v>
      </c>
      <c r="K73" s="208" t="s">
        <v>156</v>
      </c>
      <c r="L73" s="208">
        <v>3</v>
      </c>
      <c r="N73" s="208">
        <v>4</v>
      </c>
      <c r="O73" s="208">
        <v>0.73</v>
      </c>
      <c r="P73" s="208">
        <v>0.7</v>
      </c>
      <c r="Q73" s="245">
        <f t="shared" si="2"/>
        <v>0.71499999999999997</v>
      </c>
      <c r="R73" s="208">
        <v>13.2</v>
      </c>
      <c r="S73" s="208">
        <v>104</v>
      </c>
      <c r="T73" s="217">
        <f t="shared" si="0"/>
        <v>33</v>
      </c>
      <c r="U73" s="208">
        <v>321</v>
      </c>
      <c r="V73" s="217">
        <f t="shared" si="1"/>
        <v>16</v>
      </c>
      <c r="W73" s="208">
        <v>5</v>
      </c>
      <c r="X73" s="208" t="s">
        <v>39</v>
      </c>
      <c r="Y73" s="208" t="s">
        <v>86</v>
      </c>
      <c r="Z73" s="208" t="s">
        <v>97</v>
      </c>
      <c r="AA73" s="208" t="s">
        <v>69</v>
      </c>
      <c r="AB73" s="237" t="s">
        <v>508</v>
      </c>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AD15" sqref="AD15"/>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509</v>
      </c>
      <c r="D1" s="203" t="s">
        <v>3</v>
      </c>
      <c r="E1" s="241" t="s">
        <v>4</v>
      </c>
      <c r="F1" s="241" t="s">
        <v>5</v>
      </c>
      <c r="G1" s="241" t="s">
        <v>6</v>
      </c>
      <c r="H1" s="241" t="s">
        <v>7</v>
      </c>
      <c r="I1" s="241" t="s">
        <v>8</v>
      </c>
      <c r="J1" s="241" t="s">
        <v>9</v>
      </c>
      <c r="K1" s="201" t="s">
        <v>10</v>
      </c>
      <c r="L1" s="203" t="s">
        <v>510</v>
      </c>
      <c r="M1" s="203" t="s">
        <v>12</v>
      </c>
      <c r="N1" s="203" t="s">
        <v>13</v>
      </c>
      <c r="O1" s="203" t="s">
        <v>511</v>
      </c>
      <c r="P1" s="203" t="s">
        <v>512</v>
      </c>
      <c r="Q1" s="204" t="s">
        <v>16</v>
      </c>
      <c r="R1" s="203" t="s">
        <v>513</v>
      </c>
      <c r="S1" s="203" t="s">
        <v>514</v>
      </c>
      <c r="T1" s="204" t="s">
        <v>19</v>
      </c>
      <c r="U1" s="205" t="s">
        <v>108</v>
      </c>
      <c r="V1" s="206" t="s">
        <v>20</v>
      </c>
      <c r="W1" s="203" t="s">
        <v>21</v>
      </c>
      <c r="X1" s="241" t="s">
        <v>22</v>
      </c>
      <c r="Y1" s="241" t="s">
        <v>23</v>
      </c>
      <c r="Z1" s="241" t="s">
        <v>24</v>
      </c>
      <c r="AA1" s="242" t="s">
        <v>25</v>
      </c>
      <c r="AB1" s="207" t="s">
        <v>515</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516</v>
      </c>
      <c r="AY1" s="214" t="s">
        <v>517</v>
      </c>
      <c r="AZ1" s="214" t="s">
        <v>518</v>
      </c>
      <c r="BA1" s="215" t="s">
        <v>519</v>
      </c>
    </row>
    <row r="2" spans="1:53" x14ac:dyDescent="0.15">
      <c r="A2" s="165" t="s">
        <v>34</v>
      </c>
      <c r="B2" s="165" t="s">
        <v>520</v>
      </c>
      <c r="C2" s="165">
        <v>2018</v>
      </c>
      <c r="D2" s="166" t="s">
        <v>521</v>
      </c>
      <c r="E2" s="165" t="s">
        <v>522</v>
      </c>
      <c r="F2" s="165" t="s">
        <v>280</v>
      </c>
      <c r="G2" s="167" t="s">
        <v>36</v>
      </c>
      <c r="H2" s="168" t="s">
        <v>157</v>
      </c>
      <c r="I2" s="137" t="s">
        <v>155</v>
      </c>
      <c r="J2" s="200" t="s">
        <v>38</v>
      </c>
      <c r="K2" s="137" t="s">
        <v>156</v>
      </c>
      <c r="L2" s="169">
        <v>1</v>
      </c>
      <c r="M2" s="170"/>
      <c r="N2" s="170">
        <v>1</v>
      </c>
      <c r="O2" s="170">
        <v>0.45</v>
      </c>
      <c r="P2" s="170">
        <v>0.4</v>
      </c>
      <c r="Q2" s="171">
        <f t="shared" ref="Q2:Q65" si="0">IF(OR(O2="",P2=""),"",AVERAGE(O2,P2))</f>
        <v>0.42500000000000004</v>
      </c>
      <c r="R2" s="172">
        <v>15.4</v>
      </c>
      <c r="S2" s="168">
        <v>120</v>
      </c>
      <c r="T2" s="173">
        <f t="shared" ref="T2:T65" si="1">IF(H2="","",IF(OR(H2="GREEN",H2="GK"),IF(S2&gt;=$AX$2,VLOOKUP(S2,$AX$2:$AY$7,2,1),""),IF(S2&gt;=$AZ$2,VLOOKUP(S2,$AZ$2:$BA$7,2,1),"")))</f>
        <v>30</v>
      </c>
      <c r="U2" s="137">
        <v>84</v>
      </c>
      <c r="V2" s="173">
        <f t="shared" ref="V2:V65" si="2">IF(OR(N2="",U2="",T2=""),"",U2/N2*T2)</f>
        <v>2520</v>
      </c>
      <c r="W2" s="174">
        <v>6</v>
      </c>
      <c r="X2" s="175" t="s">
        <v>46</v>
      </c>
      <c r="Y2" s="175" t="s">
        <v>86</v>
      </c>
      <c r="Z2" s="175" t="s">
        <v>69</v>
      </c>
      <c r="AA2" s="176" t="s">
        <v>78</v>
      </c>
      <c r="AB2" s="55" t="s">
        <v>523</v>
      </c>
      <c r="AE2" s="218" t="s">
        <v>35</v>
      </c>
      <c r="AG2" s="243" t="s">
        <v>524</v>
      </c>
      <c r="AH2" s="243" t="s">
        <v>281</v>
      </c>
      <c r="AJ2" s="144" t="s">
        <v>36</v>
      </c>
      <c r="AL2" s="219" t="s">
        <v>127</v>
      </c>
      <c r="AN2" s="219" t="s">
        <v>37</v>
      </c>
      <c r="AO2" s="216"/>
      <c r="AP2" s="219" t="s">
        <v>38</v>
      </c>
      <c r="AQ2" s="216"/>
      <c r="AR2" s="219" t="s">
        <v>525</v>
      </c>
      <c r="AS2" s="216"/>
      <c r="AT2" s="219" t="s">
        <v>39</v>
      </c>
      <c r="AU2" s="216"/>
      <c r="AV2" s="248" t="s">
        <v>40</v>
      </c>
      <c r="AW2" s="216"/>
      <c r="AX2" s="220">
        <v>1</v>
      </c>
      <c r="AY2" s="221">
        <v>50</v>
      </c>
      <c r="AZ2" s="221">
        <v>1</v>
      </c>
      <c r="BA2" s="222">
        <v>50</v>
      </c>
    </row>
    <row r="3" spans="1:53" x14ac:dyDescent="0.15">
      <c r="A3" s="177" t="s">
        <v>34</v>
      </c>
      <c r="B3" s="177" t="s">
        <v>339</v>
      </c>
      <c r="C3" s="178">
        <v>2018</v>
      </c>
      <c r="D3" s="260" t="s">
        <v>521</v>
      </c>
      <c r="E3" s="177" t="s">
        <v>522</v>
      </c>
      <c r="F3" s="177" t="s">
        <v>280</v>
      </c>
      <c r="G3" s="180" t="s">
        <v>36</v>
      </c>
      <c r="H3" s="137" t="s">
        <v>157</v>
      </c>
      <c r="I3" s="137" t="s">
        <v>155</v>
      </c>
      <c r="J3" s="137" t="s">
        <v>38</v>
      </c>
      <c r="K3" s="137" t="s">
        <v>156</v>
      </c>
      <c r="L3" s="208">
        <v>2</v>
      </c>
      <c r="N3" s="208">
        <v>1</v>
      </c>
      <c r="O3" s="208">
        <v>0.45</v>
      </c>
      <c r="P3" s="235">
        <v>0.5</v>
      </c>
      <c r="Q3" s="181">
        <f t="shared" si="0"/>
        <v>0.47499999999999998</v>
      </c>
      <c r="R3" s="182">
        <v>15.6</v>
      </c>
      <c r="S3" s="182">
        <v>123</v>
      </c>
      <c r="T3" s="217">
        <f t="shared" si="1"/>
        <v>30</v>
      </c>
      <c r="U3" s="183">
        <v>84</v>
      </c>
      <c r="V3" s="184">
        <f t="shared" si="2"/>
        <v>2520</v>
      </c>
      <c r="W3" s="185">
        <v>6</v>
      </c>
      <c r="X3" s="186" t="s">
        <v>46</v>
      </c>
      <c r="Y3" s="186" t="s">
        <v>86</v>
      </c>
      <c r="Z3" s="186" t="s">
        <v>69</v>
      </c>
      <c r="AA3" s="176" t="s">
        <v>78</v>
      </c>
      <c r="AB3" s="55" t="s">
        <v>341</v>
      </c>
      <c r="AE3" s="223" t="s">
        <v>41</v>
      </c>
      <c r="AG3" s="243" t="s">
        <v>282</v>
      </c>
      <c r="AH3" s="243" t="s">
        <v>283</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339</v>
      </c>
      <c r="C4" s="177">
        <v>2018</v>
      </c>
      <c r="D4" s="179" t="s">
        <v>526</v>
      </c>
      <c r="E4" s="177" t="s">
        <v>522</v>
      </c>
      <c r="F4" s="177" t="s">
        <v>280</v>
      </c>
      <c r="G4" s="180" t="s">
        <v>36</v>
      </c>
      <c r="H4" s="137" t="s">
        <v>157</v>
      </c>
      <c r="I4" s="137" t="s">
        <v>155</v>
      </c>
      <c r="J4" s="137" t="s">
        <v>38</v>
      </c>
      <c r="K4" s="137" t="s">
        <v>156</v>
      </c>
      <c r="L4" s="208">
        <v>3</v>
      </c>
      <c r="N4" s="208">
        <v>1</v>
      </c>
      <c r="O4" s="208">
        <v>0.4</v>
      </c>
      <c r="P4" s="235">
        <v>0.35</v>
      </c>
      <c r="Q4" s="245">
        <f t="shared" si="0"/>
        <v>0.375</v>
      </c>
      <c r="R4" s="188">
        <v>16.100000000000001</v>
      </c>
      <c r="S4" s="188">
        <v>119</v>
      </c>
      <c r="T4" s="217">
        <f t="shared" si="1"/>
        <v>30</v>
      </c>
      <c r="U4" s="189">
        <v>84</v>
      </c>
      <c r="V4" s="184">
        <f t="shared" si="2"/>
        <v>2520</v>
      </c>
      <c r="W4" s="190">
        <v>6</v>
      </c>
      <c r="X4" s="186" t="s">
        <v>46</v>
      </c>
      <c r="Y4" s="186" t="s">
        <v>86</v>
      </c>
      <c r="Z4" s="186" t="s">
        <v>69</v>
      </c>
      <c r="AA4" s="176" t="s">
        <v>78</v>
      </c>
      <c r="AB4" s="55" t="s">
        <v>341</v>
      </c>
      <c r="AE4" s="223" t="s">
        <v>34</v>
      </c>
      <c r="AG4" s="243" t="s">
        <v>527</v>
      </c>
      <c r="AH4" s="243" t="s">
        <v>284</v>
      </c>
      <c r="AJ4" s="191" t="s">
        <v>48</v>
      </c>
      <c r="AL4" s="228" t="s">
        <v>129</v>
      </c>
      <c r="AN4" s="229" t="s">
        <v>49</v>
      </c>
      <c r="AP4" s="224" t="s">
        <v>528</v>
      </c>
      <c r="AR4" s="238" t="s">
        <v>529</v>
      </c>
      <c r="AT4" s="229"/>
      <c r="AV4" s="224" t="s">
        <v>50</v>
      </c>
      <c r="AX4" s="225">
        <v>75</v>
      </c>
      <c r="AY4" s="226">
        <v>42</v>
      </c>
      <c r="AZ4" s="226">
        <v>76</v>
      </c>
      <c r="BA4" s="227">
        <v>39</v>
      </c>
    </row>
    <row r="5" spans="1:53" x14ac:dyDescent="0.15">
      <c r="A5" s="177" t="s">
        <v>34</v>
      </c>
      <c r="B5" s="177" t="s">
        <v>339</v>
      </c>
      <c r="C5" s="178">
        <v>2018</v>
      </c>
      <c r="D5" s="179" t="s">
        <v>526</v>
      </c>
      <c r="E5" s="177" t="s">
        <v>522</v>
      </c>
      <c r="F5" s="177" t="s">
        <v>280</v>
      </c>
      <c r="G5" s="180" t="s">
        <v>36</v>
      </c>
      <c r="H5" s="137" t="s">
        <v>168</v>
      </c>
      <c r="I5" s="137" t="s">
        <v>155</v>
      </c>
      <c r="J5" s="137" t="s">
        <v>38</v>
      </c>
      <c r="K5" s="137" t="s">
        <v>156</v>
      </c>
      <c r="L5" s="208">
        <v>1</v>
      </c>
      <c r="N5" s="208">
        <v>1</v>
      </c>
      <c r="O5" s="208">
        <v>0.4</v>
      </c>
      <c r="P5" s="237">
        <v>0.45</v>
      </c>
      <c r="Q5" s="245">
        <f t="shared" si="0"/>
        <v>0.42500000000000004</v>
      </c>
      <c r="R5" s="188">
        <v>16.3</v>
      </c>
      <c r="S5" s="188">
        <v>157</v>
      </c>
      <c r="T5" s="217">
        <f t="shared" si="1"/>
        <v>30</v>
      </c>
      <c r="U5" s="189">
        <v>128</v>
      </c>
      <c r="V5" s="184">
        <f t="shared" si="2"/>
        <v>3840</v>
      </c>
      <c r="W5" s="190">
        <v>6</v>
      </c>
      <c r="X5" s="186" t="s">
        <v>46</v>
      </c>
      <c r="Y5" s="186" t="s">
        <v>86</v>
      </c>
      <c r="Z5" s="186" t="s">
        <v>69</v>
      </c>
      <c r="AA5" s="176" t="s">
        <v>78</v>
      </c>
      <c r="AB5" s="55" t="s">
        <v>341</v>
      </c>
      <c r="AE5" s="223" t="s">
        <v>51</v>
      </c>
      <c r="AG5" s="243" t="s">
        <v>530</v>
      </c>
      <c r="AH5" s="243" t="s">
        <v>287</v>
      </c>
      <c r="AJ5" s="192"/>
      <c r="AL5" s="230" t="s">
        <v>531</v>
      </c>
      <c r="AN5" s="230" t="s">
        <v>532</v>
      </c>
      <c r="AP5" s="224" t="s">
        <v>533</v>
      </c>
      <c r="AR5" s="238" t="s">
        <v>54</v>
      </c>
      <c r="AT5" s="247"/>
      <c r="AV5" s="224" t="s">
        <v>55</v>
      </c>
      <c r="AX5" s="225">
        <v>84</v>
      </c>
      <c r="AY5" s="226">
        <v>39</v>
      </c>
      <c r="AZ5" s="226">
        <v>84</v>
      </c>
      <c r="BA5" s="227">
        <v>36</v>
      </c>
    </row>
    <row r="6" spans="1:53" x14ac:dyDescent="0.15">
      <c r="A6" s="177" t="s">
        <v>34</v>
      </c>
      <c r="B6" s="177" t="s">
        <v>339</v>
      </c>
      <c r="C6" s="177">
        <v>2018</v>
      </c>
      <c r="D6" s="179" t="s">
        <v>526</v>
      </c>
      <c r="E6" s="177" t="s">
        <v>522</v>
      </c>
      <c r="F6" s="177" t="s">
        <v>280</v>
      </c>
      <c r="G6" s="180" t="s">
        <v>36</v>
      </c>
      <c r="H6" s="137" t="s">
        <v>168</v>
      </c>
      <c r="I6" s="137" t="s">
        <v>155</v>
      </c>
      <c r="J6" s="137" t="s">
        <v>38</v>
      </c>
      <c r="K6" s="137" t="s">
        <v>156</v>
      </c>
      <c r="L6" s="208">
        <v>2</v>
      </c>
      <c r="N6" s="208">
        <v>1</v>
      </c>
      <c r="O6" s="208">
        <v>0.4</v>
      </c>
      <c r="P6" s="237">
        <v>0.35</v>
      </c>
      <c r="Q6" s="245">
        <f t="shared" si="0"/>
        <v>0.375</v>
      </c>
      <c r="R6" s="188">
        <v>16.100000000000001</v>
      </c>
      <c r="S6" s="188">
        <v>151</v>
      </c>
      <c r="T6" s="217">
        <f t="shared" si="1"/>
        <v>30</v>
      </c>
      <c r="U6" s="189">
        <v>128</v>
      </c>
      <c r="V6" s="184">
        <f t="shared" si="2"/>
        <v>3840</v>
      </c>
      <c r="W6" s="190">
        <v>6</v>
      </c>
      <c r="X6" s="186" t="s">
        <v>46</v>
      </c>
      <c r="Y6" s="186" t="s">
        <v>86</v>
      </c>
      <c r="Z6" s="186" t="s">
        <v>69</v>
      </c>
      <c r="AA6" s="176" t="s">
        <v>78</v>
      </c>
      <c r="AB6" s="55" t="s">
        <v>341</v>
      </c>
      <c r="AE6" s="223" t="s">
        <v>56</v>
      </c>
      <c r="AG6" s="243" t="s">
        <v>534</v>
      </c>
      <c r="AH6" s="243" t="s">
        <v>286</v>
      </c>
      <c r="AL6" s="230" t="s">
        <v>535</v>
      </c>
      <c r="AN6" s="230" t="s">
        <v>536</v>
      </c>
      <c r="AP6" s="224" t="s">
        <v>53</v>
      </c>
      <c r="AR6" s="238" t="s">
        <v>59</v>
      </c>
      <c r="AV6" s="224" t="s">
        <v>60</v>
      </c>
      <c r="AX6" s="225">
        <v>97</v>
      </c>
      <c r="AY6" s="226">
        <v>36</v>
      </c>
      <c r="AZ6" s="226">
        <v>99</v>
      </c>
      <c r="BA6" s="227">
        <v>33</v>
      </c>
    </row>
    <row r="7" spans="1:53" x14ac:dyDescent="0.15">
      <c r="A7" s="177" t="s">
        <v>34</v>
      </c>
      <c r="B7" s="177" t="s">
        <v>339</v>
      </c>
      <c r="C7" s="178">
        <v>2018</v>
      </c>
      <c r="D7" s="179" t="s">
        <v>526</v>
      </c>
      <c r="E7" s="177" t="s">
        <v>522</v>
      </c>
      <c r="F7" s="177" t="s">
        <v>280</v>
      </c>
      <c r="G7" s="180" t="s">
        <v>36</v>
      </c>
      <c r="H7" s="137" t="s">
        <v>168</v>
      </c>
      <c r="I7" s="137" t="s">
        <v>155</v>
      </c>
      <c r="J7" s="137" t="s">
        <v>38</v>
      </c>
      <c r="K7" s="137" t="s">
        <v>156</v>
      </c>
      <c r="L7" s="208">
        <v>3</v>
      </c>
      <c r="N7" s="208">
        <v>1</v>
      </c>
      <c r="O7" s="208">
        <v>0.35</v>
      </c>
      <c r="P7" s="237">
        <v>0.4</v>
      </c>
      <c r="Q7" s="245">
        <f t="shared" si="0"/>
        <v>0.375</v>
      </c>
      <c r="R7" s="188">
        <v>16.8</v>
      </c>
      <c r="S7" s="188">
        <v>155</v>
      </c>
      <c r="T7" s="217">
        <f t="shared" si="1"/>
        <v>30</v>
      </c>
      <c r="U7" s="189">
        <v>128</v>
      </c>
      <c r="V7" s="184">
        <f t="shared" si="2"/>
        <v>3840</v>
      </c>
      <c r="W7" s="190">
        <v>6</v>
      </c>
      <c r="X7" s="186" t="s">
        <v>46</v>
      </c>
      <c r="Y7" s="186" t="s">
        <v>86</v>
      </c>
      <c r="Z7" s="186" t="s">
        <v>69</v>
      </c>
      <c r="AA7" s="176" t="s">
        <v>78</v>
      </c>
      <c r="AB7" s="55" t="s">
        <v>341</v>
      </c>
      <c r="AE7" s="223" t="s">
        <v>61</v>
      </c>
      <c r="AG7" s="243" t="s">
        <v>285</v>
      </c>
      <c r="AH7" s="243" t="s">
        <v>280</v>
      </c>
      <c r="AL7" s="235" t="s">
        <v>537</v>
      </c>
      <c r="AP7" s="224" t="s">
        <v>58</v>
      </c>
      <c r="AR7" s="231" t="s">
        <v>122</v>
      </c>
      <c r="AV7" s="224" t="s">
        <v>64</v>
      </c>
      <c r="AX7" s="225">
        <v>109</v>
      </c>
      <c r="AY7" s="226">
        <v>33</v>
      </c>
      <c r="AZ7" s="226">
        <v>113</v>
      </c>
      <c r="BA7" s="227">
        <v>30</v>
      </c>
    </row>
    <row r="8" spans="1:53" x14ac:dyDescent="0.15">
      <c r="A8" s="177" t="s">
        <v>34</v>
      </c>
      <c r="B8" s="177" t="s">
        <v>339</v>
      </c>
      <c r="C8" s="177">
        <v>2018</v>
      </c>
      <c r="D8" s="179" t="s">
        <v>526</v>
      </c>
      <c r="E8" s="178" t="s">
        <v>285</v>
      </c>
      <c r="F8" s="177" t="s">
        <v>286</v>
      </c>
      <c r="G8" s="180" t="s">
        <v>36</v>
      </c>
      <c r="H8" s="137" t="s">
        <v>157</v>
      </c>
      <c r="I8" s="137" t="s">
        <v>155</v>
      </c>
      <c r="J8" s="137" t="s">
        <v>38</v>
      </c>
      <c r="K8" s="137" t="s">
        <v>156</v>
      </c>
      <c r="L8" s="208">
        <v>1</v>
      </c>
      <c r="N8" s="208">
        <v>4</v>
      </c>
      <c r="O8" s="208">
        <v>0.55000000000000004</v>
      </c>
      <c r="P8" s="208">
        <v>0.5</v>
      </c>
      <c r="Q8" s="245">
        <f t="shared" si="0"/>
        <v>0.52500000000000002</v>
      </c>
      <c r="R8" s="188">
        <v>13.5</v>
      </c>
      <c r="S8" s="188">
        <v>98</v>
      </c>
      <c r="T8" s="217">
        <f t="shared" si="1"/>
        <v>36</v>
      </c>
      <c r="U8" s="193">
        <v>398</v>
      </c>
      <c r="V8" s="184">
        <f t="shared" si="2"/>
        <v>3582</v>
      </c>
      <c r="W8" s="190">
        <v>4</v>
      </c>
      <c r="X8" s="186" t="s">
        <v>46</v>
      </c>
      <c r="Y8" s="194" t="s">
        <v>64</v>
      </c>
      <c r="Z8" s="186" t="s">
        <v>97</v>
      </c>
      <c r="AA8" s="176" t="s">
        <v>86</v>
      </c>
      <c r="AB8" s="55" t="s">
        <v>341</v>
      </c>
      <c r="AE8" s="223" t="s">
        <v>59</v>
      </c>
      <c r="AG8" s="243" t="s">
        <v>538</v>
      </c>
      <c r="AH8" s="243" t="s">
        <v>289</v>
      </c>
      <c r="AL8" s="235" t="s">
        <v>358</v>
      </c>
      <c r="AP8" s="224" t="s">
        <v>62</v>
      </c>
      <c r="AR8" s="238" t="s">
        <v>81</v>
      </c>
      <c r="AV8" s="224" t="s">
        <v>97</v>
      </c>
      <c r="AX8" s="225">
        <v>151</v>
      </c>
      <c r="AY8" s="226">
        <v>22</v>
      </c>
      <c r="AZ8" s="226">
        <v>152</v>
      </c>
      <c r="BA8" s="227">
        <v>18</v>
      </c>
    </row>
    <row r="9" spans="1:53" x14ac:dyDescent="0.15">
      <c r="A9" s="177" t="s">
        <v>34</v>
      </c>
      <c r="B9" s="177" t="s">
        <v>339</v>
      </c>
      <c r="C9" s="178">
        <v>2018</v>
      </c>
      <c r="D9" s="179" t="s">
        <v>526</v>
      </c>
      <c r="E9" s="178" t="s">
        <v>285</v>
      </c>
      <c r="F9" s="177" t="s">
        <v>286</v>
      </c>
      <c r="G9" s="180" t="s">
        <v>36</v>
      </c>
      <c r="H9" s="137" t="s">
        <v>157</v>
      </c>
      <c r="I9" s="137" t="s">
        <v>155</v>
      </c>
      <c r="J9" s="137" t="s">
        <v>38</v>
      </c>
      <c r="K9" s="137" t="s">
        <v>156</v>
      </c>
      <c r="L9" s="208">
        <v>2</v>
      </c>
      <c r="N9" s="208">
        <v>4</v>
      </c>
      <c r="O9" s="208">
        <v>0.45</v>
      </c>
      <c r="P9" s="208">
        <v>0.5</v>
      </c>
      <c r="Q9" s="245">
        <f t="shared" si="0"/>
        <v>0.47499999999999998</v>
      </c>
      <c r="R9" s="188">
        <v>14.1</v>
      </c>
      <c r="S9" s="188">
        <v>105</v>
      </c>
      <c r="T9" s="217">
        <f t="shared" si="1"/>
        <v>33</v>
      </c>
      <c r="U9" s="193">
        <v>398</v>
      </c>
      <c r="V9" s="184">
        <f t="shared" si="2"/>
        <v>3283.5</v>
      </c>
      <c r="W9" s="190">
        <v>4</v>
      </c>
      <c r="X9" s="186" t="s">
        <v>46</v>
      </c>
      <c r="Y9" s="194" t="s">
        <v>64</v>
      </c>
      <c r="Z9" s="186" t="s">
        <v>97</v>
      </c>
      <c r="AA9" s="176" t="s">
        <v>86</v>
      </c>
      <c r="AB9" s="55" t="s">
        <v>341</v>
      </c>
      <c r="AE9" s="223" t="s">
        <v>98</v>
      </c>
      <c r="AG9" s="243" t="s">
        <v>539</v>
      </c>
      <c r="AH9" s="243" t="s">
        <v>290</v>
      </c>
      <c r="AL9" s="230"/>
      <c r="AP9" s="224" t="s">
        <v>95</v>
      </c>
      <c r="AR9" s="231" t="s">
        <v>89</v>
      </c>
      <c r="AV9" s="224" t="s">
        <v>102</v>
      </c>
      <c r="AX9" s="232">
        <v>180</v>
      </c>
      <c r="AY9" s="233">
        <v>18</v>
      </c>
      <c r="AZ9" s="233">
        <v>181</v>
      </c>
      <c r="BA9" s="234">
        <v>16</v>
      </c>
    </row>
    <row r="10" spans="1:53" x14ac:dyDescent="0.15">
      <c r="A10" s="177" t="s">
        <v>34</v>
      </c>
      <c r="B10" s="177" t="s">
        <v>339</v>
      </c>
      <c r="C10" s="177">
        <v>2018</v>
      </c>
      <c r="D10" s="179" t="s">
        <v>526</v>
      </c>
      <c r="E10" s="178" t="s">
        <v>285</v>
      </c>
      <c r="F10" s="177" t="s">
        <v>286</v>
      </c>
      <c r="G10" s="180" t="s">
        <v>36</v>
      </c>
      <c r="H10" s="137" t="s">
        <v>157</v>
      </c>
      <c r="I10" s="137" t="s">
        <v>155</v>
      </c>
      <c r="J10" s="137" t="s">
        <v>38</v>
      </c>
      <c r="K10" s="137" t="s">
        <v>156</v>
      </c>
      <c r="L10" s="208">
        <v>3</v>
      </c>
      <c r="N10" s="208">
        <v>4</v>
      </c>
      <c r="O10" s="208">
        <v>0.5</v>
      </c>
      <c r="P10" s="208">
        <v>0.45</v>
      </c>
      <c r="Q10" s="245">
        <f t="shared" si="0"/>
        <v>0.47499999999999998</v>
      </c>
      <c r="R10" s="188">
        <v>14.5</v>
      </c>
      <c r="S10" s="188">
        <v>102</v>
      </c>
      <c r="T10" s="217">
        <f t="shared" si="1"/>
        <v>33</v>
      </c>
      <c r="U10" s="193">
        <v>398</v>
      </c>
      <c r="V10" s="184">
        <f t="shared" si="2"/>
        <v>3283.5</v>
      </c>
      <c r="W10" s="190">
        <v>4</v>
      </c>
      <c r="X10" s="186" t="s">
        <v>46</v>
      </c>
      <c r="Y10" s="194" t="s">
        <v>64</v>
      </c>
      <c r="Z10" s="186" t="s">
        <v>97</v>
      </c>
      <c r="AA10" s="176" t="s">
        <v>86</v>
      </c>
      <c r="AB10" s="55" t="s">
        <v>341</v>
      </c>
      <c r="AE10" s="223" t="s">
        <v>103</v>
      </c>
      <c r="AG10" s="243" t="s">
        <v>540</v>
      </c>
      <c r="AH10" s="243" t="s">
        <v>541</v>
      </c>
      <c r="AL10" s="235"/>
      <c r="AP10" s="224" t="s">
        <v>100</v>
      </c>
      <c r="AR10" s="231" t="s">
        <v>123</v>
      </c>
      <c r="AV10" s="224" t="s">
        <v>106</v>
      </c>
    </row>
    <row r="11" spans="1:53" x14ac:dyDescent="0.15">
      <c r="A11" s="177" t="s">
        <v>34</v>
      </c>
      <c r="B11" s="177" t="s">
        <v>339</v>
      </c>
      <c r="C11" s="178">
        <v>2018</v>
      </c>
      <c r="D11" s="179" t="s">
        <v>526</v>
      </c>
      <c r="E11" s="178" t="s">
        <v>285</v>
      </c>
      <c r="F11" s="177" t="s">
        <v>286</v>
      </c>
      <c r="G11" s="180" t="s">
        <v>36</v>
      </c>
      <c r="H11" s="137" t="s">
        <v>168</v>
      </c>
      <c r="I11" s="137" t="s">
        <v>155</v>
      </c>
      <c r="J11" s="137" t="s">
        <v>38</v>
      </c>
      <c r="K11" s="137" t="s">
        <v>156</v>
      </c>
      <c r="L11" s="208">
        <v>1</v>
      </c>
      <c r="N11" s="208">
        <v>1</v>
      </c>
      <c r="O11" s="208">
        <v>0.45</v>
      </c>
      <c r="P11" s="208">
        <v>0.45</v>
      </c>
      <c r="Q11" s="245">
        <f t="shared" si="0"/>
        <v>0.45</v>
      </c>
      <c r="R11" s="188">
        <v>15.7</v>
      </c>
      <c r="S11" s="188">
        <v>156</v>
      </c>
      <c r="T11" s="217">
        <f t="shared" si="1"/>
        <v>30</v>
      </c>
      <c r="U11" s="193">
        <v>138</v>
      </c>
      <c r="V11" s="184">
        <f t="shared" si="2"/>
        <v>4140</v>
      </c>
      <c r="W11" s="190">
        <v>4</v>
      </c>
      <c r="X11" s="186" t="s">
        <v>46</v>
      </c>
      <c r="Y11" s="194" t="s">
        <v>64</v>
      </c>
      <c r="Z11" s="186" t="s">
        <v>97</v>
      </c>
      <c r="AA11" s="195" t="s">
        <v>86</v>
      </c>
      <c r="AB11" s="55" t="s">
        <v>341</v>
      </c>
      <c r="AE11" s="223" t="s">
        <v>65</v>
      </c>
      <c r="AG11" s="238"/>
      <c r="AH11" s="238"/>
      <c r="AL11" s="235"/>
      <c r="AP11" s="224" t="s">
        <v>104</v>
      </c>
      <c r="AR11" s="231" t="s">
        <v>87</v>
      </c>
      <c r="AV11" s="224" t="s">
        <v>69</v>
      </c>
    </row>
    <row r="12" spans="1:53" x14ac:dyDescent="0.15">
      <c r="A12" s="177" t="s">
        <v>34</v>
      </c>
      <c r="B12" s="177" t="s">
        <v>339</v>
      </c>
      <c r="C12" s="177">
        <v>2018</v>
      </c>
      <c r="D12" s="179" t="s">
        <v>526</v>
      </c>
      <c r="E12" s="178" t="s">
        <v>285</v>
      </c>
      <c r="F12" s="177" t="s">
        <v>286</v>
      </c>
      <c r="G12" s="180" t="s">
        <v>36</v>
      </c>
      <c r="H12" s="137" t="s">
        <v>168</v>
      </c>
      <c r="I12" s="137" t="s">
        <v>155</v>
      </c>
      <c r="J12" s="137" t="s">
        <v>38</v>
      </c>
      <c r="K12" s="137" t="s">
        <v>156</v>
      </c>
      <c r="L12" s="208">
        <v>2</v>
      </c>
      <c r="N12" s="208">
        <v>1</v>
      </c>
      <c r="O12" s="208">
        <v>0.45</v>
      </c>
      <c r="P12" s="208">
        <v>0.4</v>
      </c>
      <c r="Q12" s="245">
        <f t="shared" si="0"/>
        <v>0.42500000000000004</v>
      </c>
      <c r="R12" s="188">
        <v>15.4</v>
      </c>
      <c r="S12" s="188">
        <v>151</v>
      </c>
      <c r="T12" s="217">
        <f t="shared" si="1"/>
        <v>30</v>
      </c>
      <c r="U12" s="193">
        <v>138</v>
      </c>
      <c r="V12" s="184">
        <f t="shared" si="2"/>
        <v>4140</v>
      </c>
      <c r="W12" s="190">
        <v>4</v>
      </c>
      <c r="X12" s="186" t="s">
        <v>46</v>
      </c>
      <c r="Y12" s="194" t="s">
        <v>64</v>
      </c>
      <c r="Z12" s="186" t="s">
        <v>97</v>
      </c>
      <c r="AA12" s="195" t="s">
        <v>86</v>
      </c>
      <c r="AB12" s="55" t="s">
        <v>341</v>
      </c>
      <c r="AE12" s="223" t="s">
        <v>70</v>
      </c>
      <c r="AG12" s="238"/>
      <c r="AH12" s="238"/>
      <c r="AL12" s="235"/>
      <c r="AP12" s="224" t="s">
        <v>67</v>
      </c>
      <c r="AR12" s="231" t="s">
        <v>124</v>
      </c>
      <c r="AV12" s="224" t="s">
        <v>72</v>
      </c>
    </row>
    <row r="13" spans="1:53" x14ac:dyDescent="0.15">
      <c r="A13" s="177" t="s">
        <v>34</v>
      </c>
      <c r="B13" s="177" t="s">
        <v>339</v>
      </c>
      <c r="C13" s="178">
        <v>2018</v>
      </c>
      <c r="D13" s="179" t="s">
        <v>526</v>
      </c>
      <c r="E13" s="178" t="s">
        <v>285</v>
      </c>
      <c r="F13" s="177" t="s">
        <v>286</v>
      </c>
      <c r="G13" s="180" t="s">
        <v>36</v>
      </c>
      <c r="H13" s="137" t="s">
        <v>168</v>
      </c>
      <c r="I13" s="137" t="s">
        <v>155</v>
      </c>
      <c r="J13" s="137" t="s">
        <v>38</v>
      </c>
      <c r="K13" s="137" t="s">
        <v>156</v>
      </c>
      <c r="L13" s="208">
        <v>3</v>
      </c>
      <c r="N13" s="208">
        <v>1</v>
      </c>
      <c r="O13" s="208">
        <v>0.4</v>
      </c>
      <c r="P13" s="208">
        <v>0.45</v>
      </c>
      <c r="Q13" s="245">
        <f t="shared" si="0"/>
        <v>0.42500000000000004</v>
      </c>
      <c r="R13" s="188">
        <v>15.7</v>
      </c>
      <c r="S13" s="188">
        <v>162</v>
      </c>
      <c r="T13" s="217">
        <f t="shared" si="1"/>
        <v>30</v>
      </c>
      <c r="U13" s="193">
        <v>138</v>
      </c>
      <c r="V13" s="184">
        <f t="shared" si="2"/>
        <v>4140</v>
      </c>
      <c r="W13" s="190">
        <v>4</v>
      </c>
      <c r="X13" s="186" t="s">
        <v>46</v>
      </c>
      <c r="Y13" s="194" t="s">
        <v>64</v>
      </c>
      <c r="Z13" s="186" t="s">
        <v>97</v>
      </c>
      <c r="AA13" s="195" t="s">
        <v>86</v>
      </c>
      <c r="AB13" s="55" t="s">
        <v>341</v>
      </c>
      <c r="AE13" s="223" t="s">
        <v>73</v>
      </c>
      <c r="AG13" s="196"/>
      <c r="AH13" s="196"/>
      <c r="AP13" s="224" t="s">
        <v>71</v>
      </c>
      <c r="AR13" s="231" t="s">
        <v>103</v>
      </c>
      <c r="AV13" s="224" t="s">
        <v>75</v>
      </c>
    </row>
    <row r="14" spans="1:53" x14ac:dyDescent="0.15">
      <c r="A14" s="177" t="s">
        <v>34</v>
      </c>
      <c r="B14" s="177" t="s">
        <v>339</v>
      </c>
      <c r="C14" s="177">
        <v>2018</v>
      </c>
      <c r="D14" s="179" t="s">
        <v>526</v>
      </c>
      <c r="E14" s="178" t="s">
        <v>288</v>
      </c>
      <c r="F14" s="177" t="s">
        <v>286</v>
      </c>
      <c r="G14" s="180" t="s">
        <v>36</v>
      </c>
      <c r="H14" s="137" t="s">
        <v>216</v>
      </c>
      <c r="I14" s="137" t="s">
        <v>155</v>
      </c>
      <c r="J14" s="137" t="s">
        <v>38</v>
      </c>
      <c r="K14" s="137" t="s">
        <v>156</v>
      </c>
      <c r="L14" s="208">
        <v>1</v>
      </c>
      <c r="N14" s="208">
        <v>1</v>
      </c>
      <c r="O14" s="208">
        <v>0.45</v>
      </c>
      <c r="P14" s="208">
        <v>0.45</v>
      </c>
      <c r="Q14" s="245">
        <f t="shared" si="0"/>
        <v>0.45</v>
      </c>
      <c r="R14" s="188">
        <v>20.100000000000001</v>
      </c>
      <c r="S14" s="188">
        <v>134</v>
      </c>
      <c r="T14" s="217">
        <f t="shared" si="1"/>
        <v>30</v>
      </c>
      <c r="U14" s="193">
        <v>148</v>
      </c>
      <c r="V14" s="184">
        <f t="shared" si="2"/>
        <v>4440</v>
      </c>
      <c r="W14" s="190">
        <v>7</v>
      </c>
      <c r="X14" s="186" t="s">
        <v>46</v>
      </c>
      <c r="Y14" s="194" t="s">
        <v>97</v>
      </c>
      <c r="Z14" s="194" t="s">
        <v>88</v>
      </c>
      <c r="AA14" s="195" t="s">
        <v>86</v>
      </c>
      <c r="AB14" s="55" t="s">
        <v>341</v>
      </c>
      <c r="AC14" s="235"/>
      <c r="AE14" s="223" t="s">
        <v>76</v>
      </c>
      <c r="AG14" s="247"/>
      <c r="AH14" s="247"/>
      <c r="AP14" s="224" t="s">
        <v>74</v>
      </c>
      <c r="AR14" s="231" t="s">
        <v>125</v>
      </c>
      <c r="AV14" s="224" t="s">
        <v>78</v>
      </c>
    </row>
    <row r="15" spans="1:53" x14ac:dyDescent="0.15">
      <c r="A15" s="177" t="s">
        <v>34</v>
      </c>
      <c r="B15" s="177" t="s">
        <v>339</v>
      </c>
      <c r="C15" s="178">
        <v>2018</v>
      </c>
      <c r="D15" s="179" t="s">
        <v>526</v>
      </c>
      <c r="E15" s="178" t="s">
        <v>288</v>
      </c>
      <c r="F15" s="177" t="s">
        <v>286</v>
      </c>
      <c r="G15" s="180" t="s">
        <v>36</v>
      </c>
      <c r="H15" s="137" t="s">
        <v>216</v>
      </c>
      <c r="I15" s="137" t="s">
        <v>155</v>
      </c>
      <c r="J15" s="137" t="s">
        <v>38</v>
      </c>
      <c r="K15" s="137" t="s">
        <v>156</v>
      </c>
      <c r="L15" s="208">
        <v>2</v>
      </c>
      <c r="N15" s="208">
        <v>1</v>
      </c>
      <c r="O15" s="208">
        <v>0.5</v>
      </c>
      <c r="P15" s="208">
        <v>0.4</v>
      </c>
      <c r="Q15" s="245">
        <f t="shared" si="0"/>
        <v>0.45</v>
      </c>
      <c r="R15" s="188">
        <v>21.2</v>
      </c>
      <c r="S15" s="188">
        <v>126</v>
      </c>
      <c r="T15" s="217">
        <f t="shared" si="1"/>
        <v>30</v>
      </c>
      <c r="U15" s="193">
        <v>148</v>
      </c>
      <c r="V15" s="184">
        <f t="shared" si="2"/>
        <v>4440</v>
      </c>
      <c r="W15" s="190">
        <v>7</v>
      </c>
      <c r="X15" s="186" t="s">
        <v>46</v>
      </c>
      <c r="Y15" s="194" t="s">
        <v>97</v>
      </c>
      <c r="Z15" s="194" t="s">
        <v>88</v>
      </c>
      <c r="AA15" s="195" t="s">
        <v>86</v>
      </c>
      <c r="AB15" s="55" t="s">
        <v>341</v>
      </c>
      <c r="AC15" s="235"/>
      <c r="AE15" s="223" t="s">
        <v>79</v>
      </c>
      <c r="AP15" s="224" t="s">
        <v>77</v>
      </c>
      <c r="AR15" s="231" t="s">
        <v>94</v>
      </c>
      <c r="AV15" s="224" t="s">
        <v>107</v>
      </c>
    </row>
    <row r="16" spans="1:53" x14ac:dyDescent="0.15">
      <c r="A16" s="177" t="s">
        <v>34</v>
      </c>
      <c r="B16" s="177" t="s">
        <v>339</v>
      </c>
      <c r="C16" s="177">
        <v>2018</v>
      </c>
      <c r="D16" s="179" t="s">
        <v>526</v>
      </c>
      <c r="E16" s="178" t="s">
        <v>288</v>
      </c>
      <c r="F16" s="177" t="s">
        <v>286</v>
      </c>
      <c r="G16" s="180" t="s">
        <v>36</v>
      </c>
      <c r="H16" s="137" t="s">
        <v>216</v>
      </c>
      <c r="I16" s="137" t="s">
        <v>155</v>
      </c>
      <c r="J16" s="137" t="s">
        <v>38</v>
      </c>
      <c r="K16" s="137" t="s">
        <v>156</v>
      </c>
      <c r="L16" s="208">
        <v>3</v>
      </c>
      <c r="N16" s="208">
        <v>1</v>
      </c>
      <c r="O16" s="208">
        <v>0.4</v>
      </c>
      <c r="P16" s="208">
        <v>0.4</v>
      </c>
      <c r="Q16" s="245">
        <f t="shared" si="0"/>
        <v>0.4</v>
      </c>
      <c r="R16" s="188">
        <v>18.899999999999999</v>
      </c>
      <c r="S16" s="188">
        <v>125</v>
      </c>
      <c r="T16" s="217">
        <f t="shared" si="1"/>
        <v>30</v>
      </c>
      <c r="U16" s="193">
        <v>148</v>
      </c>
      <c r="V16" s="184">
        <f t="shared" si="2"/>
        <v>4440</v>
      </c>
      <c r="W16" s="190">
        <v>7</v>
      </c>
      <c r="X16" s="186" t="s">
        <v>46</v>
      </c>
      <c r="Y16" s="194" t="s">
        <v>97</v>
      </c>
      <c r="Z16" s="194" t="s">
        <v>88</v>
      </c>
      <c r="AA16" s="195" t="s">
        <v>86</v>
      </c>
      <c r="AB16" s="55" t="s">
        <v>341</v>
      </c>
      <c r="AC16" s="235"/>
      <c r="AE16" s="223" t="s">
        <v>82</v>
      </c>
      <c r="AP16" s="224" t="s">
        <v>80</v>
      </c>
      <c r="AR16" s="238" t="s">
        <v>63</v>
      </c>
      <c r="AV16" s="224" t="s">
        <v>84</v>
      </c>
    </row>
    <row r="17" spans="1:48" x14ac:dyDescent="0.15">
      <c r="A17" s="177" t="s">
        <v>34</v>
      </c>
      <c r="B17" s="177" t="s">
        <v>339</v>
      </c>
      <c r="C17" s="178">
        <v>2018</v>
      </c>
      <c r="D17" s="179" t="s">
        <v>526</v>
      </c>
      <c r="E17" s="178" t="s">
        <v>288</v>
      </c>
      <c r="F17" s="177" t="s">
        <v>286</v>
      </c>
      <c r="G17" s="180" t="s">
        <v>36</v>
      </c>
      <c r="H17" s="137" t="s">
        <v>168</v>
      </c>
      <c r="I17" s="137" t="s">
        <v>155</v>
      </c>
      <c r="J17" s="137" t="s">
        <v>38</v>
      </c>
      <c r="K17" s="137" t="s">
        <v>156</v>
      </c>
      <c r="L17" s="208">
        <v>1</v>
      </c>
      <c r="N17" s="208">
        <v>1</v>
      </c>
      <c r="O17" s="208">
        <v>0.4</v>
      </c>
      <c r="P17" s="208">
        <v>0.4</v>
      </c>
      <c r="Q17" s="245">
        <f t="shared" si="0"/>
        <v>0.4</v>
      </c>
      <c r="R17" s="188">
        <v>15.9</v>
      </c>
      <c r="S17" s="188">
        <v>156</v>
      </c>
      <c r="T17" s="217">
        <f t="shared" si="1"/>
        <v>30</v>
      </c>
      <c r="U17" s="193">
        <v>148</v>
      </c>
      <c r="V17" s="184">
        <f t="shared" si="2"/>
        <v>4440</v>
      </c>
      <c r="W17" s="190">
        <v>7</v>
      </c>
      <c r="X17" s="186" t="s">
        <v>46</v>
      </c>
      <c r="Y17" s="194" t="s">
        <v>97</v>
      </c>
      <c r="Z17" s="194" t="s">
        <v>88</v>
      </c>
      <c r="AA17" s="195" t="s">
        <v>86</v>
      </c>
      <c r="AB17" s="55" t="s">
        <v>341</v>
      </c>
      <c r="AC17" s="235"/>
      <c r="AE17" s="223" t="s">
        <v>85</v>
      </c>
      <c r="AP17" s="239" t="s">
        <v>110</v>
      </c>
      <c r="AR17" s="238" t="s">
        <v>96</v>
      </c>
      <c r="AV17" s="224" t="s">
        <v>86</v>
      </c>
    </row>
    <row r="18" spans="1:48" x14ac:dyDescent="0.15">
      <c r="A18" s="177" t="s">
        <v>34</v>
      </c>
      <c r="B18" s="177" t="s">
        <v>339</v>
      </c>
      <c r="C18" s="177">
        <v>2018</v>
      </c>
      <c r="D18" s="179" t="s">
        <v>526</v>
      </c>
      <c r="E18" s="178" t="s">
        <v>288</v>
      </c>
      <c r="F18" s="177" t="s">
        <v>286</v>
      </c>
      <c r="G18" s="180" t="s">
        <v>36</v>
      </c>
      <c r="H18" s="137" t="s">
        <v>168</v>
      </c>
      <c r="I18" s="137" t="s">
        <v>155</v>
      </c>
      <c r="J18" s="137" t="s">
        <v>38</v>
      </c>
      <c r="K18" s="137" t="s">
        <v>156</v>
      </c>
      <c r="L18" s="208">
        <v>2</v>
      </c>
      <c r="N18" s="208">
        <v>1</v>
      </c>
      <c r="O18" s="208">
        <v>0.45</v>
      </c>
      <c r="P18" s="208">
        <v>0.5</v>
      </c>
      <c r="Q18" s="245">
        <f t="shared" si="0"/>
        <v>0.47499999999999998</v>
      </c>
      <c r="R18" s="188">
        <v>16.2</v>
      </c>
      <c r="S18" s="188">
        <v>152</v>
      </c>
      <c r="T18" s="217">
        <f t="shared" si="1"/>
        <v>30</v>
      </c>
      <c r="U18" s="193">
        <v>148</v>
      </c>
      <c r="V18" s="184">
        <f t="shared" si="2"/>
        <v>4440</v>
      </c>
      <c r="W18" s="190">
        <v>7</v>
      </c>
      <c r="X18" s="186" t="s">
        <v>46</v>
      </c>
      <c r="Y18" s="194" t="s">
        <v>97</v>
      </c>
      <c r="Z18" s="194" t="s">
        <v>88</v>
      </c>
      <c r="AA18" s="195" t="s">
        <v>86</v>
      </c>
      <c r="AB18" s="55" t="s">
        <v>341</v>
      </c>
      <c r="AC18" s="235"/>
      <c r="AE18" s="223" t="s">
        <v>87</v>
      </c>
      <c r="AP18" s="239" t="s">
        <v>111</v>
      </c>
      <c r="AR18" s="238" t="s">
        <v>101</v>
      </c>
      <c r="AV18" s="224" t="s">
        <v>88</v>
      </c>
    </row>
    <row r="19" spans="1:48" x14ac:dyDescent="0.15">
      <c r="A19" s="177" t="s">
        <v>34</v>
      </c>
      <c r="B19" s="177" t="s">
        <v>339</v>
      </c>
      <c r="C19" s="178">
        <v>2018</v>
      </c>
      <c r="D19" s="179" t="s">
        <v>526</v>
      </c>
      <c r="E19" s="178" t="s">
        <v>288</v>
      </c>
      <c r="F19" s="177" t="s">
        <v>286</v>
      </c>
      <c r="G19" s="180" t="s">
        <v>36</v>
      </c>
      <c r="H19" s="137" t="s">
        <v>168</v>
      </c>
      <c r="I19" s="137" t="s">
        <v>155</v>
      </c>
      <c r="J19" s="137" t="s">
        <v>38</v>
      </c>
      <c r="K19" s="137" t="s">
        <v>156</v>
      </c>
      <c r="L19" s="208">
        <v>3</v>
      </c>
      <c r="N19" s="208">
        <v>1</v>
      </c>
      <c r="O19" s="208">
        <v>0.45</v>
      </c>
      <c r="P19" s="208">
        <v>0.4</v>
      </c>
      <c r="Q19" s="245">
        <f t="shared" si="0"/>
        <v>0.42500000000000004</v>
      </c>
      <c r="R19" s="188">
        <v>16.399999999999999</v>
      </c>
      <c r="S19" s="188">
        <v>152</v>
      </c>
      <c r="T19" s="217">
        <f t="shared" si="1"/>
        <v>30</v>
      </c>
      <c r="U19" s="193">
        <v>148</v>
      </c>
      <c r="V19" s="184">
        <f t="shared" si="2"/>
        <v>4440</v>
      </c>
      <c r="W19" s="190">
        <v>7</v>
      </c>
      <c r="X19" s="186" t="s">
        <v>46</v>
      </c>
      <c r="Y19" s="194" t="s">
        <v>97</v>
      </c>
      <c r="Z19" s="194" t="s">
        <v>88</v>
      </c>
      <c r="AA19" s="195" t="s">
        <v>86</v>
      </c>
      <c r="AB19" s="55" t="s">
        <v>341</v>
      </c>
      <c r="AC19" s="235"/>
      <c r="AE19" s="236" t="s">
        <v>89</v>
      </c>
      <c r="AP19" s="239" t="s">
        <v>112</v>
      </c>
      <c r="AR19" s="231" t="s">
        <v>126</v>
      </c>
      <c r="AV19" s="224" t="s">
        <v>90</v>
      </c>
    </row>
    <row r="20" spans="1:48" x14ac:dyDescent="0.15">
      <c r="A20" s="177" t="s">
        <v>34</v>
      </c>
      <c r="B20" s="177" t="s">
        <v>339</v>
      </c>
      <c r="C20" s="177">
        <v>2018</v>
      </c>
      <c r="D20" s="179" t="s">
        <v>526</v>
      </c>
      <c r="E20" s="178" t="s">
        <v>522</v>
      </c>
      <c r="F20" s="177" t="s">
        <v>542</v>
      </c>
      <c r="G20" s="180" t="s">
        <v>36</v>
      </c>
      <c r="H20" s="137" t="s">
        <v>157</v>
      </c>
      <c r="I20" s="137" t="s">
        <v>155</v>
      </c>
      <c r="J20" s="137" t="s">
        <v>38</v>
      </c>
      <c r="K20" s="137" t="s">
        <v>156</v>
      </c>
      <c r="L20" s="208">
        <v>1</v>
      </c>
      <c r="N20" s="208">
        <v>1</v>
      </c>
      <c r="O20" s="208">
        <v>0.45</v>
      </c>
      <c r="P20" s="208">
        <v>0.45</v>
      </c>
      <c r="Q20" s="245">
        <f t="shared" si="0"/>
        <v>0.45</v>
      </c>
      <c r="R20" s="188">
        <v>15.9</v>
      </c>
      <c r="S20" s="197">
        <v>121</v>
      </c>
      <c r="T20" s="217">
        <f t="shared" si="1"/>
        <v>30</v>
      </c>
      <c r="U20" s="193">
        <v>84</v>
      </c>
      <c r="V20" s="184">
        <f t="shared" si="2"/>
        <v>2520</v>
      </c>
      <c r="W20" s="190">
        <v>10</v>
      </c>
      <c r="X20" s="186" t="s">
        <v>46</v>
      </c>
      <c r="Y20" s="194" t="s">
        <v>78</v>
      </c>
      <c r="Z20" s="194" t="s">
        <v>64</v>
      </c>
      <c r="AA20" s="195" t="s">
        <v>69</v>
      </c>
      <c r="AB20" s="55" t="s">
        <v>341</v>
      </c>
      <c r="AE20" s="236"/>
      <c r="AP20" s="239" t="s">
        <v>113</v>
      </c>
      <c r="AR20" s="238" t="s">
        <v>105</v>
      </c>
      <c r="AV20" s="228" t="s">
        <v>359</v>
      </c>
    </row>
    <row r="21" spans="1:48" x14ac:dyDescent="0.15">
      <c r="A21" s="177" t="s">
        <v>34</v>
      </c>
      <c r="B21" s="177" t="s">
        <v>339</v>
      </c>
      <c r="C21" s="178">
        <v>2018</v>
      </c>
      <c r="D21" s="179" t="s">
        <v>526</v>
      </c>
      <c r="E21" s="178" t="s">
        <v>522</v>
      </c>
      <c r="F21" s="177" t="s">
        <v>542</v>
      </c>
      <c r="G21" s="180" t="s">
        <v>36</v>
      </c>
      <c r="H21" s="137" t="s">
        <v>157</v>
      </c>
      <c r="I21" s="137" t="s">
        <v>155</v>
      </c>
      <c r="J21" s="137" t="s">
        <v>38</v>
      </c>
      <c r="K21" s="137" t="s">
        <v>156</v>
      </c>
      <c r="L21" s="208">
        <v>2</v>
      </c>
      <c r="N21" s="208">
        <v>1</v>
      </c>
      <c r="O21" s="208">
        <v>0.5</v>
      </c>
      <c r="P21" s="208">
        <v>0.45</v>
      </c>
      <c r="Q21" s="245">
        <f t="shared" si="0"/>
        <v>0.47499999999999998</v>
      </c>
      <c r="R21" s="197">
        <v>15.8</v>
      </c>
      <c r="S21" s="188">
        <v>121</v>
      </c>
      <c r="T21" s="217">
        <f t="shared" si="1"/>
        <v>30</v>
      </c>
      <c r="U21" s="193">
        <v>84</v>
      </c>
      <c r="V21" s="184">
        <f t="shared" si="2"/>
        <v>2520</v>
      </c>
      <c r="W21" s="190">
        <v>10</v>
      </c>
      <c r="X21" s="186" t="s">
        <v>46</v>
      </c>
      <c r="Y21" s="194" t="s">
        <v>78</v>
      </c>
      <c r="Z21" s="194" t="s">
        <v>64</v>
      </c>
      <c r="AA21" s="195" t="s">
        <v>69</v>
      </c>
      <c r="AB21" s="55" t="s">
        <v>341</v>
      </c>
      <c r="AE21" s="229"/>
      <c r="AP21" s="239" t="s">
        <v>114</v>
      </c>
      <c r="AR21" s="238" t="s">
        <v>68</v>
      </c>
      <c r="AV21" s="228" t="s">
        <v>360</v>
      </c>
    </row>
    <row r="22" spans="1:48" x14ac:dyDescent="0.15">
      <c r="A22" s="177" t="s">
        <v>34</v>
      </c>
      <c r="B22" s="177" t="s">
        <v>339</v>
      </c>
      <c r="C22" s="177">
        <v>2018</v>
      </c>
      <c r="D22" s="179" t="s">
        <v>526</v>
      </c>
      <c r="E22" s="178" t="s">
        <v>522</v>
      </c>
      <c r="F22" s="177" t="s">
        <v>542</v>
      </c>
      <c r="G22" s="180" t="s">
        <v>36</v>
      </c>
      <c r="H22" s="137" t="s">
        <v>157</v>
      </c>
      <c r="I22" s="137" t="s">
        <v>155</v>
      </c>
      <c r="J22" s="137" t="s">
        <v>38</v>
      </c>
      <c r="K22" s="137" t="s">
        <v>156</v>
      </c>
      <c r="L22" s="208">
        <v>3</v>
      </c>
      <c r="N22" s="208">
        <v>1</v>
      </c>
      <c r="O22" s="208">
        <v>0.4</v>
      </c>
      <c r="P22" s="235">
        <v>0.4</v>
      </c>
      <c r="Q22" s="245">
        <f t="shared" si="0"/>
        <v>0.4</v>
      </c>
      <c r="R22" s="188">
        <v>15.9</v>
      </c>
      <c r="S22" s="188">
        <v>129</v>
      </c>
      <c r="T22" s="217">
        <f t="shared" si="1"/>
        <v>30</v>
      </c>
      <c r="U22" s="193">
        <v>84</v>
      </c>
      <c r="V22" s="184">
        <f t="shared" si="2"/>
        <v>2520</v>
      </c>
      <c r="W22" s="190">
        <v>10</v>
      </c>
      <c r="X22" s="186" t="s">
        <v>46</v>
      </c>
      <c r="Y22" s="194" t="s">
        <v>78</v>
      </c>
      <c r="Z22" s="194" t="s">
        <v>64</v>
      </c>
      <c r="AA22" s="195" t="s">
        <v>69</v>
      </c>
      <c r="AB22" s="55" t="s">
        <v>341</v>
      </c>
      <c r="AP22" s="239" t="s">
        <v>115</v>
      </c>
      <c r="AR22" s="238" t="s">
        <v>83</v>
      </c>
      <c r="AV22" s="224"/>
    </row>
    <row r="23" spans="1:48" x14ac:dyDescent="0.15">
      <c r="A23" s="177" t="s">
        <v>34</v>
      </c>
      <c r="B23" s="177" t="s">
        <v>339</v>
      </c>
      <c r="C23" s="178">
        <v>2018</v>
      </c>
      <c r="D23" s="179" t="s">
        <v>526</v>
      </c>
      <c r="E23" s="178" t="s">
        <v>522</v>
      </c>
      <c r="F23" s="177" t="s">
        <v>542</v>
      </c>
      <c r="G23" s="180" t="s">
        <v>36</v>
      </c>
      <c r="H23" s="137" t="s">
        <v>168</v>
      </c>
      <c r="I23" s="137" t="s">
        <v>155</v>
      </c>
      <c r="J23" s="137" t="s">
        <v>38</v>
      </c>
      <c r="K23" s="137" t="s">
        <v>156</v>
      </c>
      <c r="L23" s="208">
        <v>1</v>
      </c>
      <c r="N23" s="208">
        <v>1</v>
      </c>
      <c r="O23" s="208">
        <v>0.4</v>
      </c>
      <c r="P23" s="235">
        <v>0.45</v>
      </c>
      <c r="Q23" s="245">
        <f t="shared" si="0"/>
        <v>0.42500000000000004</v>
      </c>
      <c r="R23" s="188">
        <v>16.2</v>
      </c>
      <c r="S23" s="188">
        <v>158</v>
      </c>
      <c r="T23" s="217">
        <f t="shared" si="1"/>
        <v>30</v>
      </c>
      <c r="U23" s="193">
        <v>138</v>
      </c>
      <c r="V23" s="184">
        <f t="shared" si="2"/>
        <v>4140</v>
      </c>
      <c r="W23" s="190">
        <v>10</v>
      </c>
      <c r="X23" s="186" t="s">
        <v>46</v>
      </c>
      <c r="Y23" s="194" t="s">
        <v>78</v>
      </c>
      <c r="Z23" s="194" t="s">
        <v>64</v>
      </c>
      <c r="AA23" s="195" t="s">
        <v>69</v>
      </c>
      <c r="AB23" s="55" t="s">
        <v>341</v>
      </c>
      <c r="AP23" s="239" t="s">
        <v>415</v>
      </c>
      <c r="AR23" s="238" t="s">
        <v>61</v>
      </c>
      <c r="AV23" s="224"/>
    </row>
    <row r="24" spans="1:48" x14ac:dyDescent="0.15">
      <c r="A24" s="177" t="s">
        <v>34</v>
      </c>
      <c r="B24" s="177" t="s">
        <v>339</v>
      </c>
      <c r="C24" s="177">
        <v>2018</v>
      </c>
      <c r="D24" s="179" t="s">
        <v>526</v>
      </c>
      <c r="E24" s="178" t="s">
        <v>522</v>
      </c>
      <c r="F24" s="177" t="s">
        <v>542</v>
      </c>
      <c r="G24" s="180" t="s">
        <v>36</v>
      </c>
      <c r="H24" s="137" t="s">
        <v>168</v>
      </c>
      <c r="I24" s="137" t="s">
        <v>155</v>
      </c>
      <c r="J24" s="137" t="s">
        <v>38</v>
      </c>
      <c r="K24" s="137" t="s">
        <v>156</v>
      </c>
      <c r="L24" s="208">
        <v>2</v>
      </c>
      <c r="N24" s="208">
        <v>1</v>
      </c>
      <c r="O24" s="208">
        <v>0.35</v>
      </c>
      <c r="P24" s="235">
        <v>0.4</v>
      </c>
      <c r="Q24" s="245">
        <f t="shared" si="0"/>
        <v>0.375</v>
      </c>
      <c r="R24" s="188">
        <v>16.5</v>
      </c>
      <c r="S24" s="188">
        <v>145</v>
      </c>
      <c r="T24" s="217">
        <f t="shared" si="1"/>
        <v>30</v>
      </c>
      <c r="U24" s="193">
        <v>138</v>
      </c>
      <c r="V24" s="184">
        <f t="shared" si="2"/>
        <v>4140</v>
      </c>
      <c r="W24" s="190">
        <v>10</v>
      </c>
      <c r="X24" s="186" t="s">
        <v>46</v>
      </c>
      <c r="Y24" s="194" t="s">
        <v>78</v>
      </c>
      <c r="Z24" s="194" t="s">
        <v>64</v>
      </c>
      <c r="AA24" s="195" t="s">
        <v>69</v>
      </c>
      <c r="AB24" s="55" t="s">
        <v>341</v>
      </c>
      <c r="AP24" s="239" t="s">
        <v>416</v>
      </c>
      <c r="AR24" s="238" t="s">
        <v>91</v>
      </c>
      <c r="AV24" s="224"/>
    </row>
    <row r="25" spans="1:48" x14ac:dyDescent="0.15">
      <c r="A25" s="177" t="s">
        <v>34</v>
      </c>
      <c r="B25" s="177" t="s">
        <v>339</v>
      </c>
      <c r="C25" s="178">
        <v>2018</v>
      </c>
      <c r="D25" s="179" t="s">
        <v>526</v>
      </c>
      <c r="E25" s="178" t="s">
        <v>522</v>
      </c>
      <c r="F25" s="177" t="s">
        <v>542</v>
      </c>
      <c r="G25" s="180" t="s">
        <v>36</v>
      </c>
      <c r="H25" s="137" t="s">
        <v>168</v>
      </c>
      <c r="I25" s="137" t="s">
        <v>155</v>
      </c>
      <c r="J25" s="137" t="s">
        <v>38</v>
      </c>
      <c r="K25" s="137" t="s">
        <v>156</v>
      </c>
      <c r="L25" s="208">
        <v>3</v>
      </c>
      <c r="N25" s="208">
        <v>1</v>
      </c>
      <c r="O25" s="208">
        <v>0.4</v>
      </c>
      <c r="P25" s="235">
        <v>0.4</v>
      </c>
      <c r="Q25" s="245">
        <f t="shared" si="0"/>
        <v>0.4</v>
      </c>
      <c r="R25" s="188">
        <v>16.100000000000001</v>
      </c>
      <c r="S25" s="188">
        <v>153</v>
      </c>
      <c r="T25" s="217">
        <f t="shared" si="1"/>
        <v>30</v>
      </c>
      <c r="U25" s="193">
        <v>138</v>
      </c>
      <c r="V25" s="184">
        <f t="shared" si="2"/>
        <v>4140</v>
      </c>
      <c r="W25" s="190">
        <v>10</v>
      </c>
      <c r="X25" s="186" t="s">
        <v>46</v>
      </c>
      <c r="Y25" s="194" t="s">
        <v>78</v>
      </c>
      <c r="Z25" s="194" t="s">
        <v>64</v>
      </c>
      <c r="AA25" s="195" t="s">
        <v>69</v>
      </c>
      <c r="AB25" s="55" t="s">
        <v>341</v>
      </c>
      <c r="AP25" s="239" t="s">
        <v>116</v>
      </c>
      <c r="AR25" s="42" t="s">
        <v>92</v>
      </c>
      <c r="AV25" s="224"/>
    </row>
    <row r="26" spans="1:48" x14ac:dyDescent="0.15">
      <c r="A26" s="177" t="s">
        <v>34</v>
      </c>
      <c r="B26" s="177" t="s">
        <v>339</v>
      </c>
      <c r="C26" s="177">
        <v>2018</v>
      </c>
      <c r="D26" s="179" t="s">
        <v>526</v>
      </c>
      <c r="E26" s="178" t="s">
        <v>282</v>
      </c>
      <c r="F26" s="177" t="s">
        <v>283</v>
      </c>
      <c r="G26" s="180" t="s">
        <v>42</v>
      </c>
      <c r="H26" s="137" t="s">
        <v>157</v>
      </c>
      <c r="I26" s="137" t="s">
        <v>155</v>
      </c>
      <c r="J26" s="137" t="s">
        <v>38</v>
      </c>
      <c r="K26" s="137" t="s">
        <v>156</v>
      </c>
      <c r="L26" s="208">
        <v>1</v>
      </c>
      <c r="N26" s="208">
        <v>4</v>
      </c>
      <c r="O26" s="208">
        <v>0.45</v>
      </c>
      <c r="P26" s="237">
        <v>0.45</v>
      </c>
      <c r="Q26" s="245">
        <f t="shared" si="0"/>
        <v>0.45</v>
      </c>
      <c r="R26" s="188">
        <v>15.3</v>
      </c>
      <c r="S26" s="188">
        <v>116</v>
      </c>
      <c r="T26" s="217">
        <f t="shared" si="1"/>
        <v>30</v>
      </c>
      <c r="U26" s="193">
        <v>437</v>
      </c>
      <c r="V26" s="184">
        <f t="shared" si="2"/>
        <v>3277.5</v>
      </c>
      <c r="W26" s="190">
        <v>6</v>
      </c>
      <c r="X26" s="186" t="s">
        <v>46</v>
      </c>
      <c r="Y26" s="195" t="s">
        <v>64</v>
      </c>
      <c r="Z26" s="194" t="s">
        <v>97</v>
      </c>
      <c r="AA26" s="195" t="s">
        <v>86</v>
      </c>
      <c r="AB26" s="55" t="s">
        <v>341</v>
      </c>
      <c r="AP26" s="239" t="s">
        <v>117</v>
      </c>
      <c r="AR26" s="224" t="s">
        <v>292</v>
      </c>
      <c r="AV26" s="228"/>
    </row>
    <row r="27" spans="1:48" x14ac:dyDescent="0.15">
      <c r="A27" s="177" t="s">
        <v>34</v>
      </c>
      <c r="B27" s="177" t="s">
        <v>339</v>
      </c>
      <c r="C27" s="178">
        <v>2018</v>
      </c>
      <c r="D27" s="179" t="s">
        <v>526</v>
      </c>
      <c r="E27" s="178" t="s">
        <v>282</v>
      </c>
      <c r="F27" s="177" t="s">
        <v>283</v>
      </c>
      <c r="G27" s="180" t="s">
        <v>42</v>
      </c>
      <c r="H27" s="137" t="s">
        <v>157</v>
      </c>
      <c r="I27" s="137" t="s">
        <v>155</v>
      </c>
      <c r="J27" s="137" t="s">
        <v>38</v>
      </c>
      <c r="K27" s="137" t="s">
        <v>156</v>
      </c>
      <c r="L27" s="208">
        <v>2</v>
      </c>
      <c r="N27" s="208">
        <v>4</v>
      </c>
      <c r="O27" s="235">
        <v>0.45</v>
      </c>
      <c r="P27" s="237">
        <v>0.4</v>
      </c>
      <c r="Q27" s="245">
        <f t="shared" si="0"/>
        <v>0.42500000000000004</v>
      </c>
      <c r="R27" s="188">
        <v>15.5</v>
      </c>
      <c r="S27" s="188">
        <v>122</v>
      </c>
      <c r="T27" s="217">
        <f t="shared" si="1"/>
        <v>30</v>
      </c>
      <c r="U27" s="193">
        <v>437</v>
      </c>
      <c r="V27" s="184">
        <f t="shared" si="2"/>
        <v>3277.5</v>
      </c>
      <c r="W27" s="190">
        <v>6</v>
      </c>
      <c r="X27" s="186" t="s">
        <v>46</v>
      </c>
      <c r="Y27" s="195" t="s">
        <v>64</v>
      </c>
      <c r="Z27" s="194" t="s">
        <v>97</v>
      </c>
      <c r="AA27" s="195" t="s">
        <v>86</v>
      </c>
      <c r="AB27" s="55" t="s">
        <v>341</v>
      </c>
      <c r="AP27" s="239" t="s">
        <v>118</v>
      </c>
      <c r="AR27" s="224"/>
    </row>
    <row r="28" spans="1:48" x14ac:dyDescent="0.15">
      <c r="A28" s="177" t="s">
        <v>34</v>
      </c>
      <c r="B28" s="177" t="s">
        <v>339</v>
      </c>
      <c r="C28" s="177">
        <v>2018</v>
      </c>
      <c r="D28" s="179" t="s">
        <v>526</v>
      </c>
      <c r="E28" s="178" t="s">
        <v>282</v>
      </c>
      <c r="F28" s="177" t="s">
        <v>283</v>
      </c>
      <c r="G28" s="180" t="s">
        <v>42</v>
      </c>
      <c r="H28" s="137" t="s">
        <v>157</v>
      </c>
      <c r="I28" s="137" t="s">
        <v>155</v>
      </c>
      <c r="J28" s="137" t="s">
        <v>38</v>
      </c>
      <c r="K28" s="137" t="s">
        <v>156</v>
      </c>
      <c r="L28" s="208">
        <v>3</v>
      </c>
      <c r="N28" s="208">
        <v>4</v>
      </c>
      <c r="O28" s="235">
        <v>0.4</v>
      </c>
      <c r="P28" s="208">
        <v>0.4</v>
      </c>
      <c r="Q28" s="245">
        <f t="shared" si="0"/>
        <v>0.4</v>
      </c>
      <c r="R28" s="188">
        <v>14.8</v>
      </c>
      <c r="S28" s="188">
        <v>118</v>
      </c>
      <c r="T28" s="217">
        <f t="shared" si="1"/>
        <v>30</v>
      </c>
      <c r="U28" s="193">
        <v>437</v>
      </c>
      <c r="V28" s="184">
        <f t="shared" si="2"/>
        <v>3277.5</v>
      </c>
      <c r="W28" s="190">
        <v>6</v>
      </c>
      <c r="X28" s="186" t="s">
        <v>46</v>
      </c>
      <c r="Y28" s="195" t="s">
        <v>64</v>
      </c>
      <c r="Z28" s="194" t="s">
        <v>97</v>
      </c>
      <c r="AA28" s="195" t="s">
        <v>86</v>
      </c>
      <c r="AB28" s="55" t="s">
        <v>341</v>
      </c>
      <c r="AR28" s="224"/>
    </row>
    <row r="29" spans="1:48" x14ac:dyDescent="0.15">
      <c r="A29" s="177" t="s">
        <v>34</v>
      </c>
      <c r="B29" s="177" t="s">
        <v>339</v>
      </c>
      <c r="C29" s="177">
        <v>2018</v>
      </c>
      <c r="D29" s="179" t="s">
        <v>526</v>
      </c>
      <c r="E29" s="178" t="s">
        <v>282</v>
      </c>
      <c r="F29" s="177" t="s">
        <v>283</v>
      </c>
      <c r="G29" s="180" t="s">
        <v>42</v>
      </c>
      <c r="H29" s="137" t="s">
        <v>168</v>
      </c>
      <c r="I29" s="137" t="s">
        <v>155</v>
      </c>
      <c r="J29" s="137" t="s">
        <v>38</v>
      </c>
      <c r="K29" s="137" t="s">
        <v>156</v>
      </c>
      <c r="L29" s="208">
        <v>1</v>
      </c>
      <c r="N29" s="208">
        <v>4</v>
      </c>
      <c r="O29" s="208">
        <v>0.25</v>
      </c>
      <c r="P29" s="208">
        <v>0.3</v>
      </c>
      <c r="Q29" s="245">
        <f t="shared" si="0"/>
        <v>0.27500000000000002</v>
      </c>
      <c r="R29" s="188">
        <v>17.5</v>
      </c>
      <c r="S29" s="188">
        <v>141</v>
      </c>
      <c r="T29" s="217">
        <f t="shared" si="1"/>
        <v>30</v>
      </c>
      <c r="U29" s="193">
        <v>437</v>
      </c>
      <c r="V29" s="184">
        <f t="shared" si="2"/>
        <v>3277.5</v>
      </c>
      <c r="W29" s="190">
        <v>6</v>
      </c>
      <c r="X29" s="186" t="s">
        <v>46</v>
      </c>
      <c r="Y29" s="195" t="s">
        <v>64</v>
      </c>
      <c r="Z29" s="194" t="s">
        <v>97</v>
      </c>
      <c r="AA29" s="195" t="s">
        <v>86</v>
      </c>
      <c r="AB29" s="55" t="s">
        <v>341</v>
      </c>
      <c r="AR29" s="229"/>
    </row>
    <row r="30" spans="1:48" x14ac:dyDescent="0.15">
      <c r="A30" s="177" t="s">
        <v>34</v>
      </c>
      <c r="B30" s="177" t="s">
        <v>339</v>
      </c>
      <c r="C30" s="178">
        <v>2018</v>
      </c>
      <c r="D30" s="179" t="s">
        <v>526</v>
      </c>
      <c r="E30" s="178" t="s">
        <v>282</v>
      </c>
      <c r="F30" s="177" t="s">
        <v>283</v>
      </c>
      <c r="G30" s="180" t="s">
        <v>42</v>
      </c>
      <c r="H30" s="137" t="s">
        <v>168</v>
      </c>
      <c r="I30" s="137" t="s">
        <v>155</v>
      </c>
      <c r="J30" s="137" t="s">
        <v>38</v>
      </c>
      <c r="K30" s="137" t="s">
        <v>156</v>
      </c>
      <c r="L30" s="208">
        <v>2</v>
      </c>
      <c r="N30" s="208">
        <v>4</v>
      </c>
      <c r="O30" s="208">
        <v>0.3</v>
      </c>
      <c r="P30" s="208">
        <v>0.3</v>
      </c>
      <c r="Q30" s="245">
        <f t="shared" si="0"/>
        <v>0.3</v>
      </c>
      <c r="R30" s="188">
        <v>18.8</v>
      </c>
      <c r="S30" s="188">
        <v>142</v>
      </c>
      <c r="T30" s="217">
        <f t="shared" si="1"/>
        <v>30</v>
      </c>
      <c r="U30" s="193">
        <v>437</v>
      </c>
      <c r="V30" s="184">
        <f t="shared" si="2"/>
        <v>3277.5</v>
      </c>
      <c r="W30" s="190">
        <v>6</v>
      </c>
      <c r="X30" s="186" t="s">
        <v>46</v>
      </c>
      <c r="Y30" s="195" t="s">
        <v>64</v>
      </c>
      <c r="Z30" s="194" t="s">
        <v>97</v>
      </c>
      <c r="AA30" s="195" t="s">
        <v>86</v>
      </c>
      <c r="AB30" s="55" t="s">
        <v>341</v>
      </c>
    </row>
    <row r="31" spans="1:48" x14ac:dyDescent="0.15">
      <c r="A31" s="177" t="s">
        <v>34</v>
      </c>
      <c r="B31" s="177" t="s">
        <v>339</v>
      </c>
      <c r="C31" s="177">
        <v>2018</v>
      </c>
      <c r="D31" s="179" t="s">
        <v>526</v>
      </c>
      <c r="E31" s="178" t="s">
        <v>282</v>
      </c>
      <c r="F31" s="177" t="s">
        <v>283</v>
      </c>
      <c r="G31" s="180" t="s">
        <v>42</v>
      </c>
      <c r="H31" s="137" t="s">
        <v>168</v>
      </c>
      <c r="I31" s="137" t="s">
        <v>155</v>
      </c>
      <c r="J31" s="137" t="s">
        <v>38</v>
      </c>
      <c r="K31" s="137" t="s">
        <v>156</v>
      </c>
      <c r="L31" s="208">
        <v>3</v>
      </c>
      <c r="N31" s="208">
        <v>4</v>
      </c>
      <c r="O31" s="208">
        <v>0.3</v>
      </c>
      <c r="P31" s="208">
        <v>0.35</v>
      </c>
      <c r="Q31" s="245">
        <f t="shared" si="0"/>
        <v>0.32499999999999996</v>
      </c>
      <c r="R31" s="188">
        <v>16.3</v>
      </c>
      <c r="S31" s="188">
        <v>143</v>
      </c>
      <c r="T31" s="217">
        <f t="shared" si="1"/>
        <v>30</v>
      </c>
      <c r="U31" s="193">
        <v>437</v>
      </c>
      <c r="V31" s="184">
        <f t="shared" si="2"/>
        <v>3277.5</v>
      </c>
      <c r="W31" s="190">
        <v>6</v>
      </c>
      <c r="X31" s="186" t="s">
        <v>46</v>
      </c>
      <c r="Y31" s="195" t="s">
        <v>64</v>
      </c>
      <c r="Z31" s="194" t="s">
        <v>97</v>
      </c>
      <c r="AA31" s="195" t="s">
        <v>86</v>
      </c>
      <c r="AB31" s="55" t="s">
        <v>341</v>
      </c>
    </row>
    <row r="32" spans="1:48" ht="14.25" customHeight="1" x14ac:dyDescent="0.15">
      <c r="A32" s="177" t="s">
        <v>34</v>
      </c>
      <c r="B32" s="177" t="s">
        <v>339</v>
      </c>
      <c r="C32" s="178">
        <v>2018</v>
      </c>
      <c r="D32" s="179" t="s">
        <v>526</v>
      </c>
      <c r="E32" s="178" t="s">
        <v>543</v>
      </c>
      <c r="F32" s="177" t="s">
        <v>283</v>
      </c>
      <c r="G32" s="180" t="s">
        <v>42</v>
      </c>
      <c r="H32" s="137" t="s">
        <v>157</v>
      </c>
      <c r="I32" s="137" t="s">
        <v>155</v>
      </c>
      <c r="J32" s="137" t="s">
        <v>38</v>
      </c>
      <c r="K32" s="137" t="s">
        <v>156</v>
      </c>
      <c r="L32" s="208">
        <v>1</v>
      </c>
      <c r="N32" s="208">
        <v>1</v>
      </c>
      <c r="O32" s="208">
        <v>0.75</v>
      </c>
      <c r="P32" s="208">
        <v>0.7</v>
      </c>
      <c r="Q32" s="245">
        <f t="shared" si="0"/>
        <v>0.72499999999999998</v>
      </c>
      <c r="R32" s="188">
        <v>14.3</v>
      </c>
      <c r="S32" s="188">
        <v>148</v>
      </c>
      <c r="T32" s="217">
        <f t="shared" si="1"/>
        <v>30</v>
      </c>
      <c r="U32" s="193">
        <v>129</v>
      </c>
      <c r="V32" s="184">
        <f t="shared" si="2"/>
        <v>3870</v>
      </c>
      <c r="W32" s="190">
        <v>2</v>
      </c>
      <c r="X32" s="186" t="s">
        <v>46</v>
      </c>
      <c r="Y32" s="195" t="s">
        <v>78</v>
      </c>
      <c r="Z32" s="194" t="s">
        <v>86</v>
      </c>
      <c r="AA32" s="194" t="s">
        <v>90</v>
      </c>
      <c r="AB32" s="55" t="s">
        <v>341</v>
      </c>
    </row>
    <row r="33" spans="1:28" x14ac:dyDescent="0.15">
      <c r="A33" s="177" t="s">
        <v>34</v>
      </c>
      <c r="B33" s="177" t="s">
        <v>339</v>
      </c>
      <c r="C33" s="177">
        <v>2018</v>
      </c>
      <c r="D33" s="179" t="s">
        <v>526</v>
      </c>
      <c r="E33" s="178" t="s">
        <v>543</v>
      </c>
      <c r="F33" s="177" t="s">
        <v>283</v>
      </c>
      <c r="G33" s="180" t="s">
        <v>42</v>
      </c>
      <c r="H33" s="137" t="s">
        <v>157</v>
      </c>
      <c r="I33" s="137" t="s">
        <v>155</v>
      </c>
      <c r="J33" s="137" t="s">
        <v>38</v>
      </c>
      <c r="K33" s="137" t="s">
        <v>156</v>
      </c>
      <c r="L33" s="208">
        <v>2</v>
      </c>
      <c r="N33" s="208">
        <v>1</v>
      </c>
      <c r="O33" s="208">
        <v>1</v>
      </c>
      <c r="P33" s="208">
        <v>0.85</v>
      </c>
      <c r="Q33" s="245">
        <f t="shared" si="0"/>
        <v>0.92500000000000004</v>
      </c>
      <c r="R33" s="188">
        <v>13.5</v>
      </c>
      <c r="S33" s="188">
        <v>147</v>
      </c>
      <c r="T33" s="217">
        <f t="shared" si="1"/>
        <v>30</v>
      </c>
      <c r="U33" s="193">
        <v>129</v>
      </c>
      <c r="V33" s="184">
        <f t="shared" si="2"/>
        <v>3870</v>
      </c>
      <c r="W33" s="190">
        <v>2</v>
      </c>
      <c r="X33" s="186" t="s">
        <v>46</v>
      </c>
      <c r="Y33" s="195" t="s">
        <v>78</v>
      </c>
      <c r="Z33" s="194" t="s">
        <v>86</v>
      </c>
      <c r="AA33" s="194" t="s">
        <v>90</v>
      </c>
      <c r="AB33" s="55" t="s">
        <v>341</v>
      </c>
    </row>
    <row r="34" spans="1:28" x14ac:dyDescent="0.15">
      <c r="A34" s="177" t="s">
        <v>34</v>
      </c>
      <c r="B34" s="177" t="s">
        <v>339</v>
      </c>
      <c r="C34" s="178">
        <v>2018</v>
      </c>
      <c r="D34" s="179" t="s">
        <v>526</v>
      </c>
      <c r="E34" s="178" t="s">
        <v>543</v>
      </c>
      <c r="F34" s="177" t="s">
        <v>283</v>
      </c>
      <c r="G34" s="180" t="s">
        <v>42</v>
      </c>
      <c r="H34" s="137" t="s">
        <v>157</v>
      </c>
      <c r="I34" s="137" t="s">
        <v>155</v>
      </c>
      <c r="J34" s="137" t="s">
        <v>38</v>
      </c>
      <c r="K34" s="137" t="s">
        <v>156</v>
      </c>
      <c r="L34" s="208">
        <v>3</v>
      </c>
      <c r="N34" s="208">
        <v>1</v>
      </c>
      <c r="O34" s="208">
        <v>0.6</v>
      </c>
      <c r="P34" s="235">
        <v>0.65</v>
      </c>
      <c r="Q34" s="245">
        <f t="shared" si="0"/>
        <v>0.625</v>
      </c>
      <c r="R34" s="188">
        <v>14.2</v>
      </c>
      <c r="S34" s="188">
        <v>144</v>
      </c>
      <c r="T34" s="217">
        <f t="shared" si="1"/>
        <v>30</v>
      </c>
      <c r="U34" s="193">
        <v>129</v>
      </c>
      <c r="V34" s="184">
        <f t="shared" si="2"/>
        <v>3870</v>
      </c>
      <c r="W34" s="190">
        <v>2</v>
      </c>
      <c r="X34" s="186" t="s">
        <v>46</v>
      </c>
      <c r="Y34" s="195" t="s">
        <v>78</v>
      </c>
      <c r="Z34" s="194" t="s">
        <v>86</v>
      </c>
      <c r="AA34" s="194" t="s">
        <v>90</v>
      </c>
      <c r="AB34" s="55" t="s">
        <v>341</v>
      </c>
    </row>
    <row r="35" spans="1:28" x14ac:dyDescent="0.15">
      <c r="A35" s="177" t="s">
        <v>34</v>
      </c>
      <c r="B35" s="177" t="s">
        <v>339</v>
      </c>
      <c r="C35" s="177">
        <v>2018</v>
      </c>
      <c r="D35" s="179" t="s">
        <v>526</v>
      </c>
      <c r="E35" s="178" t="s">
        <v>543</v>
      </c>
      <c r="F35" s="177" t="s">
        <v>283</v>
      </c>
      <c r="G35" s="180" t="s">
        <v>42</v>
      </c>
      <c r="H35" s="137" t="s">
        <v>168</v>
      </c>
      <c r="I35" s="137" t="s">
        <v>155</v>
      </c>
      <c r="J35" s="137" t="s">
        <v>38</v>
      </c>
      <c r="K35" s="137" t="s">
        <v>156</v>
      </c>
      <c r="L35" s="208">
        <v>1</v>
      </c>
      <c r="N35" s="208">
        <v>1</v>
      </c>
      <c r="O35" s="208">
        <v>0.4</v>
      </c>
      <c r="P35" s="208">
        <v>0.4</v>
      </c>
      <c r="Q35" s="245">
        <f t="shared" si="0"/>
        <v>0.4</v>
      </c>
      <c r="R35" s="188">
        <v>15.8</v>
      </c>
      <c r="S35" s="188">
        <v>139</v>
      </c>
      <c r="T35" s="217">
        <f t="shared" si="1"/>
        <v>30</v>
      </c>
      <c r="U35" s="193">
        <v>129</v>
      </c>
      <c r="V35" s="184">
        <f t="shared" si="2"/>
        <v>3870</v>
      </c>
      <c r="W35" s="190">
        <v>2</v>
      </c>
      <c r="X35" s="186" t="s">
        <v>46</v>
      </c>
      <c r="Y35" s="194" t="s">
        <v>78</v>
      </c>
      <c r="Z35" s="194" t="s">
        <v>86</v>
      </c>
      <c r="AA35" s="194" t="s">
        <v>90</v>
      </c>
      <c r="AB35" s="55" t="s">
        <v>341</v>
      </c>
    </row>
    <row r="36" spans="1:28" x14ac:dyDescent="0.15">
      <c r="A36" s="177" t="s">
        <v>34</v>
      </c>
      <c r="B36" s="177" t="s">
        <v>339</v>
      </c>
      <c r="C36" s="178">
        <v>2018</v>
      </c>
      <c r="D36" s="179" t="s">
        <v>526</v>
      </c>
      <c r="E36" s="178" t="s">
        <v>543</v>
      </c>
      <c r="F36" s="177" t="s">
        <v>283</v>
      </c>
      <c r="G36" s="180" t="s">
        <v>42</v>
      </c>
      <c r="H36" s="137" t="s">
        <v>168</v>
      </c>
      <c r="I36" s="137" t="s">
        <v>155</v>
      </c>
      <c r="J36" s="137" t="s">
        <v>38</v>
      </c>
      <c r="K36" s="137" t="s">
        <v>156</v>
      </c>
      <c r="L36" s="208">
        <v>2</v>
      </c>
      <c r="N36" s="208">
        <v>1</v>
      </c>
      <c r="O36" s="208">
        <v>0.35</v>
      </c>
      <c r="P36" s="208">
        <v>0.35</v>
      </c>
      <c r="Q36" s="245">
        <f t="shared" si="0"/>
        <v>0.35</v>
      </c>
      <c r="R36" s="188">
        <v>16</v>
      </c>
      <c r="S36" s="188">
        <v>141</v>
      </c>
      <c r="T36" s="217">
        <f t="shared" si="1"/>
        <v>30</v>
      </c>
      <c r="U36" s="193">
        <v>129</v>
      </c>
      <c r="V36" s="184">
        <f t="shared" si="2"/>
        <v>3870</v>
      </c>
      <c r="W36" s="190">
        <v>2</v>
      </c>
      <c r="X36" s="186" t="s">
        <v>46</v>
      </c>
      <c r="Y36" s="194" t="s">
        <v>78</v>
      </c>
      <c r="Z36" s="194" t="s">
        <v>86</v>
      </c>
      <c r="AA36" s="194" t="s">
        <v>90</v>
      </c>
      <c r="AB36" s="55" t="s">
        <v>341</v>
      </c>
    </row>
    <row r="37" spans="1:28" x14ac:dyDescent="0.15">
      <c r="A37" s="177" t="s">
        <v>34</v>
      </c>
      <c r="B37" s="177" t="s">
        <v>339</v>
      </c>
      <c r="C37" s="177">
        <v>2018</v>
      </c>
      <c r="D37" s="179" t="s">
        <v>526</v>
      </c>
      <c r="E37" s="178" t="s">
        <v>543</v>
      </c>
      <c r="F37" s="177" t="s">
        <v>283</v>
      </c>
      <c r="G37" s="180" t="s">
        <v>42</v>
      </c>
      <c r="H37" s="137" t="s">
        <v>168</v>
      </c>
      <c r="I37" s="137" t="s">
        <v>155</v>
      </c>
      <c r="J37" s="137" t="s">
        <v>38</v>
      </c>
      <c r="K37" s="137" t="s">
        <v>156</v>
      </c>
      <c r="L37" s="208">
        <v>3</v>
      </c>
      <c r="N37" s="208">
        <v>1</v>
      </c>
      <c r="O37" s="208">
        <v>0.4</v>
      </c>
      <c r="P37" s="208">
        <v>0.35</v>
      </c>
      <c r="Q37" s="245">
        <f t="shared" si="0"/>
        <v>0.375</v>
      </c>
      <c r="R37" s="188">
        <v>15.4</v>
      </c>
      <c r="S37" s="188">
        <v>139</v>
      </c>
      <c r="T37" s="217">
        <f t="shared" si="1"/>
        <v>30</v>
      </c>
      <c r="U37" s="193">
        <v>129</v>
      </c>
      <c r="V37" s="184">
        <f t="shared" si="2"/>
        <v>3870</v>
      </c>
      <c r="W37" s="190">
        <v>2</v>
      </c>
      <c r="X37" s="186" t="s">
        <v>46</v>
      </c>
      <c r="Y37" s="194" t="s">
        <v>78</v>
      </c>
      <c r="Z37" s="194" t="s">
        <v>86</v>
      </c>
      <c r="AA37" s="194" t="s">
        <v>90</v>
      </c>
      <c r="AB37" s="55" t="s">
        <v>341</v>
      </c>
    </row>
    <row r="38" spans="1:28" x14ac:dyDescent="0.15">
      <c r="A38" s="177" t="s">
        <v>34</v>
      </c>
      <c r="B38" s="177" t="s">
        <v>339</v>
      </c>
      <c r="C38" s="178">
        <v>2018</v>
      </c>
      <c r="D38" s="179" t="s">
        <v>526</v>
      </c>
      <c r="E38" s="178" t="s">
        <v>282</v>
      </c>
      <c r="F38" s="177" t="s">
        <v>290</v>
      </c>
      <c r="G38" s="180" t="s">
        <v>42</v>
      </c>
      <c r="H38" s="137" t="s">
        <v>157</v>
      </c>
      <c r="I38" s="137" t="s">
        <v>155</v>
      </c>
      <c r="J38" s="137" t="s">
        <v>38</v>
      </c>
      <c r="K38" s="137" t="s">
        <v>156</v>
      </c>
      <c r="L38" s="208">
        <v>1</v>
      </c>
      <c r="N38" s="208">
        <v>4</v>
      </c>
      <c r="O38" s="208">
        <v>0.4</v>
      </c>
      <c r="P38" s="208">
        <v>0.35</v>
      </c>
      <c r="Q38" s="245">
        <f t="shared" si="0"/>
        <v>0.375</v>
      </c>
      <c r="R38" s="188">
        <v>15.8</v>
      </c>
      <c r="S38" s="188">
        <v>120</v>
      </c>
      <c r="T38" s="217">
        <f t="shared" si="1"/>
        <v>30</v>
      </c>
      <c r="U38" s="193">
        <v>437</v>
      </c>
      <c r="V38" s="184">
        <f t="shared" si="2"/>
        <v>3277.5</v>
      </c>
      <c r="W38" s="190">
        <v>12</v>
      </c>
      <c r="X38" s="186" t="s">
        <v>46</v>
      </c>
      <c r="Y38" s="194" t="s">
        <v>78</v>
      </c>
      <c r="Z38" s="194" t="s">
        <v>64</v>
      </c>
      <c r="AA38" s="194" t="s">
        <v>86</v>
      </c>
      <c r="AB38" s="55" t="s">
        <v>341</v>
      </c>
    </row>
    <row r="39" spans="1:28" x14ac:dyDescent="0.15">
      <c r="A39" s="177" t="s">
        <v>34</v>
      </c>
      <c r="B39" s="177" t="s">
        <v>339</v>
      </c>
      <c r="C39" s="177">
        <v>2018</v>
      </c>
      <c r="D39" s="179" t="s">
        <v>526</v>
      </c>
      <c r="E39" s="178" t="s">
        <v>282</v>
      </c>
      <c r="F39" s="177" t="s">
        <v>290</v>
      </c>
      <c r="G39" s="180" t="s">
        <v>42</v>
      </c>
      <c r="H39" s="137" t="s">
        <v>157</v>
      </c>
      <c r="I39" s="137" t="s">
        <v>155</v>
      </c>
      <c r="J39" s="137" t="s">
        <v>38</v>
      </c>
      <c r="K39" s="137" t="s">
        <v>156</v>
      </c>
      <c r="L39" s="208">
        <v>2</v>
      </c>
      <c r="N39" s="208">
        <v>4</v>
      </c>
      <c r="O39" s="208">
        <v>0.4</v>
      </c>
      <c r="P39" s="208">
        <v>0.45</v>
      </c>
      <c r="Q39" s="245">
        <f t="shared" si="0"/>
        <v>0.42500000000000004</v>
      </c>
      <c r="R39" s="188">
        <v>15.2</v>
      </c>
      <c r="S39" s="188">
        <v>124</v>
      </c>
      <c r="T39" s="217">
        <f t="shared" si="1"/>
        <v>30</v>
      </c>
      <c r="U39" s="193">
        <v>437</v>
      </c>
      <c r="V39" s="184">
        <f t="shared" si="2"/>
        <v>3277.5</v>
      </c>
      <c r="W39" s="190">
        <v>12</v>
      </c>
      <c r="X39" s="186" t="s">
        <v>46</v>
      </c>
      <c r="Y39" s="194" t="s">
        <v>78</v>
      </c>
      <c r="Z39" s="194" t="s">
        <v>64</v>
      </c>
      <c r="AA39" s="194" t="s">
        <v>86</v>
      </c>
      <c r="AB39" s="55" t="s">
        <v>341</v>
      </c>
    </row>
    <row r="40" spans="1:28" ht="12.75" customHeight="1" x14ac:dyDescent="0.15">
      <c r="A40" s="177" t="s">
        <v>34</v>
      </c>
      <c r="B40" s="177" t="s">
        <v>339</v>
      </c>
      <c r="C40" s="178">
        <v>2018</v>
      </c>
      <c r="D40" s="179" t="s">
        <v>526</v>
      </c>
      <c r="E40" s="178" t="s">
        <v>282</v>
      </c>
      <c r="F40" s="177" t="s">
        <v>290</v>
      </c>
      <c r="G40" s="180" t="s">
        <v>42</v>
      </c>
      <c r="H40" s="137" t="s">
        <v>157</v>
      </c>
      <c r="I40" s="137" t="s">
        <v>155</v>
      </c>
      <c r="J40" s="137" t="s">
        <v>38</v>
      </c>
      <c r="K40" s="137" t="s">
        <v>156</v>
      </c>
      <c r="L40" s="208">
        <v>3</v>
      </c>
      <c r="N40" s="208">
        <v>4</v>
      </c>
      <c r="O40" s="208">
        <v>0.45</v>
      </c>
      <c r="P40" s="208">
        <v>0.45</v>
      </c>
      <c r="Q40" s="245">
        <f t="shared" si="0"/>
        <v>0.45</v>
      </c>
      <c r="R40" s="188">
        <v>15.5</v>
      </c>
      <c r="S40" s="188">
        <v>120</v>
      </c>
      <c r="T40" s="217">
        <f t="shared" si="1"/>
        <v>30</v>
      </c>
      <c r="U40" s="193">
        <v>437</v>
      </c>
      <c r="V40" s="184">
        <f t="shared" si="2"/>
        <v>3277.5</v>
      </c>
      <c r="W40" s="190">
        <v>12</v>
      </c>
      <c r="X40" s="186" t="s">
        <v>46</v>
      </c>
      <c r="Y40" s="194" t="s">
        <v>78</v>
      </c>
      <c r="Z40" s="194" t="s">
        <v>64</v>
      </c>
      <c r="AA40" s="194" t="s">
        <v>86</v>
      </c>
      <c r="AB40" s="55" t="s">
        <v>341</v>
      </c>
    </row>
    <row r="41" spans="1:28" ht="12.75" customHeight="1" x14ac:dyDescent="0.15">
      <c r="A41" s="137" t="s">
        <v>34</v>
      </c>
      <c r="B41" s="177" t="s">
        <v>339</v>
      </c>
      <c r="C41" s="178">
        <v>2018</v>
      </c>
      <c r="D41" s="179" t="s">
        <v>526</v>
      </c>
      <c r="E41" s="178" t="s">
        <v>282</v>
      </c>
      <c r="F41" s="177" t="s">
        <v>290</v>
      </c>
      <c r="G41" s="180" t="s">
        <v>42</v>
      </c>
      <c r="H41" s="137" t="s">
        <v>168</v>
      </c>
      <c r="I41" s="137" t="s">
        <v>155</v>
      </c>
      <c r="J41" s="137" t="s">
        <v>38</v>
      </c>
      <c r="K41" s="137" t="s">
        <v>156</v>
      </c>
      <c r="L41" s="208">
        <v>1</v>
      </c>
      <c r="N41" s="208">
        <v>4</v>
      </c>
      <c r="O41" s="208">
        <v>0.3</v>
      </c>
      <c r="P41" s="208">
        <v>0.3</v>
      </c>
      <c r="Q41" s="245">
        <f t="shared" si="0"/>
        <v>0.3</v>
      </c>
      <c r="R41" s="188">
        <v>17.100000000000001</v>
      </c>
      <c r="S41" s="188">
        <v>141</v>
      </c>
      <c r="T41" s="217">
        <f t="shared" si="1"/>
        <v>30</v>
      </c>
      <c r="U41" s="193">
        <v>437</v>
      </c>
      <c r="V41" s="184">
        <f t="shared" si="2"/>
        <v>3277.5</v>
      </c>
      <c r="W41" s="247">
        <v>12</v>
      </c>
      <c r="X41" s="186" t="s">
        <v>46</v>
      </c>
      <c r="Y41" s="198" t="s">
        <v>78</v>
      </c>
      <c r="Z41" s="198" t="s">
        <v>64</v>
      </c>
      <c r="AA41" s="198" t="s">
        <v>86</v>
      </c>
      <c r="AB41" s="55" t="s">
        <v>341</v>
      </c>
    </row>
    <row r="42" spans="1:28" ht="12.75" customHeight="1" x14ac:dyDescent="0.15">
      <c r="A42" s="137" t="s">
        <v>34</v>
      </c>
      <c r="B42" s="177" t="s">
        <v>339</v>
      </c>
      <c r="C42" s="178">
        <v>2018</v>
      </c>
      <c r="D42" s="179" t="s">
        <v>526</v>
      </c>
      <c r="E42" s="178" t="s">
        <v>282</v>
      </c>
      <c r="F42" s="177" t="s">
        <v>290</v>
      </c>
      <c r="G42" s="180" t="s">
        <v>42</v>
      </c>
      <c r="H42" s="137" t="s">
        <v>168</v>
      </c>
      <c r="I42" s="137" t="s">
        <v>155</v>
      </c>
      <c r="J42" s="137" t="s">
        <v>38</v>
      </c>
      <c r="K42" s="137" t="s">
        <v>156</v>
      </c>
      <c r="L42" s="208">
        <v>2</v>
      </c>
      <c r="N42" s="208">
        <v>4</v>
      </c>
      <c r="O42" s="208">
        <v>0.35</v>
      </c>
      <c r="P42" s="208">
        <v>0.35</v>
      </c>
      <c r="Q42" s="245">
        <f t="shared" si="0"/>
        <v>0.35</v>
      </c>
      <c r="R42" s="188">
        <v>16.600000000000001</v>
      </c>
      <c r="S42" s="188">
        <v>136</v>
      </c>
      <c r="T42" s="217">
        <f t="shared" si="1"/>
        <v>30</v>
      </c>
      <c r="U42" s="193">
        <v>437</v>
      </c>
      <c r="V42" s="184">
        <f t="shared" si="2"/>
        <v>3277.5</v>
      </c>
      <c r="W42" s="247">
        <v>12</v>
      </c>
      <c r="X42" s="186" t="s">
        <v>46</v>
      </c>
      <c r="Y42" s="198" t="s">
        <v>78</v>
      </c>
      <c r="Z42" s="198" t="s">
        <v>64</v>
      </c>
      <c r="AA42" s="198" t="s">
        <v>86</v>
      </c>
      <c r="AB42" s="55" t="s">
        <v>341</v>
      </c>
    </row>
    <row r="43" spans="1:28" ht="12.75" customHeight="1" x14ac:dyDescent="0.15">
      <c r="A43" s="137" t="s">
        <v>34</v>
      </c>
      <c r="B43" s="177" t="s">
        <v>339</v>
      </c>
      <c r="C43" s="178">
        <v>2018</v>
      </c>
      <c r="D43" s="179" t="s">
        <v>526</v>
      </c>
      <c r="E43" s="178" t="s">
        <v>282</v>
      </c>
      <c r="F43" s="177" t="s">
        <v>290</v>
      </c>
      <c r="G43" s="180" t="s">
        <v>42</v>
      </c>
      <c r="H43" s="137" t="s">
        <v>168</v>
      </c>
      <c r="I43" s="137" t="s">
        <v>155</v>
      </c>
      <c r="J43" s="137" t="s">
        <v>38</v>
      </c>
      <c r="K43" s="137" t="s">
        <v>156</v>
      </c>
      <c r="L43" s="208">
        <v>3</v>
      </c>
      <c r="N43" s="208">
        <v>4</v>
      </c>
      <c r="O43" s="208">
        <v>0.3</v>
      </c>
      <c r="P43" s="208">
        <v>0.35</v>
      </c>
      <c r="Q43" s="245">
        <f t="shared" si="0"/>
        <v>0.32499999999999996</v>
      </c>
      <c r="R43" s="188">
        <v>16.7</v>
      </c>
      <c r="S43" s="188">
        <v>142</v>
      </c>
      <c r="T43" s="217">
        <f t="shared" si="1"/>
        <v>30</v>
      </c>
      <c r="U43" s="193">
        <v>437</v>
      </c>
      <c r="V43" s="184">
        <f t="shared" si="2"/>
        <v>3277.5</v>
      </c>
      <c r="W43" s="247">
        <v>12</v>
      </c>
      <c r="X43" s="186" t="s">
        <v>46</v>
      </c>
      <c r="Y43" s="198" t="s">
        <v>78</v>
      </c>
      <c r="Z43" s="198" t="s">
        <v>64</v>
      </c>
      <c r="AA43" s="198" t="s">
        <v>86</v>
      </c>
      <c r="AB43" s="55" t="s">
        <v>341</v>
      </c>
    </row>
    <row r="44" spans="1:28" x14ac:dyDescent="0.15">
      <c r="A44" s="208" t="s">
        <v>34</v>
      </c>
      <c r="B44" s="177" t="s">
        <v>339</v>
      </c>
      <c r="C44" s="178">
        <v>2018</v>
      </c>
      <c r="D44" s="179" t="s">
        <v>526</v>
      </c>
      <c r="E44" s="178" t="s">
        <v>139</v>
      </c>
      <c r="F44" s="177" t="s">
        <v>290</v>
      </c>
      <c r="G44" s="180" t="s">
        <v>36</v>
      </c>
      <c r="H44" s="137" t="s">
        <v>157</v>
      </c>
      <c r="I44" s="137" t="s">
        <v>155</v>
      </c>
      <c r="J44" s="247" t="s">
        <v>38</v>
      </c>
      <c r="K44" s="137" t="s">
        <v>156</v>
      </c>
      <c r="L44" s="208">
        <v>1</v>
      </c>
      <c r="N44" s="208">
        <v>1</v>
      </c>
      <c r="O44" s="208">
        <v>0.5</v>
      </c>
      <c r="P44" s="208">
        <v>0.45</v>
      </c>
      <c r="Q44" s="245">
        <f t="shared" si="0"/>
        <v>0.47499999999999998</v>
      </c>
      <c r="R44" s="188">
        <v>14.4</v>
      </c>
      <c r="S44" s="188">
        <v>112</v>
      </c>
      <c r="T44" s="217">
        <f t="shared" si="1"/>
        <v>33</v>
      </c>
      <c r="U44" s="193">
        <v>108</v>
      </c>
      <c r="V44" s="217">
        <f t="shared" si="2"/>
        <v>3564</v>
      </c>
      <c r="W44" s="208">
        <v>10</v>
      </c>
      <c r="X44" s="186" t="s">
        <v>46</v>
      </c>
      <c r="Y44" s="198" t="s">
        <v>64</v>
      </c>
      <c r="Z44" s="198" t="s">
        <v>86</v>
      </c>
      <c r="AA44" s="198" t="s">
        <v>97</v>
      </c>
      <c r="AB44" s="55" t="s">
        <v>341</v>
      </c>
    </row>
    <row r="45" spans="1:28" x14ac:dyDescent="0.15">
      <c r="A45" s="208" t="s">
        <v>34</v>
      </c>
      <c r="B45" s="177" t="s">
        <v>339</v>
      </c>
      <c r="C45" s="177">
        <v>2018</v>
      </c>
      <c r="D45" s="179" t="s">
        <v>526</v>
      </c>
      <c r="E45" s="178" t="s">
        <v>139</v>
      </c>
      <c r="F45" s="177" t="s">
        <v>290</v>
      </c>
      <c r="G45" s="180" t="s">
        <v>36</v>
      </c>
      <c r="H45" s="137" t="s">
        <v>157</v>
      </c>
      <c r="I45" s="137" t="s">
        <v>155</v>
      </c>
      <c r="J45" s="247" t="s">
        <v>38</v>
      </c>
      <c r="K45" s="137" t="s">
        <v>156</v>
      </c>
      <c r="L45" s="208">
        <v>2</v>
      </c>
      <c r="N45" s="208">
        <v>1</v>
      </c>
      <c r="O45" s="208">
        <v>0.45</v>
      </c>
      <c r="P45" s="208">
        <v>0.5</v>
      </c>
      <c r="Q45" s="245">
        <f t="shared" si="0"/>
        <v>0.47499999999999998</v>
      </c>
      <c r="R45" s="188">
        <v>14.4</v>
      </c>
      <c r="S45" s="188">
        <v>108</v>
      </c>
      <c r="T45" s="217">
        <f t="shared" si="1"/>
        <v>33</v>
      </c>
      <c r="U45" s="193">
        <v>108</v>
      </c>
      <c r="V45" s="217">
        <f t="shared" si="2"/>
        <v>3564</v>
      </c>
      <c r="W45" s="208">
        <v>10</v>
      </c>
      <c r="X45" s="186" t="s">
        <v>46</v>
      </c>
      <c r="Y45" s="198" t="s">
        <v>64</v>
      </c>
      <c r="Z45" s="198" t="s">
        <v>86</v>
      </c>
      <c r="AA45" s="198" t="s">
        <v>97</v>
      </c>
      <c r="AB45" s="55" t="s">
        <v>341</v>
      </c>
    </row>
    <row r="46" spans="1:28" x14ac:dyDescent="0.15">
      <c r="A46" s="208" t="s">
        <v>34</v>
      </c>
      <c r="B46" s="177" t="s">
        <v>339</v>
      </c>
      <c r="C46" s="178">
        <v>2018</v>
      </c>
      <c r="D46" s="179" t="s">
        <v>526</v>
      </c>
      <c r="E46" s="178" t="s">
        <v>139</v>
      </c>
      <c r="F46" s="177" t="s">
        <v>290</v>
      </c>
      <c r="G46" s="180" t="s">
        <v>36</v>
      </c>
      <c r="H46" s="137" t="s">
        <v>157</v>
      </c>
      <c r="I46" s="137" t="s">
        <v>155</v>
      </c>
      <c r="J46" s="247" t="s">
        <v>38</v>
      </c>
      <c r="K46" s="137" t="s">
        <v>156</v>
      </c>
      <c r="L46" s="208">
        <v>3</v>
      </c>
      <c r="N46" s="208">
        <v>1</v>
      </c>
      <c r="O46" s="208">
        <v>0.55000000000000004</v>
      </c>
      <c r="P46" s="208">
        <v>0.5</v>
      </c>
      <c r="Q46" s="245">
        <f t="shared" si="0"/>
        <v>0.52500000000000002</v>
      </c>
      <c r="R46" s="188">
        <v>14.8</v>
      </c>
      <c r="S46" s="188">
        <v>113</v>
      </c>
      <c r="T46" s="217">
        <f t="shared" si="1"/>
        <v>30</v>
      </c>
      <c r="U46" s="193">
        <v>108</v>
      </c>
      <c r="V46" s="217">
        <f t="shared" si="2"/>
        <v>3240</v>
      </c>
      <c r="W46" s="208">
        <v>10</v>
      </c>
      <c r="X46" s="186" t="s">
        <v>46</v>
      </c>
      <c r="Y46" s="198" t="s">
        <v>64</v>
      </c>
      <c r="Z46" s="198" t="s">
        <v>86</v>
      </c>
      <c r="AA46" s="198" t="s">
        <v>97</v>
      </c>
      <c r="AB46" s="55" t="s">
        <v>341</v>
      </c>
    </row>
    <row r="47" spans="1:28" x14ac:dyDescent="0.15">
      <c r="A47" s="208" t="s">
        <v>34</v>
      </c>
      <c r="B47" s="235" t="s">
        <v>339</v>
      </c>
      <c r="C47" s="208">
        <v>2018</v>
      </c>
      <c r="D47" s="179" t="s">
        <v>526</v>
      </c>
      <c r="E47" s="208" t="s">
        <v>139</v>
      </c>
      <c r="F47" s="177" t="s">
        <v>290</v>
      </c>
      <c r="G47" s="180" t="s">
        <v>36</v>
      </c>
      <c r="H47" s="137" t="s">
        <v>168</v>
      </c>
      <c r="I47" s="137" t="s">
        <v>155</v>
      </c>
      <c r="J47" s="247" t="s">
        <v>38</v>
      </c>
      <c r="K47" s="137" t="s">
        <v>156</v>
      </c>
      <c r="L47" s="208">
        <v>1</v>
      </c>
      <c r="N47" s="208">
        <v>1</v>
      </c>
      <c r="O47" s="208">
        <v>0.4</v>
      </c>
      <c r="P47" s="208">
        <v>0.45</v>
      </c>
      <c r="Q47" s="245">
        <f t="shared" si="0"/>
        <v>0.42500000000000004</v>
      </c>
      <c r="R47" s="188">
        <v>16.2</v>
      </c>
      <c r="S47" s="188">
        <v>143</v>
      </c>
      <c r="T47" s="217">
        <f t="shared" si="1"/>
        <v>30</v>
      </c>
      <c r="U47" s="208">
        <v>149</v>
      </c>
      <c r="V47" s="217">
        <f t="shared" si="2"/>
        <v>4470</v>
      </c>
      <c r="W47" s="208">
        <v>10</v>
      </c>
      <c r="X47" s="186" t="s">
        <v>46</v>
      </c>
      <c r="Y47" s="208" t="s">
        <v>64</v>
      </c>
      <c r="Z47" s="208" t="s">
        <v>86</v>
      </c>
      <c r="AA47" s="208" t="s">
        <v>97</v>
      </c>
      <c r="AB47" s="55" t="s">
        <v>341</v>
      </c>
    </row>
    <row r="48" spans="1:28" x14ac:dyDescent="0.15">
      <c r="A48" s="208" t="s">
        <v>34</v>
      </c>
      <c r="B48" s="235" t="s">
        <v>339</v>
      </c>
      <c r="C48" s="208">
        <v>2018</v>
      </c>
      <c r="D48" s="179" t="s">
        <v>526</v>
      </c>
      <c r="E48" s="208" t="s">
        <v>139</v>
      </c>
      <c r="F48" s="177" t="s">
        <v>290</v>
      </c>
      <c r="G48" s="180" t="s">
        <v>36</v>
      </c>
      <c r="H48" s="137" t="s">
        <v>168</v>
      </c>
      <c r="I48" s="137" t="s">
        <v>155</v>
      </c>
      <c r="J48" s="247" t="s">
        <v>38</v>
      </c>
      <c r="K48" s="137" t="s">
        <v>156</v>
      </c>
      <c r="L48" s="208">
        <v>2</v>
      </c>
      <c r="N48" s="208">
        <v>1</v>
      </c>
      <c r="O48" s="208">
        <v>0.5</v>
      </c>
      <c r="P48" s="208">
        <v>0.45</v>
      </c>
      <c r="Q48" s="245">
        <f t="shared" si="0"/>
        <v>0.47499999999999998</v>
      </c>
      <c r="R48" s="188">
        <v>16.600000000000001</v>
      </c>
      <c r="S48" s="188">
        <v>135</v>
      </c>
      <c r="T48" s="217">
        <f t="shared" si="1"/>
        <v>30</v>
      </c>
      <c r="U48" s="208">
        <v>149</v>
      </c>
      <c r="V48" s="217">
        <f t="shared" si="2"/>
        <v>4470</v>
      </c>
      <c r="W48" s="208">
        <v>10</v>
      </c>
      <c r="X48" s="186" t="s">
        <v>46</v>
      </c>
      <c r="Y48" s="208" t="s">
        <v>64</v>
      </c>
      <c r="Z48" s="208" t="s">
        <v>86</v>
      </c>
      <c r="AA48" s="208" t="s">
        <v>97</v>
      </c>
      <c r="AB48" s="55" t="s">
        <v>341</v>
      </c>
    </row>
    <row r="49" spans="1:28" x14ac:dyDescent="0.15">
      <c r="A49" s="208" t="s">
        <v>34</v>
      </c>
      <c r="B49" s="235" t="s">
        <v>339</v>
      </c>
      <c r="C49" s="208">
        <v>2018</v>
      </c>
      <c r="D49" s="179" t="s">
        <v>526</v>
      </c>
      <c r="E49" s="208" t="s">
        <v>139</v>
      </c>
      <c r="F49" s="177" t="s">
        <v>290</v>
      </c>
      <c r="G49" s="180" t="s">
        <v>36</v>
      </c>
      <c r="H49" s="137" t="s">
        <v>168</v>
      </c>
      <c r="I49" s="137" t="s">
        <v>155</v>
      </c>
      <c r="J49" s="247" t="s">
        <v>38</v>
      </c>
      <c r="K49" s="137" t="s">
        <v>156</v>
      </c>
      <c r="L49" s="208">
        <v>3</v>
      </c>
      <c r="N49" s="208">
        <v>1</v>
      </c>
      <c r="O49" s="208">
        <v>0.4</v>
      </c>
      <c r="P49" s="208">
        <v>0.45</v>
      </c>
      <c r="Q49" s="245">
        <f t="shared" si="0"/>
        <v>0.42500000000000004</v>
      </c>
      <c r="R49" s="188">
        <v>16.100000000000001</v>
      </c>
      <c r="S49" s="188">
        <v>142</v>
      </c>
      <c r="T49" s="217">
        <f t="shared" si="1"/>
        <v>30</v>
      </c>
      <c r="U49" s="208">
        <v>149</v>
      </c>
      <c r="V49" s="217">
        <f t="shared" si="2"/>
        <v>4470</v>
      </c>
      <c r="W49" s="208">
        <v>10</v>
      </c>
      <c r="X49" s="186" t="s">
        <v>46</v>
      </c>
      <c r="Y49" s="208" t="s">
        <v>64</v>
      </c>
      <c r="Z49" s="208" t="s">
        <v>86</v>
      </c>
      <c r="AA49" s="208" t="s">
        <v>97</v>
      </c>
      <c r="AB49" s="55" t="s">
        <v>341</v>
      </c>
    </row>
    <row r="50" spans="1:28" x14ac:dyDescent="0.15">
      <c r="A50" s="208" t="s">
        <v>34</v>
      </c>
      <c r="B50" s="208" t="s">
        <v>339</v>
      </c>
      <c r="C50" s="208">
        <v>2018</v>
      </c>
      <c r="D50" s="179" t="s">
        <v>526</v>
      </c>
      <c r="E50" s="208" t="s">
        <v>133</v>
      </c>
      <c r="F50" s="177" t="s">
        <v>284</v>
      </c>
      <c r="G50" s="180" t="s">
        <v>36</v>
      </c>
      <c r="H50" s="247" t="s">
        <v>216</v>
      </c>
      <c r="I50" s="247" t="s">
        <v>155</v>
      </c>
      <c r="J50" s="247" t="s">
        <v>38</v>
      </c>
      <c r="K50" s="137" t="s">
        <v>156</v>
      </c>
      <c r="L50" s="208">
        <v>1</v>
      </c>
      <c r="N50" s="208">
        <v>1</v>
      </c>
      <c r="O50" s="208">
        <v>0.55000000000000004</v>
      </c>
      <c r="P50" s="208">
        <v>0.6</v>
      </c>
      <c r="Q50" s="245">
        <f t="shared" si="0"/>
        <v>0.57499999999999996</v>
      </c>
      <c r="R50" s="208">
        <v>15.5</v>
      </c>
      <c r="S50" s="208">
        <v>122</v>
      </c>
      <c r="T50" s="217">
        <f t="shared" si="1"/>
        <v>30</v>
      </c>
      <c r="U50" s="208">
        <v>105</v>
      </c>
      <c r="V50" s="217">
        <f t="shared" si="2"/>
        <v>3150</v>
      </c>
      <c r="W50" s="208">
        <v>22</v>
      </c>
      <c r="X50" s="186" t="s">
        <v>46</v>
      </c>
      <c r="Y50" s="208" t="s">
        <v>107</v>
      </c>
      <c r="Z50" s="208" t="s">
        <v>47</v>
      </c>
      <c r="AA50" s="208" t="s">
        <v>97</v>
      </c>
      <c r="AB50" s="208" t="s">
        <v>341</v>
      </c>
    </row>
    <row r="51" spans="1:28" x14ac:dyDescent="0.15">
      <c r="A51" s="208" t="s">
        <v>34</v>
      </c>
      <c r="B51" s="208" t="s">
        <v>339</v>
      </c>
      <c r="C51" s="208">
        <v>2018</v>
      </c>
      <c r="D51" s="179" t="s">
        <v>526</v>
      </c>
      <c r="E51" s="208" t="s">
        <v>133</v>
      </c>
      <c r="F51" s="177" t="s">
        <v>284</v>
      </c>
      <c r="G51" s="180" t="s">
        <v>36</v>
      </c>
      <c r="H51" s="247" t="s">
        <v>216</v>
      </c>
      <c r="I51" s="247" t="s">
        <v>155</v>
      </c>
      <c r="J51" s="247" t="s">
        <v>38</v>
      </c>
      <c r="K51" s="137" t="s">
        <v>156</v>
      </c>
      <c r="L51" s="208">
        <v>2</v>
      </c>
      <c r="N51" s="208">
        <v>1</v>
      </c>
      <c r="O51" s="208">
        <v>0.6</v>
      </c>
      <c r="P51" s="208">
        <v>0.55000000000000004</v>
      </c>
      <c r="Q51" s="245">
        <f t="shared" si="0"/>
        <v>0.57499999999999996</v>
      </c>
      <c r="R51" s="208">
        <v>15.4</v>
      </c>
      <c r="S51" s="208">
        <v>116</v>
      </c>
      <c r="T51" s="217">
        <f t="shared" si="1"/>
        <v>30</v>
      </c>
      <c r="U51" s="208">
        <v>105</v>
      </c>
      <c r="V51" s="217">
        <f t="shared" si="2"/>
        <v>3150</v>
      </c>
      <c r="W51" s="208">
        <v>22</v>
      </c>
      <c r="X51" s="186" t="s">
        <v>46</v>
      </c>
      <c r="Y51" s="208" t="s">
        <v>107</v>
      </c>
      <c r="Z51" s="208" t="s">
        <v>47</v>
      </c>
      <c r="AA51" s="208" t="s">
        <v>97</v>
      </c>
      <c r="AB51" s="208" t="s">
        <v>341</v>
      </c>
    </row>
    <row r="52" spans="1:28" x14ac:dyDescent="0.15">
      <c r="A52" s="208" t="s">
        <v>34</v>
      </c>
      <c r="B52" s="208" t="s">
        <v>339</v>
      </c>
      <c r="C52" s="208">
        <v>2018</v>
      </c>
      <c r="D52" s="179" t="s">
        <v>526</v>
      </c>
      <c r="E52" s="208" t="s">
        <v>133</v>
      </c>
      <c r="F52" s="177" t="s">
        <v>284</v>
      </c>
      <c r="G52" s="180" t="s">
        <v>36</v>
      </c>
      <c r="H52" s="247" t="s">
        <v>216</v>
      </c>
      <c r="I52" s="247" t="s">
        <v>155</v>
      </c>
      <c r="J52" s="247" t="s">
        <v>38</v>
      </c>
      <c r="K52" s="137" t="s">
        <v>156</v>
      </c>
      <c r="L52" s="208">
        <v>3</v>
      </c>
      <c r="N52" s="208">
        <v>1</v>
      </c>
      <c r="O52" s="208">
        <v>0.55000000000000004</v>
      </c>
      <c r="P52" s="208">
        <v>0.5</v>
      </c>
      <c r="Q52" s="245">
        <f t="shared" si="0"/>
        <v>0.52500000000000002</v>
      </c>
      <c r="R52" s="208">
        <v>13.7</v>
      </c>
      <c r="S52" s="208">
        <v>121</v>
      </c>
      <c r="T52" s="217">
        <f t="shared" si="1"/>
        <v>30</v>
      </c>
      <c r="U52" s="208">
        <v>105</v>
      </c>
      <c r="V52" s="217">
        <f t="shared" si="2"/>
        <v>3150</v>
      </c>
      <c r="W52" s="208">
        <v>22</v>
      </c>
      <c r="X52" s="186" t="s">
        <v>46</v>
      </c>
      <c r="Y52" s="208" t="s">
        <v>107</v>
      </c>
      <c r="Z52" s="208" t="s">
        <v>47</v>
      </c>
      <c r="AA52" s="208" t="s">
        <v>97</v>
      </c>
      <c r="AB52" s="208" t="s">
        <v>341</v>
      </c>
    </row>
    <row r="53" spans="1:28" x14ac:dyDescent="0.15">
      <c r="A53" s="208" t="s">
        <v>34</v>
      </c>
      <c r="B53" s="208" t="s">
        <v>339</v>
      </c>
      <c r="C53" s="208">
        <v>2018</v>
      </c>
      <c r="D53" s="179" t="s">
        <v>526</v>
      </c>
      <c r="E53" s="208" t="s">
        <v>133</v>
      </c>
      <c r="F53" s="177" t="s">
        <v>284</v>
      </c>
      <c r="G53" s="180" t="s">
        <v>36</v>
      </c>
      <c r="H53" s="247" t="s">
        <v>168</v>
      </c>
      <c r="I53" s="247" t="s">
        <v>155</v>
      </c>
      <c r="J53" s="247" t="s">
        <v>38</v>
      </c>
      <c r="K53" s="137" t="s">
        <v>156</v>
      </c>
      <c r="L53" s="208">
        <v>1</v>
      </c>
      <c r="N53" s="208">
        <v>1</v>
      </c>
      <c r="O53" s="208">
        <v>0.4</v>
      </c>
      <c r="P53" s="208">
        <v>0.35</v>
      </c>
      <c r="Q53" s="245">
        <f t="shared" si="0"/>
        <v>0.375</v>
      </c>
      <c r="R53" s="208">
        <v>17.2</v>
      </c>
      <c r="S53" s="208">
        <v>156</v>
      </c>
      <c r="T53" s="217">
        <f t="shared" si="1"/>
        <v>30</v>
      </c>
      <c r="U53" s="208">
        <v>149</v>
      </c>
      <c r="V53" s="217">
        <f t="shared" si="2"/>
        <v>4470</v>
      </c>
      <c r="W53" s="208">
        <v>22</v>
      </c>
      <c r="X53" s="186" t="s">
        <v>46</v>
      </c>
      <c r="Y53" s="208" t="s">
        <v>107</v>
      </c>
      <c r="Z53" s="208" t="s">
        <v>47</v>
      </c>
      <c r="AA53" s="208" t="s">
        <v>97</v>
      </c>
      <c r="AB53" s="208" t="s">
        <v>341</v>
      </c>
    </row>
    <row r="54" spans="1:28" x14ac:dyDescent="0.15">
      <c r="A54" s="208" t="s">
        <v>34</v>
      </c>
      <c r="B54" s="208" t="s">
        <v>339</v>
      </c>
      <c r="C54" s="208">
        <v>2018</v>
      </c>
      <c r="D54" s="179" t="s">
        <v>526</v>
      </c>
      <c r="E54" s="208" t="s">
        <v>133</v>
      </c>
      <c r="F54" s="177" t="s">
        <v>284</v>
      </c>
      <c r="G54" s="180" t="s">
        <v>36</v>
      </c>
      <c r="H54" s="247" t="s">
        <v>168</v>
      </c>
      <c r="I54" s="247" t="s">
        <v>155</v>
      </c>
      <c r="J54" s="247" t="s">
        <v>38</v>
      </c>
      <c r="K54" s="137" t="s">
        <v>156</v>
      </c>
      <c r="L54" s="208">
        <v>2</v>
      </c>
      <c r="N54" s="208">
        <v>1</v>
      </c>
      <c r="O54" s="208">
        <v>0.45</v>
      </c>
      <c r="P54" s="208">
        <v>0.4</v>
      </c>
      <c r="Q54" s="245">
        <f t="shared" si="0"/>
        <v>0.42500000000000004</v>
      </c>
      <c r="R54" s="208">
        <v>16.3</v>
      </c>
      <c r="S54" s="208">
        <v>153</v>
      </c>
      <c r="T54" s="217">
        <f t="shared" si="1"/>
        <v>30</v>
      </c>
      <c r="U54" s="208">
        <v>149</v>
      </c>
      <c r="V54" s="217">
        <f t="shared" si="2"/>
        <v>4470</v>
      </c>
      <c r="W54" s="208">
        <v>22</v>
      </c>
      <c r="X54" s="186" t="s">
        <v>46</v>
      </c>
      <c r="Y54" s="208" t="s">
        <v>107</v>
      </c>
      <c r="Z54" s="208" t="s">
        <v>47</v>
      </c>
      <c r="AA54" s="208" t="s">
        <v>97</v>
      </c>
      <c r="AB54" s="208" t="s">
        <v>341</v>
      </c>
    </row>
    <row r="55" spans="1:28" x14ac:dyDescent="0.15">
      <c r="A55" s="208" t="s">
        <v>34</v>
      </c>
      <c r="B55" s="208" t="s">
        <v>339</v>
      </c>
      <c r="C55" s="208">
        <v>2018</v>
      </c>
      <c r="D55" s="179" t="s">
        <v>526</v>
      </c>
      <c r="E55" s="208" t="s">
        <v>133</v>
      </c>
      <c r="F55" s="177" t="s">
        <v>284</v>
      </c>
      <c r="G55" s="180" t="s">
        <v>36</v>
      </c>
      <c r="H55" s="247" t="s">
        <v>168</v>
      </c>
      <c r="I55" s="247" t="s">
        <v>155</v>
      </c>
      <c r="J55" s="247" t="s">
        <v>38</v>
      </c>
      <c r="K55" s="137" t="s">
        <v>156</v>
      </c>
      <c r="L55" s="208">
        <v>3</v>
      </c>
      <c r="N55" s="208">
        <v>1</v>
      </c>
      <c r="O55" s="208">
        <v>0.4</v>
      </c>
      <c r="P55" s="208">
        <v>0.45</v>
      </c>
      <c r="Q55" s="245">
        <f t="shared" si="0"/>
        <v>0.42500000000000004</v>
      </c>
      <c r="R55" s="208">
        <v>16.399999999999999</v>
      </c>
      <c r="S55" s="208">
        <v>155</v>
      </c>
      <c r="T55" s="217">
        <f t="shared" si="1"/>
        <v>30</v>
      </c>
      <c r="U55" s="208">
        <v>149</v>
      </c>
      <c r="V55" s="217">
        <f t="shared" si="2"/>
        <v>4470</v>
      </c>
      <c r="W55" s="208">
        <v>22</v>
      </c>
      <c r="X55" s="186" t="s">
        <v>46</v>
      </c>
      <c r="Y55" s="208" t="s">
        <v>107</v>
      </c>
      <c r="Z55" s="208" t="s">
        <v>47</v>
      </c>
      <c r="AA55" s="208" t="s">
        <v>97</v>
      </c>
      <c r="AB55" s="208" t="s">
        <v>341</v>
      </c>
    </row>
    <row r="56" spans="1:28" x14ac:dyDescent="0.15">
      <c r="A56" s="208" t="s">
        <v>34</v>
      </c>
      <c r="B56" s="208" t="s">
        <v>339</v>
      </c>
      <c r="C56" s="208">
        <v>2018</v>
      </c>
      <c r="D56" s="179" t="s">
        <v>526</v>
      </c>
      <c r="E56" s="208" t="s">
        <v>210</v>
      </c>
      <c r="F56" s="177" t="s">
        <v>287</v>
      </c>
      <c r="G56" s="180" t="s">
        <v>36</v>
      </c>
      <c r="H56" s="247" t="s">
        <v>157</v>
      </c>
      <c r="I56" s="247" t="s">
        <v>155</v>
      </c>
      <c r="J56" s="247" t="s">
        <v>38</v>
      </c>
      <c r="K56" s="137" t="s">
        <v>156</v>
      </c>
      <c r="L56" s="208">
        <v>1</v>
      </c>
      <c r="N56" s="208">
        <v>5</v>
      </c>
      <c r="O56" s="208">
        <v>0.3</v>
      </c>
      <c r="P56" s="208">
        <v>0.3</v>
      </c>
      <c r="Q56" s="245">
        <f t="shared" si="0"/>
        <v>0.3</v>
      </c>
      <c r="R56" s="208">
        <v>14.1</v>
      </c>
      <c r="S56" s="208">
        <v>103</v>
      </c>
      <c r="T56" s="217">
        <f t="shared" si="1"/>
        <v>33</v>
      </c>
      <c r="U56" s="208">
        <v>380</v>
      </c>
      <c r="V56" s="217">
        <f t="shared" si="2"/>
        <v>2508</v>
      </c>
      <c r="W56" s="208">
        <v>10</v>
      </c>
      <c r="X56" s="186" t="s">
        <v>46</v>
      </c>
      <c r="Y56" s="208" t="s">
        <v>86</v>
      </c>
      <c r="Z56" s="208" t="s">
        <v>88</v>
      </c>
      <c r="AA56" s="208" t="s">
        <v>97</v>
      </c>
      <c r="AB56" s="208" t="s">
        <v>341</v>
      </c>
    </row>
    <row r="57" spans="1:28" x14ac:dyDescent="0.15">
      <c r="A57" s="208" t="s">
        <v>34</v>
      </c>
      <c r="B57" s="208" t="s">
        <v>339</v>
      </c>
      <c r="C57" s="208">
        <v>2018</v>
      </c>
      <c r="D57" s="179" t="s">
        <v>526</v>
      </c>
      <c r="E57" s="208" t="s">
        <v>210</v>
      </c>
      <c r="F57" s="177" t="s">
        <v>287</v>
      </c>
      <c r="G57" s="180" t="s">
        <v>36</v>
      </c>
      <c r="H57" s="247" t="s">
        <v>157</v>
      </c>
      <c r="I57" s="247" t="s">
        <v>155</v>
      </c>
      <c r="J57" s="247" t="s">
        <v>38</v>
      </c>
      <c r="K57" s="137" t="s">
        <v>156</v>
      </c>
      <c r="L57" s="208">
        <v>2</v>
      </c>
      <c r="N57" s="208">
        <v>5</v>
      </c>
      <c r="O57" s="208">
        <v>0.35</v>
      </c>
      <c r="P57" s="208">
        <v>0.35</v>
      </c>
      <c r="Q57" s="245">
        <f t="shared" si="0"/>
        <v>0.35</v>
      </c>
      <c r="R57" s="208">
        <v>15.2</v>
      </c>
      <c r="S57" s="208">
        <v>104</v>
      </c>
      <c r="T57" s="217">
        <f t="shared" si="1"/>
        <v>33</v>
      </c>
      <c r="U57" s="208">
        <v>380</v>
      </c>
      <c r="V57" s="217">
        <f t="shared" si="2"/>
        <v>2508</v>
      </c>
      <c r="W57" s="208">
        <v>10</v>
      </c>
      <c r="X57" s="186" t="s">
        <v>46</v>
      </c>
      <c r="Y57" s="208" t="s">
        <v>86</v>
      </c>
      <c r="Z57" s="208" t="s">
        <v>88</v>
      </c>
      <c r="AA57" s="208" t="s">
        <v>97</v>
      </c>
      <c r="AB57" s="208" t="s">
        <v>341</v>
      </c>
    </row>
    <row r="58" spans="1:28" x14ac:dyDescent="0.15">
      <c r="A58" s="208" t="s">
        <v>34</v>
      </c>
      <c r="B58" s="208" t="s">
        <v>339</v>
      </c>
      <c r="C58" s="208">
        <v>2018</v>
      </c>
      <c r="D58" s="179" t="s">
        <v>526</v>
      </c>
      <c r="E58" s="208" t="s">
        <v>210</v>
      </c>
      <c r="F58" s="177" t="s">
        <v>287</v>
      </c>
      <c r="G58" s="180" t="s">
        <v>36</v>
      </c>
      <c r="H58" s="247" t="s">
        <v>157</v>
      </c>
      <c r="I58" s="247" t="s">
        <v>155</v>
      </c>
      <c r="J58" s="247" t="s">
        <v>38</v>
      </c>
      <c r="K58" s="137" t="s">
        <v>156</v>
      </c>
      <c r="L58" s="208">
        <v>3</v>
      </c>
      <c r="N58" s="208">
        <v>5</v>
      </c>
      <c r="O58" s="208">
        <v>0.3</v>
      </c>
      <c r="P58" s="208">
        <v>0.3</v>
      </c>
      <c r="Q58" s="245">
        <f t="shared" si="0"/>
        <v>0.3</v>
      </c>
      <c r="R58" s="208">
        <v>15.3</v>
      </c>
      <c r="S58" s="208">
        <v>103</v>
      </c>
      <c r="T58" s="217">
        <f t="shared" si="1"/>
        <v>33</v>
      </c>
      <c r="U58" s="208">
        <v>380</v>
      </c>
      <c r="V58" s="217">
        <f t="shared" si="2"/>
        <v>2508</v>
      </c>
      <c r="W58" s="208">
        <v>10</v>
      </c>
      <c r="X58" s="186" t="s">
        <v>46</v>
      </c>
      <c r="Y58" s="208" t="s">
        <v>86</v>
      </c>
      <c r="Z58" s="208" t="s">
        <v>88</v>
      </c>
      <c r="AA58" s="208" t="s">
        <v>97</v>
      </c>
      <c r="AB58" s="208" t="s">
        <v>341</v>
      </c>
    </row>
    <row r="59" spans="1:28" x14ac:dyDescent="0.15">
      <c r="A59" s="208" t="s">
        <v>34</v>
      </c>
      <c r="B59" s="208" t="s">
        <v>339</v>
      </c>
      <c r="C59" s="208">
        <v>2018</v>
      </c>
      <c r="D59" s="179" t="s">
        <v>526</v>
      </c>
      <c r="E59" s="208" t="s">
        <v>210</v>
      </c>
      <c r="F59" s="177" t="s">
        <v>287</v>
      </c>
      <c r="G59" s="180" t="s">
        <v>36</v>
      </c>
      <c r="H59" s="247" t="s">
        <v>168</v>
      </c>
      <c r="I59" s="247" t="s">
        <v>155</v>
      </c>
      <c r="J59" s="247" t="s">
        <v>38</v>
      </c>
      <c r="K59" s="137" t="s">
        <v>156</v>
      </c>
      <c r="L59" s="208">
        <v>1</v>
      </c>
      <c r="N59" s="208">
        <v>1</v>
      </c>
      <c r="O59" s="208">
        <v>0.4</v>
      </c>
      <c r="P59" s="208">
        <v>0.45</v>
      </c>
      <c r="Q59" s="245">
        <f t="shared" si="0"/>
        <v>0.42500000000000004</v>
      </c>
      <c r="R59" s="208">
        <v>16.7</v>
      </c>
      <c r="S59" s="208">
        <v>167</v>
      </c>
      <c r="T59" s="217">
        <f t="shared" si="1"/>
        <v>30</v>
      </c>
      <c r="U59" s="208">
        <v>128</v>
      </c>
      <c r="V59" s="217">
        <f t="shared" si="2"/>
        <v>3840</v>
      </c>
      <c r="W59" s="208">
        <v>10</v>
      </c>
      <c r="X59" s="186" t="s">
        <v>46</v>
      </c>
      <c r="Y59" s="208" t="s">
        <v>86</v>
      </c>
      <c r="Z59" s="208" t="s">
        <v>88</v>
      </c>
      <c r="AA59" s="208" t="s">
        <v>97</v>
      </c>
      <c r="AB59" s="208" t="s">
        <v>341</v>
      </c>
    </row>
    <row r="60" spans="1:28" x14ac:dyDescent="0.15">
      <c r="A60" s="208" t="s">
        <v>34</v>
      </c>
      <c r="B60" s="208" t="s">
        <v>339</v>
      </c>
      <c r="C60" s="208">
        <v>2018</v>
      </c>
      <c r="D60" s="261" t="s">
        <v>526</v>
      </c>
      <c r="E60" s="208" t="s">
        <v>210</v>
      </c>
      <c r="F60" s="177" t="s">
        <v>287</v>
      </c>
      <c r="G60" s="180" t="s">
        <v>36</v>
      </c>
      <c r="H60" s="247" t="s">
        <v>168</v>
      </c>
      <c r="I60" s="247" t="s">
        <v>155</v>
      </c>
      <c r="J60" s="247" t="s">
        <v>38</v>
      </c>
      <c r="K60" s="137" t="s">
        <v>156</v>
      </c>
      <c r="L60" s="208">
        <v>2</v>
      </c>
      <c r="N60" s="208">
        <v>1</v>
      </c>
      <c r="O60" s="208">
        <v>0.35</v>
      </c>
      <c r="P60" s="208">
        <v>0.35</v>
      </c>
      <c r="Q60" s="245">
        <f t="shared" si="0"/>
        <v>0.35</v>
      </c>
      <c r="R60" s="208">
        <v>16.399999999999999</v>
      </c>
      <c r="S60" s="208">
        <v>163</v>
      </c>
      <c r="T60" s="217">
        <f t="shared" si="1"/>
        <v>30</v>
      </c>
      <c r="U60" s="208">
        <v>128</v>
      </c>
      <c r="V60" s="217">
        <f t="shared" si="2"/>
        <v>3840</v>
      </c>
      <c r="W60" s="208">
        <v>10</v>
      </c>
      <c r="X60" s="186" t="s">
        <v>46</v>
      </c>
      <c r="Y60" s="208" t="s">
        <v>86</v>
      </c>
      <c r="Z60" s="208" t="s">
        <v>88</v>
      </c>
      <c r="AA60" s="208" t="s">
        <v>97</v>
      </c>
      <c r="AB60" s="208" t="s">
        <v>341</v>
      </c>
    </row>
    <row r="61" spans="1:28" x14ac:dyDescent="0.15">
      <c r="A61" s="208" t="s">
        <v>34</v>
      </c>
      <c r="B61" s="208" t="s">
        <v>339</v>
      </c>
      <c r="C61" s="208">
        <v>2018</v>
      </c>
      <c r="D61" s="179" t="s">
        <v>526</v>
      </c>
      <c r="E61" s="208" t="s">
        <v>210</v>
      </c>
      <c r="F61" s="177" t="s">
        <v>287</v>
      </c>
      <c r="G61" s="180" t="s">
        <v>36</v>
      </c>
      <c r="H61" s="247" t="s">
        <v>168</v>
      </c>
      <c r="I61" s="247" t="s">
        <v>155</v>
      </c>
      <c r="J61" s="247" t="s">
        <v>38</v>
      </c>
      <c r="K61" s="137" t="s">
        <v>156</v>
      </c>
      <c r="L61" s="208">
        <v>3</v>
      </c>
      <c r="N61" s="208">
        <v>1</v>
      </c>
      <c r="O61" s="208">
        <v>0.4</v>
      </c>
      <c r="P61" s="208">
        <v>0.45</v>
      </c>
      <c r="Q61" s="245">
        <f t="shared" si="0"/>
        <v>0.42500000000000004</v>
      </c>
      <c r="R61" s="208">
        <v>16.5</v>
      </c>
      <c r="S61" s="208">
        <v>161</v>
      </c>
      <c r="T61" s="217">
        <f t="shared" si="1"/>
        <v>30</v>
      </c>
      <c r="U61" s="208">
        <v>128</v>
      </c>
      <c r="V61" s="217">
        <f t="shared" si="2"/>
        <v>3840</v>
      </c>
      <c r="W61" s="208">
        <v>10</v>
      </c>
      <c r="X61" s="186" t="s">
        <v>46</v>
      </c>
      <c r="Y61" s="208" t="s">
        <v>86</v>
      </c>
      <c r="Z61" s="208" t="s">
        <v>88</v>
      </c>
      <c r="AA61" s="208" t="s">
        <v>97</v>
      </c>
      <c r="AB61" s="208" t="s">
        <v>341</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pane ySplit="1" topLeftCell="A2" activePane="bottomLeft" state="frozen"/>
      <selection pane="bottomLeft" activeCell="F14" sqref="F14"/>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509</v>
      </c>
      <c r="D1" s="203" t="s">
        <v>3</v>
      </c>
      <c r="E1" s="241" t="s">
        <v>4</v>
      </c>
      <c r="F1" s="241" t="s">
        <v>5</v>
      </c>
      <c r="G1" s="241" t="s">
        <v>6</v>
      </c>
      <c r="H1" s="241" t="s">
        <v>7</v>
      </c>
      <c r="I1" s="241" t="s">
        <v>8</v>
      </c>
      <c r="J1" s="241" t="s">
        <v>9</v>
      </c>
      <c r="K1" s="241" t="s">
        <v>10</v>
      </c>
      <c r="L1" s="203" t="s">
        <v>510</v>
      </c>
      <c r="M1" s="203" t="s">
        <v>12</v>
      </c>
      <c r="N1" s="203" t="s">
        <v>13</v>
      </c>
      <c r="O1" s="203" t="s">
        <v>511</v>
      </c>
      <c r="P1" s="203" t="s">
        <v>512</v>
      </c>
      <c r="Q1" s="204" t="s">
        <v>16</v>
      </c>
      <c r="R1" s="203" t="s">
        <v>513</v>
      </c>
      <c r="S1" s="203" t="s">
        <v>514</v>
      </c>
      <c r="T1" s="204" t="s">
        <v>19</v>
      </c>
      <c r="U1" s="205" t="s">
        <v>544</v>
      </c>
      <c r="V1" s="206" t="s">
        <v>20</v>
      </c>
      <c r="W1" s="203" t="s">
        <v>21</v>
      </c>
      <c r="X1" s="241" t="s">
        <v>22</v>
      </c>
      <c r="Y1" s="241" t="s">
        <v>23</v>
      </c>
      <c r="Z1" s="241" t="s">
        <v>545</v>
      </c>
      <c r="AA1" s="242" t="s">
        <v>25</v>
      </c>
      <c r="AB1" s="207" t="s">
        <v>515</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516</v>
      </c>
      <c r="AY1" s="214" t="s">
        <v>517</v>
      </c>
      <c r="AZ1" s="214" t="s">
        <v>518</v>
      </c>
      <c r="BA1" s="215" t="s">
        <v>519</v>
      </c>
    </row>
    <row r="2" spans="1:53" s="216" customFormat="1" x14ac:dyDescent="0.15">
      <c r="A2" s="216" t="s">
        <v>34</v>
      </c>
      <c r="B2" s="208" t="s">
        <v>339</v>
      </c>
      <c r="C2" s="208">
        <v>2018</v>
      </c>
      <c r="D2" s="250" t="s">
        <v>546</v>
      </c>
      <c r="E2" s="237" t="s">
        <v>291</v>
      </c>
      <c r="F2" s="237" t="s">
        <v>334</v>
      </c>
      <c r="G2" s="216" t="s">
        <v>36</v>
      </c>
      <c r="H2" s="208" t="s">
        <v>157</v>
      </c>
      <c r="I2" s="216" t="s">
        <v>155</v>
      </c>
      <c r="J2" s="216" t="s">
        <v>38</v>
      </c>
      <c r="K2" s="216" t="s">
        <v>156</v>
      </c>
      <c r="L2" s="216">
        <v>1</v>
      </c>
      <c r="N2" s="216">
        <v>1</v>
      </c>
      <c r="O2" s="216">
        <v>0.55000000000000004</v>
      </c>
      <c r="P2" s="216">
        <v>0.65</v>
      </c>
      <c r="Q2" s="245">
        <f t="shared" ref="Q2:Q82" si="0">IF(OR(O2="",P2=""),"",AVERAGE(O2,P2))</f>
        <v>0.60000000000000009</v>
      </c>
      <c r="R2" s="216">
        <v>13.2</v>
      </c>
      <c r="S2" s="216">
        <v>127</v>
      </c>
      <c r="T2" s="217">
        <f t="shared" ref="T2:T83" si="1">IF(H2="","",IF(OR(H2="GREEN",H2="GK"),IF(S2&gt;=$AX$2,VLOOKUP(S2,$AX$2:$AY$9,2,1),""),IF(S2&gt;=$AZ$2,VLOOKUP(S2,$AZ$2:$BA$9,2,1),"")))</f>
        <v>30</v>
      </c>
      <c r="U2" s="216">
        <v>138</v>
      </c>
      <c r="V2" s="217">
        <f t="shared" ref="V2:V83" si="2">IF(OR(N2="",U2="",T2=""),"",U2/N2*T2)</f>
        <v>4140</v>
      </c>
      <c r="W2" s="216">
        <v>3</v>
      </c>
      <c r="X2" s="216" t="s">
        <v>46</v>
      </c>
      <c r="Y2" s="216" t="s">
        <v>55</v>
      </c>
      <c r="Z2" s="216" t="s">
        <v>90</v>
      </c>
      <c r="AA2" s="216" t="s">
        <v>86</v>
      </c>
      <c r="AB2" s="216" t="s">
        <v>341</v>
      </c>
      <c r="AE2" s="218" t="s">
        <v>35</v>
      </c>
      <c r="AG2" s="251" t="s">
        <v>288</v>
      </c>
      <c r="AH2" s="243" t="s">
        <v>322</v>
      </c>
      <c r="AJ2" s="219" t="s">
        <v>36</v>
      </c>
      <c r="AL2" s="219" t="s">
        <v>127</v>
      </c>
      <c r="AN2" s="219" t="s">
        <v>37</v>
      </c>
      <c r="AP2" s="219" t="s">
        <v>38</v>
      </c>
      <c r="AR2" s="219" t="s">
        <v>525</v>
      </c>
      <c r="AT2" s="219" t="s">
        <v>39</v>
      </c>
      <c r="AV2" s="248" t="s">
        <v>40</v>
      </c>
      <c r="AX2" s="220">
        <v>1</v>
      </c>
      <c r="AY2" s="221">
        <v>50</v>
      </c>
      <c r="AZ2" s="221">
        <v>1</v>
      </c>
      <c r="BA2" s="222">
        <v>50</v>
      </c>
    </row>
    <row r="3" spans="1:53" x14ac:dyDescent="0.15">
      <c r="A3" s="216" t="s">
        <v>34</v>
      </c>
      <c r="B3" s="208" t="s">
        <v>339</v>
      </c>
      <c r="C3" s="208">
        <v>2018</v>
      </c>
      <c r="D3" s="250" t="s">
        <v>546</v>
      </c>
      <c r="E3" s="237" t="s">
        <v>291</v>
      </c>
      <c r="F3" s="237" t="s">
        <v>334</v>
      </c>
      <c r="G3" s="216" t="s">
        <v>36</v>
      </c>
      <c r="H3" s="208" t="s">
        <v>157</v>
      </c>
      <c r="I3" s="216" t="s">
        <v>155</v>
      </c>
      <c r="J3" s="216" t="s">
        <v>38</v>
      </c>
      <c r="K3" s="216" t="s">
        <v>156</v>
      </c>
      <c r="L3" s="208">
        <v>2</v>
      </c>
      <c r="N3" s="208">
        <v>1</v>
      </c>
      <c r="O3" s="208">
        <v>0.5</v>
      </c>
      <c r="P3" s="208">
        <v>0.5</v>
      </c>
      <c r="Q3" s="245">
        <f t="shared" si="0"/>
        <v>0.5</v>
      </c>
      <c r="R3" s="208">
        <v>13.6</v>
      </c>
      <c r="S3" s="208">
        <v>129</v>
      </c>
      <c r="T3" s="217">
        <f t="shared" si="1"/>
        <v>30</v>
      </c>
      <c r="U3" s="208">
        <v>138</v>
      </c>
      <c r="V3" s="217">
        <f t="shared" si="2"/>
        <v>4140</v>
      </c>
      <c r="W3" s="216">
        <v>3</v>
      </c>
      <c r="X3" s="216" t="s">
        <v>46</v>
      </c>
      <c r="Y3" s="216" t="s">
        <v>55</v>
      </c>
      <c r="Z3" s="216" t="s">
        <v>90</v>
      </c>
      <c r="AA3" s="216" t="s">
        <v>86</v>
      </c>
      <c r="AB3" s="216" t="s">
        <v>341</v>
      </c>
      <c r="AC3" s="216"/>
      <c r="AE3" s="223" t="s">
        <v>41</v>
      </c>
      <c r="AG3" s="252" t="s">
        <v>323</v>
      </c>
      <c r="AH3" s="243" t="s">
        <v>324</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339</v>
      </c>
      <c r="C4" s="208">
        <v>2018</v>
      </c>
      <c r="D4" s="250" t="s">
        <v>546</v>
      </c>
      <c r="E4" s="237" t="s">
        <v>291</v>
      </c>
      <c r="F4" s="237" t="s">
        <v>334</v>
      </c>
      <c r="G4" s="216" t="s">
        <v>36</v>
      </c>
      <c r="H4" s="208" t="s">
        <v>157</v>
      </c>
      <c r="I4" s="216" t="s">
        <v>155</v>
      </c>
      <c r="J4" s="216" t="s">
        <v>38</v>
      </c>
      <c r="K4" s="216" t="s">
        <v>156</v>
      </c>
      <c r="L4" s="208">
        <v>3</v>
      </c>
      <c r="N4" s="208">
        <v>1</v>
      </c>
      <c r="O4" s="208">
        <v>0.45</v>
      </c>
      <c r="P4" s="208">
        <v>0.6</v>
      </c>
      <c r="Q4" s="245">
        <f t="shared" si="0"/>
        <v>0.52500000000000002</v>
      </c>
      <c r="R4" s="208">
        <v>14.7</v>
      </c>
      <c r="S4" s="208">
        <v>128</v>
      </c>
      <c r="T4" s="217">
        <f t="shared" si="1"/>
        <v>30</v>
      </c>
      <c r="U4" s="208">
        <v>138</v>
      </c>
      <c r="V4" s="217">
        <f t="shared" si="2"/>
        <v>4140</v>
      </c>
      <c r="W4" s="208">
        <v>3</v>
      </c>
      <c r="X4" s="216" t="s">
        <v>46</v>
      </c>
      <c r="Y4" s="216" t="s">
        <v>55</v>
      </c>
      <c r="Z4" s="216" t="s">
        <v>90</v>
      </c>
      <c r="AA4" s="216" t="s">
        <v>86</v>
      </c>
      <c r="AB4" s="216" t="s">
        <v>341</v>
      </c>
      <c r="AC4" s="216"/>
      <c r="AE4" s="223" t="s">
        <v>34</v>
      </c>
      <c r="AG4" s="252" t="s">
        <v>325</v>
      </c>
      <c r="AH4" s="243" t="s">
        <v>326</v>
      </c>
      <c r="AJ4" s="228" t="s">
        <v>48</v>
      </c>
      <c r="AL4" s="228" t="s">
        <v>129</v>
      </c>
      <c r="AN4" s="229" t="s">
        <v>49</v>
      </c>
      <c r="AP4" s="224" t="s">
        <v>528</v>
      </c>
      <c r="AR4" s="238" t="s">
        <v>529</v>
      </c>
      <c r="AT4" s="229"/>
      <c r="AV4" s="224" t="s">
        <v>50</v>
      </c>
      <c r="AX4" s="225">
        <v>75</v>
      </c>
      <c r="AY4" s="226">
        <v>42</v>
      </c>
      <c r="AZ4" s="226">
        <v>76</v>
      </c>
      <c r="BA4" s="227">
        <v>39</v>
      </c>
    </row>
    <row r="5" spans="1:53" x14ac:dyDescent="0.15">
      <c r="A5" s="216" t="s">
        <v>34</v>
      </c>
      <c r="B5" s="208" t="s">
        <v>339</v>
      </c>
      <c r="C5" s="208">
        <v>2018</v>
      </c>
      <c r="D5" s="250" t="s">
        <v>546</v>
      </c>
      <c r="E5" s="237" t="s">
        <v>291</v>
      </c>
      <c r="F5" s="237" t="s">
        <v>334</v>
      </c>
      <c r="G5" s="216" t="s">
        <v>36</v>
      </c>
      <c r="H5" s="208" t="s">
        <v>216</v>
      </c>
      <c r="I5" s="216" t="s">
        <v>155</v>
      </c>
      <c r="J5" s="216" t="s">
        <v>38</v>
      </c>
      <c r="K5" s="216" t="s">
        <v>156</v>
      </c>
      <c r="L5" s="216">
        <v>1</v>
      </c>
      <c r="N5" s="208">
        <v>9</v>
      </c>
      <c r="O5" s="208">
        <v>0.6</v>
      </c>
      <c r="P5" s="208">
        <v>0.6</v>
      </c>
      <c r="Q5" s="245">
        <f t="shared" si="0"/>
        <v>0.6</v>
      </c>
      <c r="R5" s="208">
        <v>14.4</v>
      </c>
      <c r="S5" s="208">
        <v>77</v>
      </c>
      <c r="T5" s="217">
        <f t="shared" si="1"/>
        <v>39</v>
      </c>
      <c r="U5" s="208">
        <v>645</v>
      </c>
      <c r="V5" s="217">
        <f t="shared" si="2"/>
        <v>2795</v>
      </c>
      <c r="W5" s="208">
        <v>2</v>
      </c>
      <c r="X5" s="216" t="s">
        <v>46</v>
      </c>
      <c r="Y5" s="216" t="s">
        <v>55</v>
      </c>
      <c r="Z5" s="216" t="s">
        <v>90</v>
      </c>
      <c r="AA5" s="216" t="s">
        <v>86</v>
      </c>
      <c r="AB5" s="216" t="s">
        <v>341</v>
      </c>
      <c r="AE5" s="223" t="s">
        <v>51</v>
      </c>
      <c r="AG5" s="252" t="s">
        <v>327</v>
      </c>
      <c r="AH5" s="243" t="s">
        <v>328</v>
      </c>
      <c r="AJ5" s="229"/>
      <c r="AL5" s="230" t="s">
        <v>531</v>
      </c>
      <c r="AN5" s="230" t="s">
        <v>532</v>
      </c>
      <c r="AP5" s="224" t="s">
        <v>533</v>
      </c>
      <c r="AR5" s="238" t="s">
        <v>54</v>
      </c>
      <c r="AV5" s="224" t="s">
        <v>55</v>
      </c>
      <c r="AX5" s="225">
        <v>84</v>
      </c>
      <c r="AY5" s="226">
        <v>39</v>
      </c>
      <c r="AZ5" s="226">
        <v>84</v>
      </c>
      <c r="BA5" s="227">
        <v>36</v>
      </c>
    </row>
    <row r="6" spans="1:53" x14ac:dyDescent="0.15">
      <c r="A6" s="216" t="s">
        <v>34</v>
      </c>
      <c r="B6" s="208" t="s">
        <v>339</v>
      </c>
      <c r="C6" s="208">
        <v>2018</v>
      </c>
      <c r="D6" s="250" t="s">
        <v>546</v>
      </c>
      <c r="E6" s="237" t="s">
        <v>291</v>
      </c>
      <c r="F6" s="237" t="s">
        <v>334</v>
      </c>
      <c r="G6" s="216" t="s">
        <v>36</v>
      </c>
      <c r="H6" s="208" t="s">
        <v>216</v>
      </c>
      <c r="I6" s="216" t="s">
        <v>155</v>
      </c>
      <c r="J6" s="216" t="s">
        <v>38</v>
      </c>
      <c r="K6" s="216" t="s">
        <v>156</v>
      </c>
      <c r="L6" s="208">
        <v>2</v>
      </c>
      <c r="N6" s="208">
        <v>9</v>
      </c>
      <c r="O6" s="208">
        <v>0.7</v>
      </c>
      <c r="P6" s="208">
        <v>0.6</v>
      </c>
      <c r="Q6" s="245">
        <f t="shared" si="0"/>
        <v>0.64999999999999991</v>
      </c>
      <c r="R6" s="208">
        <v>14.3</v>
      </c>
      <c r="S6" s="208">
        <v>76</v>
      </c>
      <c r="T6" s="217">
        <f t="shared" si="1"/>
        <v>39</v>
      </c>
      <c r="U6" s="208">
        <v>645</v>
      </c>
      <c r="V6" s="217">
        <f t="shared" si="2"/>
        <v>2795</v>
      </c>
      <c r="W6" s="208">
        <v>2</v>
      </c>
      <c r="X6" s="216" t="s">
        <v>46</v>
      </c>
      <c r="Y6" s="216" t="s">
        <v>55</v>
      </c>
      <c r="Z6" s="216" t="s">
        <v>90</v>
      </c>
      <c r="AA6" s="216" t="s">
        <v>86</v>
      </c>
      <c r="AB6" s="216" t="s">
        <v>341</v>
      </c>
      <c r="AE6" s="223" t="s">
        <v>56</v>
      </c>
      <c r="AG6" s="252" t="s">
        <v>329</v>
      </c>
      <c r="AH6" s="243" t="s">
        <v>330</v>
      </c>
      <c r="AL6" s="230" t="s">
        <v>535</v>
      </c>
      <c r="AN6" s="230" t="s">
        <v>536</v>
      </c>
      <c r="AP6" s="224" t="s">
        <v>53</v>
      </c>
      <c r="AR6" s="238" t="s">
        <v>59</v>
      </c>
      <c r="AV6" s="224" t="s">
        <v>60</v>
      </c>
      <c r="AX6" s="225">
        <v>97</v>
      </c>
      <c r="AY6" s="226">
        <v>36</v>
      </c>
      <c r="AZ6" s="226">
        <v>99</v>
      </c>
      <c r="BA6" s="227">
        <v>33</v>
      </c>
    </row>
    <row r="7" spans="1:53" x14ac:dyDescent="0.15">
      <c r="A7" s="216" t="s">
        <v>34</v>
      </c>
      <c r="B7" s="208" t="s">
        <v>339</v>
      </c>
      <c r="C7" s="208">
        <v>2018</v>
      </c>
      <c r="D7" s="250" t="s">
        <v>546</v>
      </c>
      <c r="E7" s="237" t="s">
        <v>291</v>
      </c>
      <c r="F7" s="237" t="s">
        <v>334</v>
      </c>
      <c r="G7" s="216" t="s">
        <v>36</v>
      </c>
      <c r="H7" s="208" t="s">
        <v>216</v>
      </c>
      <c r="I7" s="216" t="s">
        <v>155</v>
      </c>
      <c r="J7" s="216" t="s">
        <v>38</v>
      </c>
      <c r="K7" s="216" t="s">
        <v>156</v>
      </c>
      <c r="L7" s="208">
        <v>3</v>
      </c>
      <c r="N7" s="208">
        <v>9</v>
      </c>
      <c r="O7" s="208">
        <v>0.85</v>
      </c>
      <c r="P7" s="208">
        <v>0.8</v>
      </c>
      <c r="Q7" s="245">
        <f t="shared" si="0"/>
        <v>0.82499999999999996</v>
      </c>
      <c r="R7" s="208">
        <v>11.3</v>
      </c>
      <c r="S7" s="208">
        <v>80</v>
      </c>
      <c r="T7" s="217">
        <f t="shared" si="1"/>
        <v>39</v>
      </c>
      <c r="U7" s="208">
        <v>645</v>
      </c>
      <c r="V7" s="217">
        <f t="shared" si="2"/>
        <v>2795</v>
      </c>
      <c r="W7" s="208">
        <v>2</v>
      </c>
      <c r="X7" s="216" t="s">
        <v>46</v>
      </c>
      <c r="Y7" s="216" t="s">
        <v>55</v>
      </c>
      <c r="Z7" s="216" t="s">
        <v>90</v>
      </c>
      <c r="AA7" s="216" t="s">
        <v>86</v>
      </c>
      <c r="AB7" s="216" t="s">
        <v>341</v>
      </c>
      <c r="AE7" s="223" t="s">
        <v>61</v>
      </c>
      <c r="AG7" s="252" t="s">
        <v>210</v>
      </c>
      <c r="AH7" s="243" t="s">
        <v>331</v>
      </c>
      <c r="AL7" s="235" t="s">
        <v>537</v>
      </c>
      <c r="AP7" s="224" t="s">
        <v>58</v>
      </c>
      <c r="AR7" s="231" t="s">
        <v>122</v>
      </c>
      <c r="AV7" s="224" t="s">
        <v>64</v>
      </c>
      <c r="AX7" s="225">
        <v>109</v>
      </c>
      <c r="AY7" s="226">
        <v>33</v>
      </c>
      <c r="AZ7" s="226">
        <v>113</v>
      </c>
      <c r="BA7" s="227">
        <v>30</v>
      </c>
    </row>
    <row r="8" spans="1:53" x14ac:dyDescent="0.15">
      <c r="A8" s="216" t="s">
        <v>34</v>
      </c>
      <c r="B8" s="208" t="s">
        <v>339</v>
      </c>
      <c r="C8" s="208">
        <v>2018</v>
      </c>
      <c r="D8" s="250" t="s">
        <v>547</v>
      </c>
      <c r="E8" s="237" t="s">
        <v>291</v>
      </c>
      <c r="F8" s="237" t="s">
        <v>334</v>
      </c>
      <c r="G8" s="216" t="s">
        <v>36</v>
      </c>
      <c r="H8" s="208" t="s">
        <v>168</v>
      </c>
      <c r="I8" s="216" t="s">
        <v>155</v>
      </c>
      <c r="J8" s="216" t="s">
        <v>38</v>
      </c>
      <c r="K8" s="216" t="s">
        <v>156</v>
      </c>
      <c r="L8" s="216">
        <v>1</v>
      </c>
      <c r="N8" s="208">
        <v>1</v>
      </c>
      <c r="O8" s="208">
        <v>0.7</v>
      </c>
      <c r="P8" s="208">
        <v>0.8</v>
      </c>
      <c r="Q8" s="245">
        <f t="shared" si="0"/>
        <v>0.75</v>
      </c>
      <c r="R8" s="208">
        <v>14.7</v>
      </c>
      <c r="S8" s="208">
        <v>165</v>
      </c>
      <c r="T8" s="217">
        <f t="shared" si="1"/>
        <v>18</v>
      </c>
      <c r="U8" s="208">
        <v>170</v>
      </c>
      <c r="V8" s="217">
        <f t="shared" si="2"/>
        <v>3060</v>
      </c>
      <c r="W8" s="208">
        <v>6</v>
      </c>
      <c r="X8" s="216" t="s">
        <v>46</v>
      </c>
      <c r="Y8" s="216" t="s">
        <v>55</v>
      </c>
      <c r="Z8" s="216" t="s">
        <v>90</v>
      </c>
      <c r="AA8" s="216" t="s">
        <v>86</v>
      </c>
      <c r="AB8" s="216" t="s">
        <v>341</v>
      </c>
      <c r="AE8" s="223" t="s">
        <v>59</v>
      </c>
      <c r="AG8" s="252" t="s">
        <v>332</v>
      </c>
      <c r="AH8" s="243" t="s">
        <v>333</v>
      </c>
      <c r="AL8" s="235" t="s">
        <v>358</v>
      </c>
      <c r="AP8" s="224" t="s">
        <v>62</v>
      </c>
      <c r="AR8" s="238" t="s">
        <v>81</v>
      </c>
      <c r="AV8" s="224" t="s">
        <v>97</v>
      </c>
      <c r="AX8" s="225">
        <v>151</v>
      </c>
      <c r="AY8" s="226">
        <v>22</v>
      </c>
      <c r="AZ8" s="226">
        <v>152</v>
      </c>
      <c r="BA8" s="227">
        <v>18</v>
      </c>
    </row>
    <row r="9" spans="1:53" x14ac:dyDescent="0.15">
      <c r="A9" s="216" t="s">
        <v>34</v>
      </c>
      <c r="B9" s="208" t="s">
        <v>339</v>
      </c>
      <c r="C9" s="208">
        <v>2018</v>
      </c>
      <c r="D9" s="250" t="s">
        <v>547</v>
      </c>
      <c r="E9" s="237" t="s">
        <v>291</v>
      </c>
      <c r="F9" s="237" t="s">
        <v>334</v>
      </c>
      <c r="G9" s="216" t="s">
        <v>36</v>
      </c>
      <c r="H9" s="208" t="s">
        <v>168</v>
      </c>
      <c r="I9" s="216" t="s">
        <v>155</v>
      </c>
      <c r="J9" s="216" t="s">
        <v>38</v>
      </c>
      <c r="K9" s="216" t="s">
        <v>156</v>
      </c>
      <c r="L9" s="208">
        <v>2</v>
      </c>
      <c r="N9" s="208">
        <v>1</v>
      </c>
      <c r="O9" s="208">
        <v>0.7</v>
      </c>
      <c r="P9" s="208">
        <v>0.6</v>
      </c>
      <c r="Q9" s="245">
        <f t="shared" si="0"/>
        <v>0.64999999999999991</v>
      </c>
      <c r="R9" s="208">
        <v>16.399999999999999</v>
      </c>
      <c r="S9" s="208">
        <v>156</v>
      </c>
      <c r="T9" s="217">
        <f t="shared" si="1"/>
        <v>18</v>
      </c>
      <c r="U9" s="208">
        <v>170</v>
      </c>
      <c r="V9" s="217">
        <f t="shared" si="2"/>
        <v>3060</v>
      </c>
      <c r="W9" s="208">
        <v>6</v>
      </c>
      <c r="X9" s="216" t="s">
        <v>46</v>
      </c>
      <c r="Y9" s="216" t="s">
        <v>55</v>
      </c>
      <c r="Z9" s="216" t="s">
        <v>90</v>
      </c>
      <c r="AA9" s="216" t="s">
        <v>86</v>
      </c>
      <c r="AB9" s="216" t="s">
        <v>341</v>
      </c>
      <c r="AE9" s="223" t="s">
        <v>98</v>
      </c>
      <c r="AG9" s="252" t="s">
        <v>291</v>
      </c>
      <c r="AH9" s="243" t="s">
        <v>334</v>
      </c>
      <c r="AL9" s="230"/>
      <c r="AP9" s="224" t="s">
        <v>95</v>
      </c>
      <c r="AR9" s="231" t="s">
        <v>89</v>
      </c>
      <c r="AV9" s="224" t="s">
        <v>102</v>
      </c>
      <c r="AX9" s="232">
        <v>180</v>
      </c>
      <c r="AY9" s="233">
        <v>18</v>
      </c>
      <c r="AZ9" s="233">
        <v>181</v>
      </c>
      <c r="BA9" s="234">
        <v>16</v>
      </c>
    </row>
    <row r="10" spans="1:53" x14ac:dyDescent="0.15">
      <c r="A10" s="216" t="s">
        <v>34</v>
      </c>
      <c r="B10" s="208" t="s">
        <v>339</v>
      </c>
      <c r="C10" s="208">
        <v>2018</v>
      </c>
      <c r="D10" s="250" t="s">
        <v>348</v>
      </c>
      <c r="E10" s="237" t="s">
        <v>291</v>
      </c>
      <c r="F10" s="237" t="s">
        <v>334</v>
      </c>
      <c r="G10" s="216" t="s">
        <v>36</v>
      </c>
      <c r="H10" s="208" t="s">
        <v>168</v>
      </c>
      <c r="I10" s="216" t="s">
        <v>155</v>
      </c>
      <c r="J10" s="216" t="s">
        <v>38</v>
      </c>
      <c r="K10" s="216" t="s">
        <v>156</v>
      </c>
      <c r="L10" s="208">
        <v>3</v>
      </c>
      <c r="N10" s="208">
        <v>1</v>
      </c>
      <c r="O10" s="208">
        <v>0.95</v>
      </c>
      <c r="P10" s="208">
        <v>0.9</v>
      </c>
      <c r="Q10" s="245">
        <f t="shared" si="0"/>
        <v>0.92500000000000004</v>
      </c>
      <c r="R10" s="208">
        <v>15.2</v>
      </c>
      <c r="S10" s="208">
        <v>178</v>
      </c>
      <c r="T10" s="217">
        <f t="shared" si="1"/>
        <v>18</v>
      </c>
      <c r="U10" s="208">
        <v>170</v>
      </c>
      <c r="V10" s="217">
        <f t="shared" si="2"/>
        <v>3060</v>
      </c>
      <c r="W10" s="208">
        <v>6</v>
      </c>
      <c r="X10" s="216" t="s">
        <v>46</v>
      </c>
      <c r="Y10" s="216" t="s">
        <v>55</v>
      </c>
      <c r="Z10" s="216" t="s">
        <v>90</v>
      </c>
      <c r="AA10" s="216" t="s">
        <v>86</v>
      </c>
      <c r="AB10" s="216" t="s">
        <v>341</v>
      </c>
      <c r="AE10" s="223" t="s">
        <v>103</v>
      </c>
      <c r="AG10" s="252" t="s">
        <v>335</v>
      </c>
      <c r="AH10" s="243" t="s">
        <v>336</v>
      </c>
      <c r="AL10" s="235"/>
      <c r="AP10" s="224" t="s">
        <v>100</v>
      </c>
      <c r="AR10" s="231" t="s">
        <v>123</v>
      </c>
      <c r="AV10" s="224" t="s">
        <v>106</v>
      </c>
    </row>
    <row r="11" spans="1:53" x14ac:dyDescent="0.15">
      <c r="A11" s="216" t="s">
        <v>34</v>
      </c>
      <c r="B11" s="208" t="s">
        <v>339</v>
      </c>
      <c r="C11" s="208">
        <v>2018</v>
      </c>
      <c r="D11" s="250" t="s">
        <v>348</v>
      </c>
      <c r="E11" s="237" t="s">
        <v>335</v>
      </c>
      <c r="F11" s="237" t="s">
        <v>336</v>
      </c>
      <c r="G11" s="216" t="s">
        <v>36</v>
      </c>
      <c r="H11" s="208" t="s">
        <v>157</v>
      </c>
      <c r="I11" s="216" t="s">
        <v>155</v>
      </c>
      <c r="J11" s="216" t="s">
        <v>38</v>
      </c>
      <c r="K11" s="216" t="s">
        <v>156</v>
      </c>
      <c r="L11" s="216">
        <v>1</v>
      </c>
      <c r="N11" s="208">
        <v>1</v>
      </c>
      <c r="O11" s="208">
        <v>0.6</v>
      </c>
      <c r="P11" s="208">
        <v>0.55000000000000004</v>
      </c>
      <c r="Q11" s="245">
        <f t="shared" si="0"/>
        <v>0.57499999999999996</v>
      </c>
      <c r="R11" s="208">
        <v>14.7</v>
      </c>
      <c r="S11" s="208">
        <v>153</v>
      </c>
      <c r="T11" s="217">
        <f t="shared" si="1"/>
        <v>18</v>
      </c>
      <c r="U11" s="208">
        <v>136</v>
      </c>
      <c r="V11" s="217">
        <f t="shared" si="2"/>
        <v>2448</v>
      </c>
      <c r="W11" s="208">
        <v>1</v>
      </c>
      <c r="X11" s="216" t="s">
        <v>46</v>
      </c>
      <c r="Y11" s="216" t="s">
        <v>69</v>
      </c>
      <c r="Z11" s="216" t="s">
        <v>90</v>
      </c>
      <c r="AA11" s="216" t="s">
        <v>47</v>
      </c>
      <c r="AB11" s="216" t="s">
        <v>341</v>
      </c>
      <c r="AE11" s="223" t="s">
        <v>65</v>
      </c>
      <c r="AG11" s="252" t="s">
        <v>175</v>
      </c>
      <c r="AH11" s="243" t="s">
        <v>337</v>
      </c>
      <c r="AL11" s="235"/>
      <c r="AP11" s="224" t="s">
        <v>104</v>
      </c>
      <c r="AR11" s="231" t="s">
        <v>87</v>
      </c>
      <c r="AV11" s="224" t="s">
        <v>69</v>
      </c>
    </row>
    <row r="12" spans="1:53" x14ac:dyDescent="0.15">
      <c r="A12" s="216" t="s">
        <v>34</v>
      </c>
      <c r="B12" s="208" t="s">
        <v>339</v>
      </c>
      <c r="C12" s="208">
        <v>2018</v>
      </c>
      <c r="D12" s="250" t="s">
        <v>348</v>
      </c>
      <c r="E12" s="237" t="s">
        <v>335</v>
      </c>
      <c r="F12" s="237" t="s">
        <v>336</v>
      </c>
      <c r="G12" s="216" t="s">
        <v>36</v>
      </c>
      <c r="H12" s="208" t="s">
        <v>157</v>
      </c>
      <c r="I12" s="216" t="s">
        <v>155</v>
      </c>
      <c r="J12" s="216" t="s">
        <v>38</v>
      </c>
      <c r="K12" s="216" t="s">
        <v>156</v>
      </c>
      <c r="L12" s="208">
        <v>2</v>
      </c>
      <c r="N12" s="208">
        <v>1</v>
      </c>
      <c r="O12" s="208">
        <v>0.7</v>
      </c>
      <c r="P12" s="208">
        <v>0.55000000000000004</v>
      </c>
      <c r="Q12" s="245">
        <f t="shared" si="0"/>
        <v>0.625</v>
      </c>
      <c r="R12" s="208">
        <v>14.3</v>
      </c>
      <c r="S12" s="208">
        <v>154</v>
      </c>
      <c r="T12" s="217">
        <f t="shared" si="1"/>
        <v>18</v>
      </c>
      <c r="U12" s="208">
        <v>136</v>
      </c>
      <c r="V12" s="217">
        <f t="shared" si="2"/>
        <v>2448</v>
      </c>
      <c r="W12" s="208">
        <v>1</v>
      </c>
      <c r="X12" s="216" t="s">
        <v>46</v>
      </c>
      <c r="Y12" s="216" t="s">
        <v>69</v>
      </c>
      <c r="Z12" s="216" t="s">
        <v>90</v>
      </c>
      <c r="AA12" s="216" t="s">
        <v>47</v>
      </c>
      <c r="AB12" s="216" t="s">
        <v>341</v>
      </c>
      <c r="AE12" s="223" t="s">
        <v>70</v>
      </c>
      <c r="AG12" s="244"/>
      <c r="AH12" s="224"/>
      <c r="AL12" s="235"/>
      <c r="AP12" s="224" t="s">
        <v>67</v>
      </c>
      <c r="AR12" s="231" t="s">
        <v>124</v>
      </c>
      <c r="AV12" s="224" t="s">
        <v>72</v>
      </c>
    </row>
    <row r="13" spans="1:53" x14ac:dyDescent="0.15">
      <c r="A13" s="216" t="s">
        <v>34</v>
      </c>
      <c r="B13" s="208" t="s">
        <v>339</v>
      </c>
      <c r="C13" s="208">
        <v>2018</v>
      </c>
      <c r="D13" s="250" t="s">
        <v>348</v>
      </c>
      <c r="E13" s="237" t="s">
        <v>335</v>
      </c>
      <c r="F13" s="237" t="s">
        <v>336</v>
      </c>
      <c r="G13" s="216" t="s">
        <v>36</v>
      </c>
      <c r="H13" s="208" t="s">
        <v>157</v>
      </c>
      <c r="I13" s="216" t="s">
        <v>155</v>
      </c>
      <c r="J13" s="216" t="s">
        <v>38</v>
      </c>
      <c r="K13" s="216" t="s">
        <v>156</v>
      </c>
      <c r="L13" s="208">
        <v>3</v>
      </c>
      <c r="N13" s="208">
        <v>1</v>
      </c>
      <c r="O13" s="208">
        <v>0.75</v>
      </c>
      <c r="P13" s="208">
        <v>0.8</v>
      </c>
      <c r="Q13" s="245">
        <f t="shared" si="0"/>
        <v>0.77500000000000002</v>
      </c>
      <c r="R13" s="208">
        <v>14.3</v>
      </c>
      <c r="S13" s="208">
        <v>150</v>
      </c>
      <c r="T13" s="217">
        <f t="shared" si="1"/>
        <v>30</v>
      </c>
      <c r="U13" s="208">
        <v>136</v>
      </c>
      <c r="V13" s="217">
        <f t="shared" si="2"/>
        <v>4080</v>
      </c>
      <c r="W13" s="208">
        <v>1</v>
      </c>
      <c r="X13" s="216" t="s">
        <v>46</v>
      </c>
      <c r="Y13" s="216" t="s">
        <v>69</v>
      </c>
      <c r="Z13" s="216" t="s">
        <v>90</v>
      </c>
      <c r="AA13" s="216" t="s">
        <v>47</v>
      </c>
      <c r="AB13" s="216" t="s">
        <v>341</v>
      </c>
      <c r="AE13" s="223" t="s">
        <v>73</v>
      </c>
      <c r="AG13" s="253"/>
      <c r="AH13" s="229"/>
      <c r="AP13" s="224" t="s">
        <v>71</v>
      </c>
      <c r="AR13" s="231" t="s">
        <v>103</v>
      </c>
      <c r="AV13" s="224" t="s">
        <v>75</v>
      </c>
    </row>
    <row r="14" spans="1:53" x14ac:dyDescent="0.15">
      <c r="A14" s="216" t="s">
        <v>34</v>
      </c>
      <c r="B14" s="208" t="s">
        <v>339</v>
      </c>
      <c r="C14" s="208">
        <v>2018</v>
      </c>
      <c r="D14" s="250" t="s">
        <v>348</v>
      </c>
      <c r="E14" s="237" t="s">
        <v>335</v>
      </c>
      <c r="F14" s="237" t="s">
        <v>336</v>
      </c>
      <c r="G14" s="216" t="s">
        <v>36</v>
      </c>
      <c r="H14" s="208" t="s">
        <v>168</v>
      </c>
      <c r="I14" s="216" t="s">
        <v>155</v>
      </c>
      <c r="J14" s="216" t="s">
        <v>38</v>
      </c>
      <c r="K14" s="216" t="s">
        <v>156</v>
      </c>
      <c r="L14" s="216">
        <v>1</v>
      </c>
      <c r="N14" s="208">
        <v>1</v>
      </c>
      <c r="O14" s="208">
        <v>0.5</v>
      </c>
      <c r="P14" s="208">
        <v>0.6</v>
      </c>
      <c r="Q14" s="245">
        <f t="shared" si="0"/>
        <v>0.55000000000000004</v>
      </c>
      <c r="R14" s="208">
        <v>15.2</v>
      </c>
      <c r="S14" s="208">
        <v>147</v>
      </c>
      <c r="T14" s="217">
        <f t="shared" si="1"/>
        <v>30</v>
      </c>
      <c r="U14" s="208">
        <v>103</v>
      </c>
      <c r="V14" s="217">
        <f t="shared" si="2"/>
        <v>3090</v>
      </c>
      <c r="W14" s="208">
        <v>2</v>
      </c>
      <c r="X14" s="216" t="s">
        <v>46</v>
      </c>
      <c r="Y14" s="216" t="s">
        <v>69</v>
      </c>
      <c r="Z14" s="216" t="s">
        <v>90</v>
      </c>
      <c r="AA14" s="216" t="s">
        <v>47</v>
      </c>
      <c r="AB14" s="216" t="s">
        <v>341</v>
      </c>
      <c r="AE14" s="223" t="s">
        <v>76</v>
      </c>
      <c r="AG14" s="254"/>
      <c r="AL14" s="247"/>
      <c r="AP14" s="224" t="s">
        <v>74</v>
      </c>
      <c r="AR14" s="231" t="s">
        <v>125</v>
      </c>
      <c r="AV14" s="224" t="s">
        <v>78</v>
      </c>
    </row>
    <row r="15" spans="1:53" x14ac:dyDescent="0.15">
      <c r="A15" s="216" t="s">
        <v>34</v>
      </c>
      <c r="B15" s="208" t="s">
        <v>339</v>
      </c>
      <c r="C15" s="208">
        <v>2018</v>
      </c>
      <c r="D15" s="250" t="s">
        <v>348</v>
      </c>
      <c r="E15" s="237" t="s">
        <v>335</v>
      </c>
      <c r="F15" s="237" t="s">
        <v>336</v>
      </c>
      <c r="G15" s="216" t="s">
        <v>36</v>
      </c>
      <c r="H15" s="208" t="s">
        <v>168</v>
      </c>
      <c r="I15" s="216" t="s">
        <v>155</v>
      </c>
      <c r="J15" s="216" t="s">
        <v>38</v>
      </c>
      <c r="K15" s="216" t="s">
        <v>156</v>
      </c>
      <c r="L15" s="208">
        <v>2</v>
      </c>
      <c r="N15" s="208">
        <v>1</v>
      </c>
      <c r="O15" s="208">
        <v>0.65</v>
      </c>
      <c r="P15" s="208">
        <v>0.6</v>
      </c>
      <c r="Q15" s="245">
        <f t="shared" si="0"/>
        <v>0.625</v>
      </c>
      <c r="R15" s="208">
        <v>14.8</v>
      </c>
      <c r="S15" s="208">
        <v>145</v>
      </c>
      <c r="T15" s="217">
        <f t="shared" si="1"/>
        <v>30</v>
      </c>
      <c r="U15" s="208">
        <v>103</v>
      </c>
      <c r="V15" s="217">
        <f t="shared" si="2"/>
        <v>3090</v>
      </c>
      <c r="W15" s="208">
        <v>2</v>
      </c>
      <c r="X15" s="216" t="s">
        <v>46</v>
      </c>
      <c r="Y15" s="216" t="s">
        <v>69</v>
      </c>
      <c r="Z15" s="216" t="s">
        <v>90</v>
      </c>
      <c r="AA15" s="216" t="s">
        <v>47</v>
      </c>
      <c r="AB15" s="216" t="s">
        <v>341</v>
      </c>
      <c r="AE15" s="223" t="s">
        <v>79</v>
      </c>
      <c r="AL15" s="255"/>
      <c r="AP15" s="224" t="s">
        <v>77</v>
      </c>
      <c r="AR15" s="231" t="s">
        <v>94</v>
      </c>
      <c r="AV15" s="224" t="s">
        <v>107</v>
      </c>
    </row>
    <row r="16" spans="1:53" x14ac:dyDescent="0.15">
      <c r="A16" s="216" t="s">
        <v>34</v>
      </c>
      <c r="B16" s="208" t="s">
        <v>339</v>
      </c>
      <c r="C16" s="208">
        <v>2018</v>
      </c>
      <c r="D16" s="250" t="s">
        <v>348</v>
      </c>
      <c r="E16" s="237" t="s">
        <v>335</v>
      </c>
      <c r="F16" s="237" t="s">
        <v>336</v>
      </c>
      <c r="G16" s="216" t="s">
        <v>36</v>
      </c>
      <c r="H16" s="208" t="s">
        <v>168</v>
      </c>
      <c r="I16" s="216" t="s">
        <v>155</v>
      </c>
      <c r="J16" s="216" t="s">
        <v>38</v>
      </c>
      <c r="K16" s="216" t="s">
        <v>156</v>
      </c>
      <c r="L16" s="208">
        <v>3</v>
      </c>
      <c r="N16" s="208">
        <v>1</v>
      </c>
      <c r="O16" s="208">
        <v>0.55000000000000004</v>
      </c>
      <c r="P16" s="208">
        <v>0.55000000000000004</v>
      </c>
      <c r="Q16" s="245">
        <f t="shared" si="0"/>
        <v>0.55000000000000004</v>
      </c>
      <c r="R16" s="208">
        <v>16.100000000000001</v>
      </c>
      <c r="S16" s="208">
        <v>173</v>
      </c>
      <c r="T16" s="217">
        <f t="shared" si="1"/>
        <v>18</v>
      </c>
      <c r="U16" s="208">
        <v>103</v>
      </c>
      <c r="V16" s="217">
        <f t="shared" si="2"/>
        <v>1854</v>
      </c>
      <c r="W16" s="208">
        <v>2</v>
      </c>
      <c r="X16" s="216" t="s">
        <v>46</v>
      </c>
      <c r="Y16" s="216" t="s">
        <v>69</v>
      </c>
      <c r="Z16" s="216" t="s">
        <v>90</v>
      </c>
      <c r="AA16" s="216" t="s">
        <v>47</v>
      </c>
      <c r="AB16" s="216" t="s">
        <v>341</v>
      </c>
      <c r="AE16" s="223" t="s">
        <v>82</v>
      </c>
      <c r="AL16" s="255"/>
      <c r="AP16" s="224" t="s">
        <v>80</v>
      </c>
      <c r="AR16" s="238" t="s">
        <v>63</v>
      </c>
      <c r="AV16" s="224" t="s">
        <v>84</v>
      </c>
    </row>
    <row r="17" spans="1:48" x14ac:dyDescent="0.15">
      <c r="A17" s="216" t="s">
        <v>34</v>
      </c>
      <c r="B17" s="208" t="s">
        <v>339</v>
      </c>
      <c r="C17" s="208">
        <v>2018</v>
      </c>
      <c r="D17" s="250" t="s">
        <v>348</v>
      </c>
      <c r="E17" s="237" t="s">
        <v>332</v>
      </c>
      <c r="F17" s="237" t="s">
        <v>333</v>
      </c>
      <c r="G17" s="216" t="s">
        <v>36</v>
      </c>
      <c r="H17" s="208" t="s">
        <v>168</v>
      </c>
      <c r="I17" s="216" t="s">
        <v>155</v>
      </c>
      <c r="J17" s="216" t="s">
        <v>38</v>
      </c>
      <c r="K17" s="216" t="s">
        <v>156</v>
      </c>
      <c r="L17" s="216">
        <v>1</v>
      </c>
      <c r="N17" s="208">
        <v>1</v>
      </c>
      <c r="O17" s="208">
        <v>0.55000000000000004</v>
      </c>
      <c r="P17" s="208">
        <v>0.75</v>
      </c>
      <c r="Q17" s="245">
        <f t="shared" si="0"/>
        <v>0.65</v>
      </c>
      <c r="R17" s="208">
        <v>15.5</v>
      </c>
      <c r="S17" s="208">
        <v>162</v>
      </c>
      <c r="T17" s="217">
        <f t="shared" si="1"/>
        <v>18</v>
      </c>
      <c r="U17" s="208">
        <v>138</v>
      </c>
      <c r="V17" s="217">
        <f t="shared" si="2"/>
        <v>2484</v>
      </c>
      <c r="W17" s="208">
        <v>6</v>
      </c>
      <c r="X17" s="216" t="s">
        <v>46</v>
      </c>
      <c r="Y17" s="216" t="s">
        <v>69</v>
      </c>
      <c r="Z17" s="216" t="s">
        <v>90</v>
      </c>
      <c r="AA17" s="216" t="s">
        <v>55</v>
      </c>
      <c r="AB17" s="216" t="s">
        <v>341</v>
      </c>
      <c r="AE17" s="223" t="s">
        <v>85</v>
      </c>
      <c r="AL17" s="255"/>
      <c r="AP17" s="239" t="s">
        <v>110</v>
      </c>
      <c r="AR17" s="238" t="s">
        <v>96</v>
      </c>
      <c r="AV17" s="224" t="s">
        <v>86</v>
      </c>
    </row>
    <row r="18" spans="1:48" x14ac:dyDescent="0.15">
      <c r="A18" s="216" t="s">
        <v>34</v>
      </c>
      <c r="B18" s="208" t="s">
        <v>339</v>
      </c>
      <c r="C18" s="208">
        <v>2018</v>
      </c>
      <c r="D18" s="250" t="s">
        <v>348</v>
      </c>
      <c r="E18" s="237" t="s">
        <v>332</v>
      </c>
      <c r="F18" s="237" t="s">
        <v>333</v>
      </c>
      <c r="G18" s="216" t="s">
        <v>36</v>
      </c>
      <c r="H18" s="208" t="s">
        <v>168</v>
      </c>
      <c r="I18" s="216" t="s">
        <v>155</v>
      </c>
      <c r="J18" s="216" t="s">
        <v>38</v>
      </c>
      <c r="K18" s="216" t="s">
        <v>156</v>
      </c>
      <c r="L18" s="208">
        <v>2</v>
      </c>
      <c r="N18" s="208">
        <v>1</v>
      </c>
      <c r="O18" s="208">
        <v>0.56000000000000005</v>
      </c>
      <c r="P18" s="208">
        <v>0.55000000000000004</v>
      </c>
      <c r="Q18" s="245">
        <f t="shared" si="0"/>
        <v>0.55500000000000005</v>
      </c>
      <c r="R18" s="208">
        <v>14.8</v>
      </c>
      <c r="S18" s="208">
        <v>149</v>
      </c>
      <c r="T18" s="217">
        <f t="shared" si="1"/>
        <v>30</v>
      </c>
      <c r="U18" s="208">
        <v>138</v>
      </c>
      <c r="V18" s="217">
        <f t="shared" si="2"/>
        <v>4140</v>
      </c>
      <c r="W18" s="208">
        <v>6</v>
      </c>
      <c r="X18" s="216" t="s">
        <v>46</v>
      </c>
      <c r="Y18" s="216" t="s">
        <v>69</v>
      </c>
      <c r="Z18" s="216" t="s">
        <v>90</v>
      </c>
      <c r="AA18" s="216" t="s">
        <v>55</v>
      </c>
      <c r="AB18" s="216" t="s">
        <v>341</v>
      </c>
      <c r="AE18" s="223" t="s">
        <v>87</v>
      </c>
      <c r="AL18" s="216"/>
      <c r="AP18" s="239" t="s">
        <v>111</v>
      </c>
      <c r="AR18" s="238" t="s">
        <v>101</v>
      </c>
      <c r="AV18" s="224" t="s">
        <v>88</v>
      </c>
    </row>
    <row r="19" spans="1:48" x14ac:dyDescent="0.15">
      <c r="A19" s="216" t="s">
        <v>34</v>
      </c>
      <c r="B19" s="208" t="s">
        <v>339</v>
      </c>
      <c r="C19" s="208">
        <v>2018</v>
      </c>
      <c r="D19" s="250" t="s">
        <v>348</v>
      </c>
      <c r="E19" s="237" t="s">
        <v>332</v>
      </c>
      <c r="F19" s="237" t="s">
        <v>333</v>
      </c>
      <c r="G19" s="216" t="s">
        <v>36</v>
      </c>
      <c r="H19" s="208" t="s">
        <v>168</v>
      </c>
      <c r="I19" s="216" t="s">
        <v>155</v>
      </c>
      <c r="J19" s="216" t="s">
        <v>38</v>
      </c>
      <c r="K19" s="216" t="s">
        <v>156</v>
      </c>
      <c r="L19" s="208">
        <v>3</v>
      </c>
      <c r="N19" s="208">
        <v>1</v>
      </c>
      <c r="O19" s="208">
        <v>0.2</v>
      </c>
      <c r="P19" s="208">
        <v>0.2</v>
      </c>
      <c r="Q19" s="245">
        <f t="shared" si="0"/>
        <v>0.2</v>
      </c>
      <c r="R19" s="208">
        <v>15.2</v>
      </c>
      <c r="S19" s="208">
        <v>164</v>
      </c>
      <c r="T19" s="217">
        <f t="shared" si="1"/>
        <v>18</v>
      </c>
      <c r="U19" s="208">
        <v>138</v>
      </c>
      <c r="V19" s="217">
        <f t="shared" si="2"/>
        <v>2484</v>
      </c>
      <c r="W19" s="208">
        <v>6</v>
      </c>
      <c r="X19" s="216" t="s">
        <v>46</v>
      </c>
      <c r="Y19" s="216" t="s">
        <v>69</v>
      </c>
      <c r="Z19" s="216" t="s">
        <v>90</v>
      </c>
      <c r="AA19" s="216" t="s">
        <v>55</v>
      </c>
      <c r="AB19" s="216" t="s">
        <v>341</v>
      </c>
      <c r="AE19" s="236" t="s">
        <v>89</v>
      </c>
      <c r="AP19" s="239" t="s">
        <v>112</v>
      </c>
      <c r="AR19" s="231" t="s">
        <v>126</v>
      </c>
      <c r="AV19" s="224" t="s">
        <v>90</v>
      </c>
    </row>
    <row r="20" spans="1:48" x14ac:dyDescent="0.15">
      <c r="A20" s="216" t="s">
        <v>34</v>
      </c>
      <c r="B20" s="208" t="s">
        <v>339</v>
      </c>
      <c r="C20" s="208">
        <v>2018</v>
      </c>
      <c r="D20" s="250" t="s">
        <v>348</v>
      </c>
      <c r="E20" s="237" t="s">
        <v>332</v>
      </c>
      <c r="F20" s="237" t="s">
        <v>333</v>
      </c>
      <c r="G20" s="216" t="s">
        <v>36</v>
      </c>
      <c r="H20" s="208" t="s">
        <v>168</v>
      </c>
      <c r="I20" s="216" t="s">
        <v>155</v>
      </c>
      <c r="J20" s="216" t="s">
        <v>38</v>
      </c>
      <c r="K20" s="216" t="s">
        <v>156</v>
      </c>
      <c r="L20" s="216">
        <v>1</v>
      </c>
      <c r="N20" s="208">
        <v>4</v>
      </c>
      <c r="O20" s="208">
        <v>0.6</v>
      </c>
      <c r="P20" s="208">
        <v>0.55000000000000004</v>
      </c>
      <c r="Q20" s="245">
        <f t="shared" si="0"/>
        <v>0.57499999999999996</v>
      </c>
      <c r="R20" s="208">
        <v>14.8</v>
      </c>
      <c r="S20" s="208">
        <v>99</v>
      </c>
      <c r="T20" s="217">
        <f t="shared" si="1"/>
        <v>33</v>
      </c>
      <c r="U20" s="208">
        <v>429</v>
      </c>
      <c r="V20" s="217">
        <f t="shared" si="2"/>
        <v>3539.25</v>
      </c>
      <c r="W20" s="208">
        <v>6</v>
      </c>
      <c r="X20" s="216" t="s">
        <v>46</v>
      </c>
      <c r="Y20" s="216" t="s">
        <v>69</v>
      </c>
      <c r="Z20" s="216" t="s">
        <v>90</v>
      </c>
      <c r="AA20" s="216" t="s">
        <v>55</v>
      </c>
      <c r="AB20" s="216" t="s">
        <v>341</v>
      </c>
      <c r="AP20" s="239" t="s">
        <v>113</v>
      </c>
      <c r="AR20" s="238" t="s">
        <v>105</v>
      </c>
      <c r="AV20" s="228" t="s">
        <v>359</v>
      </c>
    </row>
    <row r="21" spans="1:48" x14ac:dyDescent="0.15">
      <c r="A21" s="216" t="s">
        <v>34</v>
      </c>
      <c r="B21" s="208" t="s">
        <v>339</v>
      </c>
      <c r="C21" s="208">
        <v>2018</v>
      </c>
      <c r="D21" s="250" t="s">
        <v>348</v>
      </c>
      <c r="E21" s="237" t="s">
        <v>332</v>
      </c>
      <c r="F21" s="237" t="s">
        <v>333</v>
      </c>
      <c r="G21" s="216" t="s">
        <v>36</v>
      </c>
      <c r="H21" s="208" t="s">
        <v>168</v>
      </c>
      <c r="I21" s="216" t="s">
        <v>155</v>
      </c>
      <c r="J21" s="216" t="s">
        <v>38</v>
      </c>
      <c r="K21" s="216" t="s">
        <v>156</v>
      </c>
      <c r="L21" s="208">
        <v>2</v>
      </c>
      <c r="N21" s="208">
        <v>4</v>
      </c>
      <c r="O21" s="208">
        <v>0.5</v>
      </c>
      <c r="P21" s="208">
        <v>0.55000000000000004</v>
      </c>
      <c r="Q21" s="245">
        <f t="shared" si="0"/>
        <v>0.52500000000000002</v>
      </c>
      <c r="R21" s="208">
        <v>14.4</v>
      </c>
      <c r="S21" s="208">
        <v>104</v>
      </c>
      <c r="T21" s="217">
        <f t="shared" si="1"/>
        <v>33</v>
      </c>
      <c r="U21" s="208">
        <v>429</v>
      </c>
      <c r="V21" s="217">
        <f t="shared" si="2"/>
        <v>3539.25</v>
      </c>
      <c r="W21" s="208">
        <v>6</v>
      </c>
      <c r="X21" s="216" t="s">
        <v>46</v>
      </c>
      <c r="Y21" s="216" t="s">
        <v>69</v>
      </c>
      <c r="Z21" s="216" t="s">
        <v>90</v>
      </c>
      <c r="AA21" s="216" t="s">
        <v>55</v>
      </c>
      <c r="AB21" s="216" t="s">
        <v>341</v>
      </c>
      <c r="AP21" s="239" t="s">
        <v>114</v>
      </c>
      <c r="AR21" s="238" t="s">
        <v>68</v>
      </c>
      <c r="AV21" s="228" t="s">
        <v>360</v>
      </c>
    </row>
    <row r="22" spans="1:48" x14ac:dyDescent="0.15">
      <c r="A22" s="216" t="s">
        <v>34</v>
      </c>
      <c r="B22" s="208" t="s">
        <v>339</v>
      </c>
      <c r="C22" s="208">
        <v>2018</v>
      </c>
      <c r="D22" s="250" t="s">
        <v>348</v>
      </c>
      <c r="E22" s="237" t="s">
        <v>332</v>
      </c>
      <c r="F22" s="237" t="s">
        <v>333</v>
      </c>
      <c r="G22" s="216" t="s">
        <v>36</v>
      </c>
      <c r="H22" s="208" t="s">
        <v>168</v>
      </c>
      <c r="I22" s="216" t="s">
        <v>155</v>
      </c>
      <c r="J22" s="216" t="s">
        <v>38</v>
      </c>
      <c r="K22" s="216" t="s">
        <v>156</v>
      </c>
      <c r="L22" s="208">
        <v>3</v>
      </c>
      <c r="N22" s="208">
        <v>4</v>
      </c>
      <c r="O22" s="208">
        <v>0.65</v>
      </c>
      <c r="P22" s="208">
        <v>0.7</v>
      </c>
      <c r="Q22" s="245">
        <f t="shared" si="0"/>
        <v>0.67500000000000004</v>
      </c>
      <c r="R22" s="208">
        <v>14.7</v>
      </c>
      <c r="S22" s="208">
        <v>96</v>
      </c>
      <c r="T22" s="217">
        <f t="shared" si="1"/>
        <v>36</v>
      </c>
      <c r="U22" s="208">
        <v>429</v>
      </c>
      <c r="V22" s="217">
        <f t="shared" si="2"/>
        <v>3861</v>
      </c>
      <c r="W22" s="208">
        <v>6</v>
      </c>
      <c r="X22" s="216" t="s">
        <v>46</v>
      </c>
      <c r="Y22" s="216" t="s">
        <v>69</v>
      </c>
      <c r="Z22" s="216" t="s">
        <v>90</v>
      </c>
      <c r="AA22" s="216" t="s">
        <v>55</v>
      </c>
      <c r="AB22" s="216" t="s">
        <v>341</v>
      </c>
      <c r="AP22" s="239" t="s">
        <v>115</v>
      </c>
      <c r="AR22" s="238" t="s">
        <v>83</v>
      </c>
      <c r="AV22" s="228"/>
    </row>
    <row r="23" spans="1:48" x14ac:dyDescent="0.15">
      <c r="A23" s="216" t="s">
        <v>34</v>
      </c>
      <c r="B23" s="208" t="s">
        <v>339</v>
      </c>
      <c r="C23" s="208">
        <v>2018</v>
      </c>
      <c r="D23" s="250" t="s">
        <v>348</v>
      </c>
      <c r="E23" s="237" t="s">
        <v>175</v>
      </c>
      <c r="F23" s="237" t="s">
        <v>337</v>
      </c>
      <c r="G23" s="216" t="s">
        <v>36</v>
      </c>
      <c r="H23" s="208" t="s">
        <v>157</v>
      </c>
      <c r="I23" s="216" t="s">
        <v>155</v>
      </c>
      <c r="J23" s="216" t="s">
        <v>38</v>
      </c>
      <c r="K23" s="216" t="s">
        <v>156</v>
      </c>
      <c r="L23" s="216">
        <v>1</v>
      </c>
      <c r="N23" s="208">
        <v>1</v>
      </c>
      <c r="O23" s="208">
        <v>0.75</v>
      </c>
      <c r="P23" s="208">
        <v>0.8</v>
      </c>
      <c r="Q23" s="245">
        <f t="shared" si="0"/>
        <v>0.77500000000000002</v>
      </c>
      <c r="R23" s="208">
        <v>13.8</v>
      </c>
      <c r="S23" s="208">
        <v>145</v>
      </c>
      <c r="T23" s="217">
        <f t="shared" si="1"/>
        <v>30</v>
      </c>
      <c r="U23" s="208">
        <v>127</v>
      </c>
      <c r="V23" s="217">
        <f t="shared" si="2"/>
        <v>3810</v>
      </c>
      <c r="W23" s="208">
        <v>5</v>
      </c>
      <c r="X23" s="216" t="s">
        <v>46</v>
      </c>
      <c r="Y23" s="216" t="s">
        <v>55</v>
      </c>
      <c r="Z23" s="216" t="s">
        <v>69</v>
      </c>
      <c r="AA23" s="216" t="s">
        <v>47</v>
      </c>
      <c r="AB23" s="216" t="s">
        <v>341</v>
      </c>
      <c r="AP23" s="239" t="s">
        <v>117</v>
      </c>
      <c r="AR23" s="238" t="s">
        <v>292</v>
      </c>
    </row>
    <row r="24" spans="1:48" x14ac:dyDescent="0.15">
      <c r="A24" s="216" t="s">
        <v>34</v>
      </c>
      <c r="B24" s="208" t="s">
        <v>339</v>
      </c>
      <c r="C24" s="208">
        <v>2018</v>
      </c>
      <c r="D24" s="250" t="s">
        <v>348</v>
      </c>
      <c r="E24" s="237" t="s">
        <v>175</v>
      </c>
      <c r="F24" s="237" t="s">
        <v>337</v>
      </c>
      <c r="G24" s="216" t="s">
        <v>36</v>
      </c>
      <c r="H24" s="208" t="s">
        <v>157</v>
      </c>
      <c r="I24" s="216" t="s">
        <v>155</v>
      </c>
      <c r="J24" s="216" t="s">
        <v>38</v>
      </c>
      <c r="K24" s="216" t="s">
        <v>156</v>
      </c>
      <c r="L24" s="208">
        <v>2</v>
      </c>
      <c r="N24" s="208">
        <v>1</v>
      </c>
      <c r="O24" s="208">
        <v>0.7</v>
      </c>
      <c r="P24" s="208">
        <v>0.7</v>
      </c>
      <c r="Q24" s="245">
        <f t="shared" si="0"/>
        <v>0.7</v>
      </c>
      <c r="R24" s="208">
        <v>15.4</v>
      </c>
      <c r="S24" s="208">
        <v>141</v>
      </c>
      <c r="T24" s="217">
        <f t="shared" si="1"/>
        <v>30</v>
      </c>
      <c r="U24" s="208">
        <v>127</v>
      </c>
      <c r="V24" s="217">
        <f t="shared" si="2"/>
        <v>3810</v>
      </c>
      <c r="W24" s="208">
        <v>5</v>
      </c>
      <c r="X24" s="216" t="s">
        <v>46</v>
      </c>
      <c r="Y24" s="216" t="s">
        <v>55</v>
      </c>
      <c r="Z24" s="216" t="s">
        <v>69</v>
      </c>
      <c r="AA24" s="216" t="s">
        <v>47</v>
      </c>
      <c r="AB24" s="216" t="s">
        <v>341</v>
      </c>
      <c r="AP24" s="239" t="s">
        <v>118</v>
      </c>
    </row>
    <row r="25" spans="1:48" x14ac:dyDescent="0.15">
      <c r="A25" s="216" t="s">
        <v>34</v>
      </c>
      <c r="B25" s="208" t="s">
        <v>339</v>
      </c>
      <c r="C25" s="208">
        <v>2018</v>
      </c>
      <c r="D25" s="250" t="s">
        <v>348</v>
      </c>
      <c r="E25" s="237" t="s">
        <v>175</v>
      </c>
      <c r="F25" s="237" t="s">
        <v>337</v>
      </c>
      <c r="G25" s="216" t="s">
        <v>36</v>
      </c>
      <c r="H25" s="208" t="s">
        <v>157</v>
      </c>
      <c r="I25" s="216" t="s">
        <v>155</v>
      </c>
      <c r="J25" s="216" t="s">
        <v>38</v>
      </c>
      <c r="K25" s="216" t="s">
        <v>156</v>
      </c>
      <c r="L25" s="208">
        <v>3</v>
      </c>
      <c r="N25" s="208">
        <v>1</v>
      </c>
      <c r="O25" s="208">
        <v>0.2</v>
      </c>
      <c r="P25" s="208">
        <v>0.2</v>
      </c>
      <c r="Q25" s="245">
        <f t="shared" si="0"/>
        <v>0.2</v>
      </c>
      <c r="R25" s="208">
        <v>14.5</v>
      </c>
      <c r="S25" s="208">
        <v>137</v>
      </c>
      <c r="T25" s="217">
        <f t="shared" si="1"/>
        <v>30</v>
      </c>
      <c r="U25" s="208">
        <v>127</v>
      </c>
      <c r="V25" s="217">
        <f t="shared" si="2"/>
        <v>3810</v>
      </c>
      <c r="W25" s="208">
        <v>5</v>
      </c>
      <c r="X25" s="216" t="s">
        <v>46</v>
      </c>
      <c r="Y25" s="216" t="s">
        <v>55</v>
      </c>
      <c r="Z25" s="216" t="s">
        <v>69</v>
      </c>
      <c r="AA25" s="216" t="s">
        <v>47</v>
      </c>
      <c r="AB25" s="216" t="s">
        <v>341</v>
      </c>
    </row>
    <row r="26" spans="1:48" x14ac:dyDescent="0.15">
      <c r="A26" s="216" t="s">
        <v>34</v>
      </c>
      <c r="B26" s="208" t="s">
        <v>339</v>
      </c>
      <c r="C26" s="208">
        <v>2018</v>
      </c>
      <c r="D26" s="250" t="s">
        <v>348</v>
      </c>
      <c r="E26" s="237" t="s">
        <v>175</v>
      </c>
      <c r="F26" s="237" t="s">
        <v>337</v>
      </c>
      <c r="G26" s="216" t="s">
        <v>36</v>
      </c>
      <c r="H26" s="208" t="s">
        <v>157</v>
      </c>
      <c r="I26" s="216" t="s">
        <v>155</v>
      </c>
      <c r="J26" s="216" t="s">
        <v>38</v>
      </c>
      <c r="K26" s="216" t="s">
        <v>156</v>
      </c>
      <c r="L26" s="216">
        <v>1</v>
      </c>
      <c r="N26" s="208">
        <v>4</v>
      </c>
      <c r="O26" s="208">
        <v>0.55000000000000004</v>
      </c>
      <c r="P26" s="208">
        <v>0.45</v>
      </c>
      <c r="Q26" s="245">
        <f t="shared" si="0"/>
        <v>0.5</v>
      </c>
      <c r="R26" s="208">
        <v>14.1</v>
      </c>
      <c r="S26" s="208">
        <v>111</v>
      </c>
      <c r="T26" s="217">
        <f t="shared" si="1"/>
        <v>33</v>
      </c>
      <c r="U26" s="208">
        <v>471</v>
      </c>
      <c r="V26" s="217">
        <f t="shared" si="2"/>
        <v>3885.75</v>
      </c>
      <c r="W26" s="208">
        <v>5</v>
      </c>
      <c r="X26" s="216" t="s">
        <v>46</v>
      </c>
      <c r="Y26" s="216" t="s">
        <v>55</v>
      </c>
      <c r="Z26" s="216" t="s">
        <v>69</v>
      </c>
      <c r="AA26" s="216" t="s">
        <v>47</v>
      </c>
      <c r="AB26" s="216" t="s">
        <v>341</v>
      </c>
    </row>
    <row r="27" spans="1:48" x14ac:dyDescent="0.15">
      <c r="A27" s="216" t="s">
        <v>34</v>
      </c>
      <c r="B27" s="208" t="s">
        <v>339</v>
      </c>
      <c r="C27" s="208">
        <v>2018</v>
      </c>
      <c r="D27" s="250" t="s">
        <v>348</v>
      </c>
      <c r="E27" s="237" t="s">
        <v>175</v>
      </c>
      <c r="F27" s="237" t="s">
        <v>337</v>
      </c>
      <c r="G27" s="216" t="s">
        <v>36</v>
      </c>
      <c r="H27" s="208" t="s">
        <v>157</v>
      </c>
      <c r="I27" s="216" t="s">
        <v>155</v>
      </c>
      <c r="J27" s="216" t="s">
        <v>38</v>
      </c>
      <c r="K27" s="216" t="s">
        <v>156</v>
      </c>
      <c r="L27" s="208">
        <v>2</v>
      </c>
      <c r="N27" s="208">
        <v>4</v>
      </c>
      <c r="O27" s="208">
        <v>0.55000000000000004</v>
      </c>
      <c r="P27" s="208">
        <v>0.6</v>
      </c>
      <c r="Q27" s="245">
        <f t="shared" si="0"/>
        <v>0.57499999999999996</v>
      </c>
      <c r="R27" s="208">
        <v>14.2</v>
      </c>
      <c r="S27" s="208">
        <v>114</v>
      </c>
      <c r="T27" s="217">
        <f t="shared" si="1"/>
        <v>30</v>
      </c>
      <c r="U27" s="208">
        <v>471</v>
      </c>
      <c r="V27" s="217">
        <f t="shared" si="2"/>
        <v>3532.5</v>
      </c>
      <c r="W27" s="208">
        <v>5</v>
      </c>
      <c r="X27" s="216" t="s">
        <v>46</v>
      </c>
      <c r="Y27" s="216" t="s">
        <v>55</v>
      </c>
      <c r="Z27" s="216" t="s">
        <v>69</v>
      </c>
      <c r="AA27" s="216" t="s">
        <v>47</v>
      </c>
      <c r="AB27" s="216" t="s">
        <v>341</v>
      </c>
    </row>
    <row r="28" spans="1:48" x14ac:dyDescent="0.15">
      <c r="A28" s="216" t="s">
        <v>34</v>
      </c>
      <c r="B28" s="208" t="s">
        <v>339</v>
      </c>
      <c r="C28" s="208">
        <v>2018</v>
      </c>
      <c r="D28" s="250" t="s">
        <v>348</v>
      </c>
      <c r="E28" s="237" t="s">
        <v>175</v>
      </c>
      <c r="F28" s="237" t="s">
        <v>337</v>
      </c>
      <c r="G28" s="216" t="s">
        <v>36</v>
      </c>
      <c r="H28" s="208" t="s">
        <v>157</v>
      </c>
      <c r="I28" s="216" t="s">
        <v>155</v>
      </c>
      <c r="J28" s="216" t="s">
        <v>38</v>
      </c>
      <c r="K28" s="216" t="s">
        <v>156</v>
      </c>
      <c r="L28" s="208">
        <v>3</v>
      </c>
      <c r="N28" s="208">
        <v>4</v>
      </c>
      <c r="O28" s="208">
        <v>0.7</v>
      </c>
      <c r="P28" s="208">
        <v>0.6</v>
      </c>
      <c r="Q28" s="245">
        <f t="shared" si="0"/>
        <v>0.64999999999999991</v>
      </c>
      <c r="R28" s="208">
        <v>14.2</v>
      </c>
      <c r="S28" s="208">
        <v>113</v>
      </c>
      <c r="T28" s="217">
        <f t="shared" si="1"/>
        <v>30</v>
      </c>
      <c r="U28" s="208">
        <v>471</v>
      </c>
      <c r="V28" s="217">
        <f t="shared" si="2"/>
        <v>3532.5</v>
      </c>
      <c r="W28" s="208">
        <v>5</v>
      </c>
      <c r="X28" s="216" t="s">
        <v>46</v>
      </c>
      <c r="Y28" s="216" t="s">
        <v>55</v>
      </c>
      <c r="Z28" s="216" t="s">
        <v>69</v>
      </c>
      <c r="AA28" s="216" t="s">
        <v>47</v>
      </c>
      <c r="AB28" s="216" t="s">
        <v>341</v>
      </c>
    </row>
    <row r="29" spans="1:48" x14ac:dyDescent="0.15">
      <c r="A29" s="216" t="s">
        <v>34</v>
      </c>
      <c r="B29" s="208" t="s">
        <v>339</v>
      </c>
      <c r="C29" s="208">
        <v>2018</v>
      </c>
      <c r="D29" s="250" t="s">
        <v>348</v>
      </c>
      <c r="E29" s="237" t="s">
        <v>175</v>
      </c>
      <c r="F29" s="237" t="s">
        <v>337</v>
      </c>
      <c r="G29" s="216" t="s">
        <v>36</v>
      </c>
      <c r="H29" s="208" t="s">
        <v>168</v>
      </c>
      <c r="I29" s="216" t="s">
        <v>155</v>
      </c>
      <c r="J29" s="216" t="s">
        <v>38</v>
      </c>
      <c r="K29" s="216" t="s">
        <v>156</v>
      </c>
      <c r="L29" s="216">
        <v>1</v>
      </c>
      <c r="N29" s="208">
        <v>1</v>
      </c>
      <c r="O29" s="208">
        <v>0.7</v>
      </c>
      <c r="P29" s="208">
        <v>0.5</v>
      </c>
      <c r="Q29" s="245">
        <f t="shared" si="0"/>
        <v>0.6</v>
      </c>
      <c r="R29" s="208">
        <v>16.100000000000001</v>
      </c>
      <c r="S29" s="208">
        <v>151</v>
      </c>
      <c r="T29" s="217">
        <f t="shared" si="1"/>
        <v>30</v>
      </c>
      <c r="U29" s="208">
        <v>137</v>
      </c>
      <c r="V29" s="217">
        <f t="shared" si="2"/>
        <v>4110</v>
      </c>
      <c r="W29" s="208">
        <v>10</v>
      </c>
      <c r="X29" s="216" t="s">
        <v>46</v>
      </c>
      <c r="Y29" s="216" t="s">
        <v>55</v>
      </c>
      <c r="Z29" s="216" t="s">
        <v>69</v>
      </c>
      <c r="AA29" s="216" t="s">
        <v>47</v>
      </c>
      <c r="AB29" s="216" t="s">
        <v>341</v>
      </c>
    </row>
    <row r="30" spans="1:48" x14ac:dyDescent="0.15">
      <c r="A30" s="216" t="s">
        <v>34</v>
      </c>
      <c r="B30" s="208" t="s">
        <v>339</v>
      </c>
      <c r="C30" s="208">
        <v>2018</v>
      </c>
      <c r="D30" s="250" t="s">
        <v>348</v>
      </c>
      <c r="E30" s="237" t="s">
        <v>175</v>
      </c>
      <c r="F30" s="237" t="s">
        <v>337</v>
      </c>
      <c r="G30" s="216" t="s">
        <v>36</v>
      </c>
      <c r="H30" s="208" t="s">
        <v>168</v>
      </c>
      <c r="I30" s="216" t="s">
        <v>155</v>
      </c>
      <c r="J30" s="216" t="s">
        <v>38</v>
      </c>
      <c r="K30" s="216" t="s">
        <v>156</v>
      </c>
      <c r="L30" s="208">
        <v>2</v>
      </c>
      <c r="N30" s="208">
        <v>1</v>
      </c>
      <c r="O30" s="208">
        <v>0.6</v>
      </c>
      <c r="P30" s="208">
        <v>0.55000000000000004</v>
      </c>
      <c r="Q30" s="245">
        <f t="shared" si="0"/>
        <v>0.57499999999999996</v>
      </c>
      <c r="R30" s="208">
        <v>16.8</v>
      </c>
      <c r="S30" s="208">
        <v>162</v>
      </c>
      <c r="T30" s="217">
        <f t="shared" si="1"/>
        <v>18</v>
      </c>
      <c r="U30" s="208">
        <v>137</v>
      </c>
      <c r="V30" s="217">
        <f t="shared" si="2"/>
        <v>2466</v>
      </c>
      <c r="W30" s="208">
        <v>10</v>
      </c>
      <c r="X30" s="216" t="s">
        <v>46</v>
      </c>
      <c r="Y30" s="216" t="s">
        <v>55</v>
      </c>
      <c r="Z30" s="216" t="s">
        <v>69</v>
      </c>
      <c r="AA30" s="216" t="s">
        <v>47</v>
      </c>
      <c r="AB30" s="216" t="s">
        <v>341</v>
      </c>
    </row>
    <row r="31" spans="1:48" x14ac:dyDescent="0.15">
      <c r="A31" s="216" t="s">
        <v>34</v>
      </c>
      <c r="B31" s="208" t="s">
        <v>339</v>
      </c>
      <c r="C31" s="208">
        <v>2018</v>
      </c>
      <c r="D31" s="250" t="s">
        <v>348</v>
      </c>
      <c r="E31" s="237" t="s">
        <v>175</v>
      </c>
      <c r="F31" s="237" t="s">
        <v>337</v>
      </c>
      <c r="G31" s="216" t="s">
        <v>36</v>
      </c>
      <c r="H31" s="208" t="s">
        <v>168</v>
      </c>
      <c r="I31" s="216" t="s">
        <v>155</v>
      </c>
      <c r="J31" s="216" t="s">
        <v>38</v>
      </c>
      <c r="K31" s="216" t="s">
        <v>156</v>
      </c>
      <c r="L31" s="208">
        <v>3</v>
      </c>
      <c r="N31" s="208">
        <v>1</v>
      </c>
      <c r="O31" s="208">
        <v>0.2</v>
      </c>
      <c r="P31" s="208">
        <v>0.2</v>
      </c>
      <c r="Q31" s="245">
        <f t="shared" si="0"/>
        <v>0.2</v>
      </c>
      <c r="R31" s="208">
        <v>18.3</v>
      </c>
      <c r="S31" s="208">
        <v>165</v>
      </c>
      <c r="T31" s="217">
        <f t="shared" si="1"/>
        <v>18</v>
      </c>
      <c r="U31" s="208">
        <v>137</v>
      </c>
      <c r="V31" s="217">
        <f t="shared" si="2"/>
        <v>2466</v>
      </c>
      <c r="W31" s="208">
        <v>10</v>
      </c>
      <c r="X31" s="216" t="s">
        <v>46</v>
      </c>
      <c r="Y31" s="216" t="s">
        <v>55</v>
      </c>
      <c r="Z31" s="216" t="s">
        <v>69</v>
      </c>
      <c r="AA31" s="216" t="s">
        <v>47</v>
      </c>
      <c r="AB31" s="216" t="s">
        <v>341</v>
      </c>
    </row>
    <row r="32" spans="1:48" x14ac:dyDescent="0.15">
      <c r="A32" s="216" t="s">
        <v>34</v>
      </c>
      <c r="B32" s="208" t="s">
        <v>339</v>
      </c>
      <c r="C32" s="208">
        <v>2018</v>
      </c>
      <c r="D32" s="250" t="s">
        <v>348</v>
      </c>
      <c r="E32" s="237" t="s">
        <v>175</v>
      </c>
      <c r="F32" s="237" t="s">
        <v>337</v>
      </c>
      <c r="G32" s="216" t="s">
        <v>36</v>
      </c>
      <c r="H32" s="208" t="s">
        <v>168</v>
      </c>
      <c r="I32" s="216" t="s">
        <v>155</v>
      </c>
      <c r="J32" s="216" t="s">
        <v>38</v>
      </c>
      <c r="K32" s="216" t="s">
        <v>156</v>
      </c>
      <c r="L32" s="216">
        <v>1</v>
      </c>
      <c r="N32" s="208">
        <v>4</v>
      </c>
      <c r="O32" s="208">
        <v>0.7</v>
      </c>
      <c r="P32" s="208">
        <v>0.75</v>
      </c>
      <c r="Q32" s="245">
        <f t="shared" si="0"/>
        <v>0.72499999999999998</v>
      </c>
      <c r="R32" s="208">
        <v>14.5</v>
      </c>
      <c r="S32" s="208">
        <v>138</v>
      </c>
      <c r="T32" s="217">
        <f t="shared" si="1"/>
        <v>30</v>
      </c>
      <c r="U32" s="208">
        <v>471</v>
      </c>
      <c r="V32" s="217">
        <f t="shared" si="2"/>
        <v>3532.5</v>
      </c>
      <c r="W32" s="208">
        <v>10</v>
      </c>
      <c r="X32" s="216" t="s">
        <v>46</v>
      </c>
      <c r="Y32" s="216" t="s">
        <v>55</v>
      </c>
      <c r="Z32" s="216" t="s">
        <v>69</v>
      </c>
      <c r="AA32" s="216" t="s">
        <v>47</v>
      </c>
      <c r="AB32" s="216" t="s">
        <v>341</v>
      </c>
    </row>
    <row r="33" spans="1:28" x14ac:dyDescent="0.15">
      <c r="A33" s="216" t="s">
        <v>34</v>
      </c>
      <c r="B33" s="208" t="s">
        <v>339</v>
      </c>
      <c r="C33" s="208">
        <v>2018</v>
      </c>
      <c r="D33" s="250" t="s">
        <v>348</v>
      </c>
      <c r="E33" s="237" t="s">
        <v>175</v>
      </c>
      <c r="F33" s="237" t="s">
        <v>337</v>
      </c>
      <c r="G33" s="216" t="s">
        <v>36</v>
      </c>
      <c r="H33" s="208" t="s">
        <v>168</v>
      </c>
      <c r="I33" s="216" t="s">
        <v>155</v>
      </c>
      <c r="J33" s="216" t="s">
        <v>38</v>
      </c>
      <c r="K33" s="216" t="s">
        <v>156</v>
      </c>
      <c r="L33" s="208">
        <v>2</v>
      </c>
      <c r="N33" s="208">
        <v>4</v>
      </c>
      <c r="O33" s="208">
        <v>0.8</v>
      </c>
      <c r="P33" s="208">
        <v>0.65</v>
      </c>
      <c r="Q33" s="245">
        <f t="shared" si="0"/>
        <v>0.72500000000000009</v>
      </c>
      <c r="R33" s="208">
        <v>14.4</v>
      </c>
      <c r="S33" s="208">
        <v>145</v>
      </c>
      <c r="T33" s="217">
        <f t="shared" si="1"/>
        <v>30</v>
      </c>
      <c r="U33" s="208">
        <v>471</v>
      </c>
      <c r="V33" s="217">
        <f t="shared" si="2"/>
        <v>3532.5</v>
      </c>
      <c r="W33" s="208">
        <v>10</v>
      </c>
      <c r="X33" s="216" t="s">
        <v>46</v>
      </c>
      <c r="Y33" s="216" t="s">
        <v>55</v>
      </c>
      <c r="Z33" s="216" t="s">
        <v>69</v>
      </c>
      <c r="AA33" s="216" t="s">
        <v>47</v>
      </c>
      <c r="AB33" s="216" t="s">
        <v>341</v>
      </c>
    </row>
    <row r="34" spans="1:28" x14ac:dyDescent="0.15">
      <c r="A34" s="216" t="s">
        <v>34</v>
      </c>
      <c r="B34" s="208" t="s">
        <v>339</v>
      </c>
      <c r="C34" s="208">
        <v>2018</v>
      </c>
      <c r="D34" s="250" t="s">
        <v>348</v>
      </c>
      <c r="E34" s="237" t="s">
        <v>175</v>
      </c>
      <c r="F34" s="237" t="s">
        <v>337</v>
      </c>
      <c r="G34" s="216" t="s">
        <v>36</v>
      </c>
      <c r="H34" s="208" t="s">
        <v>168</v>
      </c>
      <c r="I34" s="216" t="s">
        <v>155</v>
      </c>
      <c r="J34" s="216" t="s">
        <v>38</v>
      </c>
      <c r="K34" s="216" t="s">
        <v>156</v>
      </c>
      <c r="L34" s="208">
        <v>3</v>
      </c>
      <c r="N34" s="208">
        <v>4</v>
      </c>
      <c r="O34" s="208">
        <v>0.75</v>
      </c>
      <c r="P34" s="208">
        <v>0.7</v>
      </c>
      <c r="Q34" s="245">
        <f>IF(OR(O34="",P34=""),"",AVERAGE(O34,P34))</f>
        <v>0.72499999999999998</v>
      </c>
      <c r="R34" s="208">
        <v>15</v>
      </c>
      <c r="S34" s="208">
        <v>146</v>
      </c>
      <c r="T34" s="217">
        <f t="shared" si="1"/>
        <v>30</v>
      </c>
      <c r="U34" s="208">
        <v>471</v>
      </c>
      <c r="V34" s="217">
        <f t="shared" si="2"/>
        <v>3532.5</v>
      </c>
      <c r="W34" s="208">
        <v>10</v>
      </c>
      <c r="X34" s="216" t="s">
        <v>46</v>
      </c>
      <c r="Y34" s="216" t="s">
        <v>55</v>
      </c>
      <c r="Z34" s="216" t="s">
        <v>69</v>
      </c>
      <c r="AA34" s="216" t="s">
        <v>47</v>
      </c>
      <c r="AB34" s="216" t="s">
        <v>341</v>
      </c>
    </row>
    <row r="35" spans="1:28" x14ac:dyDescent="0.15">
      <c r="A35" s="216" t="s">
        <v>34</v>
      </c>
      <c r="B35" s="208" t="s">
        <v>339</v>
      </c>
      <c r="C35" s="208">
        <v>2018</v>
      </c>
      <c r="D35" s="250" t="s">
        <v>348</v>
      </c>
      <c r="E35" s="237" t="s">
        <v>288</v>
      </c>
      <c r="F35" s="237" t="s">
        <v>322</v>
      </c>
      <c r="G35" s="216" t="s">
        <v>36</v>
      </c>
      <c r="H35" s="208" t="s">
        <v>157</v>
      </c>
      <c r="I35" s="216" t="s">
        <v>155</v>
      </c>
      <c r="J35" s="216" t="s">
        <v>38</v>
      </c>
      <c r="K35" s="216" t="s">
        <v>156</v>
      </c>
      <c r="L35" s="216">
        <v>1</v>
      </c>
      <c r="N35" s="208">
        <v>1</v>
      </c>
      <c r="O35" s="208">
        <v>0.2</v>
      </c>
      <c r="P35" s="208">
        <v>0.2</v>
      </c>
      <c r="Q35" s="245">
        <f t="shared" ref="Q35:Q36" si="3">IF(OR(O35="",P35=""),"",AVERAGE(O35,P35))</f>
        <v>0.2</v>
      </c>
      <c r="R35" s="208">
        <v>14.5</v>
      </c>
      <c r="S35" s="208">
        <v>109</v>
      </c>
      <c r="T35" s="217">
        <f t="shared" si="1"/>
        <v>33</v>
      </c>
      <c r="U35" s="208">
        <v>105</v>
      </c>
      <c r="V35" s="217">
        <f t="shared" si="2"/>
        <v>3465</v>
      </c>
      <c r="W35" s="208">
        <v>1</v>
      </c>
      <c r="X35" s="216" t="s">
        <v>46</v>
      </c>
      <c r="Y35" s="216" t="s">
        <v>69</v>
      </c>
      <c r="Z35" s="216" t="s">
        <v>97</v>
      </c>
      <c r="AA35" s="216" t="s">
        <v>55</v>
      </c>
      <c r="AB35" s="216" t="s">
        <v>341</v>
      </c>
    </row>
    <row r="36" spans="1:28" x14ac:dyDescent="0.15">
      <c r="A36" s="216" t="s">
        <v>34</v>
      </c>
      <c r="B36" s="208" t="s">
        <v>339</v>
      </c>
      <c r="C36" s="208">
        <v>2018</v>
      </c>
      <c r="D36" s="250" t="s">
        <v>348</v>
      </c>
      <c r="E36" s="237" t="s">
        <v>288</v>
      </c>
      <c r="F36" s="237" t="s">
        <v>322</v>
      </c>
      <c r="G36" s="216" t="s">
        <v>36</v>
      </c>
      <c r="H36" s="208" t="s">
        <v>157</v>
      </c>
      <c r="I36" s="216" t="s">
        <v>155</v>
      </c>
      <c r="J36" s="216" t="s">
        <v>38</v>
      </c>
      <c r="K36" s="216" t="s">
        <v>156</v>
      </c>
      <c r="L36" s="208">
        <v>2</v>
      </c>
      <c r="N36" s="208">
        <v>1</v>
      </c>
      <c r="O36" s="208">
        <v>0.2</v>
      </c>
      <c r="P36" s="208">
        <v>0.2</v>
      </c>
      <c r="Q36" s="245">
        <f t="shared" si="3"/>
        <v>0.2</v>
      </c>
      <c r="R36" s="208">
        <v>11.6</v>
      </c>
      <c r="S36" s="208">
        <v>99</v>
      </c>
      <c r="T36" s="217">
        <f t="shared" si="1"/>
        <v>33</v>
      </c>
      <c r="U36" s="208">
        <v>105</v>
      </c>
      <c r="V36" s="217">
        <f t="shared" si="2"/>
        <v>3465</v>
      </c>
      <c r="W36" s="208">
        <v>1</v>
      </c>
      <c r="X36" s="216" t="s">
        <v>46</v>
      </c>
      <c r="Y36" s="216" t="s">
        <v>69</v>
      </c>
      <c r="Z36" s="216" t="s">
        <v>97</v>
      </c>
      <c r="AA36" s="216" t="s">
        <v>55</v>
      </c>
      <c r="AB36" s="216" t="s">
        <v>341</v>
      </c>
    </row>
    <row r="37" spans="1:28" x14ac:dyDescent="0.15">
      <c r="A37" s="216" t="s">
        <v>34</v>
      </c>
      <c r="B37" s="208" t="s">
        <v>339</v>
      </c>
      <c r="C37" s="208">
        <v>2018</v>
      </c>
      <c r="D37" s="250" t="s">
        <v>348</v>
      </c>
      <c r="E37" s="237" t="s">
        <v>288</v>
      </c>
      <c r="F37" s="237" t="s">
        <v>322</v>
      </c>
      <c r="G37" s="216" t="s">
        <v>36</v>
      </c>
      <c r="H37" s="208" t="s">
        <v>157</v>
      </c>
      <c r="I37" s="216" t="s">
        <v>155</v>
      </c>
      <c r="J37" s="216" t="s">
        <v>38</v>
      </c>
      <c r="K37" s="216" t="s">
        <v>156</v>
      </c>
      <c r="L37" s="208">
        <v>3</v>
      </c>
      <c r="N37" s="208">
        <v>1</v>
      </c>
      <c r="O37" s="208">
        <v>0.2</v>
      </c>
      <c r="P37" s="208">
        <v>0.55000000000000004</v>
      </c>
      <c r="Q37" s="245">
        <f>IF(OR(O37="",P37=""),"",AVERAGE(O37,P37))</f>
        <v>0.375</v>
      </c>
      <c r="R37" s="208">
        <v>13.7</v>
      </c>
      <c r="S37" s="208">
        <v>108</v>
      </c>
      <c r="T37" s="217">
        <f t="shared" si="1"/>
        <v>33</v>
      </c>
      <c r="U37" s="208">
        <v>105</v>
      </c>
      <c r="V37" s="217">
        <f t="shared" si="2"/>
        <v>3465</v>
      </c>
      <c r="W37" s="208">
        <v>1</v>
      </c>
      <c r="X37" s="216" t="s">
        <v>46</v>
      </c>
      <c r="Y37" s="216" t="s">
        <v>69</v>
      </c>
      <c r="Z37" s="216" t="s">
        <v>97</v>
      </c>
      <c r="AA37" s="216" t="s">
        <v>55</v>
      </c>
      <c r="AB37" s="216" t="s">
        <v>341</v>
      </c>
    </row>
    <row r="38" spans="1:28" x14ac:dyDescent="0.15">
      <c r="A38" s="216" t="s">
        <v>34</v>
      </c>
      <c r="B38" s="208" t="s">
        <v>339</v>
      </c>
      <c r="C38" s="208">
        <v>2018</v>
      </c>
      <c r="D38" s="250" t="s">
        <v>348</v>
      </c>
      <c r="E38" s="237" t="s">
        <v>288</v>
      </c>
      <c r="F38" s="237" t="s">
        <v>322</v>
      </c>
      <c r="G38" s="216" t="s">
        <v>36</v>
      </c>
      <c r="H38" s="208" t="s">
        <v>216</v>
      </c>
      <c r="I38" s="216" t="s">
        <v>155</v>
      </c>
      <c r="J38" s="216" t="s">
        <v>38</v>
      </c>
      <c r="K38" s="216" t="s">
        <v>156</v>
      </c>
      <c r="L38" s="216">
        <v>1</v>
      </c>
      <c r="N38" s="208">
        <v>5</v>
      </c>
      <c r="O38" s="208">
        <v>0.2</v>
      </c>
      <c r="P38" s="208">
        <v>0.5</v>
      </c>
      <c r="Q38" s="245">
        <f t="shared" ref="Q38:Q39" si="4">IF(OR(O38="",P38=""),"",AVERAGE(O38,P38))</f>
        <v>0.35</v>
      </c>
      <c r="R38" s="208">
        <v>17.7</v>
      </c>
      <c r="S38" s="208">
        <v>80</v>
      </c>
      <c r="T38" s="217">
        <f t="shared" si="1"/>
        <v>39</v>
      </c>
      <c r="U38" s="208">
        <v>429</v>
      </c>
      <c r="V38" s="217">
        <f t="shared" si="2"/>
        <v>3346.2</v>
      </c>
      <c r="W38" s="208">
        <v>1</v>
      </c>
      <c r="X38" s="216" t="s">
        <v>46</v>
      </c>
      <c r="Y38" s="216" t="s">
        <v>69</v>
      </c>
      <c r="Z38" s="216" t="s">
        <v>97</v>
      </c>
      <c r="AA38" s="216" t="s">
        <v>55</v>
      </c>
      <c r="AB38" s="216" t="s">
        <v>341</v>
      </c>
    </row>
    <row r="39" spans="1:28" x14ac:dyDescent="0.15">
      <c r="A39" s="216" t="s">
        <v>34</v>
      </c>
      <c r="B39" s="208" t="s">
        <v>339</v>
      </c>
      <c r="C39" s="208">
        <v>2018</v>
      </c>
      <c r="D39" s="250" t="s">
        <v>348</v>
      </c>
      <c r="E39" s="237" t="s">
        <v>288</v>
      </c>
      <c r="F39" s="237" t="s">
        <v>322</v>
      </c>
      <c r="G39" s="216" t="s">
        <v>36</v>
      </c>
      <c r="H39" s="208" t="s">
        <v>216</v>
      </c>
      <c r="I39" s="216" t="s">
        <v>155</v>
      </c>
      <c r="J39" s="216" t="s">
        <v>38</v>
      </c>
      <c r="K39" s="216" t="s">
        <v>156</v>
      </c>
      <c r="L39" s="208">
        <v>2</v>
      </c>
      <c r="N39" s="208">
        <v>5</v>
      </c>
      <c r="O39" s="208">
        <v>0.2</v>
      </c>
      <c r="P39" s="208">
        <v>0.45</v>
      </c>
      <c r="Q39" s="245">
        <f t="shared" si="4"/>
        <v>0.32500000000000001</v>
      </c>
      <c r="R39" s="208">
        <v>14.3</v>
      </c>
      <c r="S39" s="208">
        <v>79</v>
      </c>
      <c r="T39" s="217">
        <f t="shared" si="1"/>
        <v>39</v>
      </c>
      <c r="U39" s="208">
        <v>429</v>
      </c>
      <c r="V39" s="217">
        <f t="shared" si="2"/>
        <v>3346.2</v>
      </c>
      <c r="W39" s="208">
        <v>1</v>
      </c>
      <c r="X39" s="216" t="s">
        <v>46</v>
      </c>
      <c r="Y39" s="216" t="s">
        <v>69</v>
      </c>
      <c r="Z39" s="216" t="s">
        <v>97</v>
      </c>
      <c r="AA39" s="216" t="s">
        <v>55</v>
      </c>
      <c r="AB39" s="216" t="s">
        <v>341</v>
      </c>
    </row>
    <row r="40" spans="1:28" x14ac:dyDescent="0.15">
      <c r="A40" s="216" t="s">
        <v>34</v>
      </c>
      <c r="B40" s="208" t="s">
        <v>339</v>
      </c>
      <c r="C40" s="208">
        <v>2018</v>
      </c>
      <c r="D40" s="250" t="s">
        <v>348</v>
      </c>
      <c r="E40" s="237" t="s">
        <v>288</v>
      </c>
      <c r="F40" s="237" t="s">
        <v>322</v>
      </c>
      <c r="G40" s="216" t="s">
        <v>36</v>
      </c>
      <c r="H40" s="208" t="s">
        <v>216</v>
      </c>
      <c r="I40" s="216" t="s">
        <v>155</v>
      </c>
      <c r="J40" s="216" t="s">
        <v>38</v>
      </c>
      <c r="K40" s="216" t="s">
        <v>156</v>
      </c>
      <c r="L40" s="208">
        <v>3</v>
      </c>
      <c r="N40" s="208">
        <v>5</v>
      </c>
      <c r="O40" s="208">
        <v>0.5</v>
      </c>
      <c r="P40" s="208">
        <v>0.55000000000000004</v>
      </c>
      <c r="Q40" s="245">
        <f>IF(OR(O40="",P40=""),"",AVERAGE(O40,P40))</f>
        <v>0.52500000000000002</v>
      </c>
      <c r="R40" s="208">
        <v>13.8</v>
      </c>
      <c r="S40" s="208">
        <v>74</v>
      </c>
      <c r="T40" s="217">
        <f t="shared" si="1"/>
        <v>42</v>
      </c>
      <c r="U40" s="208">
        <v>429</v>
      </c>
      <c r="V40" s="217">
        <f t="shared" si="2"/>
        <v>3603.6</v>
      </c>
      <c r="W40" s="208">
        <v>1</v>
      </c>
      <c r="X40" s="216" t="s">
        <v>46</v>
      </c>
      <c r="Y40" s="216" t="s">
        <v>69</v>
      </c>
      <c r="Z40" s="216" t="s">
        <v>97</v>
      </c>
      <c r="AA40" s="216" t="s">
        <v>55</v>
      </c>
      <c r="AB40" s="216" t="s">
        <v>341</v>
      </c>
    </row>
    <row r="41" spans="1:28" x14ac:dyDescent="0.15">
      <c r="A41" s="216" t="s">
        <v>34</v>
      </c>
      <c r="B41" s="208" t="s">
        <v>339</v>
      </c>
      <c r="C41" s="208">
        <v>2018</v>
      </c>
      <c r="D41" s="250" t="s">
        <v>348</v>
      </c>
      <c r="E41" s="237" t="s">
        <v>288</v>
      </c>
      <c r="F41" s="237" t="s">
        <v>322</v>
      </c>
      <c r="G41" s="216" t="s">
        <v>36</v>
      </c>
      <c r="H41" s="208" t="s">
        <v>168</v>
      </c>
      <c r="I41" s="216" t="s">
        <v>155</v>
      </c>
      <c r="J41" s="216" t="s">
        <v>38</v>
      </c>
      <c r="K41" s="216" t="s">
        <v>156</v>
      </c>
      <c r="L41" s="216">
        <v>1</v>
      </c>
      <c r="N41" s="208">
        <v>1</v>
      </c>
      <c r="O41" s="208">
        <v>0.5</v>
      </c>
      <c r="P41" s="208">
        <v>0.45</v>
      </c>
      <c r="Q41" s="245">
        <f t="shared" si="0"/>
        <v>0.47499999999999998</v>
      </c>
      <c r="R41" s="208">
        <v>15.2</v>
      </c>
      <c r="S41" s="208">
        <v>168</v>
      </c>
      <c r="T41" s="217">
        <f t="shared" si="1"/>
        <v>18</v>
      </c>
      <c r="U41" s="208">
        <v>149</v>
      </c>
      <c r="V41" s="217">
        <f t="shared" si="2"/>
        <v>2682</v>
      </c>
      <c r="W41" s="208">
        <v>6</v>
      </c>
      <c r="X41" s="216" t="s">
        <v>46</v>
      </c>
      <c r="Y41" s="216" t="s">
        <v>69</v>
      </c>
      <c r="Z41" s="216" t="s">
        <v>97</v>
      </c>
      <c r="AA41" s="216" t="s">
        <v>55</v>
      </c>
      <c r="AB41" s="216" t="s">
        <v>341</v>
      </c>
    </row>
    <row r="42" spans="1:28" x14ac:dyDescent="0.15">
      <c r="A42" s="216" t="s">
        <v>34</v>
      </c>
      <c r="B42" s="208" t="s">
        <v>339</v>
      </c>
      <c r="C42" s="208">
        <v>2018</v>
      </c>
      <c r="D42" s="250" t="s">
        <v>348</v>
      </c>
      <c r="E42" s="237" t="s">
        <v>288</v>
      </c>
      <c r="F42" s="237" t="s">
        <v>322</v>
      </c>
      <c r="G42" s="216" t="s">
        <v>36</v>
      </c>
      <c r="H42" s="208" t="s">
        <v>168</v>
      </c>
      <c r="I42" s="216" t="s">
        <v>155</v>
      </c>
      <c r="J42" s="216" t="s">
        <v>38</v>
      </c>
      <c r="K42" s="216" t="s">
        <v>156</v>
      </c>
      <c r="L42" s="208">
        <v>2</v>
      </c>
      <c r="N42" s="208">
        <v>1</v>
      </c>
      <c r="O42" s="208">
        <v>0.55000000000000004</v>
      </c>
      <c r="P42" s="208">
        <v>0.55000000000000004</v>
      </c>
      <c r="Q42" s="245">
        <f t="shared" si="0"/>
        <v>0.55000000000000004</v>
      </c>
      <c r="R42" s="208">
        <v>15.3</v>
      </c>
      <c r="S42" s="208">
        <v>160</v>
      </c>
      <c r="T42" s="217">
        <f t="shared" si="1"/>
        <v>18</v>
      </c>
      <c r="U42" s="208">
        <v>149</v>
      </c>
      <c r="V42" s="217">
        <f t="shared" si="2"/>
        <v>2682</v>
      </c>
      <c r="W42" s="208">
        <v>6</v>
      </c>
      <c r="X42" s="216" t="s">
        <v>46</v>
      </c>
      <c r="Y42" s="216" t="s">
        <v>69</v>
      </c>
      <c r="Z42" s="216" t="s">
        <v>97</v>
      </c>
      <c r="AA42" s="216" t="s">
        <v>55</v>
      </c>
      <c r="AB42" s="216" t="s">
        <v>341</v>
      </c>
    </row>
    <row r="43" spans="1:28" x14ac:dyDescent="0.15">
      <c r="A43" s="216" t="s">
        <v>34</v>
      </c>
      <c r="B43" s="208" t="s">
        <v>339</v>
      </c>
      <c r="C43" s="208">
        <v>2018</v>
      </c>
      <c r="D43" s="250" t="s">
        <v>348</v>
      </c>
      <c r="E43" s="237" t="s">
        <v>288</v>
      </c>
      <c r="F43" s="237" t="s">
        <v>322</v>
      </c>
      <c r="G43" s="216" t="s">
        <v>36</v>
      </c>
      <c r="H43" s="208" t="s">
        <v>168</v>
      </c>
      <c r="I43" s="216" t="s">
        <v>155</v>
      </c>
      <c r="J43" s="216" t="s">
        <v>38</v>
      </c>
      <c r="K43" s="216" t="s">
        <v>156</v>
      </c>
      <c r="L43" s="208">
        <v>3</v>
      </c>
      <c r="N43" s="208">
        <v>1</v>
      </c>
      <c r="O43" s="208">
        <v>0.55000000000000004</v>
      </c>
      <c r="P43" s="208">
        <v>0.5</v>
      </c>
      <c r="Q43" s="245">
        <f t="shared" si="0"/>
        <v>0.52500000000000002</v>
      </c>
      <c r="R43" s="208">
        <v>15.4</v>
      </c>
      <c r="S43" s="208">
        <v>148</v>
      </c>
      <c r="T43" s="217">
        <f t="shared" si="1"/>
        <v>30</v>
      </c>
      <c r="U43" s="208">
        <v>149</v>
      </c>
      <c r="V43" s="217">
        <f t="shared" si="2"/>
        <v>4470</v>
      </c>
      <c r="W43" s="208">
        <v>6</v>
      </c>
      <c r="X43" s="216" t="s">
        <v>46</v>
      </c>
      <c r="Y43" s="216" t="s">
        <v>69</v>
      </c>
      <c r="Z43" s="216" t="s">
        <v>97</v>
      </c>
      <c r="AA43" s="216" t="s">
        <v>55</v>
      </c>
      <c r="AB43" s="216" t="s">
        <v>341</v>
      </c>
    </row>
    <row r="44" spans="1:28" x14ac:dyDescent="0.15">
      <c r="A44" s="216" t="s">
        <v>34</v>
      </c>
      <c r="B44" s="208" t="s">
        <v>339</v>
      </c>
      <c r="C44" s="208">
        <v>2018</v>
      </c>
      <c r="D44" s="250" t="s">
        <v>348</v>
      </c>
      <c r="E44" s="237" t="s">
        <v>288</v>
      </c>
      <c r="F44" s="237" t="s">
        <v>322</v>
      </c>
      <c r="G44" s="216" t="s">
        <v>36</v>
      </c>
      <c r="H44" s="208" t="s">
        <v>168</v>
      </c>
      <c r="I44" s="216" t="s">
        <v>155</v>
      </c>
      <c r="J44" s="216" t="s">
        <v>38</v>
      </c>
      <c r="K44" s="216" t="s">
        <v>156</v>
      </c>
      <c r="L44" s="216">
        <v>1</v>
      </c>
      <c r="N44" s="208">
        <v>4</v>
      </c>
      <c r="O44" s="208">
        <v>0.6</v>
      </c>
      <c r="P44" s="208">
        <v>0.5</v>
      </c>
      <c r="Q44" s="245">
        <f t="shared" si="0"/>
        <v>0.55000000000000004</v>
      </c>
      <c r="R44" s="208">
        <v>17.899999999999999</v>
      </c>
      <c r="S44" s="208">
        <v>110</v>
      </c>
      <c r="T44" s="217">
        <f t="shared" si="1"/>
        <v>33</v>
      </c>
      <c r="U44" s="208">
        <v>537</v>
      </c>
      <c r="V44" s="217">
        <f t="shared" si="2"/>
        <v>4430.25</v>
      </c>
      <c r="W44" s="208">
        <v>6</v>
      </c>
      <c r="X44" s="216" t="s">
        <v>46</v>
      </c>
      <c r="Y44" s="216" t="s">
        <v>69</v>
      </c>
      <c r="Z44" s="216" t="s">
        <v>97</v>
      </c>
      <c r="AA44" s="216" t="s">
        <v>55</v>
      </c>
      <c r="AB44" s="216" t="s">
        <v>341</v>
      </c>
    </row>
    <row r="45" spans="1:28" x14ac:dyDescent="0.15">
      <c r="A45" s="216" t="s">
        <v>34</v>
      </c>
      <c r="B45" s="208" t="s">
        <v>339</v>
      </c>
      <c r="C45" s="208">
        <v>2018</v>
      </c>
      <c r="D45" s="250" t="s">
        <v>348</v>
      </c>
      <c r="E45" s="237" t="s">
        <v>288</v>
      </c>
      <c r="F45" s="237" t="s">
        <v>322</v>
      </c>
      <c r="G45" s="216" t="s">
        <v>36</v>
      </c>
      <c r="H45" s="208" t="s">
        <v>168</v>
      </c>
      <c r="I45" s="216" t="s">
        <v>155</v>
      </c>
      <c r="J45" s="216" t="s">
        <v>38</v>
      </c>
      <c r="K45" s="216" t="s">
        <v>156</v>
      </c>
      <c r="L45" s="208">
        <v>2</v>
      </c>
      <c r="N45" s="208">
        <v>4</v>
      </c>
      <c r="O45" s="208">
        <v>0.6</v>
      </c>
      <c r="P45" s="208">
        <v>0.7</v>
      </c>
      <c r="Q45" s="245">
        <f t="shared" si="0"/>
        <v>0.64999999999999991</v>
      </c>
      <c r="R45" s="208">
        <v>16.3</v>
      </c>
      <c r="S45" s="208">
        <v>111</v>
      </c>
      <c r="T45" s="217">
        <f t="shared" si="1"/>
        <v>33</v>
      </c>
      <c r="U45" s="208">
        <v>537</v>
      </c>
      <c r="V45" s="217">
        <f t="shared" si="2"/>
        <v>4430.25</v>
      </c>
      <c r="W45" s="208">
        <v>6</v>
      </c>
      <c r="X45" s="216" t="s">
        <v>46</v>
      </c>
      <c r="Y45" s="216" t="s">
        <v>69</v>
      </c>
      <c r="Z45" s="216" t="s">
        <v>97</v>
      </c>
      <c r="AA45" s="216" t="s">
        <v>55</v>
      </c>
      <c r="AB45" s="216" t="s">
        <v>341</v>
      </c>
    </row>
    <row r="46" spans="1:28" x14ac:dyDescent="0.15">
      <c r="A46" s="216" t="s">
        <v>34</v>
      </c>
      <c r="B46" s="208" t="s">
        <v>339</v>
      </c>
      <c r="C46" s="208">
        <v>2018</v>
      </c>
      <c r="D46" s="250" t="s">
        <v>348</v>
      </c>
      <c r="E46" s="237" t="s">
        <v>288</v>
      </c>
      <c r="F46" s="237" t="s">
        <v>322</v>
      </c>
      <c r="G46" s="216" t="s">
        <v>36</v>
      </c>
      <c r="H46" s="208" t="s">
        <v>168</v>
      </c>
      <c r="I46" s="216" t="s">
        <v>155</v>
      </c>
      <c r="J46" s="216" t="s">
        <v>38</v>
      </c>
      <c r="K46" s="216" t="s">
        <v>156</v>
      </c>
      <c r="L46" s="208">
        <v>3</v>
      </c>
      <c r="N46" s="208">
        <v>4</v>
      </c>
      <c r="O46" s="208">
        <v>0.6</v>
      </c>
      <c r="P46" s="208">
        <v>0.55000000000000004</v>
      </c>
      <c r="Q46" s="245">
        <f t="shared" si="0"/>
        <v>0.57499999999999996</v>
      </c>
      <c r="R46" s="208">
        <v>15.4</v>
      </c>
      <c r="S46" s="208">
        <v>106</v>
      </c>
      <c r="T46" s="217">
        <f t="shared" si="1"/>
        <v>33</v>
      </c>
      <c r="U46" s="208">
        <v>537</v>
      </c>
      <c r="V46" s="217">
        <f t="shared" si="2"/>
        <v>4430.25</v>
      </c>
      <c r="W46" s="208">
        <v>6</v>
      </c>
      <c r="X46" s="216" t="s">
        <v>46</v>
      </c>
      <c r="Y46" s="216" t="s">
        <v>69</v>
      </c>
      <c r="Z46" s="216" t="s">
        <v>97</v>
      </c>
      <c r="AA46" s="216" t="s">
        <v>55</v>
      </c>
      <c r="AB46" s="216" t="s">
        <v>341</v>
      </c>
    </row>
    <row r="47" spans="1:28" x14ac:dyDescent="0.15">
      <c r="A47" s="216" t="s">
        <v>34</v>
      </c>
      <c r="B47" s="208" t="s">
        <v>339</v>
      </c>
      <c r="C47" s="208">
        <v>2018</v>
      </c>
      <c r="D47" s="250" t="s">
        <v>348</v>
      </c>
      <c r="E47" s="237" t="s">
        <v>323</v>
      </c>
      <c r="F47" s="237" t="s">
        <v>324</v>
      </c>
      <c r="G47" s="216" t="s">
        <v>36</v>
      </c>
      <c r="H47" s="208" t="s">
        <v>157</v>
      </c>
      <c r="I47" s="216" t="s">
        <v>155</v>
      </c>
      <c r="J47" s="216" t="s">
        <v>38</v>
      </c>
      <c r="K47" s="216" t="s">
        <v>156</v>
      </c>
      <c r="L47" s="216">
        <v>1</v>
      </c>
      <c r="N47" s="208">
        <v>1</v>
      </c>
      <c r="O47" s="208">
        <v>0.2</v>
      </c>
      <c r="P47" s="208">
        <v>0.2</v>
      </c>
      <c r="Q47" s="245">
        <f t="shared" si="0"/>
        <v>0.2</v>
      </c>
      <c r="R47" s="208">
        <v>14.4</v>
      </c>
      <c r="S47" s="208">
        <v>131</v>
      </c>
      <c r="T47" s="217">
        <f t="shared" si="1"/>
        <v>30</v>
      </c>
      <c r="U47" s="208">
        <v>138</v>
      </c>
      <c r="V47" s="217">
        <f t="shared" si="2"/>
        <v>4140</v>
      </c>
      <c r="W47" s="208">
        <v>3</v>
      </c>
      <c r="X47" s="216" t="s">
        <v>46</v>
      </c>
      <c r="Y47" s="216" t="s">
        <v>69</v>
      </c>
      <c r="Z47" s="216" t="s">
        <v>55</v>
      </c>
      <c r="AA47" s="216" t="s">
        <v>47</v>
      </c>
      <c r="AB47" s="216" t="s">
        <v>341</v>
      </c>
    </row>
    <row r="48" spans="1:28" x14ac:dyDescent="0.15">
      <c r="A48" s="216" t="s">
        <v>34</v>
      </c>
      <c r="B48" s="208" t="s">
        <v>339</v>
      </c>
      <c r="C48" s="208">
        <v>2018</v>
      </c>
      <c r="D48" s="250" t="s">
        <v>348</v>
      </c>
      <c r="E48" s="237" t="s">
        <v>323</v>
      </c>
      <c r="F48" s="237" t="s">
        <v>324</v>
      </c>
      <c r="G48" s="216" t="s">
        <v>36</v>
      </c>
      <c r="H48" s="208" t="s">
        <v>157</v>
      </c>
      <c r="I48" s="216" t="s">
        <v>155</v>
      </c>
      <c r="J48" s="216" t="s">
        <v>38</v>
      </c>
      <c r="K48" s="216" t="s">
        <v>156</v>
      </c>
      <c r="L48" s="208">
        <v>2</v>
      </c>
      <c r="N48" s="208">
        <v>1</v>
      </c>
      <c r="O48" s="208">
        <v>0.2</v>
      </c>
      <c r="P48" s="208">
        <v>0.2</v>
      </c>
      <c r="Q48" s="245">
        <f t="shared" si="0"/>
        <v>0.2</v>
      </c>
      <c r="R48" s="208">
        <v>11.7</v>
      </c>
      <c r="S48" s="208">
        <v>129</v>
      </c>
      <c r="T48" s="217">
        <f t="shared" si="1"/>
        <v>30</v>
      </c>
      <c r="U48" s="208">
        <v>138</v>
      </c>
      <c r="V48" s="217">
        <f t="shared" si="2"/>
        <v>4140</v>
      </c>
      <c r="W48" s="208">
        <v>3</v>
      </c>
      <c r="X48" s="216" t="s">
        <v>46</v>
      </c>
      <c r="Y48" s="216" t="s">
        <v>69</v>
      </c>
      <c r="Z48" s="216" t="s">
        <v>55</v>
      </c>
      <c r="AA48" s="216" t="s">
        <v>47</v>
      </c>
      <c r="AB48" s="216" t="s">
        <v>341</v>
      </c>
    </row>
    <row r="49" spans="1:28" x14ac:dyDescent="0.15">
      <c r="A49" s="216" t="s">
        <v>34</v>
      </c>
      <c r="B49" s="208" t="s">
        <v>339</v>
      </c>
      <c r="C49" s="208">
        <v>2018</v>
      </c>
      <c r="D49" s="250" t="s">
        <v>348</v>
      </c>
      <c r="E49" s="237" t="s">
        <v>323</v>
      </c>
      <c r="F49" s="237" t="s">
        <v>324</v>
      </c>
      <c r="G49" s="216" t="s">
        <v>36</v>
      </c>
      <c r="H49" s="208" t="s">
        <v>157</v>
      </c>
      <c r="I49" s="216" t="s">
        <v>155</v>
      </c>
      <c r="J49" s="216" t="s">
        <v>38</v>
      </c>
      <c r="K49" s="216" t="s">
        <v>156</v>
      </c>
      <c r="L49" s="208">
        <v>3</v>
      </c>
      <c r="N49" s="208">
        <v>1</v>
      </c>
      <c r="O49" s="208">
        <v>0.2</v>
      </c>
      <c r="P49" s="208">
        <v>0.2</v>
      </c>
      <c r="Q49" s="245">
        <f t="shared" si="0"/>
        <v>0.2</v>
      </c>
      <c r="R49" s="208">
        <v>10.8</v>
      </c>
      <c r="S49" s="208">
        <v>129</v>
      </c>
      <c r="T49" s="217">
        <f t="shared" si="1"/>
        <v>30</v>
      </c>
      <c r="U49" s="208">
        <v>138</v>
      </c>
      <c r="V49" s="217">
        <f t="shared" si="2"/>
        <v>4140</v>
      </c>
      <c r="W49" s="208">
        <v>3</v>
      </c>
      <c r="X49" s="216" t="s">
        <v>46</v>
      </c>
      <c r="Y49" s="216" t="s">
        <v>69</v>
      </c>
      <c r="Z49" s="216" t="s">
        <v>55</v>
      </c>
      <c r="AA49" s="216" t="s">
        <v>47</v>
      </c>
      <c r="AB49" s="216" t="s">
        <v>341</v>
      </c>
    </row>
    <row r="50" spans="1:28" x14ac:dyDescent="0.15">
      <c r="A50" s="216" t="s">
        <v>34</v>
      </c>
      <c r="B50" s="208" t="s">
        <v>339</v>
      </c>
      <c r="C50" s="208">
        <v>2018</v>
      </c>
      <c r="D50" s="250" t="s">
        <v>348</v>
      </c>
      <c r="E50" s="237" t="s">
        <v>323</v>
      </c>
      <c r="F50" s="237" t="s">
        <v>324</v>
      </c>
      <c r="G50" s="216" t="s">
        <v>36</v>
      </c>
      <c r="H50" s="208" t="s">
        <v>157</v>
      </c>
      <c r="I50" s="216" t="s">
        <v>155</v>
      </c>
      <c r="J50" s="216" t="s">
        <v>38</v>
      </c>
      <c r="K50" s="216" t="s">
        <v>156</v>
      </c>
      <c r="L50" s="216">
        <v>1</v>
      </c>
      <c r="N50" s="208">
        <v>4</v>
      </c>
      <c r="O50" s="208">
        <v>0.5</v>
      </c>
      <c r="P50" s="208">
        <v>0.45</v>
      </c>
      <c r="Q50" s="245">
        <f t="shared" si="0"/>
        <v>0.47499999999999998</v>
      </c>
      <c r="R50" s="208">
        <v>14.4</v>
      </c>
      <c r="S50" s="208">
        <v>117</v>
      </c>
      <c r="T50" s="217">
        <f t="shared" si="1"/>
        <v>30</v>
      </c>
      <c r="U50" s="208">
        <v>430</v>
      </c>
      <c r="V50" s="217">
        <f t="shared" si="2"/>
        <v>3225</v>
      </c>
      <c r="W50" s="208">
        <v>3</v>
      </c>
      <c r="X50" s="216" t="s">
        <v>46</v>
      </c>
      <c r="Y50" s="216" t="s">
        <v>69</v>
      </c>
      <c r="Z50" s="216" t="s">
        <v>55</v>
      </c>
      <c r="AA50" s="216" t="s">
        <v>47</v>
      </c>
      <c r="AB50" s="216" t="s">
        <v>341</v>
      </c>
    </row>
    <row r="51" spans="1:28" x14ac:dyDescent="0.15">
      <c r="A51" s="216" t="s">
        <v>34</v>
      </c>
      <c r="B51" s="208" t="s">
        <v>339</v>
      </c>
      <c r="C51" s="208">
        <v>2018</v>
      </c>
      <c r="D51" s="250" t="s">
        <v>348</v>
      </c>
      <c r="E51" s="237" t="s">
        <v>323</v>
      </c>
      <c r="F51" s="237" t="s">
        <v>324</v>
      </c>
      <c r="G51" s="216" t="s">
        <v>36</v>
      </c>
      <c r="H51" s="208" t="s">
        <v>157</v>
      </c>
      <c r="I51" s="216" t="s">
        <v>155</v>
      </c>
      <c r="J51" s="216" t="s">
        <v>38</v>
      </c>
      <c r="K51" s="216" t="s">
        <v>156</v>
      </c>
      <c r="L51" s="208">
        <v>2</v>
      </c>
      <c r="N51" s="208">
        <v>4</v>
      </c>
      <c r="O51" s="208">
        <v>0.2</v>
      </c>
      <c r="P51" s="208">
        <v>0.2</v>
      </c>
      <c r="Q51" s="245">
        <f t="shared" si="0"/>
        <v>0.2</v>
      </c>
      <c r="R51" s="208">
        <v>14.6</v>
      </c>
      <c r="S51" s="208">
        <v>124</v>
      </c>
      <c r="T51" s="217">
        <f t="shared" si="1"/>
        <v>30</v>
      </c>
      <c r="U51" s="208">
        <v>430</v>
      </c>
      <c r="V51" s="217">
        <f t="shared" si="2"/>
        <v>3225</v>
      </c>
      <c r="W51" s="208">
        <v>3</v>
      </c>
      <c r="X51" s="216" t="s">
        <v>46</v>
      </c>
      <c r="Y51" s="216" t="s">
        <v>69</v>
      </c>
      <c r="Z51" s="216" t="s">
        <v>55</v>
      </c>
      <c r="AA51" s="216" t="s">
        <v>47</v>
      </c>
      <c r="AB51" s="216" t="s">
        <v>341</v>
      </c>
    </row>
    <row r="52" spans="1:28" x14ac:dyDescent="0.15">
      <c r="A52" s="216" t="s">
        <v>34</v>
      </c>
      <c r="B52" s="208" t="s">
        <v>339</v>
      </c>
      <c r="C52" s="208">
        <v>2018</v>
      </c>
      <c r="D52" s="250" t="s">
        <v>348</v>
      </c>
      <c r="E52" s="237" t="s">
        <v>323</v>
      </c>
      <c r="F52" s="237" t="s">
        <v>324</v>
      </c>
      <c r="G52" s="216" t="s">
        <v>36</v>
      </c>
      <c r="H52" s="208" t="s">
        <v>157</v>
      </c>
      <c r="I52" s="216" t="s">
        <v>155</v>
      </c>
      <c r="J52" s="216" t="s">
        <v>38</v>
      </c>
      <c r="K52" s="216" t="s">
        <v>156</v>
      </c>
      <c r="L52" s="208">
        <v>3</v>
      </c>
      <c r="N52" s="208">
        <v>4</v>
      </c>
      <c r="O52" s="208">
        <v>0.2</v>
      </c>
      <c r="P52" s="208">
        <v>0.2</v>
      </c>
      <c r="Q52" s="245">
        <f t="shared" si="0"/>
        <v>0.2</v>
      </c>
      <c r="R52" s="208">
        <v>13.9</v>
      </c>
      <c r="S52" s="208">
        <v>122</v>
      </c>
      <c r="T52" s="217">
        <f t="shared" si="1"/>
        <v>30</v>
      </c>
      <c r="U52" s="208">
        <v>430</v>
      </c>
      <c r="V52" s="217">
        <f t="shared" si="2"/>
        <v>3225</v>
      </c>
      <c r="W52" s="208">
        <v>3</v>
      </c>
      <c r="X52" s="216" t="s">
        <v>46</v>
      </c>
      <c r="Y52" s="216" t="s">
        <v>69</v>
      </c>
      <c r="Z52" s="216" t="s">
        <v>55</v>
      </c>
      <c r="AA52" s="216" t="s">
        <v>47</v>
      </c>
      <c r="AB52" s="216" t="s">
        <v>341</v>
      </c>
    </row>
    <row r="53" spans="1:28" x14ac:dyDescent="0.15">
      <c r="A53" s="216" t="s">
        <v>34</v>
      </c>
      <c r="B53" s="208" t="s">
        <v>339</v>
      </c>
      <c r="C53" s="208">
        <v>2018</v>
      </c>
      <c r="D53" s="250" t="s">
        <v>348</v>
      </c>
      <c r="E53" s="237" t="s">
        <v>323</v>
      </c>
      <c r="F53" s="237" t="s">
        <v>324</v>
      </c>
      <c r="G53" s="216" t="s">
        <v>36</v>
      </c>
      <c r="H53" s="208" t="s">
        <v>216</v>
      </c>
      <c r="I53" s="216" t="s">
        <v>155</v>
      </c>
      <c r="J53" s="216" t="s">
        <v>38</v>
      </c>
      <c r="K53" s="216" t="s">
        <v>156</v>
      </c>
      <c r="L53" s="216">
        <v>1</v>
      </c>
      <c r="N53" s="208">
        <v>6</v>
      </c>
      <c r="O53" s="208">
        <v>0.6</v>
      </c>
      <c r="P53" s="208">
        <v>0.55000000000000004</v>
      </c>
      <c r="Q53" s="245">
        <f t="shared" si="0"/>
        <v>0.57499999999999996</v>
      </c>
      <c r="R53" s="208">
        <v>11.4</v>
      </c>
      <c r="S53" s="208">
        <v>78</v>
      </c>
      <c r="T53" s="217">
        <f t="shared" si="1"/>
        <v>39</v>
      </c>
      <c r="U53" s="208">
        <v>430</v>
      </c>
      <c r="V53" s="217">
        <f t="shared" si="2"/>
        <v>2795</v>
      </c>
      <c r="W53" s="208">
        <v>1</v>
      </c>
      <c r="X53" s="216" t="s">
        <v>46</v>
      </c>
      <c r="Y53" s="216" t="s">
        <v>69</v>
      </c>
      <c r="Z53" s="216" t="s">
        <v>55</v>
      </c>
      <c r="AA53" s="216" t="s">
        <v>47</v>
      </c>
      <c r="AB53" s="216" t="s">
        <v>341</v>
      </c>
    </row>
    <row r="54" spans="1:28" x14ac:dyDescent="0.15">
      <c r="A54" s="216" t="s">
        <v>34</v>
      </c>
      <c r="B54" s="208" t="s">
        <v>339</v>
      </c>
      <c r="C54" s="208">
        <v>2018</v>
      </c>
      <c r="D54" s="250" t="s">
        <v>348</v>
      </c>
      <c r="E54" s="237" t="s">
        <v>323</v>
      </c>
      <c r="F54" s="237" t="s">
        <v>324</v>
      </c>
      <c r="G54" s="216" t="s">
        <v>36</v>
      </c>
      <c r="H54" s="208" t="s">
        <v>216</v>
      </c>
      <c r="I54" s="216" t="s">
        <v>155</v>
      </c>
      <c r="J54" s="216" t="s">
        <v>38</v>
      </c>
      <c r="K54" s="216" t="s">
        <v>156</v>
      </c>
      <c r="L54" s="208">
        <v>2</v>
      </c>
      <c r="N54" s="208">
        <v>6</v>
      </c>
      <c r="O54" s="208">
        <v>0.5</v>
      </c>
      <c r="P54" s="208">
        <v>0.55000000000000004</v>
      </c>
      <c r="Q54" s="245">
        <f t="shared" si="0"/>
        <v>0.52500000000000002</v>
      </c>
      <c r="R54" s="208">
        <v>15.7</v>
      </c>
      <c r="S54" s="208">
        <v>78</v>
      </c>
      <c r="T54" s="217">
        <f t="shared" si="1"/>
        <v>39</v>
      </c>
      <c r="U54" s="208">
        <v>430</v>
      </c>
      <c r="V54" s="217">
        <f t="shared" si="2"/>
        <v>2795</v>
      </c>
      <c r="W54" s="208">
        <v>1</v>
      </c>
      <c r="X54" s="216" t="s">
        <v>46</v>
      </c>
      <c r="Y54" s="216" t="s">
        <v>69</v>
      </c>
      <c r="Z54" s="216" t="s">
        <v>55</v>
      </c>
      <c r="AA54" s="216" t="s">
        <v>47</v>
      </c>
      <c r="AB54" s="216" t="s">
        <v>341</v>
      </c>
    </row>
    <row r="55" spans="1:28" x14ac:dyDescent="0.15">
      <c r="A55" s="216" t="s">
        <v>34</v>
      </c>
      <c r="B55" s="208" t="s">
        <v>339</v>
      </c>
      <c r="C55" s="208">
        <v>2018</v>
      </c>
      <c r="D55" s="250" t="s">
        <v>348</v>
      </c>
      <c r="E55" s="237" t="s">
        <v>323</v>
      </c>
      <c r="F55" s="237" t="s">
        <v>324</v>
      </c>
      <c r="G55" s="216" t="s">
        <v>36</v>
      </c>
      <c r="H55" s="208" t="s">
        <v>216</v>
      </c>
      <c r="I55" s="216" t="s">
        <v>155</v>
      </c>
      <c r="J55" s="216" t="s">
        <v>38</v>
      </c>
      <c r="K55" s="216" t="s">
        <v>156</v>
      </c>
      <c r="L55" s="208">
        <v>3</v>
      </c>
      <c r="N55" s="208">
        <v>6</v>
      </c>
      <c r="O55" s="208">
        <v>0.2</v>
      </c>
      <c r="P55" s="208">
        <v>0.55000000000000004</v>
      </c>
      <c r="Q55" s="245">
        <f t="shared" si="0"/>
        <v>0.375</v>
      </c>
      <c r="R55" s="208">
        <v>11.7</v>
      </c>
      <c r="S55" s="208">
        <v>77</v>
      </c>
      <c r="T55" s="217">
        <f t="shared" si="1"/>
        <v>39</v>
      </c>
      <c r="U55" s="208">
        <v>430</v>
      </c>
      <c r="V55" s="217">
        <f t="shared" si="2"/>
        <v>2795</v>
      </c>
      <c r="W55" s="208">
        <v>1</v>
      </c>
      <c r="X55" s="216" t="s">
        <v>46</v>
      </c>
      <c r="Y55" s="216" t="s">
        <v>69</v>
      </c>
      <c r="Z55" s="216" t="s">
        <v>55</v>
      </c>
      <c r="AA55" s="216" t="s">
        <v>47</v>
      </c>
      <c r="AB55" s="216" t="s">
        <v>341</v>
      </c>
    </row>
    <row r="56" spans="1:28" x14ac:dyDescent="0.15">
      <c r="A56" s="216" t="s">
        <v>34</v>
      </c>
      <c r="B56" s="208" t="s">
        <v>339</v>
      </c>
      <c r="C56" s="208">
        <v>2018</v>
      </c>
      <c r="D56" s="250" t="s">
        <v>348</v>
      </c>
      <c r="E56" s="237" t="s">
        <v>323</v>
      </c>
      <c r="F56" s="237" t="s">
        <v>324</v>
      </c>
      <c r="G56" s="216" t="s">
        <v>36</v>
      </c>
      <c r="H56" s="208" t="s">
        <v>168</v>
      </c>
      <c r="I56" s="216" t="s">
        <v>155</v>
      </c>
      <c r="J56" s="216" t="s">
        <v>38</v>
      </c>
      <c r="K56" s="216" t="s">
        <v>156</v>
      </c>
      <c r="L56" s="216">
        <v>1</v>
      </c>
      <c r="N56" s="208">
        <v>1</v>
      </c>
      <c r="O56" s="208">
        <v>0.2</v>
      </c>
      <c r="P56" s="208">
        <v>0.55000000000000004</v>
      </c>
      <c r="Q56" s="245">
        <f t="shared" si="0"/>
        <v>0.375</v>
      </c>
      <c r="R56" s="208">
        <v>15.3</v>
      </c>
      <c r="S56" s="208">
        <v>153</v>
      </c>
      <c r="T56" s="217">
        <f t="shared" si="1"/>
        <v>18</v>
      </c>
      <c r="U56" s="208">
        <v>171</v>
      </c>
      <c r="V56" s="217">
        <f t="shared" si="2"/>
        <v>3078</v>
      </c>
      <c r="W56" s="208">
        <v>5</v>
      </c>
      <c r="X56" s="216" t="s">
        <v>46</v>
      </c>
      <c r="Y56" s="216" t="s">
        <v>69</v>
      </c>
      <c r="Z56" s="216" t="s">
        <v>55</v>
      </c>
      <c r="AA56" s="216" t="s">
        <v>47</v>
      </c>
      <c r="AB56" s="216" t="s">
        <v>341</v>
      </c>
    </row>
    <row r="57" spans="1:28" x14ac:dyDescent="0.15">
      <c r="A57" s="216" t="s">
        <v>34</v>
      </c>
      <c r="B57" s="208" t="s">
        <v>339</v>
      </c>
      <c r="C57" s="208">
        <v>2018</v>
      </c>
      <c r="D57" s="250" t="s">
        <v>348</v>
      </c>
      <c r="E57" s="237" t="s">
        <v>323</v>
      </c>
      <c r="F57" s="237" t="s">
        <v>324</v>
      </c>
      <c r="G57" s="216" t="s">
        <v>36</v>
      </c>
      <c r="H57" s="208" t="s">
        <v>168</v>
      </c>
      <c r="I57" s="216" t="s">
        <v>155</v>
      </c>
      <c r="J57" s="216" t="s">
        <v>38</v>
      </c>
      <c r="K57" s="216" t="s">
        <v>156</v>
      </c>
      <c r="L57" s="208">
        <v>2</v>
      </c>
      <c r="N57" s="208">
        <v>1</v>
      </c>
      <c r="O57" s="208">
        <v>0.2</v>
      </c>
      <c r="P57" s="208">
        <v>0.45</v>
      </c>
      <c r="Q57" s="245">
        <f t="shared" si="0"/>
        <v>0.32500000000000001</v>
      </c>
      <c r="R57" s="208">
        <v>15.2</v>
      </c>
      <c r="S57" s="208">
        <v>154</v>
      </c>
      <c r="T57" s="217">
        <f t="shared" si="1"/>
        <v>18</v>
      </c>
      <c r="U57" s="208">
        <v>171</v>
      </c>
      <c r="V57" s="217">
        <f t="shared" si="2"/>
        <v>3078</v>
      </c>
      <c r="W57" s="208">
        <v>5</v>
      </c>
      <c r="X57" s="216" t="s">
        <v>46</v>
      </c>
      <c r="Y57" s="216" t="s">
        <v>69</v>
      </c>
      <c r="Z57" s="216" t="s">
        <v>55</v>
      </c>
      <c r="AA57" s="216" t="s">
        <v>47</v>
      </c>
      <c r="AB57" s="216" t="s">
        <v>341</v>
      </c>
    </row>
    <row r="58" spans="1:28" x14ac:dyDescent="0.15">
      <c r="A58" s="216" t="s">
        <v>34</v>
      </c>
      <c r="B58" s="208" t="s">
        <v>339</v>
      </c>
      <c r="C58" s="208">
        <v>2018</v>
      </c>
      <c r="D58" s="250" t="s">
        <v>348</v>
      </c>
      <c r="E58" s="237" t="s">
        <v>323</v>
      </c>
      <c r="F58" s="237" t="s">
        <v>324</v>
      </c>
      <c r="G58" s="216" t="s">
        <v>36</v>
      </c>
      <c r="H58" s="208" t="s">
        <v>168</v>
      </c>
      <c r="I58" s="216" t="s">
        <v>155</v>
      </c>
      <c r="J58" s="216" t="s">
        <v>38</v>
      </c>
      <c r="K58" s="216" t="s">
        <v>156</v>
      </c>
      <c r="L58" s="208">
        <v>3</v>
      </c>
      <c r="N58" s="208">
        <v>1</v>
      </c>
      <c r="O58" s="208">
        <v>0.55000000000000004</v>
      </c>
      <c r="P58" s="208">
        <v>0.45</v>
      </c>
      <c r="Q58" s="245">
        <f t="shared" si="0"/>
        <v>0.5</v>
      </c>
      <c r="R58" s="208">
        <v>14.7</v>
      </c>
      <c r="S58" s="208">
        <v>160</v>
      </c>
      <c r="T58" s="217">
        <f t="shared" si="1"/>
        <v>18</v>
      </c>
      <c r="U58" s="208">
        <v>171</v>
      </c>
      <c r="V58" s="217">
        <f t="shared" si="2"/>
        <v>3078</v>
      </c>
      <c r="W58" s="208">
        <v>5</v>
      </c>
      <c r="X58" s="216" t="s">
        <v>46</v>
      </c>
      <c r="Y58" s="216" t="s">
        <v>69</v>
      </c>
      <c r="Z58" s="216" t="s">
        <v>55</v>
      </c>
      <c r="AA58" s="216" t="s">
        <v>47</v>
      </c>
      <c r="AB58" s="216" t="s">
        <v>341</v>
      </c>
    </row>
    <row r="59" spans="1:28" x14ac:dyDescent="0.15">
      <c r="A59" s="216" t="s">
        <v>34</v>
      </c>
      <c r="B59" s="208" t="s">
        <v>339</v>
      </c>
      <c r="C59" s="208">
        <v>2018</v>
      </c>
      <c r="D59" s="250" t="s">
        <v>348</v>
      </c>
      <c r="E59" s="237" t="s">
        <v>323</v>
      </c>
      <c r="F59" s="237" t="s">
        <v>324</v>
      </c>
      <c r="G59" s="216" t="s">
        <v>36</v>
      </c>
      <c r="H59" s="208" t="s">
        <v>168</v>
      </c>
      <c r="I59" s="216" t="s">
        <v>155</v>
      </c>
      <c r="J59" s="216" t="s">
        <v>38</v>
      </c>
      <c r="K59" s="216" t="s">
        <v>156</v>
      </c>
      <c r="L59" s="216">
        <v>1</v>
      </c>
      <c r="N59" s="208">
        <v>4</v>
      </c>
      <c r="O59" s="208">
        <v>0.5</v>
      </c>
      <c r="P59" s="208">
        <v>0.45</v>
      </c>
      <c r="Q59" s="245">
        <f t="shared" si="0"/>
        <v>0.47499999999999998</v>
      </c>
      <c r="R59" s="208">
        <v>18</v>
      </c>
      <c r="S59" s="208">
        <v>141</v>
      </c>
      <c r="T59" s="217">
        <f t="shared" si="1"/>
        <v>30</v>
      </c>
      <c r="U59" s="208">
        <v>538</v>
      </c>
      <c r="V59" s="217">
        <f t="shared" si="2"/>
        <v>4035</v>
      </c>
      <c r="W59" s="208">
        <v>5</v>
      </c>
      <c r="X59" s="216" t="s">
        <v>46</v>
      </c>
      <c r="Y59" s="216" t="s">
        <v>69</v>
      </c>
      <c r="Z59" s="216" t="s">
        <v>55</v>
      </c>
      <c r="AA59" s="216" t="s">
        <v>47</v>
      </c>
      <c r="AB59" s="216" t="s">
        <v>341</v>
      </c>
    </row>
    <row r="60" spans="1:28" x14ac:dyDescent="0.15">
      <c r="A60" s="216" t="s">
        <v>34</v>
      </c>
      <c r="B60" s="208" t="s">
        <v>339</v>
      </c>
      <c r="C60" s="208">
        <v>2018</v>
      </c>
      <c r="D60" s="250" t="s">
        <v>348</v>
      </c>
      <c r="E60" s="237" t="s">
        <v>323</v>
      </c>
      <c r="F60" s="237" t="s">
        <v>324</v>
      </c>
      <c r="G60" s="216" t="s">
        <v>36</v>
      </c>
      <c r="H60" s="208" t="s">
        <v>168</v>
      </c>
      <c r="I60" s="216" t="s">
        <v>155</v>
      </c>
      <c r="J60" s="216" t="s">
        <v>38</v>
      </c>
      <c r="K60" s="216" t="s">
        <v>156</v>
      </c>
      <c r="L60" s="208">
        <v>2</v>
      </c>
      <c r="N60" s="208">
        <v>4</v>
      </c>
      <c r="O60" s="208">
        <v>0.2</v>
      </c>
      <c r="P60" s="208">
        <v>0.45</v>
      </c>
      <c r="Q60" s="245">
        <f t="shared" si="0"/>
        <v>0.32500000000000001</v>
      </c>
      <c r="R60" s="208">
        <v>15.7</v>
      </c>
      <c r="S60" s="208">
        <v>139</v>
      </c>
      <c r="T60" s="217">
        <f t="shared" si="1"/>
        <v>30</v>
      </c>
      <c r="U60" s="208">
        <v>538</v>
      </c>
      <c r="V60" s="217">
        <f t="shared" si="2"/>
        <v>4035</v>
      </c>
      <c r="W60" s="208">
        <v>5</v>
      </c>
      <c r="X60" s="216" t="s">
        <v>46</v>
      </c>
      <c r="Y60" s="216" t="s">
        <v>69</v>
      </c>
      <c r="Z60" s="216" t="s">
        <v>55</v>
      </c>
      <c r="AA60" s="216" t="s">
        <v>47</v>
      </c>
      <c r="AB60" s="216" t="s">
        <v>341</v>
      </c>
    </row>
    <row r="61" spans="1:28" x14ac:dyDescent="0.15">
      <c r="A61" s="216" t="s">
        <v>34</v>
      </c>
      <c r="B61" s="208" t="s">
        <v>339</v>
      </c>
      <c r="C61" s="208">
        <v>2018</v>
      </c>
      <c r="D61" s="250" t="s">
        <v>348</v>
      </c>
      <c r="E61" s="237" t="s">
        <v>323</v>
      </c>
      <c r="F61" s="237" t="s">
        <v>324</v>
      </c>
      <c r="G61" s="216" t="s">
        <v>36</v>
      </c>
      <c r="H61" s="208" t="s">
        <v>168</v>
      </c>
      <c r="I61" s="216" t="s">
        <v>155</v>
      </c>
      <c r="J61" s="216" t="s">
        <v>38</v>
      </c>
      <c r="K61" s="216" t="s">
        <v>156</v>
      </c>
      <c r="L61" s="208">
        <v>3</v>
      </c>
      <c r="N61" s="208">
        <v>4</v>
      </c>
      <c r="O61" s="208">
        <v>0.2</v>
      </c>
      <c r="P61" s="208">
        <v>0.2</v>
      </c>
      <c r="Q61" s="245">
        <f t="shared" si="0"/>
        <v>0.2</v>
      </c>
      <c r="R61" s="208">
        <v>15.1</v>
      </c>
      <c r="S61" s="208">
        <v>139</v>
      </c>
      <c r="T61" s="217">
        <f t="shared" si="1"/>
        <v>30</v>
      </c>
      <c r="U61" s="208">
        <v>538</v>
      </c>
      <c r="V61" s="217">
        <f t="shared" si="2"/>
        <v>4035</v>
      </c>
      <c r="W61" s="208">
        <v>5</v>
      </c>
      <c r="X61" s="216" t="s">
        <v>46</v>
      </c>
      <c r="Y61" s="216" t="s">
        <v>69</v>
      </c>
      <c r="Z61" s="216" t="s">
        <v>55</v>
      </c>
      <c r="AA61" s="216" t="s">
        <v>47</v>
      </c>
      <c r="AB61" s="216" t="s">
        <v>341</v>
      </c>
    </row>
    <row r="62" spans="1:28" x14ac:dyDescent="0.15">
      <c r="A62" s="216" t="s">
        <v>34</v>
      </c>
      <c r="B62" s="208" t="s">
        <v>339</v>
      </c>
      <c r="C62" s="208">
        <v>2018</v>
      </c>
      <c r="D62" s="250" t="s">
        <v>348</v>
      </c>
      <c r="E62" s="237" t="s">
        <v>325</v>
      </c>
      <c r="F62" s="237" t="s">
        <v>326</v>
      </c>
      <c r="G62" s="216" t="s">
        <v>36</v>
      </c>
      <c r="H62" s="208" t="s">
        <v>157</v>
      </c>
      <c r="I62" s="216" t="s">
        <v>155</v>
      </c>
      <c r="J62" s="216" t="s">
        <v>38</v>
      </c>
      <c r="K62" s="216" t="s">
        <v>156</v>
      </c>
      <c r="L62" s="216">
        <v>1</v>
      </c>
      <c r="N62" s="208">
        <v>1</v>
      </c>
      <c r="O62" s="208">
        <v>0.7</v>
      </c>
      <c r="P62" s="208">
        <v>0.55000000000000004</v>
      </c>
      <c r="Q62" s="245">
        <f t="shared" si="0"/>
        <v>0.625</v>
      </c>
      <c r="R62" s="208">
        <v>13.4</v>
      </c>
      <c r="S62" s="208">
        <v>132</v>
      </c>
      <c r="T62" s="217">
        <f t="shared" si="1"/>
        <v>30</v>
      </c>
      <c r="U62" s="208">
        <v>108</v>
      </c>
      <c r="V62" s="217">
        <f t="shared" si="2"/>
        <v>3240</v>
      </c>
      <c r="W62" s="208">
        <v>2</v>
      </c>
      <c r="X62" s="216" t="s">
        <v>46</v>
      </c>
      <c r="Y62" s="216" t="s">
        <v>90</v>
      </c>
      <c r="Z62" s="216" t="s">
        <v>64</v>
      </c>
      <c r="AA62" s="216" t="s">
        <v>55</v>
      </c>
      <c r="AB62" s="216" t="s">
        <v>341</v>
      </c>
    </row>
    <row r="63" spans="1:28" x14ac:dyDescent="0.15">
      <c r="A63" s="216" t="s">
        <v>34</v>
      </c>
      <c r="B63" s="208" t="s">
        <v>339</v>
      </c>
      <c r="C63" s="208">
        <v>2018</v>
      </c>
      <c r="D63" s="250" t="s">
        <v>348</v>
      </c>
      <c r="E63" s="237" t="s">
        <v>325</v>
      </c>
      <c r="F63" s="237" t="s">
        <v>326</v>
      </c>
      <c r="G63" s="216" t="s">
        <v>36</v>
      </c>
      <c r="H63" s="208" t="s">
        <v>157</v>
      </c>
      <c r="I63" s="216" t="s">
        <v>155</v>
      </c>
      <c r="J63" s="216" t="s">
        <v>38</v>
      </c>
      <c r="K63" s="216" t="s">
        <v>156</v>
      </c>
      <c r="L63" s="208">
        <v>2</v>
      </c>
      <c r="N63" s="208">
        <v>1</v>
      </c>
      <c r="O63" s="208">
        <v>0.65</v>
      </c>
      <c r="P63" s="208">
        <v>0.6</v>
      </c>
      <c r="Q63" s="245">
        <f t="shared" si="0"/>
        <v>0.625</v>
      </c>
      <c r="R63" s="208">
        <v>14.5</v>
      </c>
      <c r="S63" s="208">
        <v>131</v>
      </c>
      <c r="T63" s="217">
        <f t="shared" si="1"/>
        <v>30</v>
      </c>
      <c r="U63" s="208">
        <v>108</v>
      </c>
      <c r="V63" s="217">
        <f t="shared" si="2"/>
        <v>3240</v>
      </c>
      <c r="W63" s="208">
        <v>2</v>
      </c>
      <c r="X63" s="216" t="s">
        <v>46</v>
      </c>
      <c r="Y63" s="216" t="s">
        <v>90</v>
      </c>
      <c r="Z63" s="216" t="s">
        <v>64</v>
      </c>
      <c r="AA63" s="216" t="s">
        <v>55</v>
      </c>
      <c r="AB63" s="216" t="s">
        <v>341</v>
      </c>
    </row>
    <row r="64" spans="1:28" x14ac:dyDescent="0.15">
      <c r="A64" s="216" t="s">
        <v>34</v>
      </c>
      <c r="B64" s="208" t="s">
        <v>339</v>
      </c>
      <c r="C64" s="208">
        <v>2018</v>
      </c>
      <c r="D64" s="250" t="s">
        <v>348</v>
      </c>
      <c r="E64" s="237" t="s">
        <v>325</v>
      </c>
      <c r="F64" s="237" t="s">
        <v>326</v>
      </c>
      <c r="G64" s="216" t="s">
        <v>36</v>
      </c>
      <c r="H64" s="208" t="s">
        <v>157</v>
      </c>
      <c r="I64" s="216" t="s">
        <v>155</v>
      </c>
      <c r="J64" s="216" t="s">
        <v>38</v>
      </c>
      <c r="K64" s="216" t="s">
        <v>156</v>
      </c>
      <c r="L64" s="208">
        <v>3</v>
      </c>
      <c r="N64" s="208">
        <v>1</v>
      </c>
      <c r="O64" s="208">
        <v>0.9</v>
      </c>
      <c r="P64" s="208">
        <v>0.75</v>
      </c>
      <c r="Q64" s="245">
        <f t="shared" si="0"/>
        <v>0.82499999999999996</v>
      </c>
      <c r="R64" s="208">
        <v>11.8</v>
      </c>
      <c r="S64" s="208">
        <v>128</v>
      </c>
      <c r="T64" s="217">
        <f t="shared" si="1"/>
        <v>30</v>
      </c>
      <c r="U64" s="208">
        <v>108</v>
      </c>
      <c r="V64" s="217">
        <f t="shared" si="2"/>
        <v>3240</v>
      </c>
      <c r="W64" s="208">
        <v>2</v>
      </c>
      <c r="X64" s="216" t="s">
        <v>46</v>
      </c>
      <c r="Y64" s="216" t="s">
        <v>90</v>
      </c>
      <c r="Z64" s="216" t="s">
        <v>64</v>
      </c>
      <c r="AA64" s="216" t="s">
        <v>55</v>
      </c>
      <c r="AB64" s="216" t="s">
        <v>341</v>
      </c>
    </row>
    <row r="65" spans="1:28" x14ac:dyDescent="0.15">
      <c r="A65" s="216" t="s">
        <v>34</v>
      </c>
      <c r="B65" s="208" t="s">
        <v>339</v>
      </c>
      <c r="C65" s="208">
        <v>2018</v>
      </c>
      <c r="D65" s="250" t="s">
        <v>348</v>
      </c>
      <c r="E65" s="237" t="s">
        <v>325</v>
      </c>
      <c r="F65" s="237" t="s">
        <v>326</v>
      </c>
      <c r="G65" s="216" t="s">
        <v>36</v>
      </c>
      <c r="H65" s="208" t="s">
        <v>168</v>
      </c>
      <c r="I65" s="216" t="s">
        <v>155</v>
      </c>
      <c r="J65" s="216" t="s">
        <v>38</v>
      </c>
      <c r="K65" s="216" t="s">
        <v>156</v>
      </c>
      <c r="L65" s="216">
        <v>1</v>
      </c>
      <c r="N65" s="208">
        <v>1</v>
      </c>
      <c r="O65" s="208">
        <v>0.6</v>
      </c>
      <c r="P65" s="208">
        <v>0.5</v>
      </c>
      <c r="Q65" s="245">
        <f t="shared" si="0"/>
        <v>0.55000000000000004</v>
      </c>
      <c r="R65" s="208">
        <v>14.2</v>
      </c>
      <c r="S65" s="208">
        <v>161</v>
      </c>
      <c r="T65" s="217">
        <f t="shared" si="1"/>
        <v>18</v>
      </c>
      <c r="U65" s="208">
        <v>108</v>
      </c>
      <c r="V65" s="217">
        <f t="shared" si="2"/>
        <v>1944</v>
      </c>
      <c r="W65" s="208">
        <v>6</v>
      </c>
      <c r="X65" s="216" t="s">
        <v>46</v>
      </c>
      <c r="Y65" s="216" t="s">
        <v>90</v>
      </c>
      <c r="Z65" s="216" t="s">
        <v>64</v>
      </c>
      <c r="AA65" s="216" t="s">
        <v>55</v>
      </c>
      <c r="AB65" s="216" t="s">
        <v>341</v>
      </c>
    </row>
    <row r="66" spans="1:28" x14ac:dyDescent="0.15">
      <c r="A66" s="216" t="s">
        <v>34</v>
      </c>
      <c r="B66" s="208" t="s">
        <v>339</v>
      </c>
      <c r="C66" s="208">
        <v>2018</v>
      </c>
      <c r="D66" s="250" t="s">
        <v>348</v>
      </c>
      <c r="E66" s="237" t="s">
        <v>325</v>
      </c>
      <c r="F66" s="237" t="s">
        <v>326</v>
      </c>
      <c r="G66" s="216" t="s">
        <v>36</v>
      </c>
      <c r="H66" s="208" t="s">
        <v>168</v>
      </c>
      <c r="I66" s="216" t="s">
        <v>155</v>
      </c>
      <c r="J66" s="216" t="s">
        <v>38</v>
      </c>
      <c r="K66" s="216" t="s">
        <v>156</v>
      </c>
      <c r="L66" s="208">
        <v>2</v>
      </c>
      <c r="N66" s="208">
        <v>1</v>
      </c>
      <c r="O66" s="208">
        <v>0.2</v>
      </c>
      <c r="P66" s="208">
        <v>0.5</v>
      </c>
      <c r="Q66" s="245">
        <f t="shared" si="0"/>
        <v>0.35</v>
      </c>
      <c r="R66" s="208">
        <v>15</v>
      </c>
      <c r="S66" s="208">
        <v>149</v>
      </c>
      <c r="T66" s="217">
        <f t="shared" si="1"/>
        <v>30</v>
      </c>
      <c r="U66" s="208">
        <v>108</v>
      </c>
      <c r="V66" s="217">
        <f t="shared" si="2"/>
        <v>3240</v>
      </c>
      <c r="W66" s="208">
        <v>6</v>
      </c>
      <c r="X66" s="216" t="s">
        <v>46</v>
      </c>
      <c r="Y66" s="216" t="s">
        <v>90</v>
      </c>
      <c r="Z66" s="216" t="s">
        <v>64</v>
      </c>
      <c r="AA66" s="216" t="s">
        <v>55</v>
      </c>
      <c r="AB66" s="216" t="s">
        <v>341</v>
      </c>
    </row>
    <row r="67" spans="1:28" x14ac:dyDescent="0.15">
      <c r="A67" s="216" t="s">
        <v>34</v>
      </c>
      <c r="B67" s="208" t="s">
        <v>339</v>
      </c>
      <c r="C67" s="208">
        <v>2018</v>
      </c>
      <c r="D67" s="250" t="s">
        <v>348</v>
      </c>
      <c r="E67" s="237" t="s">
        <v>325</v>
      </c>
      <c r="F67" s="237" t="s">
        <v>326</v>
      </c>
      <c r="G67" s="216" t="s">
        <v>36</v>
      </c>
      <c r="H67" s="208" t="s">
        <v>168</v>
      </c>
      <c r="I67" s="216" t="s">
        <v>155</v>
      </c>
      <c r="J67" s="216" t="s">
        <v>38</v>
      </c>
      <c r="K67" s="216" t="s">
        <v>156</v>
      </c>
      <c r="L67" s="208">
        <v>3</v>
      </c>
      <c r="N67" s="208">
        <v>1</v>
      </c>
      <c r="O67" s="208">
        <v>0.5</v>
      </c>
      <c r="P67" s="208">
        <v>0.5</v>
      </c>
      <c r="Q67" s="245">
        <f t="shared" si="0"/>
        <v>0.5</v>
      </c>
      <c r="R67" s="208">
        <v>15.2</v>
      </c>
      <c r="S67" s="208">
        <v>159</v>
      </c>
      <c r="T67" s="217">
        <f t="shared" si="1"/>
        <v>18</v>
      </c>
      <c r="U67" s="208">
        <v>108</v>
      </c>
      <c r="V67" s="217">
        <f t="shared" si="2"/>
        <v>1944</v>
      </c>
      <c r="W67" s="208">
        <v>6</v>
      </c>
      <c r="X67" s="216" t="s">
        <v>46</v>
      </c>
      <c r="Y67" s="216" t="s">
        <v>90</v>
      </c>
      <c r="Z67" s="216" t="s">
        <v>64</v>
      </c>
      <c r="AA67" s="216" t="s">
        <v>55</v>
      </c>
      <c r="AB67" s="216" t="s">
        <v>341</v>
      </c>
    </row>
    <row r="68" spans="1:28" x14ac:dyDescent="0.15">
      <c r="A68" s="216" t="s">
        <v>34</v>
      </c>
      <c r="B68" s="208" t="s">
        <v>339</v>
      </c>
      <c r="C68" s="208">
        <v>2018</v>
      </c>
      <c r="D68" s="250" t="s">
        <v>348</v>
      </c>
      <c r="E68" s="237" t="s">
        <v>327</v>
      </c>
      <c r="F68" s="237" t="s">
        <v>328</v>
      </c>
      <c r="G68" s="216" t="s">
        <v>36</v>
      </c>
      <c r="H68" s="208" t="s">
        <v>157</v>
      </c>
      <c r="I68" s="216" t="s">
        <v>155</v>
      </c>
      <c r="J68" s="216" t="s">
        <v>38</v>
      </c>
      <c r="K68" s="216" t="s">
        <v>156</v>
      </c>
      <c r="L68" s="216">
        <v>1</v>
      </c>
      <c r="N68" s="208">
        <v>4</v>
      </c>
      <c r="O68" s="208">
        <v>0.5</v>
      </c>
      <c r="P68" s="208">
        <v>0.5</v>
      </c>
      <c r="Q68" s="245">
        <f t="shared" si="0"/>
        <v>0.5</v>
      </c>
      <c r="R68" s="208">
        <v>13.7</v>
      </c>
      <c r="S68" s="208">
        <v>136</v>
      </c>
      <c r="T68" s="217">
        <f t="shared" si="1"/>
        <v>30</v>
      </c>
      <c r="U68" s="208">
        <v>495</v>
      </c>
      <c r="V68" s="217">
        <f t="shared" si="2"/>
        <v>3712.5</v>
      </c>
      <c r="W68" s="208">
        <v>1</v>
      </c>
      <c r="X68" s="216" t="s">
        <v>46</v>
      </c>
      <c r="Y68" s="216" t="s">
        <v>69</v>
      </c>
      <c r="Z68" s="216" t="s">
        <v>55</v>
      </c>
      <c r="AA68" s="216" t="s">
        <v>97</v>
      </c>
      <c r="AB68" s="216" t="s">
        <v>341</v>
      </c>
    </row>
    <row r="69" spans="1:28" x14ac:dyDescent="0.15">
      <c r="A69" s="216" t="s">
        <v>34</v>
      </c>
      <c r="B69" s="208" t="s">
        <v>339</v>
      </c>
      <c r="C69" s="208">
        <v>2018</v>
      </c>
      <c r="D69" s="250" t="s">
        <v>348</v>
      </c>
      <c r="E69" s="237" t="s">
        <v>327</v>
      </c>
      <c r="F69" s="237" t="s">
        <v>328</v>
      </c>
      <c r="G69" s="216" t="s">
        <v>36</v>
      </c>
      <c r="H69" s="208" t="s">
        <v>157</v>
      </c>
      <c r="I69" s="216" t="s">
        <v>155</v>
      </c>
      <c r="J69" s="216" t="s">
        <v>38</v>
      </c>
      <c r="K69" s="216" t="s">
        <v>156</v>
      </c>
      <c r="L69" s="208">
        <v>2</v>
      </c>
      <c r="N69" s="208">
        <v>4</v>
      </c>
      <c r="O69" s="208">
        <v>0.5</v>
      </c>
      <c r="P69" s="208">
        <v>0.5</v>
      </c>
      <c r="Q69" s="245">
        <f t="shared" si="0"/>
        <v>0.5</v>
      </c>
      <c r="R69" s="208">
        <v>13.7</v>
      </c>
      <c r="S69" s="208">
        <v>137</v>
      </c>
      <c r="T69" s="217">
        <f t="shared" si="1"/>
        <v>30</v>
      </c>
      <c r="U69" s="208">
        <v>495</v>
      </c>
      <c r="V69" s="217">
        <f t="shared" si="2"/>
        <v>3712.5</v>
      </c>
      <c r="W69" s="208">
        <v>1</v>
      </c>
      <c r="X69" s="216" t="s">
        <v>46</v>
      </c>
      <c r="Y69" s="216" t="s">
        <v>69</v>
      </c>
      <c r="Z69" s="216" t="s">
        <v>55</v>
      </c>
      <c r="AA69" s="216" t="s">
        <v>97</v>
      </c>
      <c r="AB69" s="216" t="s">
        <v>341</v>
      </c>
    </row>
    <row r="70" spans="1:28" x14ac:dyDescent="0.15">
      <c r="A70" s="216" t="s">
        <v>34</v>
      </c>
      <c r="B70" s="208" t="s">
        <v>339</v>
      </c>
      <c r="C70" s="208">
        <v>2018</v>
      </c>
      <c r="D70" s="250" t="s">
        <v>348</v>
      </c>
      <c r="E70" s="237" t="s">
        <v>327</v>
      </c>
      <c r="F70" s="237" t="s">
        <v>328</v>
      </c>
      <c r="G70" s="216" t="s">
        <v>36</v>
      </c>
      <c r="H70" s="208" t="s">
        <v>157</v>
      </c>
      <c r="I70" s="216" t="s">
        <v>155</v>
      </c>
      <c r="J70" s="216" t="s">
        <v>38</v>
      </c>
      <c r="K70" s="216" t="s">
        <v>156</v>
      </c>
      <c r="L70" s="208">
        <v>3</v>
      </c>
      <c r="N70" s="208">
        <v>4</v>
      </c>
      <c r="O70" s="208">
        <v>0.55000000000000004</v>
      </c>
      <c r="P70" s="208">
        <v>0.5</v>
      </c>
      <c r="Q70" s="245">
        <f t="shared" si="0"/>
        <v>0.52500000000000002</v>
      </c>
      <c r="R70" s="208">
        <v>13.7</v>
      </c>
      <c r="S70" s="208">
        <v>144</v>
      </c>
      <c r="T70" s="217">
        <f t="shared" si="1"/>
        <v>30</v>
      </c>
      <c r="U70" s="208">
        <v>495</v>
      </c>
      <c r="V70" s="217">
        <f t="shared" si="2"/>
        <v>3712.5</v>
      </c>
      <c r="W70" s="208">
        <v>1</v>
      </c>
      <c r="X70" s="216" t="s">
        <v>46</v>
      </c>
      <c r="Y70" s="216" t="s">
        <v>69</v>
      </c>
      <c r="Z70" s="216" t="s">
        <v>55</v>
      </c>
      <c r="AA70" s="216" t="s">
        <v>97</v>
      </c>
      <c r="AB70" s="216" t="s">
        <v>341</v>
      </c>
    </row>
    <row r="71" spans="1:28" x14ac:dyDescent="0.15">
      <c r="A71" s="216" t="s">
        <v>34</v>
      </c>
      <c r="B71" s="208" t="s">
        <v>339</v>
      </c>
      <c r="C71" s="208">
        <v>2018</v>
      </c>
      <c r="D71" s="250" t="s">
        <v>348</v>
      </c>
      <c r="E71" s="237" t="s">
        <v>327</v>
      </c>
      <c r="F71" s="237" t="s">
        <v>328</v>
      </c>
      <c r="G71" s="216" t="s">
        <v>36</v>
      </c>
      <c r="H71" s="208" t="s">
        <v>216</v>
      </c>
      <c r="I71" s="216" t="s">
        <v>155</v>
      </c>
      <c r="J71" s="216" t="s">
        <v>38</v>
      </c>
      <c r="K71" s="216" t="s">
        <v>156</v>
      </c>
      <c r="L71" s="216">
        <v>1</v>
      </c>
      <c r="N71" s="208">
        <v>1</v>
      </c>
      <c r="O71" s="208">
        <v>0.55000000000000004</v>
      </c>
      <c r="P71" s="208">
        <v>0.75</v>
      </c>
      <c r="Q71" s="245">
        <f t="shared" si="0"/>
        <v>0.65</v>
      </c>
      <c r="R71" s="208">
        <v>18.2</v>
      </c>
      <c r="S71" s="208">
        <v>121</v>
      </c>
      <c r="T71" s="217">
        <f t="shared" si="1"/>
        <v>30</v>
      </c>
      <c r="U71" s="208">
        <v>108</v>
      </c>
      <c r="V71" s="217">
        <f t="shared" si="2"/>
        <v>3240</v>
      </c>
      <c r="W71" s="208">
        <v>2</v>
      </c>
      <c r="X71" s="216" t="s">
        <v>46</v>
      </c>
      <c r="Y71" s="216" t="s">
        <v>69</v>
      </c>
      <c r="Z71" s="216" t="s">
        <v>55</v>
      </c>
      <c r="AA71" s="216" t="s">
        <v>97</v>
      </c>
      <c r="AB71" s="216" t="s">
        <v>341</v>
      </c>
    </row>
    <row r="72" spans="1:28" x14ac:dyDescent="0.15">
      <c r="A72" s="216" t="s">
        <v>34</v>
      </c>
      <c r="B72" s="208" t="s">
        <v>339</v>
      </c>
      <c r="C72" s="208">
        <v>2018</v>
      </c>
      <c r="D72" s="250" t="s">
        <v>348</v>
      </c>
      <c r="E72" s="237" t="s">
        <v>327</v>
      </c>
      <c r="F72" s="237" t="s">
        <v>328</v>
      </c>
      <c r="G72" s="216" t="s">
        <v>36</v>
      </c>
      <c r="H72" s="208" t="s">
        <v>216</v>
      </c>
      <c r="I72" s="216" t="s">
        <v>155</v>
      </c>
      <c r="J72" s="216" t="s">
        <v>38</v>
      </c>
      <c r="K72" s="216" t="s">
        <v>156</v>
      </c>
      <c r="L72" s="208">
        <v>2</v>
      </c>
      <c r="N72" s="208">
        <v>1</v>
      </c>
      <c r="O72" s="208">
        <v>0.6</v>
      </c>
      <c r="P72" s="208">
        <v>0.65</v>
      </c>
      <c r="Q72" s="245">
        <f t="shared" si="0"/>
        <v>0.625</v>
      </c>
      <c r="R72" s="208">
        <v>10.6</v>
      </c>
      <c r="S72" s="208">
        <v>117</v>
      </c>
      <c r="T72" s="217">
        <f t="shared" si="1"/>
        <v>30</v>
      </c>
      <c r="U72" s="208">
        <v>108</v>
      </c>
      <c r="V72" s="217">
        <f t="shared" si="2"/>
        <v>3240</v>
      </c>
      <c r="W72" s="208">
        <v>2</v>
      </c>
      <c r="X72" s="216" t="s">
        <v>46</v>
      </c>
      <c r="Y72" s="216" t="s">
        <v>69</v>
      </c>
      <c r="Z72" s="216" t="s">
        <v>55</v>
      </c>
      <c r="AA72" s="216" t="s">
        <v>97</v>
      </c>
      <c r="AB72" s="216" t="s">
        <v>341</v>
      </c>
    </row>
    <row r="73" spans="1:28" x14ac:dyDescent="0.15">
      <c r="A73" s="216" t="s">
        <v>34</v>
      </c>
      <c r="B73" s="208" t="s">
        <v>339</v>
      </c>
      <c r="C73" s="208">
        <v>2018</v>
      </c>
      <c r="D73" s="250" t="s">
        <v>348</v>
      </c>
      <c r="E73" s="237" t="s">
        <v>327</v>
      </c>
      <c r="F73" s="237" t="s">
        <v>328</v>
      </c>
      <c r="G73" s="216" t="s">
        <v>36</v>
      </c>
      <c r="H73" s="208" t="s">
        <v>216</v>
      </c>
      <c r="I73" s="216" t="s">
        <v>155</v>
      </c>
      <c r="J73" s="216" t="s">
        <v>38</v>
      </c>
      <c r="K73" s="216" t="s">
        <v>156</v>
      </c>
      <c r="L73" s="208">
        <v>3</v>
      </c>
      <c r="N73" s="208">
        <v>1</v>
      </c>
      <c r="O73" s="208">
        <v>0.75</v>
      </c>
      <c r="P73" s="208">
        <v>0.7</v>
      </c>
      <c r="Q73" s="245">
        <f t="shared" si="0"/>
        <v>0.72499999999999998</v>
      </c>
      <c r="R73" s="208">
        <v>16.2</v>
      </c>
      <c r="S73" s="208">
        <v>116</v>
      </c>
      <c r="T73" s="217">
        <f t="shared" si="1"/>
        <v>30</v>
      </c>
      <c r="U73" s="208">
        <v>108</v>
      </c>
      <c r="V73" s="217">
        <f t="shared" si="2"/>
        <v>3240</v>
      </c>
      <c r="W73" s="208">
        <v>2</v>
      </c>
      <c r="X73" s="216" t="s">
        <v>46</v>
      </c>
      <c r="Y73" s="216" t="s">
        <v>69</v>
      </c>
      <c r="Z73" s="216" t="s">
        <v>55</v>
      </c>
      <c r="AA73" s="216" t="s">
        <v>97</v>
      </c>
      <c r="AB73" s="216" t="s">
        <v>341</v>
      </c>
    </row>
    <row r="74" spans="1:28" x14ac:dyDescent="0.15">
      <c r="A74" s="216" t="s">
        <v>34</v>
      </c>
      <c r="B74" s="208" t="s">
        <v>339</v>
      </c>
      <c r="C74" s="208">
        <v>2018</v>
      </c>
      <c r="D74" s="250" t="s">
        <v>348</v>
      </c>
      <c r="E74" s="237" t="s">
        <v>327</v>
      </c>
      <c r="F74" s="237" t="s">
        <v>328</v>
      </c>
      <c r="G74" s="216" t="s">
        <v>36</v>
      </c>
      <c r="H74" s="208" t="s">
        <v>168</v>
      </c>
      <c r="I74" s="216" t="s">
        <v>155</v>
      </c>
      <c r="J74" s="216" t="s">
        <v>38</v>
      </c>
      <c r="K74" s="216" t="s">
        <v>156</v>
      </c>
      <c r="L74" s="216">
        <v>1</v>
      </c>
      <c r="N74" s="208">
        <v>1</v>
      </c>
      <c r="O74" s="208">
        <v>0.75</v>
      </c>
      <c r="P74" s="208">
        <v>0.7</v>
      </c>
      <c r="Q74" s="245">
        <f t="shared" si="0"/>
        <v>0.72499999999999998</v>
      </c>
      <c r="R74" s="208">
        <v>14.1</v>
      </c>
      <c r="S74" s="208">
        <v>128</v>
      </c>
      <c r="T74" s="217">
        <f t="shared" si="1"/>
        <v>30</v>
      </c>
      <c r="U74" s="208">
        <v>108</v>
      </c>
      <c r="V74" s="217">
        <f t="shared" si="2"/>
        <v>3240</v>
      </c>
      <c r="W74" s="208">
        <v>7</v>
      </c>
      <c r="X74" s="216" t="s">
        <v>46</v>
      </c>
      <c r="Y74" s="216" t="s">
        <v>69</v>
      </c>
      <c r="Z74" s="216" t="s">
        <v>55</v>
      </c>
      <c r="AA74" s="216" t="s">
        <v>97</v>
      </c>
      <c r="AB74" s="216" t="s">
        <v>341</v>
      </c>
    </row>
    <row r="75" spans="1:28" x14ac:dyDescent="0.15">
      <c r="A75" s="216" t="s">
        <v>34</v>
      </c>
      <c r="B75" s="208" t="s">
        <v>339</v>
      </c>
      <c r="C75" s="208">
        <v>2018</v>
      </c>
      <c r="D75" s="250" t="s">
        <v>348</v>
      </c>
      <c r="E75" s="237" t="s">
        <v>327</v>
      </c>
      <c r="F75" s="237" t="s">
        <v>328</v>
      </c>
      <c r="G75" s="216" t="s">
        <v>36</v>
      </c>
      <c r="H75" s="208" t="s">
        <v>168</v>
      </c>
      <c r="I75" s="216" t="s">
        <v>155</v>
      </c>
      <c r="J75" s="216" t="s">
        <v>38</v>
      </c>
      <c r="K75" s="216" t="s">
        <v>156</v>
      </c>
      <c r="L75" s="208">
        <v>2</v>
      </c>
      <c r="N75" s="208">
        <v>1</v>
      </c>
      <c r="O75" s="208">
        <v>0.45</v>
      </c>
      <c r="P75" s="208">
        <v>0.6</v>
      </c>
      <c r="Q75" s="245">
        <f t="shared" si="0"/>
        <v>0.52500000000000002</v>
      </c>
      <c r="R75" s="208">
        <v>15.8</v>
      </c>
      <c r="S75" s="208">
        <v>140</v>
      </c>
      <c r="T75" s="217">
        <f t="shared" si="1"/>
        <v>30</v>
      </c>
      <c r="U75" s="208">
        <v>108</v>
      </c>
      <c r="V75" s="217">
        <f t="shared" si="2"/>
        <v>3240</v>
      </c>
      <c r="W75" s="208">
        <v>7</v>
      </c>
      <c r="X75" s="216" t="s">
        <v>46</v>
      </c>
      <c r="Y75" s="216" t="s">
        <v>69</v>
      </c>
      <c r="Z75" s="216" t="s">
        <v>55</v>
      </c>
      <c r="AA75" s="216" t="s">
        <v>97</v>
      </c>
      <c r="AB75" s="216" t="s">
        <v>341</v>
      </c>
    </row>
    <row r="76" spans="1:28" x14ac:dyDescent="0.15">
      <c r="A76" s="216" t="s">
        <v>34</v>
      </c>
      <c r="B76" s="208" t="s">
        <v>339</v>
      </c>
      <c r="C76" s="208">
        <v>2018</v>
      </c>
      <c r="D76" s="250" t="s">
        <v>348</v>
      </c>
      <c r="E76" s="237" t="s">
        <v>327</v>
      </c>
      <c r="F76" s="237" t="s">
        <v>328</v>
      </c>
      <c r="G76" s="216" t="s">
        <v>36</v>
      </c>
      <c r="H76" s="208" t="s">
        <v>168</v>
      </c>
      <c r="I76" s="216" t="s">
        <v>155</v>
      </c>
      <c r="J76" s="216" t="s">
        <v>38</v>
      </c>
      <c r="K76" s="216" t="s">
        <v>156</v>
      </c>
      <c r="L76" s="208">
        <v>3</v>
      </c>
      <c r="N76" s="208">
        <v>1</v>
      </c>
      <c r="O76" s="208">
        <v>0.85</v>
      </c>
      <c r="P76" s="208">
        <v>0.75</v>
      </c>
      <c r="Q76" s="245">
        <f t="shared" si="0"/>
        <v>0.8</v>
      </c>
      <c r="R76" s="208">
        <v>15.1</v>
      </c>
      <c r="S76" s="208">
        <v>121</v>
      </c>
      <c r="T76" s="217">
        <f t="shared" si="1"/>
        <v>30</v>
      </c>
      <c r="U76" s="208">
        <v>108</v>
      </c>
      <c r="V76" s="217">
        <f t="shared" si="2"/>
        <v>3240</v>
      </c>
      <c r="W76" s="208">
        <v>7</v>
      </c>
      <c r="X76" s="216" t="s">
        <v>46</v>
      </c>
      <c r="Y76" s="216" t="s">
        <v>69</v>
      </c>
      <c r="Z76" s="216" t="s">
        <v>55</v>
      </c>
      <c r="AA76" s="216" t="s">
        <v>97</v>
      </c>
      <c r="AB76" s="216" t="s">
        <v>341</v>
      </c>
    </row>
    <row r="77" spans="1:28" x14ac:dyDescent="0.15">
      <c r="A77" s="216" t="s">
        <v>34</v>
      </c>
      <c r="B77" s="208" t="s">
        <v>339</v>
      </c>
      <c r="C77" s="208">
        <v>2018</v>
      </c>
      <c r="D77" s="250" t="s">
        <v>348</v>
      </c>
      <c r="E77" s="237" t="s">
        <v>327</v>
      </c>
      <c r="F77" s="237" t="s">
        <v>328</v>
      </c>
      <c r="G77" s="216" t="s">
        <v>36</v>
      </c>
      <c r="H77" s="208" t="s">
        <v>168</v>
      </c>
      <c r="I77" s="216" t="s">
        <v>155</v>
      </c>
      <c r="J77" s="216" t="s">
        <v>38</v>
      </c>
      <c r="K77" s="216" t="s">
        <v>156</v>
      </c>
      <c r="L77" s="216">
        <v>1</v>
      </c>
      <c r="N77" s="208">
        <v>3</v>
      </c>
      <c r="O77" s="208">
        <v>0.65</v>
      </c>
      <c r="P77" s="208">
        <v>0.55000000000000004</v>
      </c>
      <c r="Q77" s="245">
        <f t="shared" si="0"/>
        <v>0.60000000000000009</v>
      </c>
      <c r="R77" s="208">
        <v>16.600000000000001</v>
      </c>
      <c r="S77" s="208">
        <v>154</v>
      </c>
      <c r="T77" s="217">
        <f t="shared" si="1"/>
        <v>18</v>
      </c>
      <c r="U77" s="208">
        <v>538</v>
      </c>
      <c r="V77" s="217">
        <f t="shared" si="2"/>
        <v>3228</v>
      </c>
      <c r="W77" s="208">
        <v>7</v>
      </c>
      <c r="X77" s="216" t="s">
        <v>46</v>
      </c>
      <c r="Y77" s="216" t="s">
        <v>69</v>
      </c>
      <c r="Z77" s="216" t="s">
        <v>55</v>
      </c>
      <c r="AA77" s="216" t="s">
        <v>97</v>
      </c>
      <c r="AB77" s="216" t="s">
        <v>341</v>
      </c>
    </row>
    <row r="78" spans="1:28" x14ac:dyDescent="0.15">
      <c r="A78" s="216" t="s">
        <v>34</v>
      </c>
      <c r="B78" s="208" t="s">
        <v>339</v>
      </c>
      <c r="C78" s="208">
        <v>2018</v>
      </c>
      <c r="D78" s="250" t="s">
        <v>348</v>
      </c>
      <c r="E78" s="237" t="s">
        <v>327</v>
      </c>
      <c r="F78" s="237" t="s">
        <v>328</v>
      </c>
      <c r="G78" s="216" t="s">
        <v>36</v>
      </c>
      <c r="H78" s="208" t="s">
        <v>168</v>
      </c>
      <c r="I78" s="216" t="s">
        <v>155</v>
      </c>
      <c r="J78" s="216" t="s">
        <v>38</v>
      </c>
      <c r="K78" s="216" t="s">
        <v>156</v>
      </c>
      <c r="L78" s="216">
        <v>2</v>
      </c>
      <c r="N78" s="208">
        <v>3</v>
      </c>
      <c r="O78" s="208">
        <v>0.55000000000000004</v>
      </c>
      <c r="P78" s="208">
        <v>0.55000000000000004</v>
      </c>
      <c r="Q78" s="245">
        <f t="shared" si="0"/>
        <v>0.55000000000000004</v>
      </c>
      <c r="R78" s="208">
        <v>17.2</v>
      </c>
      <c r="S78" s="208">
        <v>148</v>
      </c>
      <c r="T78" s="217">
        <f t="shared" si="1"/>
        <v>30</v>
      </c>
      <c r="U78" s="208">
        <v>538</v>
      </c>
      <c r="V78" s="217">
        <f t="shared" si="2"/>
        <v>5380</v>
      </c>
      <c r="W78" s="208">
        <v>7</v>
      </c>
      <c r="X78" s="216" t="s">
        <v>46</v>
      </c>
      <c r="Y78" s="216" t="s">
        <v>69</v>
      </c>
      <c r="Z78" s="216" t="s">
        <v>55</v>
      </c>
      <c r="AA78" s="216" t="s">
        <v>97</v>
      </c>
      <c r="AB78" s="216" t="s">
        <v>341</v>
      </c>
    </row>
    <row r="79" spans="1:28" x14ac:dyDescent="0.15">
      <c r="A79" s="216" t="s">
        <v>34</v>
      </c>
      <c r="B79" s="208" t="s">
        <v>339</v>
      </c>
      <c r="C79" s="208">
        <v>2018</v>
      </c>
      <c r="D79" s="250" t="s">
        <v>348</v>
      </c>
      <c r="E79" s="237" t="s">
        <v>327</v>
      </c>
      <c r="F79" s="237" t="s">
        <v>328</v>
      </c>
      <c r="G79" s="216" t="s">
        <v>36</v>
      </c>
      <c r="H79" s="208" t="s">
        <v>168</v>
      </c>
      <c r="I79" s="216" t="s">
        <v>155</v>
      </c>
      <c r="J79" s="216" t="s">
        <v>38</v>
      </c>
      <c r="K79" s="216" t="s">
        <v>156</v>
      </c>
      <c r="L79" s="208">
        <v>3</v>
      </c>
      <c r="N79" s="208">
        <v>3</v>
      </c>
      <c r="O79" s="208">
        <v>0.7</v>
      </c>
      <c r="P79" s="208">
        <v>0.5</v>
      </c>
      <c r="Q79" s="245">
        <f t="shared" si="0"/>
        <v>0.6</v>
      </c>
      <c r="R79" s="208">
        <v>17.399999999999999</v>
      </c>
      <c r="S79" s="208">
        <v>145</v>
      </c>
      <c r="T79" s="217">
        <f t="shared" si="1"/>
        <v>30</v>
      </c>
      <c r="U79" s="208">
        <v>538</v>
      </c>
      <c r="V79" s="217">
        <f t="shared" si="2"/>
        <v>5380</v>
      </c>
      <c r="W79" s="208">
        <v>7</v>
      </c>
      <c r="X79" s="216" t="s">
        <v>46</v>
      </c>
      <c r="Y79" s="216" t="s">
        <v>69</v>
      </c>
      <c r="Z79" s="216" t="s">
        <v>55</v>
      </c>
      <c r="AA79" s="216" t="s">
        <v>97</v>
      </c>
      <c r="AB79" s="216" t="s">
        <v>341</v>
      </c>
    </row>
    <row r="80" spans="1:28" x14ac:dyDescent="0.15">
      <c r="A80" s="216" t="s">
        <v>34</v>
      </c>
      <c r="B80" s="208" t="s">
        <v>339</v>
      </c>
      <c r="C80" s="208">
        <v>2018</v>
      </c>
      <c r="D80" s="250" t="s">
        <v>348</v>
      </c>
      <c r="E80" s="237" t="s">
        <v>327</v>
      </c>
      <c r="F80" s="237" t="s">
        <v>328</v>
      </c>
      <c r="G80" s="216" t="s">
        <v>36</v>
      </c>
      <c r="H80" s="208" t="s">
        <v>200</v>
      </c>
      <c r="I80" s="216" t="s">
        <v>155</v>
      </c>
      <c r="J80" s="216" t="s">
        <v>244</v>
      </c>
      <c r="K80" s="216" t="s">
        <v>68</v>
      </c>
      <c r="L80" s="216">
        <v>1</v>
      </c>
      <c r="N80" s="208">
        <v>6</v>
      </c>
      <c r="O80" s="208">
        <v>0.9</v>
      </c>
      <c r="P80" s="208">
        <v>0.85</v>
      </c>
      <c r="Q80" s="245">
        <f t="shared" si="0"/>
        <v>0.875</v>
      </c>
      <c r="R80" s="208">
        <v>12.8</v>
      </c>
      <c r="S80" s="208">
        <v>68</v>
      </c>
      <c r="T80" s="217">
        <f t="shared" si="1"/>
        <v>50</v>
      </c>
      <c r="U80" s="208">
        <v>495</v>
      </c>
      <c r="V80" s="217">
        <f t="shared" si="2"/>
        <v>4125</v>
      </c>
      <c r="W80" s="208">
        <v>1</v>
      </c>
      <c r="X80" s="216" t="s">
        <v>46</v>
      </c>
      <c r="Y80" s="216" t="s">
        <v>69</v>
      </c>
      <c r="Z80" s="216" t="s">
        <v>55</v>
      </c>
      <c r="AA80" s="216" t="s">
        <v>97</v>
      </c>
      <c r="AB80" s="216" t="s">
        <v>341</v>
      </c>
    </row>
    <row r="81" spans="1:28" x14ac:dyDescent="0.15">
      <c r="A81" s="216" t="s">
        <v>34</v>
      </c>
      <c r="B81" s="208" t="s">
        <v>339</v>
      </c>
      <c r="C81" s="208">
        <v>2018</v>
      </c>
      <c r="D81" s="250" t="s">
        <v>348</v>
      </c>
      <c r="E81" s="237" t="s">
        <v>327</v>
      </c>
      <c r="F81" s="237" t="s">
        <v>328</v>
      </c>
      <c r="G81" s="216" t="s">
        <v>36</v>
      </c>
      <c r="H81" s="208" t="s">
        <v>200</v>
      </c>
      <c r="I81" s="216" t="s">
        <v>155</v>
      </c>
      <c r="J81" s="216" t="s">
        <v>244</v>
      </c>
      <c r="K81" s="216" t="s">
        <v>68</v>
      </c>
      <c r="L81" s="208">
        <v>2</v>
      </c>
      <c r="N81" s="208">
        <v>6</v>
      </c>
      <c r="O81" s="208">
        <v>0.6</v>
      </c>
      <c r="P81" s="208">
        <v>0.65</v>
      </c>
      <c r="Q81" s="245">
        <f t="shared" si="0"/>
        <v>0.625</v>
      </c>
      <c r="R81" s="208">
        <v>11.5</v>
      </c>
      <c r="S81" s="208">
        <v>69</v>
      </c>
      <c r="T81" s="217">
        <f t="shared" si="1"/>
        <v>50</v>
      </c>
      <c r="U81" s="208">
        <v>495</v>
      </c>
      <c r="V81" s="217">
        <f t="shared" si="2"/>
        <v>4125</v>
      </c>
      <c r="W81" s="208">
        <v>1</v>
      </c>
      <c r="X81" s="216" t="s">
        <v>46</v>
      </c>
      <c r="Y81" s="216" t="s">
        <v>69</v>
      </c>
      <c r="Z81" s="216" t="s">
        <v>55</v>
      </c>
      <c r="AA81" s="216" t="s">
        <v>97</v>
      </c>
      <c r="AB81" s="216" t="s">
        <v>341</v>
      </c>
    </row>
    <row r="82" spans="1:28" x14ac:dyDescent="0.15">
      <c r="A82" s="216" t="s">
        <v>34</v>
      </c>
      <c r="B82" s="208" t="s">
        <v>339</v>
      </c>
      <c r="C82" s="208">
        <v>2018</v>
      </c>
      <c r="D82" s="250" t="s">
        <v>348</v>
      </c>
      <c r="E82" s="237" t="s">
        <v>327</v>
      </c>
      <c r="F82" s="237" t="s">
        <v>328</v>
      </c>
      <c r="G82" s="216" t="s">
        <v>36</v>
      </c>
      <c r="H82" s="208" t="s">
        <v>200</v>
      </c>
      <c r="I82" s="216" t="s">
        <v>155</v>
      </c>
      <c r="J82" s="216" t="s">
        <v>244</v>
      </c>
      <c r="K82" s="216" t="s">
        <v>68</v>
      </c>
      <c r="L82" s="208">
        <v>3</v>
      </c>
      <c r="N82" s="208">
        <v>6</v>
      </c>
      <c r="O82" s="208">
        <v>0.55000000000000004</v>
      </c>
      <c r="P82" s="208">
        <v>0.75</v>
      </c>
      <c r="Q82" s="245">
        <f t="shared" si="0"/>
        <v>0.65</v>
      </c>
      <c r="R82" s="208">
        <v>11.6</v>
      </c>
      <c r="S82" s="208">
        <v>69</v>
      </c>
      <c r="T82" s="217">
        <f t="shared" si="1"/>
        <v>50</v>
      </c>
      <c r="U82" s="208">
        <v>495</v>
      </c>
      <c r="V82" s="217">
        <f t="shared" si="2"/>
        <v>4125</v>
      </c>
      <c r="W82" s="208">
        <v>1</v>
      </c>
      <c r="X82" s="216" t="s">
        <v>46</v>
      </c>
      <c r="Y82" s="216" t="s">
        <v>69</v>
      </c>
      <c r="Z82" s="216" t="s">
        <v>55</v>
      </c>
      <c r="AA82" s="216" t="s">
        <v>97</v>
      </c>
      <c r="AB82" s="216" t="s">
        <v>341</v>
      </c>
    </row>
    <row r="83" spans="1:28" x14ac:dyDescent="0.15">
      <c r="A83" s="216" t="s">
        <v>34</v>
      </c>
      <c r="B83" s="208" t="s">
        <v>339</v>
      </c>
      <c r="C83" s="208">
        <v>2018</v>
      </c>
      <c r="D83" s="250" t="s">
        <v>348</v>
      </c>
      <c r="E83" s="237" t="s">
        <v>329</v>
      </c>
      <c r="F83" s="237" t="s">
        <v>330</v>
      </c>
      <c r="G83" s="216" t="s">
        <v>36</v>
      </c>
      <c r="H83" s="208" t="s">
        <v>157</v>
      </c>
      <c r="I83" s="216" t="s">
        <v>155</v>
      </c>
      <c r="J83" s="216" t="s">
        <v>38</v>
      </c>
      <c r="K83" s="216" t="s">
        <v>156</v>
      </c>
      <c r="L83" s="216">
        <v>1</v>
      </c>
      <c r="N83" s="208">
        <v>1</v>
      </c>
      <c r="O83" s="208">
        <v>0.65</v>
      </c>
      <c r="P83" s="208">
        <v>0.65</v>
      </c>
      <c r="Q83" s="245">
        <f t="shared" ref="Q83:Q128" si="5">IF(OR(O83="",P83=""),"",AVERAGE(O83,P83))</f>
        <v>0.65</v>
      </c>
      <c r="R83" s="208">
        <v>14.5</v>
      </c>
      <c r="S83" s="208">
        <v>118</v>
      </c>
      <c r="T83" s="217">
        <f t="shared" si="1"/>
        <v>30</v>
      </c>
      <c r="U83" s="208">
        <v>105</v>
      </c>
      <c r="V83" s="217">
        <f t="shared" si="2"/>
        <v>3150</v>
      </c>
      <c r="W83" s="208">
        <v>5</v>
      </c>
      <c r="X83" s="216" t="s">
        <v>46</v>
      </c>
      <c r="Y83" s="208" t="s">
        <v>69</v>
      </c>
      <c r="Z83" s="208" t="s">
        <v>55</v>
      </c>
      <c r="AA83" s="208" t="s">
        <v>90</v>
      </c>
      <c r="AB83" s="216" t="s">
        <v>341</v>
      </c>
    </row>
    <row r="84" spans="1:28" x14ac:dyDescent="0.15">
      <c r="A84" s="216" t="s">
        <v>34</v>
      </c>
      <c r="B84" s="208" t="s">
        <v>339</v>
      </c>
      <c r="C84" s="208">
        <v>2018</v>
      </c>
      <c r="D84" s="250" t="s">
        <v>348</v>
      </c>
      <c r="E84" s="237" t="s">
        <v>329</v>
      </c>
      <c r="F84" s="237" t="s">
        <v>330</v>
      </c>
      <c r="G84" s="216" t="s">
        <v>36</v>
      </c>
      <c r="H84" s="208" t="s">
        <v>157</v>
      </c>
      <c r="I84" s="216" t="s">
        <v>155</v>
      </c>
      <c r="J84" s="216" t="s">
        <v>38</v>
      </c>
      <c r="K84" s="216" t="s">
        <v>156</v>
      </c>
      <c r="L84" s="208">
        <v>2</v>
      </c>
      <c r="N84" s="208">
        <v>1</v>
      </c>
      <c r="O84" s="208">
        <v>0.65</v>
      </c>
      <c r="P84" s="208">
        <v>0.6</v>
      </c>
      <c r="Q84" s="245">
        <f t="shared" si="5"/>
        <v>0.625</v>
      </c>
      <c r="R84" s="208">
        <v>14.5</v>
      </c>
      <c r="S84" s="208">
        <v>122</v>
      </c>
      <c r="T84" s="217">
        <f t="shared" ref="T84:T120" si="6">IF(H84="","",IF(OR(H84="GREEN",H84="GK"),IF(S84&gt;=$AX$2,VLOOKUP(S84,$AX$2:$AY$9,2,1),""),IF(S84&gt;=$AZ$2,VLOOKUP(S84,$AZ$2:$BA$9,2,1),"")))</f>
        <v>30</v>
      </c>
      <c r="U84" s="208">
        <v>105</v>
      </c>
      <c r="V84" s="217">
        <f t="shared" ref="V84:V120" si="7">IF(OR(N84="",U84="",T84=""),"",U84/N84*T84)</f>
        <v>3150</v>
      </c>
      <c r="W84" s="208">
        <v>5</v>
      </c>
      <c r="X84" s="216" t="s">
        <v>46</v>
      </c>
      <c r="Y84" s="208" t="s">
        <v>69</v>
      </c>
      <c r="Z84" s="208" t="s">
        <v>55</v>
      </c>
      <c r="AA84" s="208" t="s">
        <v>90</v>
      </c>
      <c r="AB84" s="216" t="s">
        <v>341</v>
      </c>
    </row>
    <row r="85" spans="1:28" x14ac:dyDescent="0.15">
      <c r="A85" s="216" t="s">
        <v>34</v>
      </c>
      <c r="B85" s="208" t="s">
        <v>339</v>
      </c>
      <c r="C85" s="208">
        <v>2018</v>
      </c>
      <c r="D85" s="250" t="s">
        <v>348</v>
      </c>
      <c r="E85" s="237" t="s">
        <v>329</v>
      </c>
      <c r="F85" s="237" t="s">
        <v>330</v>
      </c>
      <c r="G85" s="216" t="s">
        <v>36</v>
      </c>
      <c r="H85" s="208" t="s">
        <v>157</v>
      </c>
      <c r="I85" s="216" t="s">
        <v>155</v>
      </c>
      <c r="J85" s="216" t="s">
        <v>38</v>
      </c>
      <c r="K85" s="216" t="s">
        <v>156</v>
      </c>
      <c r="L85" s="208">
        <v>3</v>
      </c>
      <c r="N85" s="208">
        <v>1</v>
      </c>
      <c r="O85" s="208">
        <v>0.5</v>
      </c>
      <c r="P85" s="208">
        <v>0.5</v>
      </c>
      <c r="Q85" s="245">
        <f t="shared" si="5"/>
        <v>0.5</v>
      </c>
      <c r="R85" s="208">
        <v>14.8</v>
      </c>
      <c r="S85" s="208">
        <v>123</v>
      </c>
      <c r="T85" s="217">
        <f t="shared" si="6"/>
        <v>30</v>
      </c>
      <c r="U85" s="208">
        <v>105</v>
      </c>
      <c r="V85" s="217">
        <f t="shared" si="7"/>
        <v>3150</v>
      </c>
      <c r="W85" s="208">
        <v>5</v>
      </c>
      <c r="X85" s="216" t="s">
        <v>46</v>
      </c>
      <c r="Y85" s="208" t="s">
        <v>69</v>
      </c>
      <c r="Z85" s="208" t="s">
        <v>55</v>
      </c>
      <c r="AA85" s="208" t="s">
        <v>90</v>
      </c>
      <c r="AB85" s="216" t="s">
        <v>341</v>
      </c>
    </row>
    <row r="86" spans="1:28" x14ac:dyDescent="0.15">
      <c r="A86" s="216" t="s">
        <v>34</v>
      </c>
      <c r="B86" s="208" t="s">
        <v>339</v>
      </c>
      <c r="C86" s="208">
        <v>2018</v>
      </c>
      <c r="D86" s="250" t="s">
        <v>348</v>
      </c>
      <c r="E86" s="237" t="s">
        <v>329</v>
      </c>
      <c r="F86" s="237" t="s">
        <v>330</v>
      </c>
      <c r="G86" s="216" t="s">
        <v>36</v>
      </c>
      <c r="H86" s="208" t="s">
        <v>157</v>
      </c>
      <c r="I86" s="216" t="s">
        <v>155</v>
      </c>
      <c r="J86" s="216" t="s">
        <v>38</v>
      </c>
      <c r="K86" s="216" t="s">
        <v>156</v>
      </c>
      <c r="L86" s="216">
        <v>1</v>
      </c>
      <c r="N86" s="208">
        <v>4</v>
      </c>
      <c r="O86" s="208">
        <v>0.6</v>
      </c>
      <c r="P86" s="208">
        <v>0.8</v>
      </c>
      <c r="Q86" s="245">
        <f t="shared" si="5"/>
        <v>0.7</v>
      </c>
      <c r="R86" s="208">
        <v>13.2</v>
      </c>
      <c r="S86" s="208">
        <v>122</v>
      </c>
      <c r="T86" s="217">
        <f t="shared" si="6"/>
        <v>30</v>
      </c>
      <c r="U86" s="208">
        <v>429</v>
      </c>
      <c r="V86" s="217">
        <f t="shared" si="7"/>
        <v>3217.5</v>
      </c>
      <c r="W86" s="208">
        <v>5</v>
      </c>
      <c r="X86" s="216" t="s">
        <v>46</v>
      </c>
      <c r="Y86" s="208" t="s">
        <v>69</v>
      </c>
      <c r="Z86" s="208" t="s">
        <v>55</v>
      </c>
      <c r="AA86" s="208" t="s">
        <v>90</v>
      </c>
      <c r="AB86" s="216" t="s">
        <v>341</v>
      </c>
    </row>
    <row r="87" spans="1:28" x14ac:dyDescent="0.15">
      <c r="A87" s="216" t="s">
        <v>34</v>
      </c>
      <c r="B87" s="208" t="s">
        <v>339</v>
      </c>
      <c r="C87" s="208">
        <v>2018</v>
      </c>
      <c r="D87" s="250" t="s">
        <v>348</v>
      </c>
      <c r="E87" s="237" t="s">
        <v>329</v>
      </c>
      <c r="F87" s="237" t="s">
        <v>330</v>
      </c>
      <c r="G87" s="216" t="s">
        <v>36</v>
      </c>
      <c r="H87" s="208" t="s">
        <v>157</v>
      </c>
      <c r="I87" s="216" t="s">
        <v>155</v>
      </c>
      <c r="J87" s="216" t="s">
        <v>38</v>
      </c>
      <c r="K87" s="216" t="s">
        <v>156</v>
      </c>
      <c r="L87" s="208">
        <v>2</v>
      </c>
      <c r="N87" s="208">
        <v>4</v>
      </c>
      <c r="O87" s="208">
        <v>0.65</v>
      </c>
      <c r="P87" s="208">
        <v>0.5</v>
      </c>
      <c r="Q87" s="245">
        <f t="shared" si="5"/>
        <v>0.57499999999999996</v>
      </c>
      <c r="R87" s="208">
        <v>14.8</v>
      </c>
      <c r="S87" s="208">
        <v>147</v>
      </c>
      <c r="T87" s="217">
        <f t="shared" si="6"/>
        <v>30</v>
      </c>
      <c r="U87" s="208">
        <v>429</v>
      </c>
      <c r="V87" s="217">
        <f t="shared" si="7"/>
        <v>3217.5</v>
      </c>
      <c r="W87" s="208">
        <v>5</v>
      </c>
      <c r="X87" s="216" t="s">
        <v>46</v>
      </c>
      <c r="Y87" s="208" t="s">
        <v>69</v>
      </c>
      <c r="Z87" s="208" t="s">
        <v>55</v>
      </c>
      <c r="AA87" s="208" t="s">
        <v>90</v>
      </c>
      <c r="AB87" s="216" t="s">
        <v>341</v>
      </c>
    </row>
    <row r="88" spans="1:28" x14ac:dyDescent="0.15">
      <c r="A88" s="216" t="s">
        <v>34</v>
      </c>
      <c r="B88" s="208" t="s">
        <v>339</v>
      </c>
      <c r="C88" s="208">
        <v>2018</v>
      </c>
      <c r="D88" s="250" t="s">
        <v>348</v>
      </c>
      <c r="E88" s="237" t="s">
        <v>329</v>
      </c>
      <c r="F88" s="237" t="s">
        <v>330</v>
      </c>
      <c r="G88" s="216" t="s">
        <v>36</v>
      </c>
      <c r="H88" s="208" t="s">
        <v>157</v>
      </c>
      <c r="I88" s="216" t="s">
        <v>155</v>
      </c>
      <c r="J88" s="216" t="s">
        <v>38</v>
      </c>
      <c r="K88" s="216" t="s">
        <v>156</v>
      </c>
      <c r="L88" s="208">
        <v>3</v>
      </c>
      <c r="N88" s="208">
        <v>4</v>
      </c>
      <c r="O88" s="208">
        <v>0.7</v>
      </c>
      <c r="P88" s="208">
        <v>0.6</v>
      </c>
      <c r="Q88" s="245">
        <f t="shared" si="5"/>
        <v>0.64999999999999991</v>
      </c>
      <c r="R88" s="208">
        <v>14.7</v>
      </c>
      <c r="S88" s="208">
        <v>118</v>
      </c>
      <c r="T88" s="217">
        <f t="shared" si="6"/>
        <v>30</v>
      </c>
      <c r="U88" s="208">
        <v>429</v>
      </c>
      <c r="V88" s="217">
        <f t="shared" si="7"/>
        <v>3217.5</v>
      </c>
      <c r="W88" s="208">
        <v>5</v>
      </c>
      <c r="X88" s="216" t="s">
        <v>46</v>
      </c>
      <c r="Y88" s="208" t="s">
        <v>69</v>
      </c>
      <c r="Z88" s="208" t="s">
        <v>55</v>
      </c>
      <c r="AA88" s="208" t="s">
        <v>90</v>
      </c>
      <c r="AB88" s="216" t="s">
        <v>341</v>
      </c>
    </row>
    <row r="89" spans="1:28" x14ac:dyDescent="0.15">
      <c r="A89" s="216" t="s">
        <v>34</v>
      </c>
      <c r="B89" s="208" t="s">
        <v>339</v>
      </c>
      <c r="C89" s="208">
        <v>2018</v>
      </c>
      <c r="D89" s="250" t="s">
        <v>348</v>
      </c>
      <c r="E89" s="237" t="s">
        <v>329</v>
      </c>
      <c r="F89" s="237" t="s">
        <v>330</v>
      </c>
      <c r="G89" s="216" t="s">
        <v>36</v>
      </c>
      <c r="H89" s="208" t="s">
        <v>157</v>
      </c>
      <c r="I89" s="216" t="s">
        <v>158</v>
      </c>
      <c r="J89" s="216" t="s">
        <v>38</v>
      </c>
      <c r="K89" s="216" t="s">
        <v>156</v>
      </c>
      <c r="L89" s="216">
        <v>1</v>
      </c>
      <c r="N89" s="208">
        <v>5</v>
      </c>
      <c r="O89" s="208">
        <v>0.5</v>
      </c>
      <c r="P89" s="208">
        <v>0.65</v>
      </c>
      <c r="Q89" s="245">
        <f t="shared" si="5"/>
        <v>0.57499999999999996</v>
      </c>
      <c r="R89" s="208">
        <v>10.3</v>
      </c>
      <c r="S89" s="208">
        <v>84</v>
      </c>
      <c r="T89" s="217">
        <f t="shared" si="6"/>
        <v>36</v>
      </c>
      <c r="U89" s="208">
        <v>537</v>
      </c>
      <c r="V89" s="217">
        <f t="shared" si="7"/>
        <v>3866.4</v>
      </c>
      <c r="W89" s="208">
        <v>1</v>
      </c>
      <c r="X89" s="216" t="s">
        <v>46</v>
      </c>
      <c r="Y89" s="208" t="s">
        <v>69</v>
      </c>
      <c r="Z89" s="208" t="s">
        <v>55</v>
      </c>
      <c r="AA89" s="208" t="s">
        <v>90</v>
      </c>
      <c r="AB89" s="216" t="s">
        <v>341</v>
      </c>
    </row>
    <row r="90" spans="1:28" x14ac:dyDescent="0.15">
      <c r="A90" s="216" t="s">
        <v>34</v>
      </c>
      <c r="B90" s="208" t="s">
        <v>339</v>
      </c>
      <c r="C90" s="208">
        <v>2018</v>
      </c>
      <c r="D90" s="250" t="s">
        <v>348</v>
      </c>
      <c r="E90" s="237" t="s">
        <v>329</v>
      </c>
      <c r="F90" s="237" t="s">
        <v>330</v>
      </c>
      <c r="G90" s="216" t="s">
        <v>36</v>
      </c>
      <c r="H90" s="208" t="s">
        <v>157</v>
      </c>
      <c r="I90" s="216" t="s">
        <v>158</v>
      </c>
      <c r="J90" s="216" t="s">
        <v>38</v>
      </c>
      <c r="K90" s="216" t="s">
        <v>156</v>
      </c>
      <c r="L90" s="208">
        <v>2</v>
      </c>
      <c r="N90" s="208">
        <v>5</v>
      </c>
      <c r="O90" s="208">
        <v>0.2</v>
      </c>
      <c r="P90" s="208">
        <v>0.45</v>
      </c>
      <c r="Q90" s="245">
        <f t="shared" si="5"/>
        <v>0.32500000000000001</v>
      </c>
      <c r="R90" s="208">
        <v>14.1</v>
      </c>
      <c r="S90" s="208">
        <v>88</v>
      </c>
      <c r="T90" s="217">
        <f t="shared" si="6"/>
        <v>36</v>
      </c>
      <c r="U90" s="208">
        <v>537</v>
      </c>
      <c r="V90" s="217">
        <f t="shared" si="7"/>
        <v>3866.4</v>
      </c>
      <c r="W90" s="208">
        <v>1</v>
      </c>
      <c r="X90" s="216" t="s">
        <v>46</v>
      </c>
      <c r="Y90" s="208" t="s">
        <v>69</v>
      </c>
      <c r="Z90" s="208" t="s">
        <v>55</v>
      </c>
      <c r="AA90" s="208" t="s">
        <v>90</v>
      </c>
      <c r="AB90" s="216" t="s">
        <v>341</v>
      </c>
    </row>
    <row r="91" spans="1:28" x14ac:dyDescent="0.15">
      <c r="A91" s="216" t="s">
        <v>34</v>
      </c>
      <c r="B91" s="208" t="s">
        <v>339</v>
      </c>
      <c r="C91" s="208">
        <v>2018</v>
      </c>
      <c r="D91" s="250" t="s">
        <v>348</v>
      </c>
      <c r="E91" s="237" t="s">
        <v>329</v>
      </c>
      <c r="F91" s="237" t="s">
        <v>330</v>
      </c>
      <c r="G91" s="216" t="s">
        <v>36</v>
      </c>
      <c r="H91" s="208" t="s">
        <v>157</v>
      </c>
      <c r="I91" s="216" t="s">
        <v>158</v>
      </c>
      <c r="J91" s="216" t="s">
        <v>38</v>
      </c>
      <c r="K91" s="216" t="s">
        <v>156</v>
      </c>
      <c r="L91" s="208">
        <v>3</v>
      </c>
      <c r="N91" s="208">
        <v>5</v>
      </c>
      <c r="O91" s="208">
        <v>0.2</v>
      </c>
      <c r="P91" s="208">
        <v>0.2</v>
      </c>
      <c r="Q91" s="245">
        <f t="shared" si="5"/>
        <v>0.2</v>
      </c>
      <c r="R91" s="208">
        <v>11</v>
      </c>
      <c r="S91" s="208">
        <v>92</v>
      </c>
      <c r="T91" s="217">
        <f t="shared" si="6"/>
        <v>36</v>
      </c>
      <c r="U91" s="208">
        <v>537</v>
      </c>
      <c r="V91" s="217">
        <f t="shared" si="7"/>
        <v>3866.4</v>
      </c>
      <c r="W91" s="208">
        <v>1</v>
      </c>
      <c r="X91" s="216" t="s">
        <v>46</v>
      </c>
      <c r="Y91" s="208" t="s">
        <v>69</v>
      </c>
      <c r="Z91" s="208" t="s">
        <v>55</v>
      </c>
      <c r="AA91" s="208" t="s">
        <v>90</v>
      </c>
      <c r="AB91" s="216" t="s">
        <v>341</v>
      </c>
    </row>
    <row r="92" spans="1:28" x14ac:dyDescent="0.15">
      <c r="A92" s="216" t="s">
        <v>34</v>
      </c>
      <c r="B92" s="208" t="s">
        <v>339</v>
      </c>
      <c r="C92" s="208">
        <v>2018</v>
      </c>
      <c r="D92" s="250" t="s">
        <v>348</v>
      </c>
      <c r="E92" s="237" t="s">
        <v>329</v>
      </c>
      <c r="F92" s="237" t="s">
        <v>330</v>
      </c>
      <c r="G92" s="216" t="s">
        <v>36</v>
      </c>
      <c r="H92" s="208" t="s">
        <v>168</v>
      </c>
      <c r="I92" s="216" t="s">
        <v>155</v>
      </c>
      <c r="J92" s="216" t="s">
        <v>38</v>
      </c>
      <c r="K92" s="216" t="s">
        <v>156</v>
      </c>
      <c r="L92" s="216">
        <v>1</v>
      </c>
      <c r="N92" s="208">
        <v>1</v>
      </c>
      <c r="O92" s="208">
        <v>0.5</v>
      </c>
      <c r="P92" s="208">
        <v>0.45</v>
      </c>
      <c r="Q92" s="245">
        <f t="shared" si="5"/>
        <v>0.47499999999999998</v>
      </c>
      <c r="R92" s="208">
        <v>15.4</v>
      </c>
      <c r="S92" s="208">
        <v>141</v>
      </c>
      <c r="T92" s="217">
        <f t="shared" si="6"/>
        <v>30</v>
      </c>
      <c r="U92" s="208">
        <v>170</v>
      </c>
      <c r="V92" s="217">
        <f t="shared" si="7"/>
        <v>5100</v>
      </c>
      <c r="W92" s="208">
        <v>5</v>
      </c>
      <c r="X92" s="216" t="s">
        <v>46</v>
      </c>
      <c r="Y92" s="208" t="s">
        <v>69</v>
      </c>
      <c r="Z92" s="208" t="s">
        <v>55</v>
      </c>
      <c r="AA92" s="208" t="s">
        <v>90</v>
      </c>
      <c r="AB92" s="216" t="s">
        <v>341</v>
      </c>
    </row>
    <row r="93" spans="1:28" x14ac:dyDescent="0.15">
      <c r="A93" s="216" t="s">
        <v>34</v>
      </c>
      <c r="B93" s="208" t="s">
        <v>339</v>
      </c>
      <c r="C93" s="208">
        <v>2018</v>
      </c>
      <c r="D93" s="250" t="s">
        <v>348</v>
      </c>
      <c r="E93" s="237" t="s">
        <v>329</v>
      </c>
      <c r="F93" s="237" t="s">
        <v>330</v>
      </c>
      <c r="G93" s="216" t="s">
        <v>36</v>
      </c>
      <c r="H93" s="208" t="s">
        <v>168</v>
      </c>
      <c r="I93" s="216" t="s">
        <v>155</v>
      </c>
      <c r="J93" s="216" t="s">
        <v>38</v>
      </c>
      <c r="K93" s="216" t="s">
        <v>156</v>
      </c>
      <c r="L93" s="208">
        <v>2</v>
      </c>
      <c r="N93" s="208">
        <v>1</v>
      </c>
      <c r="O93" s="208">
        <v>0.6</v>
      </c>
      <c r="P93" s="208">
        <v>0.75</v>
      </c>
      <c r="Q93" s="245">
        <f t="shared" si="5"/>
        <v>0.67500000000000004</v>
      </c>
      <c r="R93" s="208">
        <v>14.4</v>
      </c>
      <c r="S93" s="208">
        <v>146</v>
      </c>
      <c r="T93" s="217">
        <f t="shared" si="6"/>
        <v>30</v>
      </c>
      <c r="U93" s="208">
        <v>170</v>
      </c>
      <c r="V93" s="217">
        <f t="shared" si="7"/>
        <v>5100</v>
      </c>
      <c r="W93" s="208">
        <v>5</v>
      </c>
      <c r="X93" s="216" t="s">
        <v>46</v>
      </c>
      <c r="Y93" s="208" t="s">
        <v>69</v>
      </c>
      <c r="Z93" s="208" t="s">
        <v>55</v>
      </c>
      <c r="AA93" s="208" t="s">
        <v>90</v>
      </c>
      <c r="AB93" s="216" t="s">
        <v>341</v>
      </c>
    </row>
    <row r="94" spans="1:28" x14ac:dyDescent="0.15">
      <c r="A94" s="216" t="s">
        <v>34</v>
      </c>
      <c r="B94" s="208" t="s">
        <v>339</v>
      </c>
      <c r="C94" s="208">
        <v>2018</v>
      </c>
      <c r="D94" s="250" t="s">
        <v>348</v>
      </c>
      <c r="E94" s="237" t="s">
        <v>329</v>
      </c>
      <c r="F94" s="237" t="s">
        <v>330</v>
      </c>
      <c r="G94" s="216" t="s">
        <v>36</v>
      </c>
      <c r="H94" s="208" t="s">
        <v>168</v>
      </c>
      <c r="I94" s="216" t="s">
        <v>155</v>
      </c>
      <c r="J94" s="216" t="s">
        <v>38</v>
      </c>
      <c r="K94" s="216" t="s">
        <v>156</v>
      </c>
      <c r="L94" s="208">
        <v>3</v>
      </c>
      <c r="N94" s="208">
        <v>1</v>
      </c>
      <c r="O94" s="208">
        <v>0.6</v>
      </c>
      <c r="P94" s="208">
        <v>0.6</v>
      </c>
      <c r="Q94" s="245">
        <f t="shared" si="5"/>
        <v>0.6</v>
      </c>
      <c r="R94" s="208">
        <v>14.6</v>
      </c>
      <c r="S94" s="208">
        <v>147</v>
      </c>
      <c r="T94" s="217">
        <f t="shared" si="6"/>
        <v>30</v>
      </c>
      <c r="U94" s="208">
        <v>170</v>
      </c>
      <c r="V94" s="217">
        <f t="shared" si="7"/>
        <v>5100</v>
      </c>
      <c r="W94" s="208">
        <v>5</v>
      </c>
      <c r="X94" s="216" t="s">
        <v>46</v>
      </c>
      <c r="Y94" s="208" t="s">
        <v>69</v>
      </c>
      <c r="Z94" s="208" t="s">
        <v>55</v>
      </c>
      <c r="AA94" s="208" t="s">
        <v>90</v>
      </c>
      <c r="AB94" s="216" t="s">
        <v>341</v>
      </c>
    </row>
    <row r="95" spans="1:28" x14ac:dyDescent="0.15">
      <c r="A95" s="216" t="s">
        <v>34</v>
      </c>
      <c r="B95" s="208" t="s">
        <v>339</v>
      </c>
      <c r="C95" s="208">
        <v>2018</v>
      </c>
      <c r="D95" s="250" t="s">
        <v>348</v>
      </c>
      <c r="E95" s="237" t="s">
        <v>329</v>
      </c>
      <c r="F95" s="237" t="s">
        <v>330</v>
      </c>
      <c r="G95" s="216" t="s">
        <v>36</v>
      </c>
      <c r="H95" s="208" t="s">
        <v>168</v>
      </c>
      <c r="I95" s="216" t="s">
        <v>155</v>
      </c>
      <c r="J95" s="216" t="s">
        <v>38</v>
      </c>
      <c r="K95" s="216" t="s">
        <v>156</v>
      </c>
      <c r="L95" s="216">
        <v>1</v>
      </c>
      <c r="N95" s="208">
        <v>3</v>
      </c>
      <c r="O95" s="208">
        <v>0.8</v>
      </c>
      <c r="P95" s="208">
        <v>0.9</v>
      </c>
      <c r="Q95" s="245">
        <f t="shared" si="5"/>
        <v>0.85000000000000009</v>
      </c>
      <c r="R95" s="208">
        <v>14.6</v>
      </c>
      <c r="S95" s="208">
        <v>144</v>
      </c>
      <c r="T95" s="217">
        <f t="shared" si="6"/>
        <v>30</v>
      </c>
      <c r="U95" s="208">
        <v>486</v>
      </c>
      <c r="V95" s="217">
        <f t="shared" si="7"/>
        <v>4860</v>
      </c>
      <c r="W95" s="208">
        <v>5</v>
      </c>
      <c r="X95" s="216" t="s">
        <v>46</v>
      </c>
      <c r="Y95" s="208" t="s">
        <v>69</v>
      </c>
      <c r="Z95" s="208" t="s">
        <v>55</v>
      </c>
      <c r="AA95" s="208" t="s">
        <v>90</v>
      </c>
      <c r="AB95" s="216" t="s">
        <v>341</v>
      </c>
    </row>
    <row r="96" spans="1:28" x14ac:dyDescent="0.15">
      <c r="A96" s="216" t="s">
        <v>34</v>
      </c>
      <c r="B96" s="208" t="s">
        <v>339</v>
      </c>
      <c r="C96" s="208">
        <v>2018</v>
      </c>
      <c r="D96" s="250" t="s">
        <v>348</v>
      </c>
      <c r="E96" s="237" t="s">
        <v>329</v>
      </c>
      <c r="F96" s="237" t="s">
        <v>330</v>
      </c>
      <c r="G96" s="216" t="s">
        <v>36</v>
      </c>
      <c r="H96" s="208" t="s">
        <v>168</v>
      </c>
      <c r="I96" s="216" t="s">
        <v>155</v>
      </c>
      <c r="J96" s="216" t="s">
        <v>38</v>
      </c>
      <c r="K96" s="216" t="s">
        <v>156</v>
      </c>
      <c r="L96" s="208">
        <v>2</v>
      </c>
      <c r="N96" s="208">
        <v>3</v>
      </c>
      <c r="O96" s="208">
        <v>0.55000000000000004</v>
      </c>
      <c r="P96" s="208">
        <v>0.6</v>
      </c>
      <c r="Q96" s="245">
        <f t="shared" si="5"/>
        <v>0.57499999999999996</v>
      </c>
      <c r="R96" s="208">
        <v>17.399999999999999</v>
      </c>
      <c r="S96" s="208">
        <v>145</v>
      </c>
      <c r="T96" s="217">
        <f t="shared" si="6"/>
        <v>30</v>
      </c>
      <c r="U96" s="208">
        <v>486</v>
      </c>
      <c r="V96" s="217">
        <f t="shared" si="7"/>
        <v>4860</v>
      </c>
      <c r="W96" s="208">
        <v>5</v>
      </c>
      <c r="X96" s="216" t="s">
        <v>46</v>
      </c>
      <c r="Y96" s="208" t="s">
        <v>69</v>
      </c>
      <c r="Z96" s="208" t="s">
        <v>55</v>
      </c>
      <c r="AA96" s="208" t="s">
        <v>90</v>
      </c>
      <c r="AB96" s="216" t="s">
        <v>341</v>
      </c>
    </row>
    <row r="97" spans="1:28" x14ac:dyDescent="0.15">
      <c r="A97" s="216" t="s">
        <v>34</v>
      </c>
      <c r="B97" s="208" t="s">
        <v>339</v>
      </c>
      <c r="C97" s="208">
        <v>2018</v>
      </c>
      <c r="D97" s="250" t="s">
        <v>348</v>
      </c>
      <c r="E97" s="237" t="s">
        <v>329</v>
      </c>
      <c r="F97" s="237" t="s">
        <v>330</v>
      </c>
      <c r="G97" s="216" t="s">
        <v>36</v>
      </c>
      <c r="H97" s="208" t="s">
        <v>168</v>
      </c>
      <c r="I97" s="216" t="s">
        <v>155</v>
      </c>
      <c r="J97" s="216" t="s">
        <v>38</v>
      </c>
      <c r="K97" s="216" t="s">
        <v>156</v>
      </c>
      <c r="L97" s="208">
        <v>3</v>
      </c>
      <c r="N97" s="208">
        <v>3</v>
      </c>
      <c r="O97" s="208">
        <v>0.55000000000000004</v>
      </c>
      <c r="P97" s="208">
        <v>0.6</v>
      </c>
      <c r="Q97" s="245">
        <f t="shared" si="5"/>
        <v>0.57499999999999996</v>
      </c>
      <c r="R97" s="208">
        <v>13.8</v>
      </c>
      <c r="S97" s="208">
        <v>116</v>
      </c>
      <c r="T97" s="217">
        <f t="shared" si="6"/>
        <v>30</v>
      </c>
      <c r="U97" s="208">
        <v>486</v>
      </c>
      <c r="V97" s="217">
        <f t="shared" si="7"/>
        <v>4860</v>
      </c>
      <c r="W97" s="208">
        <v>5</v>
      </c>
      <c r="X97" s="216" t="s">
        <v>46</v>
      </c>
      <c r="Y97" s="208" t="s">
        <v>69</v>
      </c>
      <c r="Z97" s="208" t="s">
        <v>55</v>
      </c>
      <c r="AA97" s="208" t="s">
        <v>90</v>
      </c>
      <c r="AB97" s="216" t="s">
        <v>341</v>
      </c>
    </row>
    <row r="98" spans="1:28" x14ac:dyDescent="0.15">
      <c r="A98" s="216" t="s">
        <v>34</v>
      </c>
      <c r="B98" s="208" t="s">
        <v>339</v>
      </c>
      <c r="C98" s="208">
        <v>2018</v>
      </c>
      <c r="D98" s="250" t="s">
        <v>348</v>
      </c>
      <c r="E98" s="237" t="s">
        <v>210</v>
      </c>
      <c r="F98" s="237" t="s">
        <v>331</v>
      </c>
      <c r="G98" s="216" t="s">
        <v>36</v>
      </c>
      <c r="H98" s="208" t="s">
        <v>157</v>
      </c>
      <c r="I98" s="216" t="s">
        <v>155</v>
      </c>
      <c r="J98" s="216" t="s">
        <v>38</v>
      </c>
      <c r="K98" s="216" t="s">
        <v>156</v>
      </c>
      <c r="L98" s="216">
        <v>1</v>
      </c>
      <c r="N98" s="208">
        <v>4</v>
      </c>
      <c r="O98" s="208">
        <v>0.2</v>
      </c>
      <c r="P98" s="208">
        <v>0.45</v>
      </c>
      <c r="Q98" s="245">
        <f t="shared" si="5"/>
        <v>0.32500000000000001</v>
      </c>
      <c r="R98" s="208">
        <v>11</v>
      </c>
      <c r="S98" s="208">
        <v>93</v>
      </c>
      <c r="T98" s="217">
        <f t="shared" si="6"/>
        <v>36</v>
      </c>
      <c r="U98" s="208">
        <v>429</v>
      </c>
      <c r="V98" s="217">
        <f t="shared" si="7"/>
        <v>3861</v>
      </c>
      <c r="W98" s="208">
        <v>1</v>
      </c>
      <c r="X98" s="216" t="s">
        <v>46</v>
      </c>
      <c r="Y98" s="208" t="s">
        <v>55</v>
      </c>
      <c r="Z98" s="208" t="s">
        <v>69</v>
      </c>
      <c r="AA98" s="208" t="s">
        <v>97</v>
      </c>
      <c r="AB98" s="216" t="s">
        <v>341</v>
      </c>
    </row>
    <row r="99" spans="1:28" x14ac:dyDescent="0.15">
      <c r="A99" s="216" t="s">
        <v>34</v>
      </c>
      <c r="B99" s="208" t="s">
        <v>339</v>
      </c>
      <c r="C99" s="208">
        <v>2018</v>
      </c>
      <c r="D99" s="250" t="s">
        <v>348</v>
      </c>
      <c r="E99" s="237" t="s">
        <v>210</v>
      </c>
      <c r="F99" s="237" t="s">
        <v>331</v>
      </c>
      <c r="G99" s="216" t="s">
        <v>36</v>
      </c>
      <c r="H99" s="208" t="s">
        <v>157</v>
      </c>
      <c r="I99" s="216" t="s">
        <v>155</v>
      </c>
      <c r="J99" s="216" t="s">
        <v>38</v>
      </c>
      <c r="K99" s="216" t="s">
        <v>156</v>
      </c>
      <c r="L99" s="208">
        <v>2</v>
      </c>
      <c r="N99" s="208">
        <v>4</v>
      </c>
      <c r="O99" s="208">
        <v>0.2</v>
      </c>
      <c r="P99" s="208">
        <v>0.45</v>
      </c>
      <c r="Q99" s="245">
        <f t="shared" si="5"/>
        <v>0.32500000000000001</v>
      </c>
      <c r="R99" s="208">
        <v>11.7</v>
      </c>
      <c r="S99" s="208">
        <v>93</v>
      </c>
      <c r="T99" s="217">
        <f t="shared" si="6"/>
        <v>36</v>
      </c>
      <c r="U99" s="208">
        <v>429</v>
      </c>
      <c r="V99" s="217">
        <f t="shared" si="7"/>
        <v>3861</v>
      </c>
      <c r="W99" s="208">
        <v>1</v>
      </c>
      <c r="X99" s="216" t="s">
        <v>46</v>
      </c>
      <c r="Y99" s="208" t="s">
        <v>55</v>
      </c>
      <c r="Z99" s="208" t="s">
        <v>69</v>
      </c>
      <c r="AA99" s="208" t="s">
        <v>97</v>
      </c>
      <c r="AB99" s="216" t="s">
        <v>341</v>
      </c>
    </row>
    <row r="100" spans="1:28" x14ac:dyDescent="0.15">
      <c r="A100" s="216" t="s">
        <v>34</v>
      </c>
      <c r="B100" s="208" t="s">
        <v>339</v>
      </c>
      <c r="C100" s="208">
        <v>2018</v>
      </c>
      <c r="D100" s="250" t="s">
        <v>348</v>
      </c>
      <c r="E100" s="237" t="s">
        <v>210</v>
      </c>
      <c r="F100" s="237" t="s">
        <v>331</v>
      </c>
      <c r="G100" s="216" t="s">
        <v>36</v>
      </c>
      <c r="H100" s="208" t="s">
        <v>157</v>
      </c>
      <c r="I100" s="216" t="s">
        <v>155</v>
      </c>
      <c r="J100" s="216" t="s">
        <v>38</v>
      </c>
      <c r="K100" s="216" t="s">
        <v>156</v>
      </c>
      <c r="L100" s="208">
        <v>3</v>
      </c>
      <c r="N100" s="208">
        <v>4</v>
      </c>
      <c r="O100" s="208">
        <v>0.55000000000000004</v>
      </c>
      <c r="P100" s="208">
        <v>0.55000000000000004</v>
      </c>
      <c r="Q100" s="245">
        <f t="shared" si="5"/>
        <v>0.55000000000000004</v>
      </c>
      <c r="R100" s="208">
        <v>9.8000000000000007</v>
      </c>
      <c r="S100" s="208">
        <v>104</v>
      </c>
      <c r="T100" s="217">
        <f t="shared" si="6"/>
        <v>33</v>
      </c>
      <c r="U100" s="208">
        <v>429</v>
      </c>
      <c r="V100" s="217">
        <f t="shared" si="7"/>
        <v>3539.25</v>
      </c>
      <c r="W100" s="208">
        <v>1</v>
      </c>
      <c r="X100" s="216" t="s">
        <v>46</v>
      </c>
      <c r="Y100" s="208" t="s">
        <v>55</v>
      </c>
      <c r="Z100" s="208" t="s">
        <v>69</v>
      </c>
      <c r="AA100" s="208" t="s">
        <v>97</v>
      </c>
      <c r="AB100" s="216" t="s">
        <v>341</v>
      </c>
    </row>
    <row r="101" spans="1:28" x14ac:dyDescent="0.15">
      <c r="A101" s="216" t="s">
        <v>34</v>
      </c>
      <c r="B101" s="208" t="s">
        <v>339</v>
      </c>
      <c r="C101" s="208">
        <v>2018</v>
      </c>
      <c r="D101" s="250" t="s">
        <v>348</v>
      </c>
      <c r="E101" s="237" t="s">
        <v>210</v>
      </c>
      <c r="F101" s="237" t="s">
        <v>331</v>
      </c>
      <c r="G101" s="216" t="s">
        <v>36</v>
      </c>
      <c r="H101" s="208" t="s">
        <v>168</v>
      </c>
      <c r="I101" s="216" t="s">
        <v>155</v>
      </c>
      <c r="J101" s="216" t="s">
        <v>38</v>
      </c>
      <c r="K101" s="216" t="s">
        <v>156</v>
      </c>
      <c r="L101" s="216">
        <v>1</v>
      </c>
      <c r="N101" s="208">
        <v>1</v>
      </c>
      <c r="O101" s="208">
        <v>0.6</v>
      </c>
      <c r="P101" s="208">
        <v>0.5</v>
      </c>
      <c r="Q101" s="245">
        <f t="shared" si="5"/>
        <v>0.55000000000000004</v>
      </c>
      <c r="R101" s="208">
        <v>15.6</v>
      </c>
      <c r="S101" s="208">
        <v>175</v>
      </c>
      <c r="T101" s="217">
        <f t="shared" si="6"/>
        <v>18</v>
      </c>
      <c r="U101" s="208">
        <v>170</v>
      </c>
      <c r="V101" s="217">
        <f t="shared" si="7"/>
        <v>3060</v>
      </c>
      <c r="W101" s="208">
        <v>14</v>
      </c>
      <c r="X101" s="216" t="s">
        <v>46</v>
      </c>
      <c r="Y101" s="208" t="s">
        <v>55</v>
      </c>
      <c r="Z101" s="208" t="s">
        <v>69</v>
      </c>
      <c r="AA101" s="208" t="s">
        <v>97</v>
      </c>
      <c r="AB101" s="216" t="s">
        <v>341</v>
      </c>
    </row>
    <row r="102" spans="1:28" x14ac:dyDescent="0.15">
      <c r="A102" s="216" t="s">
        <v>34</v>
      </c>
      <c r="B102" s="208" t="s">
        <v>339</v>
      </c>
      <c r="C102" s="208">
        <v>2018</v>
      </c>
      <c r="D102" s="250" t="s">
        <v>348</v>
      </c>
      <c r="E102" s="237" t="s">
        <v>210</v>
      </c>
      <c r="F102" s="237" t="s">
        <v>331</v>
      </c>
      <c r="G102" s="216" t="s">
        <v>36</v>
      </c>
      <c r="H102" s="208" t="s">
        <v>168</v>
      </c>
      <c r="I102" s="216" t="s">
        <v>155</v>
      </c>
      <c r="J102" s="216" t="s">
        <v>38</v>
      </c>
      <c r="K102" s="216" t="s">
        <v>156</v>
      </c>
      <c r="L102" s="208">
        <v>2</v>
      </c>
      <c r="N102" s="208">
        <v>1</v>
      </c>
      <c r="O102" s="208">
        <v>0.6</v>
      </c>
      <c r="P102" s="208">
        <v>0.5</v>
      </c>
      <c r="Q102" s="245">
        <f t="shared" si="5"/>
        <v>0.55000000000000004</v>
      </c>
      <c r="R102" s="208">
        <v>15.7</v>
      </c>
      <c r="S102" s="208">
        <v>148</v>
      </c>
      <c r="T102" s="217">
        <f t="shared" si="6"/>
        <v>30</v>
      </c>
      <c r="U102" s="208">
        <v>170</v>
      </c>
      <c r="V102" s="217">
        <f t="shared" si="7"/>
        <v>5100</v>
      </c>
      <c r="W102" s="208">
        <v>14</v>
      </c>
      <c r="X102" s="216" t="s">
        <v>46</v>
      </c>
      <c r="Y102" s="208" t="s">
        <v>55</v>
      </c>
      <c r="Z102" s="208" t="s">
        <v>69</v>
      </c>
      <c r="AA102" s="208" t="s">
        <v>97</v>
      </c>
      <c r="AB102" s="216" t="s">
        <v>341</v>
      </c>
    </row>
    <row r="103" spans="1:28" x14ac:dyDescent="0.15">
      <c r="A103" s="216" t="s">
        <v>34</v>
      </c>
      <c r="B103" s="208" t="s">
        <v>339</v>
      </c>
      <c r="C103" s="208">
        <v>2018</v>
      </c>
      <c r="D103" s="250" t="s">
        <v>348</v>
      </c>
      <c r="E103" s="237" t="s">
        <v>210</v>
      </c>
      <c r="F103" s="237" t="s">
        <v>331</v>
      </c>
      <c r="G103" s="216" t="s">
        <v>36</v>
      </c>
      <c r="H103" s="208" t="s">
        <v>168</v>
      </c>
      <c r="I103" s="216" t="s">
        <v>155</v>
      </c>
      <c r="J103" s="216" t="s">
        <v>38</v>
      </c>
      <c r="K103" s="216" t="s">
        <v>156</v>
      </c>
      <c r="L103" s="208">
        <v>3</v>
      </c>
      <c r="N103" s="208">
        <v>1</v>
      </c>
      <c r="O103" s="208">
        <v>0.6</v>
      </c>
      <c r="P103" s="208">
        <v>0.6</v>
      </c>
      <c r="Q103" s="245">
        <f t="shared" si="5"/>
        <v>0.6</v>
      </c>
      <c r="R103" s="208">
        <v>15.5</v>
      </c>
      <c r="S103" s="208">
        <v>153</v>
      </c>
      <c r="T103" s="217">
        <f t="shared" si="6"/>
        <v>18</v>
      </c>
      <c r="U103" s="208">
        <v>170</v>
      </c>
      <c r="V103" s="217">
        <f t="shared" si="7"/>
        <v>3060</v>
      </c>
      <c r="W103" s="208">
        <v>14</v>
      </c>
      <c r="X103" s="216" t="s">
        <v>46</v>
      </c>
      <c r="Y103" s="208" t="s">
        <v>55</v>
      </c>
      <c r="Z103" s="208" t="s">
        <v>69</v>
      </c>
      <c r="AA103" s="208" t="s">
        <v>97</v>
      </c>
      <c r="AB103" s="216" t="s">
        <v>341</v>
      </c>
    </row>
    <row r="104" spans="1:28" x14ac:dyDescent="0.15">
      <c r="A104" s="216" t="s">
        <v>34</v>
      </c>
      <c r="B104" s="208" t="s">
        <v>339</v>
      </c>
      <c r="C104" s="208">
        <v>2018</v>
      </c>
      <c r="D104" s="250" t="s">
        <v>348</v>
      </c>
      <c r="E104" s="237" t="s">
        <v>210</v>
      </c>
      <c r="F104" s="237" t="s">
        <v>331</v>
      </c>
      <c r="G104" s="216" t="s">
        <v>36</v>
      </c>
      <c r="H104" s="208" t="s">
        <v>168</v>
      </c>
      <c r="I104" s="216" t="s">
        <v>155</v>
      </c>
      <c r="J104" s="216" t="s">
        <v>38</v>
      </c>
      <c r="K104" s="216" t="s">
        <v>156</v>
      </c>
      <c r="L104" s="216">
        <v>1</v>
      </c>
      <c r="N104" s="208">
        <v>6</v>
      </c>
      <c r="O104" s="208">
        <v>0.6</v>
      </c>
      <c r="P104" s="208">
        <v>0.55000000000000004</v>
      </c>
      <c r="Q104" s="245">
        <f t="shared" si="5"/>
        <v>0.57499999999999996</v>
      </c>
      <c r="R104" s="208">
        <v>14.9</v>
      </c>
      <c r="S104" s="208">
        <v>115</v>
      </c>
      <c r="T104" s="217">
        <f t="shared" si="6"/>
        <v>30</v>
      </c>
      <c r="U104" s="208">
        <v>753</v>
      </c>
      <c r="V104" s="217">
        <f t="shared" si="7"/>
        <v>3765</v>
      </c>
      <c r="W104" s="208">
        <v>14</v>
      </c>
      <c r="X104" s="216" t="s">
        <v>46</v>
      </c>
      <c r="Y104" s="208" t="s">
        <v>55</v>
      </c>
      <c r="Z104" s="208" t="s">
        <v>69</v>
      </c>
      <c r="AA104" s="208" t="s">
        <v>97</v>
      </c>
      <c r="AB104" s="216" t="s">
        <v>341</v>
      </c>
    </row>
    <row r="105" spans="1:28" x14ac:dyDescent="0.15">
      <c r="A105" s="216" t="s">
        <v>34</v>
      </c>
      <c r="B105" s="208" t="s">
        <v>339</v>
      </c>
      <c r="C105" s="208">
        <v>2018</v>
      </c>
      <c r="D105" s="250" t="s">
        <v>348</v>
      </c>
      <c r="E105" s="237" t="s">
        <v>210</v>
      </c>
      <c r="F105" s="237" t="s">
        <v>331</v>
      </c>
      <c r="G105" s="216" t="s">
        <v>36</v>
      </c>
      <c r="H105" s="208" t="s">
        <v>168</v>
      </c>
      <c r="I105" s="216" t="s">
        <v>155</v>
      </c>
      <c r="J105" s="216" t="s">
        <v>38</v>
      </c>
      <c r="K105" s="216" t="s">
        <v>156</v>
      </c>
      <c r="L105" s="208">
        <v>2</v>
      </c>
      <c r="N105" s="208">
        <v>6</v>
      </c>
      <c r="O105" s="208">
        <v>0.65</v>
      </c>
      <c r="P105" s="208">
        <v>0.65</v>
      </c>
      <c r="Q105" s="245">
        <f t="shared" si="5"/>
        <v>0.65</v>
      </c>
      <c r="R105" s="208">
        <v>14.9</v>
      </c>
      <c r="S105" s="208">
        <v>123</v>
      </c>
      <c r="T105" s="217">
        <f t="shared" si="6"/>
        <v>30</v>
      </c>
      <c r="U105" s="208">
        <v>753</v>
      </c>
      <c r="V105" s="217">
        <f t="shared" si="7"/>
        <v>3765</v>
      </c>
      <c r="W105" s="208">
        <v>14</v>
      </c>
      <c r="X105" s="216" t="s">
        <v>46</v>
      </c>
      <c r="Y105" s="208" t="s">
        <v>55</v>
      </c>
      <c r="Z105" s="208" t="s">
        <v>69</v>
      </c>
      <c r="AA105" s="208" t="s">
        <v>97</v>
      </c>
      <c r="AB105" s="216" t="s">
        <v>341</v>
      </c>
    </row>
    <row r="106" spans="1:28" x14ac:dyDescent="0.15">
      <c r="A106" s="216" t="s">
        <v>34</v>
      </c>
      <c r="B106" s="208" t="s">
        <v>339</v>
      </c>
      <c r="C106" s="208">
        <v>2018</v>
      </c>
      <c r="D106" s="250" t="s">
        <v>348</v>
      </c>
      <c r="E106" s="237" t="s">
        <v>210</v>
      </c>
      <c r="F106" s="237" t="s">
        <v>331</v>
      </c>
      <c r="G106" s="216" t="s">
        <v>36</v>
      </c>
      <c r="H106" s="208" t="s">
        <v>168</v>
      </c>
      <c r="I106" s="216" t="s">
        <v>155</v>
      </c>
      <c r="J106" s="216" t="s">
        <v>38</v>
      </c>
      <c r="K106" s="216" t="s">
        <v>156</v>
      </c>
      <c r="L106" s="208">
        <v>3</v>
      </c>
      <c r="N106" s="208">
        <v>6</v>
      </c>
      <c r="O106" s="208">
        <v>0.75</v>
      </c>
      <c r="P106" s="208">
        <v>0.65</v>
      </c>
      <c r="Q106" s="245">
        <f t="shared" si="5"/>
        <v>0.7</v>
      </c>
      <c r="R106" s="208">
        <v>14.9</v>
      </c>
      <c r="S106" s="208">
        <v>119</v>
      </c>
      <c r="T106" s="217">
        <f t="shared" si="6"/>
        <v>30</v>
      </c>
      <c r="U106" s="208">
        <v>753</v>
      </c>
      <c r="V106" s="217">
        <f t="shared" si="7"/>
        <v>3765</v>
      </c>
      <c r="W106" s="208">
        <v>14</v>
      </c>
      <c r="X106" s="216" t="s">
        <v>46</v>
      </c>
      <c r="Y106" s="208" t="s">
        <v>55</v>
      </c>
      <c r="Z106" s="208" t="s">
        <v>69</v>
      </c>
      <c r="AA106" s="208" t="s">
        <v>97</v>
      </c>
      <c r="AB106" s="216" t="s">
        <v>341</v>
      </c>
    </row>
    <row r="107" spans="1:28" x14ac:dyDescent="0.15">
      <c r="K107" s="216"/>
      <c r="Q107" s="245" t="str">
        <f t="shared" si="5"/>
        <v/>
      </c>
      <c r="T107" s="217" t="str">
        <f t="shared" si="6"/>
        <v/>
      </c>
      <c r="V107" s="217" t="str">
        <f t="shared" si="7"/>
        <v/>
      </c>
    </row>
    <row r="108" spans="1:28" x14ac:dyDescent="0.15">
      <c r="K108" s="216"/>
      <c r="Q108" s="245" t="str">
        <f t="shared" si="5"/>
        <v/>
      </c>
      <c r="T108" s="217" t="str">
        <f t="shared" si="6"/>
        <v/>
      </c>
      <c r="V108" s="217" t="str">
        <f t="shared" si="7"/>
        <v/>
      </c>
    </row>
    <row r="109" spans="1:28" x14ac:dyDescent="0.15">
      <c r="K109" s="216"/>
      <c r="Q109" s="245" t="str">
        <f t="shared" si="5"/>
        <v/>
      </c>
      <c r="T109" s="217" t="str">
        <f t="shared" si="6"/>
        <v/>
      </c>
      <c r="V109" s="217" t="str">
        <f t="shared" si="7"/>
        <v/>
      </c>
    </row>
    <row r="110" spans="1:28" x14ac:dyDescent="0.15">
      <c r="K110" s="216"/>
      <c r="Q110" s="245" t="str">
        <f t="shared" si="5"/>
        <v/>
      </c>
      <c r="T110" s="217" t="str">
        <f t="shared" si="6"/>
        <v/>
      </c>
      <c r="V110" s="217" t="str">
        <f t="shared" si="7"/>
        <v/>
      </c>
    </row>
    <row r="111" spans="1:28" x14ac:dyDescent="0.15">
      <c r="K111" s="216"/>
      <c r="Q111" s="245" t="str">
        <f t="shared" si="5"/>
        <v/>
      </c>
      <c r="T111" s="217" t="str">
        <f t="shared" si="6"/>
        <v/>
      </c>
      <c r="V111" s="217" t="str">
        <f t="shared" si="7"/>
        <v/>
      </c>
    </row>
    <row r="112" spans="1:28" x14ac:dyDescent="0.15">
      <c r="K112" s="216"/>
      <c r="Q112" s="245" t="str">
        <f t="shared" si="5"/>
        <v/>
      </c>
      <c r="T112" s="217" t="str">
        <f t="shared" si="6"/>
        <v/>
      </c>
      <c r="V112" s="217" t="str">
        <f t="shared" si="7"/>
        <v/>
      </c>
    </row>
    <row r="113" spans="11:22" x14ac:dyDescent="0.15">
      <c r="K113" s="216"/>
      <c r="Q113" s="245" t="str">
        <f t="shared" si="5"/>
        <v/>
      </c>
      <c r="T113" s="217" t="str">
        <f t="shared" si="6"/>
        <v/>
      </c>
      <c r="V113" s="217" t="str">
        <f t="shared" si="7"/>
        <v/>
      </c>
    </row>
    <row r="114" spans="11:22" x14ac:dyDescent="0.15">
      <c r="K114" s="216"/>
      <c r="Q114" s="245" t="str">
        <f t="shared" si="5"/>
        <v/>
      </c>
      <c r="T114" s="217" t="str">
        <f t="shared" si="6"/>
        <v/>
      </c>
      <c r="V114" s="217" t="str">
        <f t="shared" si="7"/>
        <v/>
      </c>
    </row>
    <row r="115" spans="11:22" x14ac:dyDescent="0.15">
      <c r="K115" s="216"/>
      <c r="Q115" s="245" t="str">
        <f t="shared" si="5"/>
        <v/>
      </c>
      <c r="T115" s="217" t="str">
        <f t="shared" si="6"/>
        <v/>
      </c>
      <c r="V115" s="217" t="str">
        <f t="shared" si="7"/>
        <v/>
      </c>
    </row>
    <row r="116" spans="11:22" x14ac:dyDescent="0.15">
      <c r="K116" s="216"/>
      <c r="Q116" s="245" t="str">
        <f t="shared" si="5"/>
        <v/>
      </c>
      <c r="T116" s="217" t="str">
        <f t="shared" si="6"/>
        <v/>
      </c>
      <c r="V116" s="217" t="str">
        <f t="shared" si="7"/>
        <v/>
      </c>
    </row>
    <row r="117" spans="11:22" x14ac:dyDescent="0.15">
      <c r="K117" s="216"/>
      <c r="Q117" s="245" t="str">
        <f t="shared" si="5"/>
        <v/>
      </c>
      <c r="T117" s="217" t="str">
        <f t="shared" si="6"/>
        <v/>
      </c>
      <c r="V117" s="217" t="str">
        <f t="shared" si="7"/>
        <v/>
      </c>
    </row>
    <row r="118" spans="11:22" x14ac:dyDescent="0.15">
      <c r="K118" s="216"/>
      <c r="Q118" s="245" t="str">
        <f t="shared" si="5"/>
        <v/>
      </c>
      <c r="T118" s="217" t="str">
        <f t="shared" si="6"/>
        <v/>
      </c>
      <c r="V118" s="217" t="str">
        <f t="shared" si="7"/>
        <v/>
      </c>
    </row>
    <row r="119" spans="11:22" x14ac:dyDescent="0.15">
      <c r="K119" s="216"/>
      <c r="Q119" s="245" t="str">
        <f t="shared" si="5"/>
        <v/>
      </c>
      <c r="T119" s="217" t="str">
        <f t="shared" si="6"/>
        <v/>
      </c>
      <c r="V119" s="217" t="str">
        <f t="shared" si="7"/>
        <v/>
      </c>
    </row>
    <row r="120" spans="11:22" x14ac:dyDescent="0.15">
      <c r="K120" s="216"/>
      <c r="Q120" s="245" t="str">
        <f t="shared" si="5"/>
        <v/>
      </c>
      <c r="T120" s="217" t="str">
        <f t="shared" si="6"/>
        <v/>
      </c>
      <c r="V120" s="217" t="str">
        <f t="shared" si="7"/>
        <v/>
      </c>
    </row>
    <row r="121" spans="11:22" x14ac:dyDescent="0.15">
      <c r="K121" s="216"/>
      <c r="Q121" s="245" t="str">
        <f t="shared" si="5"/>
        <v/>
      </c>
    </row>
    <row r="122" spans="11:22" x14ac:dyDescent="0.15">
      <c r="K122" s="216"/>
      <c r="Q122" s="245" t="str">
        <f t="shared" si="5"/>
        <v/>
      </c>
    </row>
    <row r="123" spans="11:22" x14ac:dyDescent="0.15">
      <c r="K123" s="216"/>
      <c r="Q123" s="245" t="str">
        <f t="shared" si="5"/>
        <v/>
      </c>
    </row>
    <row r="124" spans="11:22" x14ac:dyDescent="0.15">
      <c r="K124" s="216"/>
      <c r="Q124" s="245" t="str">
        <f t="shared" si="5"/>
        <v/>
      </c>
    </row>
    <row r="125" spans="11:22" x14ac:dyDescent="0.15">
      <c r="K125" s="216"/>
      <c r="Q125" s="245" t="str">
        <f t="shared" si="5"/>
        <v/>
      </c>
    </row>
    <row r="126" spans="11:22" x14ac:dyDescent="0.15">
      <c r="K126" s="216"/>
      <c r="Q126" s="245" t="str">
        <f t="shared" si="5"/>
        <v/>
      </c>
    </row>
    <row r="127" spans="11:22" x14ac:dyDescent="0.15">
      <c r="K127" s="216"/>
      <c r="Q127" s="245" t="str">
        <f t="shared" si="5"/>
        <v/>
      </c>
    </row>
    <row r="128" spans="11:22" x14ac:dyDescent="0.15">
      <c r="K128" s="216"/>
      <c r="Q128" s="245" t="str">
        <f t="shared" si="5"/>
        <v/>
      </c>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row r="753" spans="11:11" x14ac:dyDescent="0.15">
      <c r="K753" s="216"/>
    </row>
    <row r="754" spans="11:11" x14ac:dyDescent="0.15">
      <c r="K754" s="216"/>
    </row>
    <row r="755" spans="11:11" x14ac:dyDescent="0.15">
      <c r="K755" s="216"/>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6"/>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4F2E1F-DBBF-4ECF-8A8A-60431DFFE531}"/>
</file>

<file path=customXml/itemProps2.xml><?xml version="1.0" encoding="utf-8"?>
<ds:datastoreItem xmlns:ds="http://schemas.openxmlformats.org/officeDocument/2006/customXml" ds:itemID="{4FE41BFB-B324-427F-B9E1-970A5B9D7CDD}"/>
</file>

<file path=customXml/itemProps3.xml><?xml version="1.0" encoding="utf-8"?>
<ds:datastoreItem xmlns:ds="http://schemas.openxmlformats.org/officeDocument/2006/customXml" ds:itemID="{28CD08FA-0DEF-466F-88B3-3C46977D5F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2018-06-26T00:53:57Z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