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4.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s>
  <definedNames>
    <definedName name="_xlnm._FilterDatabase" localSheetId="5" hidden="1">fukuoka!$A$1:$BA$146</definedName>
    <definedName name="_xlnm._FilterDatabase" localSheetId="4" hidden="1">hiroshima!$A$1:$BA$1</definedName>
    <definedName name="_xlnm._FilterDatabase" localSheetId="1" hidden="1">miyagi!$A$1:$BA$124</definedName>
    <definedName name="_xlnm._FilterDatabase" localSheetId="2" hidden="1">nagoya!$A$1:$BA$52</definedName>
    <definedName name="_xlnm._FilterDatabase" localSheetId="3" hidden="1">osaka!$A$1:$BA$91</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03" i="32" l="1"/>
  <c r="V103" i="32" s="1"/>
  <c r="Q103" i="32"/>
  <c r="V102" i="32"/>
  <c r="T102" i="32"/>
  <c r="Q102" i="32"/>
  <c r="T101" i="32"/>
  <c r="V101" i="32" s="1"/>
  <c r="Q101" i="32"/>
  <c r="T100" i="32"/>
  <c r="V100" i="32" s="1"/>
  <c r="Q100" i="32"/>
  <c r="V99" i="32"/>
  <c r="T99" i="32"/>
  <c r="Q99" i="32"/>
  <c r="V98" i="32"/>
  <c r="T98" i="32"/>
  <c r="Q98" i="32"/>
  <c r="T97" i="32"/>
  <c r="V97" i="32" s="1"/>
  <c r="Q97" i="32"/>
  <c r="T96" i="32"/>
  <c r="V96" i="32" s="1"/>
  <c r="Q96" i="32"/>
  <c r="V95" i="32"/>
  <c r="T95" i="32"/>
  <c r="Q95" i="32"/>
  <c r="V94" i="32"/>
  <c r="T94" i="32"/>
  <c r="Q94" i="32"/>
  <c r="T93" i="32"/>
  <c r="V93" i="32" s="1"/>
  <c r="Q93" i="32"/>
  <c r="T92" i="32"/>
  <c r="V92" i="32" s="1"/>
  <c r="Q92" i="32"/>
  <c r="V91" i="32"/>
  <c r="T91" i="32"/>
  <c r="Q91" i="32"/>
  <c r="V90" i="32"/>
  <c r="T90" i="32"/>
  <c r="Q90" i="32"/>
  <c r="T89" i="32"/>
  <c r="V89" i="32" s="1"/>
  <c r="Q89" i="32"/>
  <c r="V88" i="32"/>
  <c r="T88" i="32"/>
  <c r="Q88" i="32"/>
  <c r="V87" i="32"/>
  <c r="T87" i="32"/>
  <c r="Q87" i="32"/>
  <c r="V86" i="32"/>
  <c r="T86" i="32"/>
  <c r="Q86" i="32"/>
  <c r="T85" i="32"/>
  <c r="V85" i="32" s="1"/>
  <c r="Q85" i="32"/>
  <c r="V84" i="32"/>
  <c r="T84" i="32"/>
  <c r="Q84" i="32"/>
  <c r="V83" i="32"/>
  <c r="T83" i="32"/>
  <c r="Q83" i="32"/>
  <c r="V82" i="32"/>
  <c r="T82" i="32"/>
  <c r="Q82" i="32"/>
  <c r="T81" i="32"/>
  <c r="V81" i="32" s="1"/>
  <c r="Q81" i="32"/>
  <c r="V80" i="32"/>
  <c r="T80" i="32"/>
  <c r="Q80" i="32"/>
  <c r="V79" i="32"/>
  <c r="T79" i="32"/>
  <c r="Q79" i="32"/>
  <c r="V78" i="32"/>
  <c r="T78" i="32"/>
  <c r="Q78" i="32"/>
  <c r="T77" i="32"/>
  <c r="V77" i="32" s="1"/>
  <c r="Q77" i="32"/>
  <c r="V76" i="32"/>
  <c r="T76" i="32"/>
  <c r="Q76" i="32"/>
  <c r="V75" i="32"/>
  <c r="T75" i="32"/>
  <c r="Q75" i="32"/>
  <c r="V74" i="32"/>
  <c r="T74" i="32"/>
  <c r="Q74" i="32"/>
  <c r="T73" i="32"/>
  <c r="V73" i="32" s="1"/>
  <c r="Q73" i="32"/>
  <c r="V72" i="32"/>
  <c r="T72" i="32"/>
  <c r="Q72" i="32"/>
  <c r="V71" i="32"/>
  <c r="T71" i="32"/>
  <c r="Q71" i="32"/>
  <c r="V70" i="32"/>
  <c r="T70" i="32"/>
  <c r="Q70" i="32"/>
  <c r="T69" i="32"/>
  <c r="V69" i="32" s="1"/>
  <c r="Q69" i="32"/>
  <c r="V68" i="32"/>
  <c r="T68" i="32"/>
  <c r="Q68" i="32"/>
  <c r="V67" i="32"/>
  <c r="T67" i="32"/>
  <c r="Q67" i="32"/>
  <c r="V66" i="32"/>
  <c r="T66" i="32"/>
  <c r="Q66" i="32"/>
  <c r="T65" i="32"/>
  <c r="V65" i="32" s="1"/>
  <c r="Q65" i="32"/>
  <c r="V64" i="32"/>
  <c r="T64" i="32"/>
  <c r="Q64" i="32"/>
  <c r="V63" i="32"/>
  <c r="T63" i="32"/>
  <c r="Q63" i="32"/>
  <c r="V62" i="32"/>
  <c r="T62" i="32"/>
  <c r="Q62" i="32"/>
  <c r="T61" i="32"/>
  <c r="V61" i="32" s="1"/>
  <c r="Q61" i="32"/>
  <c r="V60" i="32"/>
  <c r="T60" i="32"/>
  <c r="Q60" i="32"/>
  <c r="V59" i="32"/>
  <c r="T59" i="32"/>
  <c r="Q59" i="32"/>
  <c r="V58" i="32"/>
  <c r="T58" i="32"/>
  <c r="Q58" i="32"/>
  <c r="T57" i="32"/>
  <c r="V57" i="32" s="1"/>
  <c r="Q57" i="32"/>
  <c r="V56" i="32"/>
  <c r="T56" i="32"/>
  <c r="Q56" i="32"/>
  <c r="V55" i="32"/>
  <c r="T55" i="32"/>
  <c r="Q55" i="32"/>
  <c r="V54" i="32"/>
  <c r="T54" i="32"/>
  <c r="Q54" i="32"/>
  <c r="T53" i="32"/>
  <c r="V53" i="32" s="1"/>
  <c r="Q53" i="32"/>
  <c r="V52" i="32"/>
  <c r="T52" i="32"/>
  <c r="Q52" i="32"/>
  <c r="V51" i="32"/>
  <c r="T51" i="32"/>
  <c r="Q51" i="32"/>
  <c r="V50" i="32"/>
  <c r="T50" i="32"/>
  <c r="Q50" i="32"/>
  <c r="T49" i="32"/>
  <c r="V49" i="32" s="1"/>
  <c r="Q49" i="32"/>
  <c r="V48" i="32"/>
  <c r="T48" i="32"/>
  <c r="Q48" i="32"/>
  <c r="V47" i="32"/>
  <c r="T47" i="32"/>
  <c r="Q47" i="32"/>
  <c r="V46" i="32"/>
  <c r="T46" i="32"/>
  <c r="Q46" i="32"/>
  <c r="T45" i="32"/>
  <c r="V45" i="32" s="1"/>
  <c r="Q45" i="32"/>
  <c r="V44" i="32"/>
  <c r="T44" i="32"/>
  <c r="Q44" i="32"/>
  <c r="V43" i="32"/>
  <c r="T43" i="32"/>
  <c r="Q43" i="32"/>
  <c r="V42" i="32"/>
  <c r="T42" i="32"/>
  <c r="Q42" i="32"/>
  <c r="T41" i="32"/>
  <c r="V41" i="32" s="1"/>
  <c r="Q41" i="32"/>
  <c r="V40" i="32"/>
  <c r="T40" i="32"/>
  <c r="Q40" i="32"/>
  <c r="V39" i="32"/>
  <c r="T39" i="32"/>
  <c r="Q39" i="32"/>
  <c r="V38" i="32"/>
  <c r="T38" i="32"/>
  <c r="Q38" i="32"/>
  <c r="T37" i="32"/>
  <c r="V37" i="32" s="1"/>
  <c r="Q37" i="32"/>
  <c r="V36" i="32"/>
  <c r="T36" i="32"/>
  <c r="Q36" i="32"/>
  <c r="V35" i="32"/>
  <c r="T35" i="32"/>
  <c r="Q35" i="32"/>
  <c r="V34" i="32"/>
  <c r="T34" i="32"/>
  <c r="Q34" i="32"/>
  <c r="T33" i="32"/>
  <c r="V33" i="32" s="1"/>
  <c r="Q33" i="32"/>
  <c r="V32" i="32"/>
  <c r="T32" i="32"/>
  <c r="Q32" i="32"/>
  <c r="V31" i="32"/>
  <c r="T31" i="32"/>
  <c r="Q31" i="32"/>
  <c r="V30" i="32"/>
  <c r="T30" i="32"/>
  <c r="Q30" i="32"/>
  <c r="T29" i="32"/>
  <c r="V29" i="32" s="1"/>
  <c r="Q29" i="32"/>
  <c r="V28" i="32"/>
  <c r="T28" i="32"/>
  <c r="Q28" i="32"/>
  <c r="V27" i="32"/>
  <c r="T27" i="32"/>
  <c r="Q27" i="32"/>
  <c r="V26" i="32"/>
  <c r="T26" i="32"/>
  <c r="Q26" i="32"/>
  <c r="T25" i="32"/>
  <c r="V25" i="32" s="1"/>
  <c r="Q25" i="32"/>
  <c r="V24" i="32"/>
  <c r="T24" i="32"/>
  <c r="Q24" i="32"/>
  <c r="V23" i="32"/>
  <c r="T23" i="32"/>
  <c r="Q23" i="32"/>
  <c r="V22" i="32"/>
  <c r="T22" i="32"/>
  <c r="Q22" i="32"/>
  <c r="T21" i="32"/>
  <c r="V21" i="32" s="1"/>
  <c r="Q21" i="32"/>
  <c r="V20" i="32"/>
  <c r="T20" i="32"/>
  <c r="Q20" i="32"/>
  <c r="V19" i="32"/>
  <c r="T19" i="32"/>
  <c r="Q19" i="32"/>
  <c r="V18" i="32"/>
  <c r="T18" i="32"/>
  <c r="Q18" i="32"/>
  <c r="T17" i="32"/>
  <c r="V17" i="32" s="1"/>
  <c r="Q17" i="32"/>
  <c r="V16" i="32"/>
  <c r="T16" i="32"/>
  <c r="Q16" i="32"/>
  <c r="V15" i="32"/>
  <c r="T15" i="32"/>
  <c r="Q15" i="32"/>
  <c r="V14" i="32"/>
  <c r="T14" i="32"/>
  <c r="Q14" i="32"/>
  <c r="T13" i="32"/>
  <c r="V13" i="32" s="1"/>
  <c r="Q13" i="32"/>
  <c r="V12" i="32"/>
  <c r="T12" i="32"/>
  <c r="Q12" i="32"/>
  <c r="V11" i="32"/>
  <c r="T11" i="32"/>
  <c r="Q11" i="32"/>
  <c r="V10" i="32"/>
  <c r="T10" i="32"/>
  <c r="Q10" i="32"/>
  <c r="T9" i="32"/>
  <c r="V9" i="32" s="1"/>
  <c r="Q9" i="32"/>
  <c r="V8" i="32"/>
  <c r="T8" i="32"/>
  <c r="Q8" i="32"/>
  <c r="V7" i="32"/>
  <c r="T7" i="32"/>
  <c r="Q7" i="32"/>
  <c r="T6" i="32"/>
  <c r="V6" i="32" s="1"/>
  <c r="Q6" i="32"/>
  <c r="T5" i="32"/>
  <c r="V5" i="32" s="1"/>
  <c r="Q5" i="32"/>
  <c r="V4" i="32"/>
  <c r="T4" i="32"/>
  <c r="Q4" i="32"/>
  <c r="V3" i="32"/>
  <c r="T3" i="32"/>
  <c r="Q3" i="32"/>
  <c r="T2" i="32"/>
  <c r="V2" i="32" s="1"/>
  <c r="Q2" i="32"/>
  <c r="V91" i="31" l="1"/>
  <c r="T91" i="31"/>
  <c r="Q91" i="31"/>
  <c r="V90" i="31"/>
  <c r="T90" i="31"/>
  <c r="Q90" i="31"/>
  <c r="T89" i="31"/>
  <c r="V89" i="31" s="1"/>
  <c r="Q89" i="31"/>
  <c r="T88" i="31"/>
  <c r="V88" i="31" s="1"/>
  <c r="Q88" i="31"/>
  <c r="V87" i="31"/>
  <c r="T87" i="31"/>
  <c r="Q87" i="31"/>
  <c r="V86" i="31"/>
  <c r="T86" i="31"/>
  <c r="Q86" i="31"/>
  <c r="T85" i="31"/>
  <c r="V85" i="31" s="1"/>
  <c r="Q85" i="31"/>
  <c r="T84" i="31"/>
  <c r="V84" i="31" s="1"/>
  <c r="Q84" i="31"/>
  <c r="V83" i="31"/>
  <c r="T83" i="31"/>
  <c r="Q83" i="31"/>
  <c r="V82" i="31"/>
  <c r="T82" i="31"/>
  <c r="Q82" i="31"/>
  <c r="T81" i="31"/>
  <c r="V81" i="31" s="1"/>
  <c r="Q81" i="31"/>
  <c r="T80" i="31"/>
  <c r="V80" i="31" s="1"/>
  <c r="Q80" i="31"/>
  <c r="V79" i="31"/>
  <c r="T79" i="31"/>
  <c r="Q79" i="31"/>
  <c r="V78" i="31"/>
  <c r="T78" i="31"/>
  <c r="Q78" i="31"/>
  <c r="T77" i="31"/>
  <c r="V77" i="31" s="1"/>
  <c r="Q77" i="31"/>
  <c r="T76" i="31"/>
  <c r="V76" i="31" s="1"/>
  <c r="Q76" i="31"/>
  <c r="V75" i="31"/>
  <c r="T75" i="31"/>
  <c r="Q75" i="31"/>
  <c r="V74" i="31"/>
  <c r="T74" i="31"/>
  <c r="Q74" i="31"/>
  <c r="T73" i="31"/>
  <c r="V73" i="31" s="1"/>
  <c r="Q73" i="31"/>
  <c r="T72" i="31"/>
  <c r="V72" i="31" s="1"/>
  <c r="Q72" i="31"/>
  <c r="V71" i="31"/>
  <c r="T71" i="31"/>
  <c r="Q71" i="31"/>
  <c r="V70" i="31"/>
  <c r="T70" i="31"/>
  <c r="Q70" i="31"/>
  <c r="T69" i="31"/>
  <c r="V69" i="31" s="1"/>
  <c r="Q69" i="31"/>
  <c r="T68" i="31"/>
  <c r="V68" i="31" s="1"/>
  <c r="Q68" i="31"/>
  <c r="V67" i="31"/>
  <c r="T67" i="31"/>
  <c r="Q67" i="31"/>
  <c r="V66" i="31"/>
  <c r="T66" i="31"/>
  <c r="Q66" i="31"/>
  <c r="T65" i="31"/>
  <c r="V65" i="31" s="1"/>
  <c r="Q65" i="31"/>
  <c r="T64" i="31"/>
  <c r="V64" i="31" s="1"/>
  <c r="Q64" i="31"/>
  <c r="V63" i="31"/>
  <c r="T63" i="31"/>
  <c r="Q63" i="31"/>
  <c r="V62" i="31"/>
  <c r="T62" i="31"/>
  <c r="Q62" i="31"/>
  <c r="T58" i="31"/>
  <c r="V58" i="31" s="1"/>
  <c r="Q58" i="31"/>
  <c r="T57" i="31"/>
  <c r="V57" i="31" s="1"/>
  <c r="Q57" i="31"/>
  <c r="V56" i="31"/>
  <c r="T56" i="31"/>
  <c r="Q56" i="31"/>
  <c r="V55" i="31"/>
  <c r="T55" i="31"/>
  <c r="Q55" i="31"/>
  <c r="T54" i="31"/>
  <c r="V54" i="31" s="1"/>
  <c r="Q54" i="31"/>
  <c r="T53" i="31"/>
  <c r="V53" i="31" s="1"/>
  <c r="Q53" i="31"/>
  <c r="V52" i="31"/>
  <c r="T52" i="31"/>
  <c r="Q52" i="31"/>
  <c r="V51" i="31"/>
  <c r="T51" i="31"/>
  <c r="Q51" i="31"/>
  <c r="T50" i="31"/>
  <c r="V50" i="31" s="1"/>
  <c r="Q50" i="31"/>
  <c r="T49" i="31"/>
  <c r="V49" i="31" s="1"/>
  <c r="Q49" i="31"/>
  <c r="V48" i="31"/>
  <c r="T48" i="31"/>
  <c r="Q48" i="31"/>
  <c r="V47" i="31"/>
  <c r="T47" i="31"/>
  <c r="Q47" i="31"/>
  <c r="T46" i="31"/>
  <c r="V46" i="31" s="1"/>
  <c r="Q46" i="31"/>
  <c r="T45" i="31"/>
  <c r="V45" i="31" s="1"/>
  <c r="Q45" i="31"/>
  <c r="V44" i="31"/>
  <c r="T44" i="31"/>
  <c r="Q44" i="31"/>
  <c r="V43" i="31"/>
  <c r="T43" i="31"/>
  <c r="Q43" i="31"/>
  <c r="T42" i="31"/>
  <c r="V42" i="31" s="1"/>
  <c r="Q42" i="31"/>
  <c r="T41" i="31"/>
  <c r="V41" i="31" s="1"/>
  <c r="Q41" i="31"/>
  <c r="V40" i="31"/>
  <c r="T40" i="31"/>
  <c r="Q40" i="31"/>
  <c r="V39" i="31"/>
  <c r="T39" i="31"/>
  <c r="Q39" i="31"/>
  <c r="T38" i="31"/>
  <c r="V38" i="31" s="1"/>
  <c r="Q38" i="31"/>
  <c r="T37" i="31"/>
  <c r="V37" i="31" s="1"/>
  <c r="Q37" i="31"/>
  <c r="V36" i="31"/>
  <c r="T36" i="31"/>
  <c r="Q36" i="31"/>
  <c r="V35" i="31"/>
  <c r="T35" i="31"/>
  <c r="Q35" i="31"/>
  <c r="T34" i="31"/>
  <c r="V34" i="31" s="1"/>
  <c r="Q34" i="31"/>
  <c r="T33" i="31"/>
  <c r="V33" i="31" s="1"/>
  <c r="Q33" i="31"/>
  <c r="V32" i="31"/>
  <c r="T32" i="31"/>
  <c r="Q32" i="31"/>
  <c r="V31" i="31"/>
  <c r="T31" i="31"/>
  <c r="Q31" i="31"/>
  <c r="T30" i="31"/>
  <c r="V30" i="31" s="1"/>
  <c r="Q30" i="31"/>
  <c r="T29" i="31"/>
  <c r="V29" i="31" s="1"/>
  <c r="Q29" i="31"/>
  <c r="V28" i="31"/>
  <c r="T28" i="31"/>
  <c r="Q28" i="31"/>
  <c r="V27" i="31"/>
  <c r="T27" i="31"/>
  <c r="Q27" i="31"/>
  <c r="T26" i="31"/>
  <c r="V26" i="31" s="1"/>
  <c r="Q26" i="31"/>
  <c r="T25" i="31"/>
  <c r="V25" i="31" s="1"/>
  <c r="Q25" i="31"/>
  <c r="V24" i="31"/>
  <c r="T24" i="31"/>
  <c r="Q24" i="31"/>
  <c r="V23" i="31"/>
  <c r="T23" i="31"/>
  <c r="Q23" i="31"/>
  <c r="T22" i="31"/>
  <c r="V22" i="31" s="1"/>
  <c r="Q22" i="31"/>
  <c r="T21" i="31"/>
  <c r="V21" i="31" s="1"/>
  <c r="Q21" i="31"/>
  <c r="V20" i="31"/>
  <c r="T20" i="31"/>
  <c r="Q20" i="31"/>
  <c r="V19" i="31"/>
  <c r="T19" i="31"/>
  <c r="Q19" i="31"/>
  <c r="T18" i="31"/>
  <c r="V18" i="31" s="1"/>
  <c r="Q18" i="31"/>
  <c r="T17" i="31"/>
  <c r="V17" i="31" s="1"/>
  <c r="Q17" i="31"/>
  <c r="V16" i="31"/>
  <c r="T16" i="31"/>
  <c r="Q16" i="31"/>
  <c r="V15" i="31"/>
  <c r="T15" i="31"/>
  <c r="Q15" i="31"/>
  <c r="T14" i="31"/>
  <c r="Q14" i="31"/>
  <c r="V13" i="31"/>
  <c r="T13" i="31"/>
  <c r="Q13" i="31"/>
  <c r="V12" i="31"/>
  <c r="T12" i="31"/>
  <c r="Q12" i="31"/>
  <c r="T11" i="31"/>
  <c r="V11" i="31" s="1"/>
  <c r="Q11" i="31"/>
  <c r="T10" i="31"/>
  <c r="V10" i="31" s="1"/>
  <c r="Q10" i="31"/>
  <c r="V9" i="31"/>
  <c r="T9" i="31"/>
  <c r="Q9" i="31"/>
  <c r="T8" i="31"/>
  <c r="V8" i="31" s="1"/>
  <c r="Q8" i="31"/>
  <c r="T7" i="31"/>
  <c r="V7" i="31" s="1"/>
  <c r="Q7" i="31"/>
  <c r="T6" i="31"/>
  <c r="V6" i="31" s="1"/>
  <c r="Q6" i="31"/>
  <c r="V5" i="31"/>
  <c r="T5" i="31"/>
  <c r="Q5" i="31"/>
  <c r="T4" i="31"/>
  <c r="V4" i="31" s="1"/>
  <c r="Q4" i="31"/>
  <c r="T3" i="31"/>
  <c r="V3" i="31" s="1"/>
  <c r="Q3" i="31"/>
  <c r="T2" i="31"/>
  <c r="V2" i="31" s="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T67" i="30"/>
  <c r="Q67" i="30"/>
  <c r="T66" i="30"/>
  <c r="Q66"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T78" i="29"/>
  <c r="V78" i="29" s="1"/>
  <c r="Q78" i="29"/>
  <c r="V77" i="29"/>
  <c r="T77" i="29"/>
  <c r="Q77" i="29"/>
  <c r="T76" i="29"/>
  <c r="V76" i="29" s="1"/>
  <c r="Q76" i="29"/>
  <c r="T75" i="29"/>
  <c r="V75" i="29" s="1"/>
  <c r="Q75" i="29"/>
  <c r="T74" i="29"/>
  <c r="V74" i="29" s="1"/>
  <c r="Q74" i="29"/>
  <c r="V73" i="29"/>
  <c r="T73" i="29"/>
  <c r="Q73" i="29"/>
  <c r="T72" i="29"/>
  <c r="V72" i="29" s="1"/>
  <c r="Q72" i="29"/>
  <c r="T71" i="29"/>
  <c r="V71" i="29" s="1"/>
  <c r="Q71" i="29"/>
  <c r="T70" i="29"/>
  <c r="V70" i="29" s="1"/>
  <c r="Q70" i="29"/>
  <c r="V69" i="29"/>
  <c r="T69" i="29"/>
  <c r="Q69" i="29"/>
  <c r="T68" i="29"/>
  <c r="V68" i="29" s="1"/>
  <c r="Q68" i="29"/>
  <c r="T67" i="29"/>
  <c r="V67" i="29" s="1"/>
  <c r="Q67" i="29"/>
  <c r="T66" i="29"/>
  <c r="V66" i="29" s="1"/>
  <c r="Q66" i="29"/>
  <c r="V65" i="29"/>
  <c r="T65" i="29"/>
  <c r="Q65" i="29"/>
  <c r="T64" i="29"/>
  <c r="V64" i="29" s="1"/>
  <c r="Q64" i="29"/>
  <c r="T63" i="29"/>
  <c r="V63" i="29" s="1"/>
  <c r="Q63" i="29"/>
  <c r="T62" i="29"/>
  <c r="V62" i="29" s="1"/>
  <c r="Q62" i="29"/>
  <c r="V61" i="29"/>
  <c r="T61" i="29"/>
  <c r="Q61" i="29"/>
  <c r="T60" i="29"/>
  <c r="V60" i="29" s="1"/>
  <c r="Q60" i="29"/>
  <c r="T59" i="29"/>
  <c r="V59" i="29" s="1"/>
  <c r="Q59" i="29"/>
  <c r="T58" i="29"/>
  <c r="V58" i="29" s="1"/>
  <c r="Q58" i="29"/>
  <c r="V57" i="29"/>
  <c r="T57" i="29"/>
  <c r="Q57" i="29"/>
  <c r="T56" i="29"/>
  <c r="V56" i="29" s="1"/>
  <c r="Q56" i="29"/>
  <c r="T55" i="29"/>
  <c r="V55" i="29" s="1"/>
  <c r="Q55" i="29"/>
  <c r="T54" i="29"/>
  <c r="V54" i="29" s="1"/>
  <c r="Q54" i="29"/>
  <c r="V53" i="29"/>
  <c r="T53" i="29"/>
  <c r="Q53" i="29"/>
  <c r="T52" i="29"/>
  <c r="V52" i="29" s="1"/>
  <c r="Q52" i="29"/>
  <c r="T51" i="29"/>
  <c r="V51" i="29" s="1"/>
  <c r="Q51" i="29"/>
  <c r="T50" i="29"/>
  <c r="V50" i="29" s="1"/>
  <c r="Q50" i="29"/>
  <c r="V49" i="29"/>
  <c r="T49" i="29"/>
  <c r="Q49" i="29"/>
  <c r="T48" i="29"/>
  <c r="V48" i="29" s="1"/>
  <c r="Q48" i="29"/>
  <c r="T47" i="29"/>
  <c r="V47" i="29" s="1"/>
  <c r="Q47" i="29"/>
  <c r="T46" i="29"/>
  <c r="V46" i="29" s="1"/>
  <c r="Q46" i="29"/>
  <c r="V45" i="29"/>
  <c r="T45" i="29"/>
  <c r="Q45" i="29"/>
  <c r="T44" i="29"/>
  <c r="V44" i="29" s="1"/>
  <c r="Q44" i="29"/>
  <c r="T43" i="29"/>
  <c r="V43" i="29" s="1"/>
  <c r="Q43" i="29"/>
  <c r="T42" i="29"/>
  <c r="V42" i="29" s="1"/>
  <c r="Q42" i="29"/>
  <c r="V41" i="29"/>
  <c r="T41" i="29"/>
  <c r="Q41" i="29"/>
  <c r="T40" i="29"/>
  <c r="V40" i="29" s="1"/>
  <c r="Q40" i="29"/>
  <c r="T39" i="29"/>
  <c r="V39" i="29" s="1"/>
  <c r="Q39" i="29"/>
  <c r="T38" i="29"/>
  <c r="V38" i="29" s="1"/>
  <c r="Q38" i="29"/>
  <c r="V37" i="29"/>
  <c r="T37" i="29"/>
  <c r="Q37" i="29"/>
  <c r="T36" i="29"/>
  <c r="V36" i="29" s="1"/>
  <c r="Q36" i="29"/>
  <c r="T35" i="29"/>
  <c r="V35" i="29" s="1"/>
  <c r="Q35" i="29"/>
  <c r="T34" i="29"/>
  <c r="V34" i="29" s="1"/>
  <c r="Q34" i="29"/>
  <c r="V33" i="29"/>
  <c r="T33" i="29"/>
  <c r="Q33" i="29"/>
  <c r="T32" i="29"/>
  <c r="V32" i="29" s="1"/>
  <c r="Q32" i="29"/>
  <c r="T31" i="29"/>
  <c r="V31" i="29" s="1"/>
  <c r="Q31" i="29"/>
  <c r="T30" i="29"/>
  <c r="V30" i="29" s="1"/>
  <c r="Q30" i="29"/>
  <c r="V29" i="29"/>
  <c r="T29" i="29"/>
  <c r="Q29" i="29"/>
  <c r="T28" i="29"/>
  <c r="V28" i="29" s="1"/>
  <c r="Q28" i="29"/>
  <c r="T27" i="29"/>
  <c r="V27" i="29" s="1"/>
  <c r="Q27" i="29"/>
  <c r="T26" i="29"/>
  <c r="V26" i="29" s="1"/>
  <c r="Q26" i="29"/>
  <c r="V25" i="29"/>
  <c r="T25" i="29"/>
  <c r="Q25" i="29"/>
  <c r="T24" i="29"/>
  <c r="V24" i="29" s="1"/>
  <c r="Q24" i="29"/>
  <c r="T23" i="29"/>
  <c r="V23" i="29" s="1"/>
  <c r="Q23" i="29"/>
  <c r="T22" i="29"/>
  <c r="V22" i="29" s="1"/>
  <c r="Q22" i="29"/>
  <c r="V21" i="29"/>
  <c r="T21" i="29"/>
  <c r="Q21" i="29"/>
  <c r="T20" i="29"/>
  <c r="V20" i="29" s="1"/>
  <c r="Q20" i="29"/>
  <c r="T19" i="29"/>
  <c r="V19" i="29" s="1"/>
  <c r="Q19" i="29"/>
  <c r="T18" i="29"/>
  <c r="V18" i="29" s="1"/>
  <c r="Q18" i="29"/>
  <c r="V17" i="29"/>
  <c r="T17" i="29"/>
  <c r="Q17" i="29"/>
  <c r="T16" i="29"/>
  <c r="V16" i="29" s="1"/>
  <c r="Q16" i="29"/>
  <c r="T15" i="29"/>
  <c r="V15" i="29" s="1"/>
  <c r="Q15" i="29"/>
  <c r="T14" i="29"/>
  <c r="V14" i="29" s="1"/>
  <c r="Q14" i="29"/>
  <c r="V13" i="29"/>
  <c r="T13" i="29"/>
  <c r="Q13" i="29"/>
  <c r="T12" i="29"/>
  <c r="V12" i="29" s="1"/>
  <c r="Q12" i="29"/>
  <c r="T11" i="29"/>
  <c r="V11" i="29" s="1"/>
  <c r="Q11" i="29"/>
  <c r="T10" i="29"/>
  <c r="V10" i="29" s="1"/>
  <c r="Q10" i="29"/>
  <c r="V9" i="29"/>
  <c r="T9" i="29"/>
  <c r="Q9" i="29"/>
  <c r="T8" i="29"/>
  <c r="V8" i="29" s="1"/>
  <c r="Q8" i="29"/>
  <c r="T7" i="29"/>
  <c r="V7" i="29" s="1"/>
  <c r="Q7" i="29"/>
  <c r="T6" i="29"/>
  <c r="V6" i="29" s="1"/>
  <c r="Q6" i="29"/>
  <c r="V5" i="29"/>
  <c r="T5" i="29"/>
  <c r="Q5" i="29"/>
  <c r="T4" i="29"/>
  <c r="V4" i="29" s="1"/>
  <c r="Q4" i="29"/>
  <c r="T3" i="29"/>
  <c r="V3" i="29" s="1"/>
  <c r="Q3" i="29"/>
  <c r="T2" i="29"/>
  <c r="V2" i="29" s="1"/>
  <c r="Q2" i="29"/>
  <c r="V91" i="28" l="1"/>
  <c r="T91" i="28"/>
  <c r="Q91" i="28"/>
  <c r="T90" i="28"/>
  <c r="V90" i="28" s="1"/>
  <c r="Q90" i="28"/>
  <c r="V89" i="28"/>
  <c r="T89" i="28"/>
  <c r="Q89" i="28"/>
  <c r="T88" i="28"/>
  <c r="V88" i="28" s="1"/>
  <c r="Q88" i="28"/>
  <c r="V87" i="28"/>
  <c r="T87" i="28"/>
  <c r="Q87" i="28"/>
  <c r="T86" i="28"/>
  <c r="V86" i="28" s="1"/>
  <c r="Q86" i="28"/>
  <c r="V85" i="28"/>
  <c r="T85" i="28"/>
  <c r="Q85" i="28"/>
  <c r="T84" i="28"/>
  <c r="V84" i="28" s="1"/>
  <c r="Q84" i="28"/>
  <c r="V83" i="28"/>
  <c r="T83" i="28"/>
  <c r="Q83" i="28"/>
  <c r="T82" i="28"/>
  <c r="V82" i="28" s="1"/>
  <c r="Q82" i="28"/>
  <c r="V81" i="28"/>
  <c r="T81" i="28"/>
  <c r="Q81" i="28"/>
  <c r="T80" i="28"/>
  <c r="V80" i="28" s="1"/>
  <c r="Q80" i="28"/>
  <c r="V79" i="28"/>
  <c r="T79" i="28"/>
  <c r="Q79" i="28"/>
  <c r="T78" i="28"/>
  <c r="V78" i="28" s="1"/>
  <c r="Q78" i="28"/>
  <c r="V77" i="28"/>
  <c r="T77" i="28"/>
  <c r="Q77" i="28"/>
  <c r="T76" i="28"/>
  <c r="V76" i="28" s="1"/>
  <c r="Q76" i="28"/>
  <c r="V75" i="28"/>
  <c r="T75" i="28"/>
  <c r="Q75" i="28"/>
  <c r="T74" i="28"/>
  <c r="V74" i="28" s="1"/>
  <c r="Q74" i="28"/>
  <c r="V73" i="28"/>
  <c r="T73" i="28"/>
  <c r="Q73" i="28"/>
  <c r="T72" i="28"/>
  <c r="V72" i="28" s="1"/>
  <c r="Q72" i="28"/>
  <c r="V71" i="28"/>
  <c r="T71" i="28"/>
  <c r="Q71" i="28"/>
  <c r="T70" i="28"/>
  <c r="V70" i="28" s="1"/>
  <c r="Q70" i="28"/>
  <c r="V69" i="28"/>
  <c r="T69" i="28"/>
  <c r="Q69" i="28"/>
  <c r="T68" i="28"/>
  <c r="V68" i="28" s="1"/>
  <c r="Q68" i="28"/>
  <c r="V67" i="28"/>
  <c r="T67" i="28"/>
  <c r="Q67" i="28"/>
  <c r="T66" i="28"/>
  <c r="V66" i="28" s="1"/>
  <c r="Q66" i="28"/>
  <c r="V65" i="28"/>
  <c r="T65" i="28"/>
  <c r="Q65" i="28"/>
  <c r="T64" i="28"/>
  <c r="V64" i="28" s="1"/>
  <c r="Q64" i="28"/>
  <c r="V63" i="28"/>
  <c r="T63" i="28"/>
  <c r="Q63" i="28"/>
  <c r="T62" i="28"/>
  <c r="V62" i="28" s="1"/>
  <c r="Q62" i="28"/>
  <c r="V61" i="28"/>
  <c r="T61" i="28"/>
  <c r="Q61" i="28"/>
  <c r="T60" i="28"/>
  <c r="V60" i="28" s="1"/>
  <c r="Q60" i="28"/>
  <c r="V59" i="28"/>
  <c r="T59" i="28"/>
  <c r="Q59" i="28"/>
  <c r="T58" i="28"/>
  <c r="V58" i="28" s="1"/>
  <c r="Q58" i="28"/>
  <c r="V57" i="28"/>
  <c r="T57" i="28"/>
  <c r="Q57" i="28"/>
  <c r="T56" i="28"/>
  <c r="V56" i="28" s="1"/>
  <c r="Q56" i="28"/>
  <c r="V55" i="28"/>
  <c r="T55" i="28"/>
  <c r="Q55" i="28"/>
  <c r="T54" i="28"/>
  <c r="V54" i="28" s="1"/>
  <c r="Q54" i="28"/>
  <c r="V53" i="28"/>
  <c r="T53" i="28"/>
  <c r="Q53" i="28"/>
  <c r="T52" i="28"/>
  <c r="V52" i="28" s="1"/>
  <c r="Q52" i="28"/>
  <c r="V51" i="28"/>
  <c r="T51" i="28"/>
  <c r="Q51" i="28"/>
  <c r="T50" i="28"/>
  <c r="V50" i="28" s="1"/>
  <c r="Q50" i="28"/>
  <c r="V49" i="28"/>
  <c r="T49" i="28"/>
  <c r="Q49" i="28"/>
  <c r="T48" i="28"/>
  <c r="V48" i="28" s="1"/>
  <c r="Q48" i="28"/>
  <c r="V47" i="28"/>
  <c r="T47" i="28"/>
  <c r="Q47" i="28"/>
  <c r="T46" i="28"/>
  <c r="V46" i="28" s="1"/>
  <c r="Q46" i="28"/>
  <c r="V45" i="28"/>
  <c r="T45" i="28"/>
  <c r="Q45" i="28"/>
  <c r="T44" i="28"/>
  <c r="V44" i="28" s="1"/>
  <c r="Q44" i="28"/>
  <c r="V43" i="28"/>
  <c r="T43" i="28"/>
  <c r="Q43" i="28"/>
  <c r="T42" i="28"/>
  <c r="V42" i="28" s="1"/>
  <c r="Q42" i="28"/>
  <c r="V41" i="28"/>
  <c r="T41" i="28"/>
  <c r="Q41" i="28"/>
  <c r="T40" i="28"/>
  <c r="V40" i="28" s="1"/>
  <c r="Q40" i="28"/>
  <c r="V39" i="28"/>
  <c r="T39" i="28"/>
  <c r="Q39" i="28"/>
  <c r="T38" i="28"/>
  <c r="V38" i="28" s="1"/>
  <c r="Q38" i="28"/>
  <c r="V37" i="28"/>
  <c r="T37" i="28"/>
  <c r="Q37" i="28"/>
  <c r="T36" i="28"/>
  <c r="V36" i="28" s="1"/>
  <c r="Q36" i="28"/>
  <c r="V35" i="28"/>
  <c r="T35" i="28"/>
  <c r="Q35" i="28"/>
  <c r="T34" i="28"/>
  <c r="V34" i="28" s="1"/>
  <c r="Q34" i="28"/>
  <c r="V33" i="28"/>
  <c r="T33" i="28"/>
  <c r="Q33" i="28"/>
  <c r="T32" i="28"/>
  <c r="V32" i="28" s="1"/>
  <c r="Q32" i="28"/>
  <c r="V31" i="28"/>
  <c r="T31" i="28"/>
  <c r="Q31" i="28"/>
  <c r="T30" i="28"/>
  <c r="V30" i="28" s="1"/>
  <c r="Q30" i="28"/>
  <c r="V29" i="28"/>
  <c r="T29" i="28"/>
  <c r="Q29" i="28"/>
  <c r="T28" i="28"/>
  <c r="V28" i="28" s="1"/>
  <c r="Q28" i="28"/>
  <c r="V27" i="28"/>
  <c r="T27" i="28"/>
  <c r="Q27" i="28"/>
  <c r="T26" i="28"/>
  <c r="V26" i="28" s="1"/>
  <c r="Q26" i="28"/>
  <c r="V25" i="28"/>
  <c r="T25" i="28"/>
  <c r="Q25" i="28"/>
  <c r="T24" i="28"/>
  <c r="V24" i="28" s="1"/>
  <c r="Q24" i="28"/>
  <c r="V23" i="28"/>
  <c r="T23" i="28"/>
  <c r="Q23" i="28"/>
  <c r="T22" i="28"/>
  <c r="V22" i="28" s="1"/>
  <c r="Q22" i="28"/>
  <c r="V21" i="28"/>
  <c r="T21" i="28"/>
  <c r="Q21" i="28"/>
  <c r="T20" i="28"/>
  <c r="V20" i="28" s="1"/>
  <c r="Q20" i="28"/>
  <c r="V19" i="28"/>
  <c r="T19" i="28"/>
  <c r="Q19" i="28"/>
  <c r="T18" i="28"/>
  <c r="V18" i="28" s="1"/>
  <c r="Q18" i="28"/>
  <c r="V17" i="28"/>
  <c r="T17" i="28"/>
  <c r="Q17" i="28"/>
  <c r="T16" i="28"/>
  <c r="V16" i="28" s="1"/>
  <c r="Q16" i="28"/>
  <c r="V15" i="28"/>
  <c r="T15" i="28"/>
  <c r="Q15" i="28"/>
  <c r="T14" i="28"/>
  <c r="V14" i="28" s="1"/>
  <c r="Q14" i="28"/>
  <c r="V13" i="28"/>
  <c r="T13" i="28"/>
  <c r="Q13" i="28"/>
  <c r="T12" i="28"/>
  <c r="V12" i="28" s="1"/>
  <c r="Q12" i="28"/>
  <c r="V11" i="28"/>
  <c r="T11" i="28"/>
  <c r="Q11" i="28"/>
  <c r="T10" i="28"/>
  <c r="V10" i="28" s="1"/>
  <c r="Q10" i="28"/>
  <c r="V9" i="28"/>
  <c r="T9" i="28"/>
  <c r="Q9" i="28"/>
  <c r="T8" i="28"/>
  <c r="V8" i="28" s="1"/>
  <c r="Q8" i="28"/>
  <c r="V7" i="28"/>
  <c r="T7" i="28"/>
  <c r="Q7" i="28"/>
  <c r="T6" i="28"/>
  <c r="V6" i="28" s="1"/>
  <c r="Q6" i="28"/>
  <c r="V5" i="28"/>
  <c r="T5" i="28"/>
  <c r="Q5" i="28"/>
  <c r="T4" i="28"/>
  <c r="V4" i="28" s="1"/>
  <c r="Q4" i="28"/>
  <c r="V3" i="28"/>
  <c r="T3" i="28"/>
  <c r="Q3" i="28"/>
  <c r="T2" i="28"/>
  <c r="V2" i="28" s="1"/>
  <c r="Q2" i="28"/>
  <c r="T55" i="27"/>
  <c r="V55" i="27" s="1"/>
  <c r="Q55" i="27"/>
  <c r="T54" i="27"/>
  <c r="V54" i="27" s="1"/>
  <c r="Q54" i="27"/>
  <c r="V53" i="27"/>
  <c r="T53" i="27"/>
  <c r="Q53" i="27"/>
  <c r="T52" i="27"/>
  <c r="V52" i="27" s="1"/>
  <c r="Q52" i="27"/>
  <c r="T51" i="27"/>
  <c r="V51" i="27" s="1"/>
  <c r="Q51" i="27"/>
  <c r="T50" i="27"/>
  <c r="V50" i="27" s="1"/>
  <c r="Q50" i="27"/>
  <c r="V49" i="27"/>
  <c r="T49" i="27"/>
  <c r="Q49" i="27"/>
  <c r="T48" i="27"/>
  <c r="V48" i="27" s="1"/>
  <c r="Q48" i="27"/>
  <c r="T47" i="27"/>
  <c r="V47" i="27" s="1"/>
  <c r="Q47" i="27"/>
  <c r="T46" i="27"/>
  <c r="V46" i="27" s="1"/>
  <c r="Q46" i="27"/>
  <c r="V45" i="27"/>
  <c r="T45" i="27"/>
  <c r="Q45" i="27"/>
  <c r="T44" i="27"/>
  <c r="V44" i="27" s="1"/>
  <c r="Q44" i="27"/>
  <c r="T43" i="27"/>
  <c r="V43" i="27" s="1"/>
  <c r="Q43" i="27"/>
  <c r="T42" i="27"/>
  <c r="V42" i="27" s="1"/>
  <c r="Q42" i="27"/>
  <c r="V41" i="27"/>
  <c r="T41" i="27"/>
  <c r="Q41" i="27"/>
  <c r="T40" i="27"/>
  <c r="V40" i="27" s="1"/>
  <c r="Q40" i="27"/>
  <c r="T39" i="27"/>
  <c r="V39" i="27" s="1"/>
  <c r="Q39" i="27"/>
  <c r="T38" i="27"/>
  <c r="V38" i="27" s="1"/>
  <c r="Q38" i="27"/>
  <c r="V37" i="27"/>
  <c r="T37" i="27"/>
  <c r="Q37" i="27"/>
  <c r="T36" i="27"/>
  <c r="V36" i="27" s="1"/>
  <c r="Q36" i="27"/>
  <c r="T35" i="27"/>
  <c r="V35" i="27" s="1"/>
  <c r="Q35" i="27"/>
  <c r="T34" i="27"/>
  <c r="V34" i="27" s="1"/>
  <c r="Q34" i="27"/>
  <c r="V33" i="27"/>
  <c r="T33" i="27"/>
  <c r="Q33" i="27"/>
  <c r="T32" i="27"/>
  <c r="V32" i="27" s="1"/>
  <c r="Q32" i="27"/>
  <c r="T31" i="27"/>
  <c r="V31" i="27" s="1"/>
  <c r="Q31" i="27"/>
  <c r="T30" i="27"/>
  <c r="V30" i="27" s="1"/>
  <c r="Q30" i="27"/>
  <c r="V29" i="27"/>
  <c r="T29" i="27"/>
  <c r="Q29" i="27"/>
  <c r="T28" i="27"/>
  <c r="V28" i="27" s="1"/>
  <c r="Q28" i="27"/>
  <c r="T27" i="27"/>
  <c r="V27" i="27" s="1"/>
  <c r="Q27" i="27"/>
  <c r="T26" i="27"/>
  <c r="V26" i="27" s="1"/>
  <c r="Q26" i="27"/>
  <c r="V25" i="27"/>
  <c r="T25" i="27"/>
  <c r="Q25" i="27"/>
  <c r="T24" i="27"/>
  <c r="V24" i="27" s="1"/>
  <c r="Q24" i="27"/>
  <c r="T23" i="27"/>
  <c r="V23" i="27" s="1"/>
  <c r="Q23" i="27"/>
  <c r="T22" i="27"/>
  <c r="V22" i="27" s="1"/>
  <c r="Q22" i="27"/>
  <c r="V21" i="27"/>
  <c r="T21" i="27"/>
  <c r="Q21" i="27"/>
  <c r="T20" i="27"/>
  <c r="V20" i="27" s="1"/>
  <c r="Q20" i="27"/>
  <c r="T19" i="27"/>
  <c r="V19" i="27" s="1"/>
  <c r="Q19" i="27"/>
  <c r="T18" i="27"/>
  <c r="V18" i="27" s="1"/>
  <c r="Q18" i="27"/>
  <c r="V17" i="27"/>
  <c r="T17" i="27"/>
  <c r="Q17" i="27"/>
  <c r="T16" i="27"/>
  <c r="V16" i="27" s="1"/>
  <c r="Q16" i="27"/>
  <c r="T15" i="27"/>
  <c r="V15" i="27" s="1"/>
  <c r="Q15" i="27"/>
  <c r="T14" i="27"/>
  <c r="V14" i="27" s="1"/>
  <c r="Q14" i="27"/>
  <c r="V13" i="27"/>
  <c r="T13" i="27"/>
  <c r="Q13" i="27"/>
  <c r="T12" i="27"/>
  <c r="V12" i="27" s="1"/>
  <c r="Q12" i="27"/>
  <c r="T11" i="27"/>
  <c r="V11" i="27" s="1"/>
  <c r="Q11" i="27"/>
  <c r="T10" i="27"/>
  <c r="V10" i="27" s="1"/>
  <c r="Q10" i="27"/>
  <c r="V9" i="27"/>
  <c r="T9" i="27"/>
  <c r="Q9" i="27"/>
  <c r="T8" i="27"/>
  <c r="V8" i="27" s="1"/>
  <c r="Q8" i="27"/>
  <c r="T7" i="27"/>
  <c r="V7" i="27" s="1"/>
  <c r="Q7" i="27"/>
  <c r="T6" i="27"/>
  <c r="V6" i="27" s="1"/>
  <c r="Q6" i="27"/>
  <c r="V5" i="27"/>
  <c r="T5" i="27"/>
  <c r="Q5" i="27"/>
  <c r="T4" i="27"/>
  <c r="V4" i="27" s="1"/>
  <c r="Q4" i="27"/>
  <c r="T3" i="27"/>
  <c r="V3" i="27" s="1"/>
  <c r="Q3" i="27"/>
  <c r="T2" i="27"/>
  <c r="V2" i="27" s="1"/>
  <c r="Q2" i="27"/>
  <c r="T124" i="26" l="1"/>
  <c r="V124" i="26" s="1"/>
  <c r="Q124" i="26"/>
  <c r="V123" i="26"/>
  <c r="T123" i="26"/>
  <c r="Q123" i="26"/>
  <c r="V122" i="26"/>
  <c r="T122" i="26"/>
  <c r="Q122" i="26"/>
  <c r="T121" i="26"/>
  <c r="V121" i="26" s="1"/>
  <c r="Q121" i="26"/>
  <c r="V120" i="26"/>
  <c r="T120" i="26"/>
  <c r="Q120" i="26"/>
  <c r="V119" i="26"/>
  <c r="T119" i="26"/>
  <c r="Q119" i="26"/>
  <c r="V118" i="26"/>
  <c r="T118" i="26"/>
  <c r="Q118" i="26"/>
  <c r="T117" i="26"/>
  <c r="V117" i="26" s="1"/>
  <c r="Q117" i="26"/>
  <c r="V116" i="26"/>
  <c r="T116" i="26"/>
  <c r="Q116" i="26"/>
  <c r="V115" i="26"/>
  <c r="T115" i="26"/>
  <c r="Q115" i="26"/>
  <c r="T114" i="26"/>
  <c r="V114" i="26" s="1"/>
  <c r="Q114" i="26"/>
  <c r="T113" i="26"/>
  <c r="V113" i="26" s="1"/>
  <c r="Q113" i="26"/>
  <c r="V112" i="26"/>
  <c r="T112" i="26"/>
  <c r="Q112" i="26"/>
  <c r="V111" i="26"/>
  <c r="T111" i="26"/>
  <c r="Q111" i="26"/>
  <c r="T110" i="26"/>
  <c r="V110" i="26" s="1"/>
  <c r="Q110" i="26"/>
  <c r="T109" i="26"/>
  <c r="V109" i="26" s="1"/>
  <c r="Q109" i="26"/>
  <c r="V108" i="26"/>
  <c r="T108" i="26"/>
  <c r="Q108" i="26"/>
  <c r="V107" i="26"/>
  <c r="T107" i="26"/>
  <c r="Q107" i="26"/>
  <c r="T106" i="26"/>
  <c r="V106" i="26" s="1"/>
  <c r="Q106" i="26"/>
  <c r="T105" i="26"/>
  <c r="V105" i="26" s="1"/>
  <c r="Q105" i="26"/>
  <c r="V104" i="26"/>
  <c r="T104" i="26"/>
  <c r="Q104" i="26"/>
  <c r="V103" i="26"/>
  <c r="T103" i="26"/>
  <c r="Q103" i="26"/>
  <c r="T102" i="26"/>
  <c r="V102" i="26" s="1"/>
  <c r="Q102" i="26"/>
  <c r="T101" i="26"/>
  <c r="V101" i="26" s="1"/>
  <c r="Q101" i="26"/>
  <c r="V100" i="26"/>
  <c r="T100" i="26"/>
  <c r="Q100" i="26"/>
  <c r="V99" i="26"/>
  <c r="T99" i="26"/>
  <c r="Q99" i="26"/>
  <c r="T98" i="26"/>
  <c r="V98" i="26" s="1"/>
  <c r="Q98" i="26"/>
  <c r="T97" i="26"/>
  <c r="V97" i="26" s="1"/>
  <c r="Q97" i="26"/>
  <c r="V96" i="26"/>
  <c r="T96" i="26"/>
  <c r="Q96" i="26"/>
  <c r="V95" i="26"/>
  <c r="T95" i="26"/>
  <c r="Q95" i="26"/>
  <c r="T94" i="26"/>
  <c r="V94" i="26" s="1"/>
  <c r="Q94" i="26"/>
  <c r="T93" i="26"/>
  <c r="V93" i="26" s="1"/>
  <c r="Q93" i="26"/>
  <c r="V92" i="26"/>
  <c r="T92" i="26"/>
  <c r="Q92" i="26"/>
  <c r="V91" i="26"/>
  <c r="T91" i="26"/>
  <c r="Q91" i="26"/>
  <c r="T90" i="26"/>
  <c r="V90" i="26" s="1"/>
  <c r="Q90" i="26"/>
  <c r="T89" i="26"/>
  <c r="V89" i="26" s="1"/>
  <c r="Q89" i="26"/>
  <c r="V88" i="26"/>
  <c r="T88" i="26"/>
  <c r="Q88" i="26"/>
  <c r="V87" i="26"/>
  <c r="T87" i="26"/>
  <c r="Q87" i="26"/>
  <c r="T86" i="26"/>
  <c r="V86" i="26" s="1"/>
  <c r="Q86" i="26"/>
  <c r="T85" i="26"/>
  <c r="V85" i="26" s="1"/>
  <c r="Q85" i="26"/>
  <c r="V84" i="26"/>
  <c r="T84" i="26"/>
  <c r="Q84" i="26"/>
  <c r="V83" i="26"/>
  <c r="T83" i="26"/>
  <c r="Q83" i="26"/>
  <c r="T82" i="26"/>
  <c r="V82" i="26" s="1"/>
  <c r="Q82" i="26"/>
  <c r="T81" i="26"/>
  <c r="V81" i="26" s="1"/>
  <c r="Q81" i="26"/>
  <c r="V80" i="26"/>
  <c r="T80" i="26"/>
  <c r="Q80" i="26"/>
  <c r="V79" i="26"/>
  <c r="T79" i="26"/>
  <c r="Q79" i="26"/>
  <c r="T78" i="26"/>
  <c r="V78" i="26" s="1"/>
  <c r="Q78" i="26"/>
  <c r="T77" i="26"/>
  <c r="V77" i="26" s="1"/>
  <c r="Q77" i="26"/>
  <c r="V76" i="26"/>
  <c r="T76" i="26"/>
  <c r="Q76" i="26"/>
  <c r="V75" i="26"/>
  <c r="T75" i="26"/>
  <c r="Q75" i="26"/>
  <c r="T74" i="26"/>
  <c r="V74" i="26" s="1"/>
  <c r="Q74" i="26"/>
  <c r="T73" i="26"/>
  <c r="V73" i="26" s="1"/>
  <c r="Q73" i="26"/>
  <c r="V72" i="26"/>
  <c r="T72" i="26"/>
  <c r="Q72" i="26"/>
  <c r="V71" i="26"/>
  <c r="T71" i="26"/>
  <c r="Q71" i="26"/>
  <c r="T70" i="26"/>
  <c r="V70" i="26" s="1"/>
  <c r="Q70" i="26"/>
  <c r="T69" i="26"/>
  <c r="V69" i="26" s="1"/>
  <c r="Q69" i="26"/>
  <c r="V68" i="26"/>
  <c r="T68" i="26"/>
  <c r="Q68" i="26"/>
  <c r="V67" i="26"/>
  <c r="T67" i="26"/>
  <c r="Q67" i="26"/>
  <c r="T66" i="26"/>
  <c r="V66" i="26" s="1"/>
  <c r="Q66" i="26"/>
  <c r="T65" i="26"/>
  <c r="V65" i="26" s="1"/>
  <c r="Q65" i="26"/>
  <c r="V64" i="26"/>
  <c r="T64" i="26"/>
  <c r="Q64" i="26"/>
  <c r="V63" i="26"/>
  <c r="T63" i="26"/>
  <c r="Q63" i="26"/>
  <c r="T62" i="26"/>
  <c r="V62" i="26" s="1"/>
  <c r="Q62" i="26"/>
  <c r="T61" i="26"/>
  <c r="V61" i="26" s="1"/>
  <c r="Q61" i="26"/>
  <c r="V60" i="26"/>
  <c r="T60" i="26"/>
  <c r="Q60" i="26"/>
  <c r="V59" i="26"/>
  <c r="T59" i="26"/>
  <c r="Q59" i="26"/>
  <c r="T58" i="26"/>
  <c r="V58" i="26" s="1"/>
  <c r="Q58" i="26"/>
  <c r="T57" i="26"/>
  <c r="V57" i="26" s="1"/>
  <c r="Q57" i="26"/>
  <c r="V56" i="26"/>
  <c r="T56" i="26"/>
  <c r="Q56" i="26"/>
  <c r="V55" i="26"/>
  <c r="T55" i="26"/>
  <c r="Q55" i="26"/>
  <c r="T54" i="26"/>
  <c r="V54" i="26" s="1"/>
  <c r="Q54" i="26"/>
  <c r="T53" i="26"/>
  <c r="V53" i="26" s="1"/>
  <c r="Q53" i="26"/>
  <c r="V52" i="26"/>
  <c r="T52" i="26"/>
  <c r="Q52" i="26"/>
  <c r="V51" i="26"/>
  <c r="T51" i="26"/>
  <c r="Q51" i="26"/>
  <c r="T50" i="26"/>
  <c r="V50" i="26" s="1"/>
  <c r="Q50" i="26"/>
  <c r="T49" i="26"/>
  <c r="V49" i="26" s="1"/>
  <c r="Q49" i="26"/>
  <c r="V48" i="26"/>
  <c r="T48" i="26"/>
  <c r="Q48" i="26"/>
  <c r="V47" i="26"/>
  <c r="T47" i="26"/>
  <c r="Q47" i="26"/>
  <c r="T46" i="26"/>
  <c r="V46" i="26" s="1"/>
  <c r="Q46" i="26"/>
  <c r="T45" i="26"/>
  <c r="V45" i="26" s="1"/>
  <c r="Q45" i="26"/>
  <c r="V44" i="26"/>
  <c r="T44" i="26"/>
  <c r="Q44" i="26"/>
  <c r="V43" i="26"/>
  <c r="T43" i="26"/>
  <c r="Q43" i="26"/>
  <c r="T42" i="26"/>
  <c r="V42" i="26" s="1"/>
  <c r="Q42" i="26"/>
  <c r="T41" i="26"/>
  <c r="V41" i="26" s="1"/>
  <c r="Q41" i="26"/>
  <c r="V40" i="26"/>
  <c r="T40" i="26"/>
  <c r="Q40" i="26"/>
  <c r="V39" i="26"/>
  <c r="T39" i="26"/>
  <c r="Q39" i="26"/>
  <c r="T38" i="26"/>
  <c r="V38" i="26" s="1"/>
  <c r="Q38" i="26"/>
  <c r="T37" i="26"/>
  <c r="V37" i="26" s="1"/>
  <c r="Q37" i="26"/>
  <c r="V36" i="26"/>
  <c r="T36" i="26"/>
  <c r="Q36" i="26"/>
  <c r="V35" i="26"/>
  <c r="T35" i="26"/>
  <c r="Q35" i="26"/>
  <c r="T34" i="26"/>
  <c r="V34" i="26" s="1"/>
  <c r="Q34" i="26"/>
  <c r="T33" i="26"/>
  <c r="V33" i="26" s="1"/>
  <c r="Q33" i="26"/>
  <c r="V32" i="26"/>
  <c r="T32" i="26"/>
  <c r="Q32" i="26"/>
  <c r="V31" i="26"/>
  <c r="T31" i="26"/>
  <c r="Q31" i="26"/>
  <c r="T30" i="26"/>
  <c r="V30" i="26" s="1"/>
  <c r="Q30" i="26"/>
  <c r="T29" i="26"/>
  <c r="V29" i="26" s="1"/>
  <c r="Q29" i="26"/>
  <c r="V28" i="26"/>
  <c r="T28" i="26"/>
  <c r="Q28" i="26"/>
  <c r="V27" i="26"/>
  <c r="T27" i="26"/>
  <c r="Q27" i="26"/>
  <c r="T26" i="26"/>
  <c r="V26" i="26" s="1"/>
  <c r="Q26" i="26"/>
  <c r="T25" i="26"/>
  <c r="V25" i="26" s="1"/>
  <c r="Q25" i="26"/>
  <c r="V24" i="26"/>
  <c r="T24" i="26"/>
  <c r="Q24" i="26"/>
  <c r="V23" i="26"/>
  <c r="T23" i="26"/>
  <c r="Q23" i="26"/>
  <c r="T22" i="26"/>
  <c r="V22" i="26" s="1"/>
  <c r="Q22" i="26"/>
  <c r="T21" i="26"/>
  <c r="V21" i="26" s="1"/>
  <c r="Q21" i="26"/>
  <c r="V20" i="26"/>
  <c r="T20" i="26"/>
  <c r="Q20" i="26"/>
  <c r="V19" i="26"/>
  <c r="T19" i="26"/>
  <c r="Q19" i="26"/>
  <c r="T18" i="26"/>
  <c r="V18" i="26" s="1"/>
  <c r="Q18" i="26"/>
  <c r="T17" i="26"/>
  <c r="V17" i="26" s="1"/>
  <c r="Q17" i="26"/>
  <c r="V16" i="26"/>
  <c r="T16" i="26"/>
  <c r="Q16" i="26"/>
  <c r="V15" i="26"/>
  <c r="T15" i="26"/>
  <c r="Q15" i="26"/>
  <c r="T14" i="26"/>
  <c r="V14" i="26" s="1"/>
  <c r="Q14" i="26"/>
  <c r="T13" i="26"/>
  <c r="V13" i="26" s="1"/>
  <c r="Q13" i="26"/>
  <c r="V12" i="26"/>
  <c r="T12" i="26"/>
  <c r="Q12" i="26"/>
  <c r="V11" i="26"/>
  <c r="T11" i="26"/>
  <c r="Q11" i="26"/>
  <c r="T10" i="26"/>
  <c r="V10" i="26" s="1"/>
  <c r="Q10" i="26"/>
  <c r="T9" i="26"/>
  <c r="V9" i="26" s="1"/>
  <c r="Q9" i="26"/>
  <c r="V8" i="26"/>
  <c r="T8" i="26"/>
  <c r="Q8" i="26"/>
  <c r="V7" i="26"/>
  <c r="T7" i="26"/>
  <c r="Q7" i="26"/>
  <c r="T6" i="26"/>
  <c r="V6" i="26" s="1"/>
  <c r="Q6" i="26"/>
  <c r="T5" i="26"/>
  <c r="V5" i="26" s="1"/>
  <c r="Q5" i="26"/>
  <c r="V4" i="26"/>
  <c r="T4" i="26"/>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<sst xmlns="http://schemas.openxmlformats.org/spreadsheetml/2006/main" count="10203" uniqueCount="569">
  <si>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</si>
  <si>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</si>
  <si>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</si>
  <si>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</si>
  <si>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</si>
  <si>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</si>
  <si>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</si>
  <si>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</si>
  <si>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</si>
  <si>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</si>
  <si>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</si>
  <si>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</si>
  <si>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</si>
  <si>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</si>
  <si>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</si>
  <si>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</si>
  <si>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</si>
  <si>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</si>
  <si>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</si>
  <si>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</si>
  <si>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</si>
  <si>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</si>
  <si>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</si>
  <si>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</si>
  <si>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</si>
  <si>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</si>
  <si>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</si>
  <si>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</si>
  <si>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</si>
  <si>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</si>
  <si>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</si>
  <si>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</si>
  <si>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</si>
  <si>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</si>
  <si>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</si>
  <si>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</si>
  <si>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</si>
  <si>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</si>
  <si>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</si>
  <si>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</si>
  <si>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</si>
  <si>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</si>
  <si>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</si>
  <si>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</si>
  <si>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</si>
  <si>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</si>
  <si>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</si>
  <si>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</si>
  <si>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</si>
  <si>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</si>
  <si>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</si>
  <si>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</si>
  <si>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</si>
  <si>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</si>
  <si>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</si>
  <si>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</si>
  <si>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</si>
  <si>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</si>
  <si>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</si>
  <si>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</si>
  <si>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</si>
  <si>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</si>
  <si>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</si>
  <si>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</si>
  <si>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</si>
  <si>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</si>
  <si>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</si>
  <si>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</si>
  <si>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</si>
  <si>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</si>
  <si>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</si>
  <si>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</si>
  <si>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</si>
  <si>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</si>
  <si>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</si>
  <si>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</si>
  <si>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</si>
  <si>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</si>
  <si>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</si>
  <si>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</si>
  <si>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</si>
  <si>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</si>
  <si>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</si>
  <si>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</si>
  <si>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</si>
  <si>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</si>
  <si>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</si>
  <si>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</si>
  <si>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</si>
  <si>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</si>
  <si>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</si>
  <si>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</si>
  <si>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</si>
  <si>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</si>
  <si>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</si>
  <si>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</si>
  <si>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</si>
  <si>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</si>
  <si>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</si>
  <si>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</si>
  <si>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</si>
  <si>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</si>
  <si>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</si>
  <si>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</si>
  <si>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</si>
  <si>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</si>
  <si>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</si>
  <si>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</si>
  <si>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</si>
  <si>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</si>
  <si>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</si>
  <si>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</si>
  <si>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</si>
  <si>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</si>
  <si>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</si>
  <si>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</si>
  <si>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</si>
  <si>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</si>
  <si>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</si>
  <si>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</si>
  <si>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</si>
  <si>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</si>
  <si>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</si>
  <si>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</si>
  <si>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</si>
  <si>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</si>
  <si>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</si>
  <si>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</si>
  <si>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</si>
  <si>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</si>
  <si>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</si>
  <si>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</si>
  <si>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</si>
  <si>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</si>
  <si>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</si>
  <si>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</si>
  <si>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</si>
  <si>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</si>
  <si>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</si>
  <si>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</si>
  <si>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</si>
  <si>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</si>
  <si>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</si>
  <si>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</si>
  <si>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</si>
  <si>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</si>
  <si>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</si>
  <si>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</si>
  <si>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</si>
  <si>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</si>
  <si>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</si>
  <si>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</si>
  <si>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</si>
  <si>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</si>
  <si>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</si>
  <si>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</si>
  <si>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</si>
  <si>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ﾆｭｰｼﾞｰﾗﾝﾄﾞ</t>
    <phoneticPr fontId="4"/>
  </si>
  <si>
    <t>GA</t>
  </si>
  <si>
    <t>GK</t>
    <phoneticPr fontId="4"/>
  </si>
  <si>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</si>
  <si>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</si>
  <si>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</si>
  <si>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</si>
  <si>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</si>
  <si>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</si>
  <si>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</si>
  <si>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</si>
  <si>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</si>
  <si>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</si>
  <si>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</si>
  <si>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</si>
  <si>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</si>
  <si>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</si>
  <si>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</si>
  <si>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</si>
  <si>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</si>
  <si>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</si>
  <si>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</si>
  <si>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</si>
  <si>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</si>
  <si>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</si>
  <si>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</si>
  <si>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</si>
  <si>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</si>
  <si>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</si>
  <si>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</si>
  <si>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</si>
  <si>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</si>
  <si>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</si>
  <si>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</si>
  <si>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</si>
  <si>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</si>
  <si>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</si>
  <si>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</si>
  <si>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</si>
  <si>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</si>
  <si>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</si>
  <si>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</si>
  <si>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</si>
  <si>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</si>
  <si>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</si>
  <si>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</si>
  <si>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</si>
  <si>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</si>
  <si>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</si>
  <si>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</si>
  <si>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</si>
  <si>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</si>
  <si>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</si>
  <si>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</si>
  <si>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</si>
  <si>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</si>
  <si>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</si>
  <si>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</si>
  <si>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</si>
  <si>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</si>
  <si>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</si>
  <si>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</si>
  <si>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</si>
  <si>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</si>
  <si>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</si>
  <si>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</si>
  <si>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</si>
  <si>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</si>
  <si>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</si>
  <si>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</si>
  <si>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</si>
  <si>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</si>
  <si>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</si>
  <si>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</si>
  <si>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</si>
  <si>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糖度</t>
    <phoneticPr fontId="4"/>
  </si>
  <si>
    <t>CK</t>
    <phoneticPr fontId="4"/>
  </si>
  <si>
    <t>Del Monte</t>
    <phoneticPr fontId="4"/>
  </si>
  <si>
    <t>Weight</t>
    <phoneticPr fontId="4"/>
  </si>
  <si>
    <t>Gold
SIZE</t>
    <phoneticPr fontId="4"/>
  </si>
  <si>
    <t>D'lish</t>
    <phoneticPr fontId="4"/>
  </si>
  <si>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</si>
  <si>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</si>
  <si>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</si>
  <si>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</si>
  <si>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</si>
  <si>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</si>
  <si>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</si>
  <si>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</si>
  <si>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</si>
  <si>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</si>
  <si>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</si>
  <si>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</si>
  <si>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</si>
  <si>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マックスバリュ</t>
  </si>
  <si>
    <t>北海道</t>
    <rPh sb="0" eb="3">
      <t>ホッカイドウ</t>
    </rPh>
    <phoneticPr fontId="3"/>
  </si>
  <si>
    <t>JP</t>
  </si>
  <si>
    <t>JP</t>
    <phoneticPr fontId="3"/>
  </si>
  <si>
    <t>JPY</t>
  </si>
  <si>
    <t>マックスバリュ</t>
    <phoneticPr fontId="3"/>
  </si>
  <si>
    <t>北40条店</t>
    <rPh sb="4" eb="5">
      <t>テン</t>
    </rPh>
    <phoneticPr fontId="3"/>
  </si>
  <si>
    <t>30.10.2018</t>
  </si>
  <si>
    <t>30.10.2018</t>
    <phoneticPr fontId="3"/>
  </si>
  <si>
    <t>硬度
１</t>
    <phoneticPr fontId="4"/>
  </si>
  <si>
    <t>29.10.2018</t>
    <phoneticPr fontId="3"/>
  </si>
  <si>
    <t>29.10.2018</t>
  </si>
  <si>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</si>
  <si>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</si>
  <si>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</si>
  <si>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</si>
  <si>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</si>
  <si>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</si>
  <si>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</si>
  <si>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</si>
  <si>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</si>
  <si>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</si>
  <si>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t>
    <phoneticPr fontId="3"/>
  </si>
  <si>
    <t>02.11.2018</t>
    <phoneticPr fontId="3"/>
  </si>
  <si>
    <t>アオキスーパー</t>
  </si>
  <si>
    <t>アオキスーパー</t>
    <phoneticPr fontId="4"/>
  </si>
  <si>
    <t>ピアゴ</t>
    <phoneticPr fontId="4"/>
  </si>
  <si>
    <t>長久手南店</t>
    <phoneticPr fontId="4"/>
  </si>
  <si>
    <t>カネスエ</t>
    <phoneticPr fontId="4"/>
  </si>
  <si>
    <t>長久手店</t>
    <phoneticPr fontId="4"/>
  </si>
  <si>
    <t>アピタ</t>
    <phoneticPr fontId="4"/>
  </si>
  <si>
    <t>マックスバリュ</t>
    <phoneticPr fontId="4"/>
  </si>
  <si>
    <t>HE</t>
    <phoneticPr fontId="4"/>
  </si>
  <si>
    <t>JP</t>
    <phoneticPr fontId="3"/>
  </si>
  <si>
    <t>02.11.2018</t>
    <phoneticPr fontId="3"/>
  </si>
  <si>
    <t>カネトク</t>
    <phoneticPr fontId="4"/>
  </si>
  <si>
    <t>JP</t>
    <phoneticPr fontId="3"/>
  </si>
  <si>
    <t>02.11.2018</t>
    <phoneticPr fontId="3"/>
  </si>
  <si>
    <t>マックスバリュ</t>
    <phoneticPr fontId="4"/>
  </si>
  <si>
    <t>長久手店</t>
    <phoneticPr fontId="4"/>
  </si>
  <si>
    <t>アピタ</t>
    <phoneticPr fontId="4"/>
  </si>
  <si>
    <t>JP</t>
    <phoneticPr fontId="3"/>
  </si>
  <si>
    <t>02.11.2018</t>
    <phoneticPr fontId="3"/>
  </si>
  <si>
    <t>アオキスーパー</t>
    <phoneticPr fontId="4"/>
  </si>
  <si>
    <t>長久手店</t>
    <phoneticPr fontId="4"/>
  </si>
  <si>
    <t>JP</t>
    <phoneticPr fontId="3"/>
  </si>
  <si>
    <t>02.11.2018</t>
    <phoneticPr fontId="3"/>
  </si>
  <si>
    <t>JP</t>
    <phoneticPr fontId="3"/>
  </si>
  <si>
    <t>02.11.2018</t>
    <phoneticPr fontId="3"/>
  </si>
  <si>
    <t>ピアゴ</t>
  </si>
  <si>
    <t>長久手南店</t>
  </si>
  <si>
    <t>JP</t>
    <phoneticPr fontId="3"/>
  </si>
  <si>
    <t>02.11.2018</t>
    <phoneticPr fontId="3"/>
  </si>
  <si>
    <t>カネスエ</t>
  </si>
  <si>
    <t>長久手店</t>
  </si>
  <si>
    <t>ラフランス</t>
    <phoneticPr fontId="4"/>
  </si>
  <si>
    <t>キラキラ</t>
    <phoneticPr fontId="4"/>
  </si>
  <si>
    <t>グリーンアイ</t>
    <phoneticPr fontId="4"/>
  </si>
  <si>
    <t>カネトク</t>
  </si>
  <si>
    <t>アピタ</t>
  </si>
  <si>
    <t>02.11.2018</t>
  </si>
  <si>
    <t>津久野店</t>
  </si>
  <si>
    <t>宮崎</t>
  </si>
  <si>
    <t>県名</t>
    <phoneticPr fontId="3"/>
  </si>
  <si>
    <t>チェーン名</t>
    <phoneticPr fontId="3"/>
  </si>
  <si>
    <t>品種</t>
    <phoneticPr fontId="3"/>
  </si>
  <si>
    <t>硬度
１</t>
    <phoneticPr fontId="4"/>
  </si>
  <si>
    <t>硬度
２</t>
    <phoneticPr fontId="4"/>
  </si>
  <si>
    <t>糖度</t>
    <phoneticPr fontId="4"/>
  </si>
  <si>
    <t>Weight</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</si>
  <si>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</si>
  <si>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</si>
  <si>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</si>
  <si>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</si>
  <si>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</si>
  <si>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</si>
  <si>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</si>
  <si>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29.10.2018</t>
    <phoneticPr fontId="3"/>
  </si>
  <si>
    <t>福や</t>
  </si>
  <si>
    <t>鉄砲町店</t>
    <rPh sb="3" eb="4">
      <t>テン</t>
    </rPh>
    <phoneticPr fontId="3"/>
  </si>
  <si>
    <t>JPY</t>
    <phoneticPr fontId="3"/>
  </si>
  <si>
    <t>ﾆｭｰｼﾞｰﾗﾝﾄﾞ</t>
    <phoneticPr fontId="4"/>
  </si>
  <si>
    <t>JP</t>
    <phoneticPr fontId="3"/>
  </si>
  <si>
    <t>29.10.2018</t>
    <phoneticPr fontId="3"/>
  </si>
  <si>
    <t>JPY</t>
    <phoneticPr fontId="3"/>
  </si>
  <si>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</si>
  <si>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</si>
  <si>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</si>
  <si>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</si>
  <si>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</si>
  <si>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</si>
  <si>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</si>
  <si>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</si>
  <si>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HW</t>
    <phoneticPr fontId="4"/>
  </si>
  <si>
    <t>CK</t>
    <phoneticPr fontId="4"/>
  </si>
  <si>
    <t>Del Monte</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</si>
  <si>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</si>
  <si>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</si>
  <si>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</si>
  <si>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</si>
  <si>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</si>
  <si>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</si>
  <si>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</si>
  <si>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JP</t>
    <phoneticPr fontId="3"/>
  </si>
  <si>
    <t>29.10.2018</t>
    <phoneticPr fontId="3"/>
  </si>
  <si>
    <t>JPY</t>
    <phoneticPr fontId="3"/>
  </si>
  <si>
    <t>ピュアクック</t>
  </si>
  <si>
    <t>観音店</t>
    <rPh sb="2" eb="3">
      <t>テン</t>
    </rPh>
    <phoneticPr fontId="3"/>
  </si>
  <si>
    <t>GA</t>
    <phoneticPr fontId="4"/>
  </si>
  <si>
    <t>宇品店</t>
    <rPh sb="2" eb="3">
      <t>テン</t>
    </rPh>
    <phoneticPr fontId="3"/>
  </si>
  <si>
    <t>JP</t>
    <phoneticPr fontId="3"/>
  </si>
  <si>
    <t>29.10.2018</t>
    <phoneticPr fontId="3"/>
  </si>
  <si>
    <t>JPY</t>
    <phoneticPr fontId="3"/>
  </si>
  <si>
    <t>イズミゆめタウン</t>
  </si>
  <si>
    <t>広島店</t>
    <rPh sb="2" eb="3">
      <t>テン</t>
    </rPh>
    <phoneticPr fontId="3"/>
  </si>
  <si>
    <t>フジグラン</t>
  </si>
  <si>
    <t>バナナ</t>
    <phoneticPr fontId="4"/>
  </si>
  <si>
    <t>JP</t>
    <phoneticPr fontId="3"/>
  </si>
  <si>
    <t>29.10.2018</t>
    <phoneticPr fontId="3"/>
  </si>
  <si>
    <t>JPY</t>
    <phoneticPr fontId="3"/>
  </si>
  <si>
    <t>パパイヤ</t>
    <phoneticPr fontId="4"/>
  </si>
  <si>
    <t>JP</t>
    <phoneticPr fontId="3"/>
  </si>
  <si>
    <t>29.10.2018</t>
    <phoneticPr fontId="3"/>
  </si>
  <si>
    <t>JPY</t>
    <phoneticPr fontId="3"/>
  </si>
  <si>
    <t>びわ</t>
    <phoneticPr fontId="4"/>
  </si>
  <si>
    <t>JP</t>
    <phoneticPr fontId="3"/>
  </si>
  <si>
    <t>29.10.2018</t>
    <phoneticPr fontId="3"/>
  </si>
  <si>
    <t>JPY</t>
    <phoneticPr fontId="3"/>
  </si>
  <si>
    <t>メロン</t>
    <phoneticPr fontId="4"/>
  </si>
  <si>
    <t>桃</t>
    <phoneticPr fontId="4"/>
  </si>
  <si>
    <t>JP</t>
    <phoneticPr fontId="3"/>
  </si>
  <si>
    <t>29.10.2018</t>
    <phoneticPr fontId="3"/>
  </si>
  <si>
    <t>JPY</t>
    <phoneticPr fontId="3"/>
  </si>
  <si>
    <t>ブドウ</t>
    <phoneticPr fontId="4"/>
  </si>
  <si>
    <t>ラフランス</t>
    <phoneticPr fontId="4"/>
  </si>
  <si>
    <t>いちじく</t>
    <phoneticPr fontId="4"/>
  </si>
  <si>
    <t>りんご</t>
    <phoneticPr fontId="4"/>
  </si>
  <si>
    <t>みかん</t>
    <phoneticPr fontId="4"/>
  </si>
  <si>
    <t>マンゴー</t>
    <phoneticPr fontId="3"/>
  </si>
  <si>
    <t>キラキラ</t>
    <phoneticPr fontId="4"/>
  </si>
  <si>
    <t>JP</t>
    <phoneticPr fontId="3"/>
  </si>
  <si>
    <t>29.10.2018</t>
    <phoneticPr fontId="3"/>
  </si>
  <si>
    <t>JPY</t>
    <phoneticPr fontId="3"/>
  </si>
  <si>
    <t>グリーンアイ</t>
    <phoneticPr fontId="4"/>
  </si>
  <si>
    <t>ひこさか</t>
    <phoneticPr fontId="3"/>
  </si>
  <si>
    <t>販売
ユニット
個数</t>
    <phoneticPr fontId="4"/>
  </si>
  <si>
    <t>U/P JPY</t>
    <phoneticPr fontId="4"/>
  </si>
  <si>
    <r>
      <t xml:space="preserve">Green
Other
</t>
    </r>
    <r>
      <rPr>
        <b/>
        <sz val="8"/>
        <rFont val="ＭＳ Ｐゴシック"/>
        <family val="3"/>
        <charset val="128"/>
      </rPr>
      <t>最低重量</t>
    </r>
    <phoneticPr fontId="4"/>
  </si>
  <si>
    <t>31.10.2018</t>
    <phoneticPr fontId="3"/>
  </si>
  <si>
    <t>マルショク</t>
    <phoneticPr fontId="3"/>
  </si>
  <si>
    <t>野間大池</t>
    <rPh sb="0" eb="2">
      <t>ノマ</t>
    </rPh>
    <rPh sb="2" eb="4">
      <t>オオイケ</t>
    </rPh>
    <phoneticPr fontId="3"/>
  </si>
  <si>
    <t>柿</t>
    <rPh sb="0" eb="1">
      <t>カキ</t>
    </rPh>
    <phoneticPr fontId="3"/>
  </si>
  <si>
    <t>JPY</t>
    <phoneticPr fontId="4"/>
  </si>
  <si>
    <t>サニー</t>
  </si>
  <si>
    <t>野間</t>
    <rPh sb="0" eb="2">
      <t>ノマ</t>
    </rPh>
    <phoneticPr fontId="3"/>
  </si>
  <si>
    <t>一般栽培</t>
    <phoneticPr fontId="4"/>
  </si>
  <si>
    <t>ﾆｭｰｼﾞｰﾗﾝﾄﾞ</t>
    <phoneticPr fontId="4"/>
  </si>
  <si>
    <t>JP</t>
    <phoneticPr fontId="3"/>
  </si>
  <si>
    <t>31.10.2018</t>
    <phoneticPr fontId="3"/>
  </si>
  <si>
    <t>マルショク</t>
    <phoneticPr fontId="3"/>
  </si>
  <si>
    <t>マルショク</t>
  </si>
  <si>
    <t>バナナ</t>
    <phoneticPr fontId="3"/>
  </si>
  <si>
    <t>JP</t>
    <phoneticPr fontId="3"/>
  </si>
  <si>
    <t>31.10.2018</t>
    <phoneticPr fontId="3"/>
  </si>
  <si>
    <t>マルショク</t>
    <phoneticPr fontId="3"/>
  </si>
  <si>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</si>
  <si>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</si>
  <si>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</si>
  <si>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</si>
  <si>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</si>
  <si>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</si>
  <si>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</si>
  <si>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</si>
  <si>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</si>
  <si>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</si>
  <si>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</si>
  <si>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</si>
  <si>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</si>
  <si>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</si>
  <si>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</si>
  <si>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</si>
  <si>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</si>
  <si>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31.10.2018</t>
    <phoneticPr fontId="3"/>
  </si>
  <si>
    <t>マルショク</t>
    <phoneticPr fontId="3"/>
  </si>
  <si>
    <t>HW</t>
    <phoneticPr fontId="3"/>
  </si>
  <si>
    <t>マルキョウ</t>
  </si>
  <si>
    <t>清水</t>
    <rPh sb="0" eb="2">
      <t>シミズ</t>
    </rPh>
    <phoneticPr fontId="3"/>
  </si>
  <si>
    <t>HE</t>
    <phoneticPr fontId="4"/>
  </si>
  <si>
    <t>韓国</t>
    <rPh sb="0" eb="2">
      <t>カンコク</t>
    </rPh>
    <phoneticPr fontId="4"/>
  </si>
  <si>
    <t>JP</t>
    <phoneticPr fontId="3"/>
  </si>
  <si>
    <t>31.10.2018</t>
    <phoneticPr fontId="3"/>
  </si>
  <si>
    <t>大橋</t>
    <rPh sb="0" eb="2">
      <t>オオハシ</t>
    </rPh>
    <phoneticPr fontId="3"/>
  </si>
  <si>
    <t>GA</t>
    <phoneticPr fontId="4"/>
  </si>
  <si>
    <t>ダイキョーバリュー</t>
  </si>
  <si>
    <t>JA伊万里</t>
    <rPh sb="2" eb="5">
      <t>イマリ</t>
    </rPh>
    <phoneticPr fontId="3"/>
  </si>
  <si>
    <t>31.10.2018</t>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</si>
  <si>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</si>
  <si>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</si>
  <si>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</si>
  <si>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</si>
  <si>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</si>
  <si>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</si>
  <si>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</si>
  <si>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31.10.2018</t>
    <phoneticPr fontId="3"/>
  </si>
  <si>
    <t>31.10.2018</t>
    <phoneticPr fontId="3"/>
  </si>
  <si>
    <t>31.10.2018</t>
    <phoneticPr fontId="3"/>
  </si>
  <si>
    <t>ＪＡ八女</t>
    <rPh sb="2" eb="4">
      <t>ヤメ</t>
    </rPh>
    <phoneticPr fontId="4"/>
  </si>
  <si>
    <t>山神農園</t>
    <rPh sb="0" eb="4">
      <t>ヤマガミノウエン</t>
    </rPh>
    <phoneticPr fontId="3"/>
  </si>
  <si>
    <t>喜芳園</t>
    <rPh sb="0" eb="1">
      <t>ヨロコ</t>
    </rPh>
    <rPh sb="1" eb="2">
      <t>ヨシモト</t>
    </rPh>
    <rPh sb="2" eb="3">
      <t>¥</t>
    </rPh>
    <phoneticPr fontId="3"/>
  </si>
  <si>
    <t>31.10.2018</t>
    <phoneticPr fontId="3"/>
  </si>
  <si>
    <t>ＪＡみなみ筑後</t>
    <rPh sb="5" eb="7">
      <t>チクゴ</t>
    </rPh>
    <phoneticPr fontId="4"/>
  </si>
  <si>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</si>
  <si>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</si>
  <si>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</si>
  <si>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</si>
  <si>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甘夏</t>
    <rPh sb="0" eb="2">
      <t>アマナツ</t>
    </rPh>
    <phoneticPr fontId="3"/>
  </si>
  <si>
    <t>キラキラ</t>
    <phoneticPr fontId="4"/>
  </si>
  <si>
    <t>プラム</t>
    <phoneticPr fontId="3"/>
  </si>
  <si>
    <t>グリーンアイ</t>
    <phoneticPr fontId="4"/>
  </si>
  <si>
    <t>ぽんかん</t>
    <phoneticPr fontId="3"/>
  </si>
  <si>
    <t>アメリカンチェリー</t>
    <phoneticPr fontId="3"/>
  </si>
  <si>
    <t>山口</t>
    <rPh sb="0" eb="2">
      <t>ヤマグチ</t>
    </rPh>
    <phoneticPr fontId="3"/>
  </si>
  <si>
    <t>JPY</t>
    <phoneticPr fontId="3"/>
  </si>
  <si>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</si>
  <si>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</si>
  <si>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</si>
  <si>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</si>
  <si>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</si>
  <si>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</si>
  <si>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</si>
  <si>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</si>
  <si>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</si>
  <si>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</si>
  <si>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</si>
  <si>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</si>
  <si>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</si>
  <si>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01.11.2018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</si>
  <si>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</si>
  <si>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</si>
  <si>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</si>
  <si>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</si>
  <si>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</si>
  <si>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</si>
  <si>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01.11.2018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</si>
  <si>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</si>
  <si>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</si>
  <si>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</si>
  <si>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</si>
  <si>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</si>
  <si>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</si>
  <si>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</si>
  <si>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</si>
  <si>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</si>
  <si>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</si>
  <si>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</si>
  <si>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</si>
  <si>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</si>
  <si>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</si>
  <si>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</si>
  <si>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</si>
  <si>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</si>
  <si>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</si>
  <si>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</si>
  <si>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</si>
  <si>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</si>
  <si>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</si>
  <si>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</si>
  <si>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マルエツ</t>
  </si>
  <si>
    <t>大森西店</t>
  </si>
  <si>
    <t>ラフランス</t>
    <phoneticPr fontId="3"/>
  </si>
  <si>
    <t>グリーンアイ</t>
    <phoneticPr fontId="4"/>
  </si>
  <si>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</si>
  <si>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</si>
  <si>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</si>
  <si>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</si>
  <si>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</si>
  <si>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</si>
  <si>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</si>
  <si>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</si>
  <si>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</si>
  <si>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</si>
  <si>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</si>
  <si>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</si>
  <si>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</si>
  <si>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</si>
  <si>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01.11.2018</t>
    <phoneticPr fontId="3"/>
  </si>
  <si>
    <t>鹿骨店</t>
  </si>
  <si>
    <t>松江店</t>
  </si>
  <si>
    <t>ﾆｭｰｼﾞｰﾗﾝﾄﾞ</t>
    <phoneticPr fontId="4"/>
  </si>
  <si>
    <t>オリンピック</t>
  </si>
  <si>
    <t>西一之江店</t>
  </si>
  <si>
    <t>ヤマイチ</t>
  </si>
  <si>
    <t>今井店</t>
  </si>
  <si>
    <t>D'lish</t>
    <phoneticPr fontId="4"/>
  </si>
  <si>
    <t>中国</t>
    <phoneticPr fontId="4"/>
  </si>
  <si>
    <t>コモディイイダ</t>
  </si>
  <si>
    <t>西瑞江店</t>
  </si>
  <si>
    <t>HW</t>
    <phoneticPr fontId="4"/>
  </si>
  <si>
    <t>CK</t>
    <phoneticPr fontId="4"/>
  </si>
  <si>
    <t>Del Monte</t>
    <phoneticPr fontId="3"/>
  </si>
  <si>
    <t>いなげや</t>
  </si>
  <si>
    <t>江戸川春江店</t>
  </si>
  <si>
    <t>GK</t>
    <phoneticPr fontId="4"/>
  </si>
  <si>
    <t>OB</t>
    <phoneticPr fontId="4"/>
  </si>
  <si>
    <t>HE</t>
    <phoneticPr fontId="4"/>
  </si>
  <si>
    <t>01.11.2018</t>
    <phoneticPr fontId="3"/>
  </si>
  <si>
    <t>サミットストア</t>
  </si>
  <si>
    <t>本一色店</t>
  </si>
  <si>
    <t>東武ストア</t>
  </si>
  <si>
    <t>新小岩店</t>
  </si>
  <si>
    <t>01.11.2018</t>
    <phoneticPr fontId="3"/>
  </si>
  <si>
    <t>ビッグ・エー</t>
  </si>
  <si>
    <t>江戸川本一色店</t>
  </si>
  <si>
    <t>江戸川中央店</t>
  </si>
  <si>
    <t>01.11.2018</t>
    <phoneticPr fontId="3"/>
  </si>
  <si>
    <t>01.11.2018</t>
    <phoneticPr fontId="3"/>
  </si>
  <si>
    <t>01.11.2018</t>
    <phoneticPr fontId="3"/>
  </si>
  <si>
    <t>01.11.2018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</si>
</sst>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style="thin">
        <color theme="0" tint="-0.149906918546098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9">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0" fontId="1" fillId="0" borderId="0" xfId="1" applyFont="1" applyAlignment="1">
      <alignment horizont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Font="1" applyBorder="1"/>
    <xf numFmtId="178" fontId="1" fillId="3" borderId="0" xfId="1" applyNumberFormat="1" applyFont="1" applyFill="1"/>
    <xf numFmtId="0" fontId="10" fillId="0" borderId="0" xfId="1" applyFont="1" applyBorder="1"/>
    <xf numFmtId="0" fontId="1" fillId="0" borderId="0" xfId="1" applyFont="1" applyFill="1" applyBorder="1"/>
    <xf numFmtId="0" fontId="14" fillId="0" borderId="0" xfId="1" applyFont="1" applyFill="1"/>
    <xf numFmtId="0" fontId="1" fillId="0" borderId="18" xfId="5" applyFont="1" applyBorder="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xf numFmtId="14" fontId="0" fillId="4" borderId="45" xfId="1" applyNumberFormat="1" applyFont="1" applyFill="1" applyBorder="1"/>
    <xf numFmtId="14" fontId="0" fillId="4" borderId="46" xfId="1" applyNumberFormat="1" applyFont="1" applyFill="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hiroshima_4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fukuoka_4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2467;&#12500;&#12540;Zespri%20Shopsurvey_ota_4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kato_4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252</v>
      </c>
      <c r="B2" s="15" t="s">
        <v>254</v>
      </c>
      <c r="C2" s="15">
        <v>2018</v>
      </c>
      <c r="D2" s="50" t="s">
        <v>259</v>
      </c>
      <c r="E2" s="15" t="s">
        <v>141</v>
      </c>
      <c r="F2" s="15" t="s">
        <v>149</v>
      </c>
      <c r="G2" s="15" t="s">
        <v>36</v>
      </c>
      <c r="H2" s="15" t="s">
        <v>155</v>
      </c>
      <c r="I2" s="15" t="s">
        <v>153</v>
      </c>
      <c r="J2" s="15" t="s">
        <v>38</v>
      </c>
      <c r="K2" s="7" t="s">
        <v>154</v>
      </c>
      <c r="L2" s="7">
        <v>1</v>
      </c>
      <c r="N2" s="47">
        <v>1</v>
      </c>
      <c r="O2" s="15">
        <v>0.5</v>
      </c>
      <c r="P2" s="15">
        <v>0.5</v>
      </c>
      <c r="Q2" s="51">
        <f t="shared" ref="Q2:Q65" si="0">IF(OR(O2="",P2=""),"",AVERAGE(O2,P2))</f>
        <v>0.5</v>
      </c>
      <c r="R2" s="15">
        <v>15.2</v>
      </c>
      <c r="S2" s="15">
        <v>117</v>
      </c>
      <c r="T2" s="38">
        <f t="shared" ref="T2:T59" si="1">IF(H2="","",IF(OR(H2="GREEN",H2="GK"),IF(S2&gt;=$AX$2,VLOOKUP(S2,$AX$2:$AY$12,2,1),""),IF(S2&gt;=$AZ$2,VLOOKUP(S2,$AZ$2:$BA$12,2,1),"")))</f>
        <v>30</v>
      </c>
      <c r="U2" s="15">
        <v>105</v>
      </c>
      <c r="V2" s="38">
        <f t="shared" ref="V2:V65" si="2">IF(OR(N2="",U2="",T2=""),"",U2/N2*T2)</f>
        <v>3150</v>
      </c>
      <c r="W2" s="15">
        <v>2</v>
      </c>
      <c r="X2" s="15" t="s">
        <v>39</v>
      </c>
      <c r="Y2" s="15" t="s">
        <v>50</v>
      </c>
      <c r="Z2" s="15" t="s">
        <v>84</v>
      </c>
      <c r="AA2" s="15" t="s">
        <v>90</v>
      </c>
      <c r="AB2" s="39" t="s">
        <v>473</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252</v>
      </c>
      <c r="B3" s="15" t="s">
        <v>253</v>
      </c>
      <c r="C3" s="15">
        <v>2018</v>
      </c>
      <c r="D3" s="37" t="s">
        <v>258</v>
      </c>
      <c r="E3" s="15" t="s">
        <v>141</v>
      </c>
      <c r="F3" s="7" t="s">
        <v>149</v>
      </c>
      <c r="G3" s="7" t="s">
        <v>36</v>
      </c>
      <c r="H3" s="15" t="s">
        <v>155</v>
      </c>
      <c r="I3" s="7" t="s">
        <v>153</v>
      </c>
      <c r="J3" s="15" t="s">
        <v>38</v>
      </c>
      <c r="K3" s="7" t="s">
        <v>154</v>
      </c>
      <c r="L3" s="7">
        <v>2</v>
      </c>
      <c r="N3" s="7">
        <v>1</v>
      </c>
      <c r="O3" s="34">
        <v>0.7</v>
      </c>
      <c r="P3" s="7">
        <v>0.7</v>
      </c>
      <c r="Q3" s="52">
        <f t="shared" si="0"/>
        <v>0.7</v>
      </c>
      <c r="R3" s="7">
        <v>13.1</v>
      </c>
      <c r="S3" s="7">
        <v>134</v>
      </c>
      <c r="T3" s="16">
        <f t="shared" si="1"/>
        <v>25</v>
      </c>
      <c r="U3" s="15">
        <v>105</v>
      </c>
      <c r="V3" s="16">
        <f t="shared" si="2"/>
        <v>2625</v>
      </c>
      <c r="W3" s="15">
        <v>2</v>
      </c>
      <c r="X3" s="15" t="s">
        <v>39</v>
      </c>
      <c r="Y3" s="148" t="s">
        <v>50</v>
      </c>
      <c r="Z3" s="148" t="s">
        <v>84</v>
      </c>
      <c r="AA3" s="148" t="s">
        <v>90</v>
      </c>
      <c r="AB3" s="39" t="s">
        <v>255</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252</v>
      </c>
      <c r="B4" s="15" t="s">
        <v>253</v>
      </c>
      <c r="C4" s="15">
        <v>2018</v>
      </c>
      <c r="D4" s="37" t="s">
        <v>258</v>
      </c>
      <c r="E4" s="15" t="s">
        <v>141</v>
      </c>
      <c r="F4" s="7" t="s">
        <v>149</v>
      </c>
      <c r="G4" s="7" t="s">
        <v>36</v>
      </c>
      <c r="H4" s="15" t="s">
        <v>155</v>
      </c>
      <c r="I4" s="140" t="s">
        <v>153</v>
      </c>
      <c r="J4" s="15" t="s">
        <v>38</v>
      </c>
      <c r="K4" s="7" t="s">
        <v>154</v>
      </c>
      <c r="L4" s="7">
        <v>3</v>
      </c>
      <c r="N4" s="7">
        <v>1</v>
      </c>
      <c r="O4" s="7">
        <v>0.5</v>
      </c>
      <c r="P4" s="7">
        <v>0.55000000000000004</v>
      </c>
      <c r="Q4" s="52">
        <f t="shared" si="0"/>
        <v>0.52500000000000002</v>
      </c>
      <c r="R4" s="7">
        <v>14.8</v>
      </c>
      <c r="S4" s="7">
        <v>119</v>
      </c>
      <c r="T4" s="16">
        <f t="shared" si="1"/>
        <v>30</v>
      </c>
      <c r="U4" s="15">
        <v>105</v>
      </c>
      <c r="V4" s="16">
        <f t="shared" si="2"/>
        <v>3150</v>
      </c>
      <c r="W4" s="15">
        <v>2</v>
      </c>
      <c r="X4" s="148" t="s">
        <v>39</v>
      </c>
      <c r="Y4" s="148" t="s">
        <v>50</v>
      </c>
      <c r="Z4" s="148" t="s">
        <v>84</v>
      </c>
      <c r="AA4" s="148" t="s">
        <v>90</v>
      </c>
      <c r="AB4" s="39" t="s">
        <v>255</v>
      </c>
      <c r="AE4" s="22" t="s">
        <v>34</v>
      </c>
      <c r="AG4" s="49" t="s">
        <v>256</v>
      </c>
      <c r="AH4" s="49" t="s">
        <v>257</v>
      </c>
      <c r="AJ4" s="27" t="s">
        <v>48</v>
      </c>
      <c r="AL4" s="27" t="s">
        <v>129</v>
      </c>
      <c r="AN4" s="28" t="s">
        <v>49</v>
      </c>
      <c r="AP4" s="23" t="s">
        <v>93</v>
      </c>
      <c r="AR4" s="41" t="s">
        <v>121</v>
      </c>
      <c r="AT4" s="28"/>
      <c r="AV4" s="23" t="s">
        <v>50</v>
      </c>
      <c r="AX4" s="24">
        <v>75</v>
      </c>
      <c r="AY4" s="25">
        <v>42</v>
      </c>
      <c r="AZ4" s="25">
        <v>76</v>
      </c>
      <c r="BA4" s="26">
        <v>39</v>
      </c>
    </row>
    <row r="5" spans="1:53" x14ac:dyDescent="0.15">
      <c r="A5" s="15" t="s">
        <v>252</v>
      </c>
      <c r="B5" s="15" t="s">
        <v>253</v>
      </c>
      <c r="C5" s="15">
        <v>2018</v>
      </c>
      <c r="D5" s="37" t="s">
        <v>258</v>
      </c>
      <c r="E5" s="15" t="s">
        <v>141</v>
      </c>
      <c r="F5" s="15" t="s">
        <v>149</v>
      </c>
      <c r="G5" s="7" t="s">
        <v>36</v>
      </c>
      <c r="H5" s="15" t="s">
        <v>158</v>
      </c>
      <c r="I5" s="140" t="s">
        <v>153</v>
      </c>
      <c r="J5" s="15" t="s">
        <v>38</v>
      </c>
      <c r="K5" s="7" t="s">
        <v>154</v>
      </c>
      <c r="L5" s="7">
        <v>1</v>
      </c>
      <c r="N5" s="7">
        <v>1</v>
      </c>
      <c r="O5" s="7">
        <v>0.7</v>
      </c>
      <c r="P5" s="7">
        <v>0.6</v>
      </c>
      <c r="Q5" s="52">
        <f t="shared" si="0"/>
        <v>0.64999999999999991</v>
      </c>
      <c r="R5" s="7">
        <v>15.3</v>
      </c>
      <c r="S5" s="7">
        <v>132</v>
      </c>
      <c r="T5" s="16">
        <f t="shared" si="1"/>
        <v>25</v>
      </c>
      <c r="U5" s="15">
        <v>106</v>
      </c>
      <c r="V5" s="16">
        <f t="shared" si="2"/>
        <v>2650</v>
      </c>
      <c r="W5" s="15">
        <v>3</v>
      </c>
      <c r="X5" s="148" t="s">
        <v>39</v>
      </c>
      <c r="Y5" s="148" t="s">
        <v>50</v>
      </c>
      <c r="Z5" s="148" t="s">
        <v>84</v>
      </c>
      <c r="AA5" s="148" t="s">
        <v>90</v>
      </c>
      <c r="AB5" s="39" t="s">
        <v>255</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252</v>
      </c>
      <c r="B6" s="15" t="s">
        <v>253</v>
      </c>
      <c r="C6" s="15">
        <v>2018</v>
      </c>
      <c r="D6" s="37" t="s">
        <v>258</v>
      </c>
      <c r="E6" s="15" t="s">
        <v>141</v>
      </c>
      <c r="F6" s="7" t="s">
        <v>149</v>
      </c>
      <c r="G6" s="7" t="s">
        <v>36</v>
      </c>
      <c r="H6" s="148" t="s">
        <v>158</v>
      </c>
      <c r="I6" s="140" t="s">
        <v>153</v>
      </c>
      <c r="J6" s="148" t="s">
        <v>38</v>
      </c>
      <c r="K6" s="140" t="s">
        <v>154</v>
      </c>
      <c r="L6" s="7">
        <v>2</v>
      </c>
      <c r="N6" s="7">
        <v>1</v>
      </c>
      <c r="O6" s="7">
        <v>0.55000000000000004</v>
      </c>
      <c r="P6" s="7">
        <v>0.7</v>
      </c>
      <c r="Q6" s="52">
        <f t="shared" si="0"/>
        <v>0.625</v>
      </c>
      <c r="R6" s="7">
        <v>15.8</v>
      </c>
      <c r="S6" s="7">
        <v>134</v>
      </c>
      <c r="T6" s="16">
        <f t="shared" si="1"/>
        <v>25</v>
      </c>
      <c r="U6" s="148">
        <v>106</v>
      </c>
      <c r="V6" s="16">
        <f t="shared" si="2"/>
        <v>2650</v>
      </c>
      <c r="W6" s="15">
        <v>3</v>
      </c>
      <c r="X6" s="148" t="s">
        <v>39</v>
      </c>
      <c r="Y6" s="148" t="s">
        <v>50</v>
      </c>
      <c r="Z6" s="148" t="s">
        <v>84</v>
      </c>
      <c r="AA6" s="148" t="s">
        <v>90</v>
      </c>
      <c r="AB6" s="39" t="s">
        <v>255</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252</v>
      </c>
      <c r="B7" s="15" t="s">
        <v>253</v>
      </c>
      <c r="C7" s="15">
        <v>2018</v>
      </c>
      <c r="D7" s="37" t="s">
        <v>258</v>
      </c>
      <c r="E7" s="15" t="s">
        <v>141</v>
      </c>
      <c r="F7" s="7" t="s">
        <v>149</v>
      </c>
      <c r="G7" s="7" t="s">
        <v>36</v>
      </c>
      <c r="H7" s="148" t="s">
        <v>158</v>
      </c>
      <c r="I7" s="140" t="s">
        <v>153</v>
      </c>
      <c r="J7" s="148" t="s">
        <v>38</v>
      </c>
      <c r="K7" s="140" t="s">
        <v>154</v>
      </c>
      <c r="L7" s="7">
        <v>3</v>
      </c>
      <c r="N7" s="7">
        <v>1</v>
      </c>
      <c r="O7" s="7">
        <v>0.75</v>
      </c>
      <c r="P7" s="7">
        <v>0.7</v>
      </c>
      <c r="Q7" s="52">
        <f t="shared" si="0"/>
        <v>0.72499999999999998</v>
      </c>
      <c r="R7" s="34">
        <v>17</v>
      </c>
      <c r="S7" s="7">
        <v>135</v>
      </c>
      <c r="T7" s="16">
        <f t="shared" si="1"/>
        <v>25</v>
      </c>
      <c r="U7" s="148">
        <v>106</v>
      </c>
      <c r="V7" s="16">
        <f t="shared" si="2"/>
        <v>2650</v>
      </c>
      <c r="W7" s="15">
        <v>3</v>
      </c>
      <c r="X7" s="148" t="s">
        <v>39</v>
      </c>
      <c r="Y7" s="148" t="s">
        <v>50</v>
      </c>
      <c r="Z7" s="148" t="s">
        <v>84</v>
      </c>
      <c r="AA7" s="148" t="s">
        <v>90</v>
      </c>
      <c r="AB7" s="39" t="s">
        <v>255</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252</v>
      </c>
      <c r="B8" s="15" t="s">
        <v>253</v>
      </c>
      <c r="C8" s="15">
        <v>2018</v>
      </c>
      <c r="D8" s="37" t="s">
        <v>258</v>
      </c>
      <c r="E8" s="15" t="s">
        <v>133</v>
      </c>
      <c r="F8" s="7" t="s">
        <v>150</v>
      </c>
      <c r="G8" s="7" t="s">
        <v>36</v>
      </c>
      <c r="H8" s="15" t="s">
        <v>155</v>
      </c>
      <c r="I8" s="140" t="s">
        <v>153</v>
      </c>
      <c r="J8" s="15" t="s">
        <v>38</v>
      </c>
      <c r="K8" s="7" t="s">
        <v>154</v>
      </c>
      <c r="L8" s="7">
        <v>1</v>
      </c>
      <c r="N8" s="140">
        <v>1</v>
      </c>
      <c r="O8" s="7">
        <v>0.7</v>
      </c>
      <c r="P8" s="7">
        <v>0.75</v>
      </c>
      <c r="Q8" s="52">
        <f t="shared" si="0"/>
        <v>0.72499999999999998</v>
      </c>
      <c r="R8" s="34">
        <v>12.6</v>
      </c>
      <c r="S8" s="7">
        <v>117</v>
      </c>
      <c r="T8" s="16">
        <f t="shared" si="1"/>
        <v>30</v>
      </c>
      <c r="U8" s="15">
        <v>105</v>
      </c>
      <c r="V8" s="16">
        <f t="shared" si="2"/>
        <v>3150</v>
      </c>
      <c r="W8" s="15">
        <v>8</v>
      </c>
      <c r="X8" s="15" t="s">
        <v>46</v>
      </c>
      <c r="Y8" s="148" t="s">
        <v>50</v>
      </c>
      <c r="Z8" s="148" t="s">
        <v>90</v>
      </c>
      <c r="AA8" s="148" t="s">
        <v>84</v>
      </c>
      <c r="AB8" s="39" t="s">
        <v>255</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252</v>
      </c>
      <c r="B9" s="15" t="s">
        <v>253</v>
      </c>
      <c r="C9" s="15">
        <v>2018</v>
      </c>
      <c r="D9" s="37" t="s">
        <v>258</v>
      </c>
      <c r="E9" s="15" t="s">
        <v>133</v>
      </c>
      <c r="F9" s="7" t="s">
        <v>150</v>
      </c>
      <c r="G9" s="7" t="s">
        <v>36</v>
      </c>
      <c r="H9" s="148" t="s">
        <v>155</v>
      </c>
      <c r="I9" s="140" t="s">
        <v>153</v>
      </c>
      <c r="J9" s="148" t="s">
        <v>38</v>
      </c>
      <c r="K9" s="140" t="s">
        <v>154</v>
      </c>
      <c r="L9" s="7">
        <v>2</v>
      </c>
      <c r="N9" s="140">
        <v>1</v>
      </c>
      <c r="O9" s="7">
        <v>0.5</v>
      </c>
      <c r="P9" s="7">
        <v>0.6</v>
      </c>
      <c r="Q9" s="52">
        <f t="shared" si="0"/>
        <v>0.55000000000000004</v>
      </c>
      <c r="R9" s="7">
        <v>12.7</v>
      </c>
      <c r="S9" s="7">
        <v>121</v>
      </c>
      <c r="T9" s="16">
        <f t="shared" si="1"/>
        <v>27</v>
      </c>
      <c r="U9" s="148">
        <v>105</v>
      </c>
      <c r="V9" s="16">
        <f t="shared" si="2"/>
        <v>2835</v>
      </c>
      <c r="W9" s="15">
        <v>8</v>
      </c>
      <c r="X9" s="15" t="s">
        <v>46</v>
      </c>
      <c r="Y9" s="148" t="s">
        <v>50</v>
      </c>
      <c r="Z9" s="148" t="s">
        <v>90</v>
      </c>
      <c r="AA9" s="148" t="s">
        <v>84</v>
      </c>
      <c r="AB9" s="39" t="s">
        <v>255</v>
      </c>
      <c r="AE9" s="22" t="s">
        <v>98</v>
      </c>
      <c r="AG9" s="49" t="s">
        <v>133</v>
      </c>
      <c r="AH9" s="49" t="s">
        <v>150</v>
      </c>
      <c r="AL9" s="34"/>
      <c r="AP9" s="23" t="s">
        <v>95</v>
      </c>
      <c r="AR9" s="30" t="s">
        <v>89</v>
      </c>
      <c r="AV9" s="23" t="s">
        <v>102</v>
      </c>
      <c r="AX9" s="24">
        <v>128</v>
      </c>
      <c r="AY9" s="25">
        <v>27</v>
      </c>
      <c r="AZ9" s="25">
        <v>129</v>
      </c>
      <c r="BA9" s="26">
        <v>25</v>
      </c>
    </row>
    <row r="10" spans="1:53" x14ac:dyDescent="0.15">
      <c r="A10" s="15" t="s">
        <v>252</v>
      </c>
      <c r="B10" s="15" t="s">
        <v>253</v>
      </c>
      <c r="C10" s="15">
        <v>2018</v>
      </c>
      <c r="D10" s="37" t="s">
        <v>258</v>
      </c>
      <c r="E10" s="15" t="s">
        <v>133</v>
      </c>
      <c r="F10" s="7" t="s">
        <v>150</v>
      </c>
      <c r="G10" s="7" t="s">
        <v>36</v>
      </c>
      <c r="H10" s="148" t="s">
        <v>155</v>
      </c>
      <c r="I10" s="140" t="s">
        <v>153</v>
      </c>
      <c r="J10" s="148" t="s">
        <v>38</v>
      </c>
      <c r="K10" s="140" t="s">
        <v>154</v>
      </c>
      <c r="L10" s="7">
        <v>3</v>
      </c>
      <c r="N10" s="140">
        <v>1</v>
      </c>
      <c r="O10" s="7">
        <v>0.75</v>
      </c>
      <c r="P10" s="7">
        <v>0.6</v>
      </c>
      <c r="Q10" s="52">
        <f t="shared" si="0"/>
        <v>0.67500000000000004</v>
      </c>
      <c r="R10" s="7">
        <v>14</v>
      </c>
      <c r="S10" s="7">
        <v>125</v>
      </c>
      <c r="T10" s="16">
        <f t="shared" si="1"/>
        <v>27</v>
      </c>
      <c r="U10" s="148">
        <v>105</v>
      </c>
      <c r="V10" s="16">
        <f t="shared" si="2"/>
        <v>2835</v>
      </c>
      <c r="W10" s="15">
        <v>8</v>
      </c>
      <c r="X10" s="15" t="s">
        <v>46</v>
      </c>
      <c r="Y10" s="148" t="s">
        <v>50</v>
      </c>
      <c r="Z10" s="148" t="s">
        <v>90</v>
      </c>
      <c r="AA10" s="148" t="s">
        <v>84</v>
      </c>
      <c r="AB10" s="39" t="s">
        <v>255</v>
      </c>
      <c r="AE10" s="22" t="s">
        <v>103</v>
      </c>
      <c r="AG10" s="49" t="s">
        <v>142</v>
      </c>
      <c r="AH10" s="49" t="s">
        <v>151</v>
      </c>
      <c r="AP10" s="23" t="s">
        <v>100</v>
      </c>
      <c r="AR10" s="30" t="s">
        <v>123</v>
      </c>
      <c r="AV10" s="23" t="s">
        <v>106</v>
      </c>
      <c r="AX10" s="24">
        <v>138</v>
      </c>
      <c r="AY10" s="25">
        <v>25</v>
      </c>
      <c r="AZ10" s="25">
        <v>138</v>
      </c>
      <c r="BA10" s="26">
        <v>22</v>
      </c>
    </row>
    <row r="11" spans="1:53" x14ac:dyDescent="0.15">
      <c r="A11" s="15" t="s">
        <v>252</v>
      </c>
      <c r="B11" s="15" t="s">
        <v>253</v>
      </c>
      <c r="C11" s="15">
        <v>2018</v>
      </c>
      <c r="D11" s="37" t="s">
        <v>258</v>
      </c>
      <c r="E11" s="15" t="s">
        <v>133</v>
      </c>
      <c r="F11" s="7" t="s">
        <v>150</v>
      </c>
      <c r="G11" s="7" t="s">
        <v>36</v>
      </c>
      <c r="H11" s="148" t="s">
        <v>158</v>
      </c>
      <c r="I11" s="7" t="s">
        <v>153</v>
      </c>
      <c r="J11" s="15" t="s">
        <v>38</v>
      </c>
      <c r="K11" s="7" t="s">
        <v>154</v>
      </c>
      <c r="L11" s="7">
        <v>1</v>
      </c>
      <c r="N11" s="140">
        <v>1</v>
      </c>
      <c r="O11" s="7">
        <v>0.7</v>
      </c>
      <c r="P11" s="7">
        <v>0.6</v>
      </c>
      <c r="Q11" s="52">
        <f t="shared" si="0"/>
        <v>0.64999999999999991</v>
      </c>
      <c r="R11" s="7">
        <v>13.5</v>
      </c>
      <c r="S11" s="7">
        <v>128</v>
      </c>
      <c r="T11" s="16">
        <f t="shared" si="1"/>
        <v>27</v>
      </c>
      <c r="U11" s="7">
        <v>105</v>
      </c>
      <c r="V11" s="16">
        <f t="shared" si="2"/>
        <v>2835</v>
      </c>
      <c r="W11" s="7">
        <v>6</v>
      </c>
      <c r="X11" s="15" t="s">
        <v>46</v>
      </c>
      <c r="Y11" s="148" t="s">
        <v>50</v>
      </c>
      <c r="Z11" s="148" t="s">
        <v>90</v>
      </c>
      <c r="AA11" s="148" t="s">
        <v>84</v>
      </c>
      <c r="AB11" s="39" t="s">
        <v>255</v>
      </c>
      <c r="AE11" s="22" t="s">
        <v>65</v>
      </c>
      <c r="AG11" s="49" t="s">
        <v>143</v>
      </c>
      <c r="AH11" s="49" t="s">
        <v>152</v>
      </c>
      <c r="AP11" s="23" t="s">
        <v>104</v>
      </c>
      <c r="AR11" s="30" t="s">
        <v>87</v>
      </c>
      <c r="AV11" s="23" t="s">
        <v>69</v>
      </c>
      <c r="AX11" s="24">
        <v>151</v>
      </c>
      <c r="AY11" s="25">
        <v>22</v>
      </c>
      <c r="AZ11" s="25">
        <v>152</v>
      </c>
      <c r="BA11" s="26">
        <v>18</v>
      </c>
    </row>
    <row r="12" spans="1:53" x14ac:dyDescent="0.15">
      <c r="A12" s="15" t="s">
        <v>252</v>
      </c>
      <c r="B12" s="15" t="s">
        <v>253</v>
      </c>
      <c r="C12" s="15">
        <v>2018</v>
      </c>
      <c r="D12" s="37" t="s">
        <v>258</v>
      </c>
      <c r="E12" s="15" t="s">
        <v>133</v>
      </c>
      <c r="F12" s="7" t="s">
        <v>150</v>
      </c>
      <c r="G12" s="7" t="s">
        <v>36</v>
      </c>
      <c r="H12" s="148" t="s">
        <v>158</v>
      </c>
      <c r="I12" s="140" t="s">
        <v>153</v>
      </c>
      <c r="J12" s="148" t="s">
        <v>38</v>
      </c>
      <c r="K12" s="140" t="s">
        <v>154</v>
      </c>
      <c r="L12" s="7">
        <v>2</v>
      </c>
      <c r="N12" s="7">
        <v>1</v>
      </c>
      <c r="O12" s="7">
        <v>0.75</v>
      </c>
      <c r="P12" s="7">
        <v>0.85</v>
      </c>
      <c r="Q12" s="52">
        <f t="shared" si="0"/>
        <v>0.8</v>
      </c>
      <c r="R12" s="34">
        <v>14.7</v>
      </c>
      <c r="S12" s="7">
        <v>133</v>
      </c>
      <c r="T12" s="16">
        <f t="shared" si="1"/>
        <v>25</v>
      </c>
      <c r="U12" s="140">
        <v>105</v>
      </c>
      <c r="V12" s="16">
        <f t="shared" si="2"/>
        <v>2625</v>
      </c>
      <c r="W12" s="7">
        <v>6</v>
      </c>
      <c r="X12" s="15" t="s">
        <v>46</v>
      </c>
      <c r="Y12" s="148" t="s">
        <v>50</v>
      </c>
      <c r="Z12" s="148" t="s">
        <v>90</v>
      </c>
      <c r="AA12" s="148" t="s">
        <v>84</v>
      </c>
      <c r="AB12" s="39" t="s">
        <v>255</v>
      </c>
      <c r="AE12" s="22" t="s">
        <v>70</v>
      </c>
      <c r="AG12" s="40"/>
      <c r="AH12" s="40"/>
      <c r="AP12" s="23" t="s">
        <v>67</v>
      </c>
      <c r="AR12" s="30" t="s">
        <v>124</v>
      </c>
      <c r="AV12" s="23" t="s">
        <v>72</v>
      </c>
      <c r="AX12" s="31">
        <v>180</v>
      </c>
      <c r="AY12" s="32">
        <v>18</v>
      </c>
      <c r="AZ12" s="32">
        <v>181</v>
      </c>
      <c r="BA12" s="33">
        <v>16</v>
      </c>
    </row>
    <row r="13" spans="1:53" x14ac:dyDescent="0.15">
      <c r="A13" s="15" t="s">
        <v>252</v>
      </c>
      <c r="B13" s="15" t="s">
        <v>253</v>
      </c>
      <c r="C13" s="15">
        <v>2018</v>
      </c>
      <c r="D13" s="37" t="s">
        <v>258</v>
      </c>
      <c r="E13" s="15" t="s">
        <v>133</v>
      </c>
      <c r="F13" s="7" t="s">
        <v>150</v>
      </c>
      <c r="G13" s="7" t="s">
        <v>36</v>
      </c>
      <c r="H13" s="148" t="s">
        <v>158</v>
      </c>
      <c r="I13" s="140" t="s">
        <v>153</v>
      </c>
      <c r="J13" s="148" t="s">
        <v>38</v>
      </c>
      <c r="K13" s="140" t="s">
        <v>154</v>
      </c>
      <c r="L13" s="7">
        <v>3</v>
      </c>
      <c r="N13" s="7">
        <v>1</v>
      </c>
      <c r="O13" s="7">
        <v>0.6</v>
      </c>
      <c r="P13" s="7">
        <v>0.6</v>
      </c>
      <c r="Q13" s="52">
        <f t="shared" si="0"/>
        <v>0.6</v>
      </c>
      <c r="R13" s="7">
        <v>15</v>
      </c>
      <c r="S13" s="7">
        <v>130</v>
      </c>
      <c r="T13" s="16">
        <f t="shared" si="1"/>
        <v>25</v>
      </c>
      <c r="U13" s="140">
        <v>105</v>
      </c>
      <c r="V13" s="16">
        <f t="shared" si="2"/>
        <v>2625</v>
      </c>
      <c r="W13" s="7">
        <v>6</v>
      </c>
      <c r="X13" s="15" t="s">
        <v>46</v>
      </c>
      <c r="Y13" s="148" t="s">
        <v>50</v>
      </c>
      <c r="Z13" s="148" t="s">
        <v>90</v>
      </c>
      <c r="AA13" s="148" t="s">
        <v>84</v>
      </c>
      <c r="AB13" s="39" t="s">
        <v>255</v>
      </c>
      <c r="AE13" s="22" t="s">
        <v>73</v>
      </c>
      <c r="AG13" s="23"/>
      <c r="AH13" s="23"/>
      <c r="AP13" s="23" t="s">
        <v>71</v>
      </c>
      <c r="AR13" s="30" t="s">
        <v>103</v>
      </c>
      <c r="AV13" s="23" t="s">
        <v>75</v>
      </c>
    </row>
    <row r="14" spans="1:53" x14ac:dyDescent="0.15">
      <c r="A14" s="15" t="s">
        <v>252</v>
      </c>
      <c r="B14" s="15" t="s">
        <v>253</v>
      </c>
      <c r="C14" s="15">
        <v>2018</v>
      </c>
      <c r="D14" s="37" t="s">
        <v>258</v>
      </c>
      <c r="E14" s="15" t="s">
        <v>142</v>
      </c>
      <c r="F14" s="7" t="s">
        <v>151</v>
      </c>
      <c r="G14" s="7" t="s">
        <v>36</v>
      </c>
      <c r="H14" s="15" t="s">
        <v>155</v>
      </c>
      <c r="I14" s="7" t="s">
        <v>153</v>
      </c>
      <c r="J14" s="15" t="s">
        <v>38</v>
      </c>
      <c r="K14" s="7" t="s">
        <v>154</v>
      </c>
      <c r="L14" s="7">
        <v>1</v>
      </c>
      <c r="N14" s="7">
        <v>1</v>
      </c>
      <c r="O14" s="7">
        <v>0.75</v>
      </c>
      <c r="P14" s="7">
        <v>0.6</v>
      </c>
      <c r="Q14" s="52">
        <f t="shared" si="0"/>
        <v>0.67500000000000004</v>
      </c>
      <c r="R14" s="7">
        <v>14.7</v>
      </c>
      <c r="S14" s="7">
        <v>161</v>
      </c>
      <c r="T14" s="16">
        <f t="shared" si="1"/>
        <v>18</v>
      </c>
      <c r="U14" s="7">
        <v>149</v>
      </c>
      <c r="V14" s="16">
        <f t="shared" si="2"/>
        <v>2682</v>
      </c>
      <c r="W14" s="7">
        <v>6</v>
      </c>
      <c r="X14" s="15" t="s">
        <v>39</v>
      </c>
      <c r="Y14" s="148" t="s">
        <v>50</v>
      </c>
      <c r="Z14" s="148" t="s">
        <v>84</v>
      </c>
      <c r="AA14" s="148" t="s">
        <v>90</v>
      </c>
      <c r="AB14" s="39" t="s">
        <v>255</v>
      </c>
      <c r="AE14" s="22" t="s">
        <v>76</v>
      </c>
      <c r="AG14" s="23"/>
      <c r="AH14" s="23"/>
      <c r="AP14" s="23" t="s">
        <v>74</v>
      </c>
      <c r="AR14" s="30" t="s">
        <v>125</v>
      </c>
      <c r="AV14" s="23" t="s">
        <v>78</v>
      </c>
    </row>
    <row r="15" spans="1:53" x14ac:dyDescent="0.15">
      <c r="A15" s="15" t="s">
        <v>252</v>
      </c>
      <c r="B15" s="15" t="s">
        <v>253</v>
      </c>
      <c r="C15" s="15">
        <v>2018</v>
      </c>
      <c r="D15" s="37" t="s">
        <v>258</v>
      </c>
      <c r="E15" s="15" t="s">
        <v>142</v>
      </c>
      <c r="F15" s="7" t="s">
        <v>151</v>
      </c>
      <c r="G15" s="7" t="s">
        <v>36</v>
      </c>
      <c r="H15" s="148" t="s">
        <v>155</v>
      </c>
      <c r="I15" s="140" t="s">
        <v>153</v>
      </c>
      <c r="J15" s="148" t="s">
        <v>38</v>
      </c>
      <c r="K15" s="140" t="s">
        <v>154</v>
      </c>
      <c r="L15" s="7">
        <v>2</v>
      </c>
      <c r="N15" s="7">
        <v>1</v>
      </c>
      <c r="O15" s="7">
        <v>0.65</v>
      </c>
      <c r="P15" s="7">
        <v>0.8</v>
      </c>
      <c r="Q15" s="52">
        <f t="shared" si="0"/>
        <v>0.72500000000000009</v>
      </c>
      <c r="R15" s="7">
        <v>15.2</v>
      </c>
      <c r="S15" s="7">
        <v>156</v>
      </c>
      <c r="T15" s="16">
        <f t="shared" si="1"/>
        <v>18</v>
      </c>
      <c r="U15" s="140">
        <v>149</v>
      </c>
      <c r="V15" s="16">
        <f t="shared" si="2"/>
        <v>2682</v>
      </c>
      <c r="W15" s="7">
        <v>6</v>
      </c>
      <c r="X15" s="148" t="s">
        <v>39</v>
      </c>
      <c r="Y15" s="148" t="s">
        <v>50</v>
      </c>
      <c r="Z15" s="148" t="s">
        <v>84</v>
      </c>
      <c r="AA15" s="148" t="s">
        <v>90</v>
      </c>
      <c r="AB15" s="39" t="s">
        <v>255</v>
      </c>
      <c r="AE15" s="22" t="s">
        <v>79</v>
      </c>
      <c r="AG15" s="23"/>
      <c r="AH15" s="23"/>
      <c r="AP15" s="23" t="s">
        <v>77</v>
      </c>
      <c r="AR15" s="30" t="s">
        <v>94</v>
      </c>
      <c r="AV15" s="23" t="s">
        <v>107</v>
      </c>
    </row>
    <row r="16" spans="1:53" x14ac:dyDescent="0.15">
      <c r="A16" s="15" t="s">
        <v>252</v>
      </c>
      <c r="B16" s="15" t="s">
        <v>253</v>
      </c>
      <c r="C16" s="15">
        <v>2018</v>
      </c>
      <c r="D16" s="37" t="s">
        <v>258</v>
      </c>
      <c r="E16" s="15" t="s">
        <v>142</v>
      </c>
      <c r="F16" s="7" t="s">
        <v>151</v>
      </c>
      <c r="G16" s="7" t="s">
        <v>36</v>
      </c>
      <c r="H16" s="148" t="s">
        <v>155</v>
      </c>
      <c r="I16" s="140" t="s">
        <v>153</v>
      </c>
      <c r="J16" s="148" t="s">
        <v>38</v>
      </c>
      <c r="K16" s="140" t="s">
        <v>154</v>
      </c>
      <c r="L16" s="7">
        <v>3</v>
      </c>
      <c r="N16" s="7">
        <v>1</v>
      </c>
      <c r="O16" s="7">
        <v>0.5</v>
      </c>
      <c r="P16" s="7">
        <v>0.5</v>
      </c>
      <c r="Q16" s="52">
        <f t="shared" si="0"/>
        <v>0.5</v>
      </c>
      <c r="R16" s="7">
        <v>14.3</v>
      </c>
      <c r="S16" s="7">
        <v>164</v>
      </c>
      <c r="T16" s="16">
        <f t="shared" si="1"/>
        <v>18</v>
      </c>
      <c r="U16" s="140">
        <v>149</v>
      </c>
      <c r="V16" s="16">
        <f t="shared" si="2"/>
        <v>2682</v>
      </c>
      <c r="W16" s="7">
        <v>6</v>
      </c>
      <c r="X16" s="148" t="s">
        <v>39</v>
      </c>
      <c r="Y16" s="148" t="s">
        <v>50</v>
      </c>
      <c r="Z16" s="148" t="s">
        <v>84</v>
      </c>
      <c r="AA16" s="148" t="s">
        <v>90</v>
      </c>
      <c r="AB16" s="39" t="s">
        <v>255</v>
      </c>
      <c r="AE16" s="22" t="s">
        <v>82</v>
      </c>
      <c r="AG16" s="28"/>
      <c r="AH16" s="28"/>
      <c r="AP16" s="23" t="s">
        <v>80</v>
      </c>
      <c r="AR16" s="41" t="s">
        <v>63</v>
      </c>
      <c r="AV16" s="23" t="s">
        <v>84</v>
      </c>
    </row>
    <row r="17" spans="1:48" x14ac:dyDescent="0.15">
      <c r="A17" s="15" t="s">
        <v>252</v>
      </c>
      <c r="B17" s="15" t="s">
        <v>253</v>
      </c>
      <c r="C17" s="15">
        <v>2018</v>
      </c>
      <c r="D17" s="37" t="s">
        <v>258</v>
      </c>
      <c r="E17" s="15" t="s">
        <v>142</v>
      </c>
      <c r="F17" s="7" t="s">
        <v>151</v>
      </c>
      <c r="G17" s="7" t="s">
        <v>36</v>
      </c>
      <c r="H17" s="15" t="s">
        <v>158</v>
      </c>
      <c r="I17" s="140" t="s">
        <v>153</v>
      </c>
      <c r="J17" s="148" t="s">
        <v>38</v>
      </c>
      <c r="K17" s="140" t="s">
        <v>154</v>
      </c>
      <c r="L17" s="7">
        <v>1</v>
      </c>
      <c r="N17" s="7">
        <v>1</v>
      </c>
      <c r="O17" s="7">
        <v>0.55000000000000004</v>
      </c>
      <c r="P17" s="7">
        <v>0.6</v>
      </c>
      <c r="Q17" s="52">
        <f t="shared" si="0"/>
        <v>0.57499999999999996</v>
      </c>
      <c r="R17" s="7">
        <v>15.5</v>
      </c>
      <c r="S17" s="7">
        <v>133</v>
      </c>
      <c r="T17" s="16">
        <f t="shared" si="1"/>
        <v>25</v>
      </c>
      <c r="U17" s="7">
        <v>170</v>
      </c>
      <c r="V17" s="16">
        <f t="shared" si="2"/>
        <v>4250</v>
      </c>
      <c r="W17" s="7">
        <v>3</v>
      </c>
      <c r="X17" s="148" t="s">
        <v>39</v>
      </c>
      <c r="Y17" s="148" t="s">
        <v>50</v>
      </c>
      <c r="Z17" s="148" t="s">
        <v>84</v>
      </c>
      <c r="AA17" s="148" t="s">
        <v>90</v>
      </c>
      <c r="AB17" s="39" t="s">
        <v>255</v>
      </c>
      <c r="AE17" s="22" t="s">
        <v>85</v>
      </c>
      <c r="AP17" s="43" t="s">
        <v>110</v>
      </c>
      <c r="AR17" s="41" t="s">
        <v>96</v>
      </c>
      <c r="AV17" s="23" t="s">
        <v>86</v>
      </c>
    </row>
    <row r="18" spans="1:48" x14ac:dyDescent="0.15">
      <c r="A18" s="15" t="s">
        <v>252</v>
      </c>
      <c r="B18" s="15" t="s">
        <v>253</v>
      </c>
      <c r="C18" s="15">
        <v>2018</v>
      </c>
      <c r="D18" s="37" t="s">
        <v>258</v>
      </c>
      <c r="E18" s="15" t="s">
        <v>142</v>
      </c>
      <c r="F18" s="7" t="s">
        <v>151</v>
      </c>
      <c r="G18" s="7" t="s">
        <v>36</v>
      </c>
      <c r="H18" s="148" t="s">
        <v>158</v>
      </c>
      <c r="I18" s="140" t="s">
        <v>153</v>
      </c>
      <c r="J18" s="148" t="s">
        <v>38</v>
      </c>
      <c r="K18" s="140" t="s">
        <v>154</v>
      </c>
      <c r="L18" s="7">
        <v>2</v>
      </c>
      <c r="N18" s="7">
        <v>1</v>
      </c>
      <c r="O18" s="7">
        <v>0.55000000000000004</v>
      </c>
      <c r="P18" s="7">
        <v>0.6</v>
      </c>
      <c r="Q18" s="52">
        <f t="shared" si="0"/>
        <v>0.57499999999999996</v>
      </c>
      <c r="R18" s="7">
        <v>15.4</v>
      </c>
      <c r="S18" s="7">
        <v>130</v>
      </c>
      <c r="T18" s="16">
        <f t="shared" si="1"/>
        <v>25</v>
      </c>
      <c r="U18" s="140">
        <v>170</v>
      </c>
      <c r="V18" s="16">
        <f t="shared" si="2"/>
        <v>4250</v>
      </c>
      <c r="W18" s="7">
        <v>3</v>
      </c>
      <c r="X18" s="148" t="s">
        <v>39</v>
      </c>
      <c r="Y18" s="148" t="s">
        <v>50</v>
      </c>
      <c r="Z18" s="148" t="s">
        <v>84</v>
      </c>
      <c r="AA18" s="148" t="s">
        <v>90</v>
      </c>
      <c r="AB18" s="39" t="s">
        <v>255</v>
      </c>
      <c r="AE18" s="22" t="s">
        <v>87</v>
      </c>
      <c r="AP18" s="43" t="s">
        <v>111</v>
      </c>
      <c r="AR18" s="41" t="s">
        <v>101</v>
      </c>
      <c r="AV18" s="23" t="s">
        <v>88</v>
      </c>
    </row>
    <row r="19" spans="1:48" x14ac:dyDescent="0.15">
      <c r="A19" s="15" t="s">
        <v>252</v>
      </c>
      <c r="B19" s="15" t="s">
        <v>253</v>
      </c>
      <c r="C19" s="15">
        <v>2018</v>
      </c>
      <c r="D19" s="37" t="s">
        <v>258</v>
      </c>
      <c r="E19" s="15" t="s">
        <v>142</v>
      </c>
      <c r="F19" s="7" t="s">
        <v>151</v>
      </c>
      <c r="G19" s="7" t="s">
        <v>36</v>
      </c>
      <c r="H19" s="148" t="s">
        <v>158</v>
      </c>
      <c r="I19" s="140" t="s">
        <v>153</v>
      </c>
      <c r="J19" s="148" t="s">
        <v>38</v>
      </c>
      <c r="K19" s="140" t="s">
        <v>154</v>
      </c>
      <c r="L19" s="7">
        <v>3</v>
      </c>
      <c r="N19" s="7">
        <v>1</v>
      </c>
      <c r="O19" s="7">
        <v>0.5</v>
      </c>
      <c r="P19" s="7">
        <v>0.55000000000000004</v>
      </c>
      <c r="Q19" s="52">
        <f t="shared" si="0"/>
        <v>0.52500000000000002</v>
      </c>
      <c r="R19" s="7">
        <v>15.5</v>
      </c>
      <c r="S19" s="7">
        <v>127</v>
      </c>
      <c r="T19" s="16">
        <f t="shared" si="1"/>
        <v>27</v>
      </c>
      <c r="U19" s="140">
        <v>170</v>
      </c>
      <c r="V19" s="16">
        <f t="shared" si="2"/>
        <v>4590</v>
      </c>
      <c r="W19" s="7">
        <v>3</v>
      </c>
      <c r="X19" s="148" t="s">
        <v>39</v>
      </c>
      <c r="Y19" s="148" t="s">
        <v>50</v>
      </c>
      <c r="Z19" s="148" t="s">
        <v>84</v>
      </c>
      <c r="AA19" s="148" t="s">
        <v>90</v>
      </c>
      <c r="AB19" s="39" t="s">
        <v>255</v>
      </c>
      <c r="AE19" s="35" t="s">
        <v>89</v>
      </c>
      <c r="AP19" s="43" t="s">
        <v>112</v>
      </c>
      <c r="AR19" s="30" t="s">
        <v>126</v>
      </c>
      <c r="AV19" s="23" t="s">
        <v>90</v>
      </c>
    </row>
    <row r="20" spans="1:48" x14ac:dyDescent="0.15">
      <c r="A20" s="15" t="s">
        <v>252</v>
      </c>
      <c r="B20" s="15" t="s">
        <v>253</v>
      </c>
      <c r="C20" s="15">
        <v>2018</v>
      </c>
      <c r="D20" s="37" t="s">
        <v>258</v>
      </c>
      <c r="E20" s="15" t="s">
        <v>143</v>
      </c>
      <c r="F20" s="7" t="s">
        <v>152</v>
      </c>
      <c r="G20" s="7" t="s">
        <v>36</v>
      </c>
      <c r="H20" s="15" t="s">
        <v>155</v>
      </c>
      <c r="I20" s="140" t="s">
        <v>153</v>
      </c>
      <c r="J20" s="15" t="s">
        <v>38</v>
      </c>
      <c r="K20" s="7" t="s">
        <v>154</v>
      </c>
      <c r="L20" s="7">
        <v>1</v>
      </c>
      <c r="N20" s="7">
        <v>1</v>
      </c>
      <c r="O20" s="7">
        <v>0.5</v>
      </c>
      <c r="P20" s="34">
        <v>0.5</v>
      </c>
      <c r="Q20" s="52">
        <f t="shared" si="0"/>
        <v>0.5</v>
      </c>
      <c r="R20" s="7">
        <v>13.6</v>
      </c>
      <c r="S20" s="7">
        <v>118</v>
      </c>
      <c r="T20" s="16">
        <f t="shared" si="1"/>
        <v>30</v>
      </c>
      <c r="U20" s="7">
        <v>105</v>
      </c>
      <c r="V20" s="16">
        <f t="shared" si="2"/>
        <v>3150</v>
      </c>
      <c r="W20" s="7">
        <v>3</v>
      </c>
      <c r="X20" s="148" t="s">
        <v>39</v>
      </c>
      <c r="Y20" s="148" t="s">
        <v>50</v>
      </c>
      <c r="Z20" s="148" t="s">
        <v>90</v>
      </c>
      <c r="AA20" s="148" t="s">
        <v>84</v>
      </c>
      <c r="AB20" s="39" t="s">
        <v>255</v>
      </c>
      <c r="AE20" s="22"/>
      <c r="AP20" s="43" t="s">
        <v>113</v>
      </c>
      <c r="AR20" s="41" t="s">
        <v>105</v>
      </c>
      <c r="AV20" s="27" t="s">
        <v>135</v>
      </c>
    </row>
    <row r="21" spans="1:48" x14ac:dyDescent="0.15">
      <c r="A21" s="15" t="s">
        <v>252</v>
      </c>
      <c r="B21" s="15" t="s">
        <v>253</v>
      </c>
      <c r="C21" s="15">
        <v>2018</v>
      </c>
      <c r="D21" s="37" t="s">
        <v>258</v>
      </c>
      <c r="E21" s="15" t="s">
        <v>143</v>
      </c>
      <c r="F21" s="7" t="s">
        <v>152</v>
      </c>
      <c r="G21" s="7" t="s">
        <v>36</v>
      </c>
      <c r="H21" s="148" t="s">
        <v>155</v>
      </c>
      <c r="I21" s="140" t="s">
        <v>153</v>
      </c>
      <c r="J21" s="148" t="s">
        <v>38</v>
      </c>
      <c r="K21" s="140" t="s">
        <v>154</v>
      </c>
      <c r="L21" s="7">
        <v>2</v>
      </c>
      <c r="N21" s="7">
        <v>1</v>
      </c>
      <c r="O21" s="7">
        <v>0.5</v>
      </c>
      <c r="P21" s="7">
        <v>0.5</v>
      </c>
      <c r="Q21" s="52">
        <f t="shared" si="0"/>
        <v>0.5</v>
      </c>
      <c r="R21" s="7">
        <v>13.3</v>
      </c>
      <c r="S21" s="7">
        <v>120</v>
      </c>
      <c r="T21" s="16">
        <f t="shared" si="1"/>
        <v>30</v>
      </c>
      <c r="U21" s="140">
        <v>105</v>
      </c>
      <c r="V21" s="16">
        <f t="shared" si="2"/>
        <v>3150</v>
      </c>
      <c r="W21" s="7">
        <v>3</v>
      </c>
      <c r="X21" s="148" t="s">
        <v>39</v>
      </c>
      <c r="Y21" s="148" t="s">
        <v>50</v>
      </c>
      <c r="Z21" s="148" t="s">
        <v>90</v>
      </c>
      <c r="AA21" s="148" t="s">
        <v>84</v>
      </c>
      <c r="AB21" s="39" t="s">
        <v>255</v>
      </c>
      <c r="AE21" s="22"/>
      <c r="AP21" s="43" t="s">
        <v>114</v>
      </c>
      <c r="AR21" s="41" t="s">
        <v>68</v>
      </c>
      <c r="AV21" s="27" t="s">
        <v>136</v>
      </c>
    </row>
    <row r="22" spans="1:48" x14ac:dyDescent="0.15">
      <c r="A22" s="15" t="s">
        <v>252</v>
      </c>
      <c r="B22" s="15" t="s">
        <v>253</v>
      </c>
      <c r="C22" s="15">
        <v>2018</v>
      </c>
      <c r="D22" s="37" t="s">
        <v>258</v>
      </c>
      <c r="E22" s="15" t="s">
        <v>143</v>
      </c>
      <c r="F22" s="7" t="s">
        <v>152</v>
      </c>
      <c r="G22" s="7" t="s">
        <v>36</v>
      </c>
      <c r="H22" s="148" t="s">
        <v>155</v>
      </c>
      <c r="I22" s="140" t="s">
        <v>153</v>
      </c>
      <c r="J22" s="148" t="s">
        <v>38</v>
      </c>
      <c r="K22" s="140" t="s">
        <v>154</v>
      </c>
      <c r="L22" s="7">
        <v>3</v>
      </c>
      <c r="N22" s="7">
        <v>1</v>
      </c>
      <c r="O22" s="34">
        <v>0.5</v>
      </c>
      <c r="P22" s="7">
        <v>0.5</v>
      </c>
      <c r="Q22" s="52">
        <f t="shared" si="0"/>
        <v>0.5</v>
      </c>
      <c r="R22" s="7">
        <v>14</v>
      </c>
      <c r="S22" s="7">
        <v>134</v>
      </c>
      <c r="T22" s="16">
        <f t="shared" si="1"/>
        <v>25</v>
      </c>
      <c r="U22" s="140">
        <v>105</v>
      </c>
      <c r="V22" s="16">
        <f t="shared" si="2"/>
        <v>2625</v>
      </c>
      <c r="W22" s="7">
        <v>3</v>
      </c>
      <c r="X22" s="148" t="s">
        <v>39</v>
      </c>
      <c r="Y22" s="148" t="s">
        <v>50</v>
      </c>
      <c r="Z22" s="148" t="s">
        <v>90</v>
      </c>
      <c r="AA22" s="148" t="s">
        <v>84</v>
      </c>
      <c r="AB22" s="39" t="s">
        <v>255</v>
      </c>
      <c r="AE22" s="35"/>
      <c r="AP22" s="43" t="s">
        <v>115</v>
      </c>
      <c r="AR22" s="41" t="s">
        <v>83</v>
      </c>
      <c r="AV22" s="27"/>
    </row>
    <row r="23" spans="1:48" x14ac:dyDescent="0.15">
      <c r="A23" s="15" t="s">
        <v>252</v>
      </c>
      <c r="B23" s="15" t="s">
        <v>253</v>
      </c>
      <c r="C23" s="15">
        <v>2018</v>
      </c>
      <c r="D23" s="37" t="s">
        <v>258</v>
      </c>
      <c r="E23" s="7" t="s">
        <v>143</v>
      </c>
      <c r="F23" s="7" t="s">
        <v>152</v>
      </c>
      <c r="G23" s="7" t="s">
        <v>36</v>
      </c>
      <c r="H23" s="15" t="s">
        <v>158</v>
      </c>
      <c r="I23" s="140" t="s">
        <v>153</v>
      </c>
      <c r="J23" s="15" t="s">
        <v>38</v>
      </c>
      <c r="K23" s="7" t="s">
        <v>154</v>
      </c>
      <c r="L23" s="7">
        <v>1</v>
      </c>
      <c r="N23" s="7">
        <v>1</v>
      </c>
      <c r="O23" s="34">
        <v>0.55000000000000004</v>
      </c>
      <c r="P23" s="7">
        <v>0.6</v>
      </c>
      <c r="Q23" s="52">
        <f t="shared" si="0"/>
        <v>0.57499999999999996</v>
      </c>
      <c r="R23" s="7">
        <v>15</v>
      </c>
      <c r="S23" s="7">
        <v>131</v>
      </c>
      <c r="T23" s="16">
        <f t="shared" si="1"/>
        <v>25</v>
      </c>
      <c r="U23" s="7">
        <v>106</v>
      </c>
      <c r="V23" s="16">
        <f t="shared" si="2"/>
        <v>2650</v>
      </c>
      <c r="W23" s="7">
        <v>2</v>
      </c>
      <c r="X23" s="148" t="s">
        <v>39</v>
      </c>
      <c r="Y23" s="148" t="s">
        <v>50</v>
      </c>
      <c r="Z23" s="148" t="s">
        <v>90</v>
      </c>
      <c r="AA23" s="148" t="s">
        <v>84</v>
      </c>
      <c r="AB23" s="39" t="s">
        <v>255</v>
      </c>
      <c r="AE23" s="22"/>
      <c r="AP23" s="43" t="s">
        <v>137</v>
      </c>
      <c r="AR23" s="41" t="s">
        <v>61</v>
      </c>
      <c r="AV23" s="27"/>
    </row>
    <row r="24" spans="1:48" x14ac:dyDescent="0.15">
      <c r="A24" s="15" t="s">
        <v>252</v>
      </c>
      <c r="B24" s="15" t="s">
        <v>253</v>
      </c>
      <c r="C24" s="15">
        <v>2018</v>
      </c>
      <c r="D24" s="37" t="s">
        <v>258</v>
      </c>
      <c r="E24" s="7" t="s">
        <v>143</v>
      </c>
      <c r="F24" s="7" t="s">
        <v>152</v>
      </c>
      <c r="G24" s="7" t="s">
        <v>36</v>
      </c>
      <c r="H24" s="148" t="s">
        <v>158</v>
      </c>
      <c r="I24" s="140" t="s">
        <v>153</v>
      </c>
      <c r="J24" s="15" t="s">
        <v>38</v>
      </c>
      <c r="K24" s="7" t="s">
        <v>154</v>
      </c>
      <c r="L24" s="7">
        <v>2</v>
      </c>
      <c r="N24" s="7">
        <v>1</v>
      </c>
      <c r="O24" s="7">
        <v>0.55000000000000004</v>
      </c>
      <c r="P24" s="7">
        <v>0.7</v>
      </c>
      <c r="Q24" s="52">
        <f t="shared" si="0"/>
        <v>0.625</v>
      </c>
      <c r="R24" s="7">
        <v>18.8</v>
      </c>
      <c r="S24" s="7">
        <v>132</v>
      </c>
      <c r="T24" s="16">
        <f t="shared" si="1"/>
        <v>25</v>
      </c>
      <c r="U24" s="140">
        <v>106</v>
      </c>
      <c r="V24" s="16">
        <f t="shared" si="2"/>
        <v>2650</v>
      </c>
      <c r="W24" s="7">
        <v>2</v>
      </c>
      <c r="X24" s="148" t="s">
        <v>39</v>
      </c>
      <c r="Y24" s="148" t="s">
        <v>50</v>
      </c>
      <c r="Z24" s="148" t="s">
        <v>90</v>
      </c>
      <c r="AA24" s="148" t="s">
        <v>84</v>
      </c>
      <c r="AB24" s="39" t="s">
        <v>255</v>
      </c>
      <c r="AE24" s="22"/>
      <c r="AP24" s="43" t="s">
        <v>138</v>
      </c>
      <c r="AR24" s="41" t="s">
        <v>91</v>
      </c>
      <c r="AV24" s="27"/>
    </row>
    <row r="25" spans="1:48" x14ac:dyDescent="0.15">
      <c r="A25" s="15" t="s">
        <v>252</v>
      </c>
      <c r="B25" s="15" t="s">
        <v>253</v>
      </c>
      <c r="C25" s="15">
        <v>2018</v>
      </c>
      <c r="D25" s="37" t="s">
        <v>258</v>
      </c>
      <c r="E25" s="7" t="s">
        <v>143</v>
      </c>
      <c r="F25" s="7" t="s">
        <v>152</v>
      </c>
      <c r="G25" s="7" t="s">
        <v>36</v>
      </c>
      <c r="H25" s="148" t="s">
        <v>158</v>
      </c>
      <c r="I25" s="140" t="s">
        <v>153</v>
      </c>
      <c r="J25" s="15" t="s">
        <v>38</v>
      </c>
      <c r="K25" s="7" t="s">
        <v>154</v>
      </c>
      <c r="L25" s="7">
        <v>3</v>
      </c>
      <c r="N25" s="7">
        <v>1</v>
      </c>
      <c r="O25" s="7">
        <v>0.65</v>
      </c>
      <c r="P25" s="7">
        <v>0.55000000000000004</v>
      </c>
      <c r="Q25" s="52">
        <f t="shared" si="0"/>
        <v>0.60000000000000009</v>
      </c>
      <c r="R25" s="7">
        <v>14.3</v>
      </c>
      <c r="S25" s="7">
        <v>133</v>
      </c>
      <c r="T25" s="16">
        <f t="shared" si="1"/>
        <v>25</v>
      </c>
      <c r="U25" s="140">
        <v>106</v>
      </c>
      <c r="V25" s="16">
        <f t="shared" si="2"/>
        <v>2650</v>
      </c>
      <c r="W25" s="7">
        <v>2</v>
      </c>
      <c r="X25" s="148" t="s">
        <v>39</v>
      </c>
      <c r="Y25" s="148" t="s">
        <v>50</v>
      </c>
      <c r="Z25" s="148" t="s">
        <v>90</v>
      </c>
      <c r="AA25" s="148" t="s">
        <v>84</v>
      </c>
      <c r="AB25" s="39" t="s">
        <v>255</v>
      </c>
      <c r="AE25" s="35"/>
      <c r="AP25" s="43" t="s">
        <v>116</v>
      </c>
      <c r="AR25" s="42" t="s">
        <v>92</v>
      </c>
      <c r="AV25" s="27"/>
    </row>
    <row r="26" spans="1:48" x14ac:dyDescent="0.15">
      <c r="A26" s="15" t="s">
        <v>252</v>
      </c>
      <c r="B26" s="15" t="s">
        <v>253</v>
      </c>
      <c r="C26" s="15">
        <v>2018</v>
      </c>
      <c r="D26" s="37" t="s">
        <v>258</v>
      </c>
      <c r="E26" s="7" t="s">
        <v>131</v>
      </c>
      <c r="F26" s="7" t="s">
        <v>144</v>
      </c>
      <c r="G26" s="7" t="s">
        <v>36</v>
      </c>
      <c r="H26" s="15" t="s">
        <v>155</v>
      </c>
      <c r="I26" s="140" t="s">
        <v>153</v>
      </c>
      <c r="J26" s="15" t="s">
        <v>38</v>
      </c>
      <c r="K26" s="7" t="s">
        <v>154</v>
      </c>
      <c r="L26" s="7">
        <v>1</v>
      </c>
      <c r="N26" s="7">
        <v>1</v>
      </c>
      <c r="O26" s="7">
        <v>1.25</v>
      </c>
      <c r="P26" s="7">
        <v>1.1499999999999999</v>
      </c>
      <c r="Q26" s="52">
        <f t="shared" si="0"/>
        <v>1.2</v>
      </c>
      <c r="R26" s="7">
        <v>12.3</v>
      </c>
      <c r="S26" s="7">
        <v>136</v>
      </c>
      <c r="T26" s="16">
        <f t="shared" si="1"/>
        <v>25</v>
      </c>
      <c r="U26" s="7">
        <v>107</v>
      </c>
      <c r="V26" s="16">
        <f t="shared" si="2"/>
        <v>2675</v>
      </c>
      <c r="W26" s="7">
        <v>3</v>
      </c>
      <c r="X26" s="15" t="s">
        <v>46</v>
      </c>
      <c r="Y26" s="148" t="s">
        <v>50</v>
      </c>
      <c r="Z26" s="148" t="s">
        <v>84</v>
      </c>
      <c r="AA26" s="148" t="s">
        <v>90</v>
      </c>
      <c r="AB26" s="39" t="s">
        <v>255</v>
      </c>
      <c r="AE26" s="35"/>
      <c r="AP26" s="43" t="s">
        <v>117</v>
      </c>
      <c r="AR26" s="23" t="s">
        <v>238</v>
      </c>
      <c r="AV26" s="28"/>
    </row>
    <row r="27" spans="1:48" x14ac:dyDescent="0.15">
      <c r="A27" s="15" t="s">
        <v>252</v>
      </c>
      <c r="B27" s="15" t="s">
        <v>253</v>
      </c>
      <c r="C27" s="15">
        <v>2018</v>
      </c>
      <c r="D27" s="37" t="s">
        <v>258</v>
      </c>
      <c r="E27" s="7" t="s">
        <v>131</v>
      </c>
      <c r="F27" s="7" t="s">
        <v>144</v>
      </c>
      <c r="G27" s="7" t="s">
        <v>36</v>
      </c>
      <c r="H27" s="148" t="s">
        <v>155</v>
      </c>
      <c r="I27" s="140" t="s">
        <v>153</v>
      </c>
      <c r="J27" s="15" t="s">
        <v>38</v>
      </c>
      <c r="K27" s="7" t="s">
        <v>154</v>
      </c>
      <c r="L27" s="7">
        <v>2</v>
      </c>
      <c r="N27" s="7">
        <v>1</v>
      </c>
      <c r="O27" s="7">
        <v>0.75</v>
      </c>
      <c r="P27" s="7">
        <v>0.6</v>
      </c>
      <c r="Q27" s="52">
        <f t="shared" si="0"/>
        <v>0.67500000000000004</v>
      </c>
      <c r="R27" s="7">
        <v>13.9</v>
      </c>
      <c r="S27" s="7">
        <v>141</v>
      </c>
      <c r="T27" s="16">
        <f t="shared" si="1"/>
        <v>22</v>
      </c>
      <c r="U27" s="140">
        <v>107</v>
      </c>
      <c r="V27" s="16">
        <f t="shared" si="2"/>
        <v>2354</v>
      </c>
      <c r="W27" s="7">
        <v>3</v>
      </c>
      <c r="X27" s="15" t="s">
        <v>46</v>
      </c>
      <c r="Y27" s="148" t="s">
        <v>50</v>
      </c>
      <c r="Z27" s="148" t="s">
        <v>84</v>
      </c>
      <c r="AA27" s="148" t="s">
        <v>90</v>
      </c>
      <c r="AB27" s="39" t="s">
        <v>255</v>
      </c>
      <c r="AE27" s="28"/>
      <c r="AP27" s="43" t="s">
        <v>118</v>
      </c>
      <c r="AR27" s="23"/>
    </row>
    <row r="28" spans="1:48" x14ac:dyDescent="0.15">
      <c r="A28" s="15" t="s">
        <v>252</v>
      </c>
      <c r="B28" s="15" t="s">
        <v>253</v>
      </c>
      <c r="C28" s="15">
        <v>2018</v>
      </c>
      <c r="D28" s="37" t="s">
        <v>258</v>
      </c>
      <c r="E28" s="7" t="s">
        <v>131</v>
      </c>
      <c r="F28" s="7" t="s">
        <v>144</v>
      </c>
      <c r="G28" s="7" t="s">
        <v>36</v>
      </c>
      <c r="H28" s="148" t="s">
        <v>155</v>
      </c>
      <c r="I28" s="140" t="s">
        <v>153</v>
      </c>
      <c r="J28" s="15" t="s">
        <v>38</v>
      </c>
      <c r="K28" s="7" t="s">
        <v>154</v>
      </c>
      <c r="L28" s="7">
        <v>3</v>
      </c>
      <c r="N28" s="7">
        <v>1</v>
      </c>
      <c r="O28" s="7">
        <v>0.95</v>
      </c>
      <c r="P28" s="7">
        <v>1.05</v>
      </c>
      <c r="Q28" s="52">
        <f t="shared" si="0"/>
        <v>1</v>
      </c>
      <c r="R28" s="7">
        <v>13.1</v>
      </c>
      <c r="S28" s="7">
        <v>144</v>
      </c>
      <c r="T28" s="16">
        <f t="shared" si="1"/>
        <v>22</v>
      </c>
      <c r="U28" s="140">
        <v>107</v>
      </c>
      <c r="V28" s="16">
        <f t="shared" si="2"/>
        <v>2354</v>
      </c>
      <c r="W28" s="7">
        <v>3</v>
      </c>
      <c r="X28" s="15" t="s">
        <v>46</v>
      </c>
      <c r="Y28" s="148" t="s">
        <v>50</v>
      </c>
      <c r="Z28" s="148" t="s">
        <v>84</v>
      </c>
      <c r="AA28" s="148" t="s">
        <v>90</v>
      </c>
      <c r="AB28" s="39" t="s">
        <v>255</v>
      </c>
      <c r="AP28" s="27"/>
      <c r="AR28" s="23"/>
    </row>
    <row r="29" spans="1:48" x14ac:dyDescent="0.15">
      <c r="A29" s="15" t="s">
        <v>252</v>
      </c>
      <c r="B29" s="15" t="s">
        <v>253</v>
      </c>
      <c r="C29" s="15">
        <v>2018</v>
      </c>
      <c r="D29" s="37" t="s">
        <v>258</v>
      </c>
      <c r="E29" s="7" t="s">
        <v>131</v>
      </c>
      <c r="F29" s="7" t="s">
        <v>144</v>
      </c>
      <c r="G29" s="7" t="s">
        <v>36</v>
      </c>
      <c r="H29" s="15" t="s">
        <v>158</v>
      </c>
      <c r="I29" s="140" t="s">
        <v>153</v>
      </c>
      <c r="J29" s="15" t="s">
        <v>38</v>
      </c>
      <c r="K29" s="7" t="s">
        <v>154</v>
      </c>
      <c r="L29" s="7">
        <v>1</v>
      </c>
      <c r="N29" s="7">
        <v>1</v>
      </c>
      <c r="O29" s="7">
        <v>0.5</v>
      </c>
      <c r="P29" s="7">
        <v>0.5</v>
      </c>
      <c r="Q29" s="52">
        <f t="shared" si="0"/>
        <v>0.5</v>
      </c>
      <c r="R29" s="7">
        <v>15.3</v>
      </c>
      <c r="S29" s="7">
        <v>122</v>
      </c>
      <c r="T29" s="16">
        <f t="shared" si="1"/>
        <v>27</v>
      </c>
      <c r="U29" s="7">
        <v>107</v>
      </c>
      <c r="V29" s="16">
        <f t="shared" si="2"/>
        <v>2889</v>
      </c>
      <c r="W29" s="7">
        <v>4</v>
      </c>
      <c r="X29" s="15" t="s">
        <v>46</v>
      </c>
      <c r="Y29" s="148" t="s">
        <v>50</v>
      </c>
      <c r="Z29" s="148" t="s">
        <v>84</v>
      </c>
      <c r="AA29" s="148" t="s">
        <v>90</v>
      </c>
      <c r="AB29" s="39" t="s">
        <v>255</v>
      </c>
      <c r="AP29" s="27"/>
      <c r="AR29" s="27"/>
      <c r="AV29" s="28"/>
    </row>
    <row r="30" spans="1:48" x14ac:dyDescent="0.15">
      <c r="A30" s="15" t="s">
        <v>252</v>
      </c>
      <c r="B30" s="15" t="s">
        <v>253</v>
      </c>
      <c r="C30" s="15">
        <v>2018</v>
      </c>
      <c r="D30" s="37" t="s">
        <v>258</v>
      </c>
      <c r="E30" s="7" t="s">
        <v>131</v>
      </c>
      <c r="F30" s="7" t="s">
        <v>144</v>
      </c>
      <c r="G30" s="7" t="s">
        <v>36</v>
      </c>
      <c r="H30" s="148" t="s">
        <v>158</v>
      </c>
      <c r="I30" s="140" t="s">
        <v>153</v>
      </c>
      <c r="J30" s="15" t="s">
        <v>38</v>
      </c>
      <c r="K30" s="7" t="s">
        <v>154</v>
      </c>
      <c r="L30" s="7">
        <v>2</v>
      </c>
      <c r="N30" s="7">
        <v>1</v>
      </c>
      <c r="O30" s="7">
        <v>0.5</v>
      </c>
      <c r="P30" s="7">
        <v>0.55000000000000004</v>
      </c>
      <c r="Q30" s="52">
        <f t="shared" si="0"/>
        <v>0.52500000000000002</v>
      </c>
      <c r="R30" s="7">
        <v>19.100000000000001</v>
      </c>
      <c r="S30" s="7">
        <v>128</v>
      </c>
      <c r="T30" s="16">
        <f t="shared" si="1"/>
        <v>27</v>
      </c>
      <c r="U30" s="140">
        <v>107</v>
      </c>
      <c r="V30" s="16">
        <f t="shared" si="2"/>
        <v>2889</v>
      </c>
      <c r="W30" s="7">
        <v>4</v>
      </c>
      <c r="X30" s="15" t="s">
        <v>46</v>
      </c>
      <c r="Y30" s="148" t="s">
        <v>50</v>
      </c>
      <c r="Z30" s="148" t="s">
        <v>84</v>
      </c>
      <c r="AA30" s="148" t="s">
        <v>90</v>
      </c>
      <c r="AB30" s="39" t="s">
        <v>255</v>
      </c>
      <c r="AP30" s="27"/>
      <c r="AR30" s="27"/>
    </row>
    <row r="31" spans="1:48" x14ac:dyDescent="0.15">
      <c r="A31" s="15" t="s">
        <v>252</v>
      </c>
      <c r="B31" s="15" t="s">
        <v>253</v>
      </c>
      <c r="C31" s="15">
        <v>2018</v>
      </c>
      <c r="D31" s="37" t="s">
        <v>258</v>
      </c>
      <c r="E31" s="7" t="s">
        <v>131</v>
      </c>
      <c r="F31" s="7" t="s">
        <v>144</v>
      </c>
      <c r="G31" s="7" t="s">
        <v>36</v>
      </c>
      <c r="H31" s="148" t="s">
        <v>158</v>
      </c>
      <c r="I31" s="140" t="s">
        <v>153</v>
      </c>
      <c r="J31" s="15" t="s">
        <v>38</v>
      </c>
      <c r="K31" s="7" t="s">
        <v>154</v>
      </c>
      <c r="L31" s="7">
        <v>3</v>
      </c>
      <c r="N31" s="7">
        <v>1</v>
      </c>
      <c r="O31" s="7">
        <v>0.55000000000000004</v>
      </c>
      <c r="P31" s="7">
        <v>0.55000000000000004</v>
      </c>
      <c r="Q31" s="52">
        <f t="shared" si="0"/>
        <v>0.55000000000000004</v>
      </c>
      <c r="R31" s="7">
        <v>19.2</v>
      </c>
      <c r="S31" s="7">
        <v>131</v>
      </c>
      <c r="T31" s="16">
        <f t="shared" si="1"/>
        <v>25</v>
      </c>
      <c r="U31" s="140">
        <v>107</v>
      </c>
      <c r="V31" s="16">
        <f t="shared" si="2"/>
        <v>2675</v>
      </c>
      <c r="W31" s="7">
        <v>4</v>
      </c>
      <c r="X31" s="15" t="s">
        <v>46</v>
      </c>
      <c r="Y31" s="148" t="s">
        <v>50</v>
      </c>
      <c r="Z31" s="148" t="s">
        <v>84</v>
      </c>
      <c r="AA31" s="148" t="s">
        <v>90</v>
      </c>
      <c r="AB31" s="39" t="s">
        <v>255</v>
      </c>
      <c r="AP31" s="27"/>
      <c r="AR31" s="27"/>
    </row>
    <row r="32" spans="1:48" x14ac:dyDescent="0.15">
      <c r="A32" s="15" t="s">
        <v>252</v>
      </c>
      <c r="B32" s="15" t="s">
        <v>253</v>
      </c>
      <c r="C32" s="15">
        <v>2018</v>
      </c>
      <c r="D32" s="37" t="s">
        <v>258</v>
      </c>
      <c r="E32" s="7" t="s">
        <v>139</v>
      </c>
      <c r="F32" s="7" t="s">
        <v>145</v>
      </c>
      <c r="G32" s="7" t="s">
        <v>36</v>
      </c>
      <c r="H32" s="15" t="s">
        <v>155</v>
      </c>
      <c r="I32" s="140" t="s">
        <v>153</v>
      </c>
      <c r="J32" s="15" t="s">
        <v>38</v>
      </c>
      <c r="K32" s="7" t="s">
        <v>154</v>
      </c>
      <c r="L32" s="7">
        <v>1</v>
      </c>
      <c r="N32" s="7">
        <v>1</v>
      </c>
      <c r="O32" s="7">
        <v>0.75</v>
      </c>
      <c r="P32" s="7">
        <v>0.6</v>
      </c>
      <c r="Q32" s="52">
        <f t="shared" si="0"/>
        <v>0.67500000000000004</v>
      </c>
      <c r="R32" s="7">
        <v>13.9</v>
      </c>
      <c r="S32" s="7">
        <v>136</v>
      </c>
      <c r="T32" s="16">
        <f t="shared" si="1"/>
        <v>25</v>
      </c>
      <c r="U32" s="7">
        <v>100</v>
      </c>
      <c r="V32" s="16">
        <f t="shared" si="2"/>
        <v>2500</v>
      </c>
      <c r="W32" s="7">
        <v>6</v>
      </c>
      <c r="X32" s="15" t="s">
        <v>46</v>
      </c>
      <c r="Y32" s="148" t="s">
        <v>50</v>
      </c>
      <c r="Z32" s="148" t="s">
        <v>90</v>
      </c>
      <c r="AA32" s="148" t="s">
        <v>84</v>
      </c>
      <c r="AB32" s="39" t="s">
        <v>255</v>
      </c>
      <c r="AP32" s="28"/>
      <c r="AR32" s="28"/>
    </row>
    <row r="33" spans="1:44" x14ac:dyDescent="0.15">
      <c r="A33" s="15" t="s">
        <v>252</v>
      </c>
      <c r="B33" s="15" t="s">
        <v>253</v>
      </c>
      <c r="C33" s="15">
        <v>2018</v>
      </c>
      <c r="D33" s="37" t="s">
        <v>258</v>
      </c>
      <c r="E33" s="7" t="s">
        <v>139</v>
      </c>
      <c r="F33" s="7" t="s">
        <v>145</v>
      </c>
      <c r="G33" s="7" t="s">
        <v>36</v>
      </c>
      <c r="H33" s="148" t="s">
        <v>155</v>
      </c>
      <c r="I33" s="140" t="s">
        <v>153</v>
      </c>
      <c r="J33" s="15" t="s">
        <v>38</v>
      </c>
      <c r="K33" s="7" t="s">
        <v>154</v>
      </c>
      <c r="L33" s="7">
        <v>2</v>
      </c>
      <c r="N33" s="7">
        <v>1</v>
      </c>
      <c r="O33" s="7">
        <v>0.7</v>
      </c>
      <c r="P33" s="7">
        <v>0.6</v>
      </c>
      <c r="Q33" s="52">
        <f t="shared" si="0"/>
        <v>0.64999999999999991</v>
      </c>
      <c r="R33" s="7">
        <v>13.1</v>
      </c>
      <c r="S33" s="7">
        <v>143</v>
      </c>
      <c r="T33" s="16">
        <f t="shared" si="1"/>
        <v>22</v>
      </c>
      <c r="U33" s="140">
        <v>100</v>
      </c>
      <c r="V33" s="16">
        <f t="shared" si="2"/>
        <v>2200</v>
      </c>
      <c r="W33" s="7">
        <v>6</v>
      </c>
      <c r="X33" s="15" t="s">
        <v>46</v>
      </c>
      <c r="Y33" s="148" t="s">
        <v>50</v>
      </c>
      <c r="Z33" s="148" t="s">
        <v>90</v>
      </c>
      <c r="AA33" s="148" t="s">
        <v>84</v>
      </c>
      <c r="AB33" s="39" t="s">
        <v>255</v>
      </c>
    </row>
    <row r="34" spans="1:44" x14ac:dyDescent="0.15">
      <c r="A34" s="15" t="s">
        <v>252</v>
      </c>
      <c r="B34" s="15" t="s">
        <v>253</v>
      </c>
      <c r="C34" s="15">
        <v>2018</v>
      </c>
      <c r="D34" s="37" t="s">
        <v>258</v>
      </c>
      <c r="E34" s="7" t="s">
        <v>139</v>
      </c>
      <c r="F34" s="7" t="s">
        <v>145</v>
      </c>
      <c r="G34" s="7" t="s">
        <v>36</v>
      </c>
      <c r="H34" s="148" t="s">
        <v>155</v>
      </c>
      <c r="I34" s="140" t="s">
        <v>153</v>
      </c>
      <c r="J34" s="15" t="s">
        <v>38</v>
      </c>
      <c r="K34" s="7" t="s">
        <v>154</v>
      </c>
      <c r="L34" s="7">
        <v>3</v>
      </c>
      <c r="N34" s="7">
        <v>1</v>
      </c>
      <c r="O34" s="7">
        <v>0.6</v>
      </c>
      <c r="P34" s="7">
        <v>0.75</v>
      </c>
      <c r="Q34" s="52">
        <f t="shared" si="0"/>
        <v>0.67500000000000004</v>
      </c>
      <c r="R34" s="7">
        <v>13</v>
      </c>
      <c r="S34" s="7">
        <v>138</v>
      </c>
      <c r="T34" s="16">
        <f t="shared" si="1"/>
        <v>22</v>
      </c>
      <c r="U34" s="140">
        <v>100</v>
      </c>
      <c r="V34" s="16">
        <f t="shared" si="2"/>
        <v>2200</v>
      </c>
      <c r="W34" s="7">
        <v>6</v>
      </c>
      <c r="X34" s="15" t="s">
        <v>46</v>
      </c>
      <c r="Y34" s="148" t="s">
        <v>50</v>
      </c>
      <c r="Z34" s="148" t="s">
        <v>90</v>
      </c>
      <c r="AA34" s="148" t="s">
        <v>84</v>
      </c>
      <c r="AB34" s="39" t="s">
        <v>255</v>
      </c>
    </row>
    <row r="35" spans="1:44" x14ac:dyDescent="0.15">
      <c r="A35" s="15" t="s">
        <v>252</v>
      </c>
      <c r="B35" s="15" t="s">
        <v>253</v>
      </c>
      <c r="C35" s="15">
        <v>2018</v>
      </c>
      <c r="D35" s="37" t="s">
        <v>258</v>
      </c>
      <c r="E35" s="7" t="s">
        <v>139</v>
      </c>
      <c r="F35" s="7" t="s">
        <v>145</v>
      </c>
      <c r="G35" s="7" t="s">
        <v>36</v>
      </c>
      <c r="H35" s="148" t="s">
        <v>158</v>
      </c>
      <c r="I35" s="140" t="s">
        <v>153</v>
      </c>
      <c r="J35" s="15" t="s">
        <v>38</v>
      </c>
      <c r="K35" s="7" t="s">
        <v>154</v>
      </c>
      <c r="L35" s="7">
        <v>1</v>
      </c>
      <c r="N35" s="7">
        <v>1</v>
      </c>
      <c r="O35" s="7">
        <v>0.5</v>
      </c>
      <c r="P35" s="7">
        <v>0.6</v>
      </c>
      <c r="Q35" s="52">
        <f t="shared" si="0"/>
        <v>0.55000000000000004</v>
      </c>
      <c r="R35" s="7">
        <v>15.9</v>
      </c>
      <c r="S35" s="7">
        <v>129</v>
      </c>
      <c r="T35" s="16">
        <f t="shared" si="1"/>
        <v>25</v>
      </c>
      <c r="U35" s="7">
        <v>100</v>
      </c>
      <c r="V35" s="16">
        <f t="shared" si="2"/>
        <v>2500</v>
      </c>
      <c r="W35" s="7">
        <v>7</v>
      </c>
      <c r="X35" s="15" t="s">
        <v>46</v>
      </c>
      <c r="Y35" s="148" t="s">
        <v>50</v>
      </c>
      <c r="Z35" s="148" t="s">
        <v>90</v>
      </c>
      <c r="AA35" s="148" t="s">
        <v>84</v>
      </c>
      <c r="AB35" s="39" t="s">
        <v>255</v>
      </c>
      <c r="AP35" s="28"/>
      <c r="AR35" s="28"/>
    </row>
    <row r="36" spans="1:44" x14ac:dyDescent="0.15">
      <c r="A36" s="15" t="s">
        <v>252</v>
      </c>
      <c r="B36" s="15" t="s">
        <v>253</v>
      </c>
      <c r="C36" s="15">
        <v>2018</v>
      </c>
      <c r="D36" s="37" t="s">
        <v>258</v>
      </c>
      <c r="E36" s="7" t="s">
        <v>139</v>
      </c>
      <c r="F36" s="7" t="s">
        <v>145</v>
      </c>
      <c r="G36" s="7" t="s">
        <v>36</v>
      </c>
      <c r="H36" s="148" t="s">
        <v>158</v>
      </c>
      <c r="I36" s="140" t="s">
        <v>153</v>
      </c>
      <c r="J36" s="15" t="s">
        <v>38</v>
      </c>
      <c r="K36" s="7" t="s">
        <v>154</v>
      </c>
      <c r="L36" s="7">
        <v>2</v>
      </c>
      <c r="N36" s="140">
        <v>1</v>
      </c>
      <c r="O36" s="7">
        <v>0.5</v>
      </c>
      <c r="P36" s="7">
        <v>0.6</v>
      </c>
      <c r="Q36" s="52">
        <f t="shared" si="0"/>
        <v>0.55000000000000004</v>
      </c>
      <c r="R36" s="7">
        <v>19</v>
      </c>
      <c r="S36" s="7">
        <v>136</v>
      </c>
      <c r="T36" s="16">
        <f t="shared" si="1"/>
        <v>25</v>
      </c>
      <c r="U36" s="140">
        <v>100</v>
      </c>
      <c r="V36" s="16">
        <f t="shared" si="2"/>
        <v>2500</v>
      </c>
      <c r="W36" s="7">
        <v>7</v>
      </c>
      <c r="X36" s="15" t="s">
        <v>46</v>
      </c>
      <c r="Y36" s="148" t="s">
        <v>50</v>
      </c>
      <c r="Z36" s="148" t="s">
        <v>90</v>
      </c>
      <c r="AA36" s="148" t="s">
        <v>84</v>
      </c>
      <c r="AB36" s="39" t="s">
        <v>255</v>
      </c>
    </row>
    <row r="37" spans="1:44" x14ac:dyDescent="0.15">
      <c r="A37" s="15" t="s">
        <v>252</v>
      </c>
      <c r="B37" s="15" t="s">
        <v>253</v>
      </c>
      <c r="C37" s="15">
        <v>2018</v>
      </c>
      <c r="D37" s="37" t="s">
        <v>258</v>
      </c>
      <c r="E37" s="7" t="s">
        <v>139</v>
      </c>
      <c r="F37" s="7" t="s">
        <v>145</v>
      </c>
      <c r="G37" s="7" t="s">
        <v>36</v>
      </c>
      <c r="H37" s="148" t="s">
        <v>158</v>
      </c>
      <c r="I37" s="140" t="s">
        <v>153</v>
      </c>
      <c r="J37" s="15" t="s">
        <v>38</v>
      </c>
      <c r="K37" s="7" t="s">
        <v>154</v>
      </c>
      <c r="L37" s="7">
        <v>3</v>
      </c>
      <c r="N37" s="140">
        <v>1</v>
      </c>
      <c r="O37" s="34">
        <v>0.6</v>
      </c>
      <c r="P37" s="34">
        <v>0.7</v>
      </c>
      <c r="Q37" s="52">
        <f t="shared" si="0"/>
        <v>0.64999999999999991</v>
      </c>
      <c r="R37" s="7">
        <v>14.3</v>
      </c>
      <c r="S37" s="7">
        <v>131</v>
      </c>
      <c r="T37" s="16">
        <f t="shared" si="1"/>
        <v>25</v>
      </c>
      <c r="U37" s="140">
        <v>100</v>
      </c>
      <c r="V37" s="16">
        <f t="shared" si="2"/>
        <v>2500</v>
      </c>
      <c r="W37" s="7">
        <v>7</v>
      </c>
      <c r="X37" s="15" t="s">
        <v>46</v>
      </c>
      <c r="Y37" s="148" t="s">
        <v>50</v>
      </c>
      <c r="Z37" s="148" t="s">
        <v>90</v>
      </c>
      <c r="AA37" s="148" t="s">
        <v>84</v>
      </c>
      <c r="AB37" s="39" t="s">
        <v>255</v>
      </c>
    </row>
    <row r="38" spans="1:44" x14ac:dyDescent="0.15">
      <c r="A38" s="15" t="s">
        <v>252</v>
      </c>
      <c r="B38" s="15" t="s">
        <v>253</v>
      </c>
      <c r="C38" s="15">
        <v>2018</v>
      </c>
      <c r="D38" s="37" t="s">
        <v>258</v>
      </c>
      <c r="E38" s="7" t="s">
        <v>251</v>
      </c>
      <c r="F38" s="7" t="s">
        <v>257</v>
      </c>
      <c r="G38" s="7" t="s">
        <v>36</v>
      </c>
      <c r="H38" s="148" t="s">
        <v>155</v>
      </c>
      <c r="I38" s="7" t="s">
        <v>153</v>
      </c>
      <c r="J38" s="148" t="s">
        <v>38</v>
      </c>
      <c r="K38" s="140" t="s">
        <v>154</v>
      </c>
      <c r="L38" s="7">
        <v>1</v>
      </c>
      <c r="N38" s="140">
        <v>1</v>
      </c>
      <c r="O38" s="34">
        <v>0.55000000000000004</v>
      </c>
      <c r="P38" s="34">
        <v>0.7</v>
      </c>
      <c r="Q38" s="52">
        <f t="shared" si="0"/>
        <v>0.625</v>
      </c>
      <c r="R38" s="7">
        <v>17.3</v>
      </c>
      <c r="S38" s="7">
        <v>143</v>
      </c>
      <c r="T38" s="16">
        <f t="shared" si="1"/>
        <v>22</v>
      </c>
      <c r="U38" s="7">
        <v>91</v>
      </c>
      <c r="V38" s="16">
        <f t="shared" si="2"/>
        <v>2002</v>
      </c>
      <c r="W38" s="7">
        <v>4</v>
      </c>
      <c r="X38" s="15" t="s">
        <v>46</v>
      </c>
      <c r="Y38" s="148" t="s">
        <v>84</v>
      </c>
      <c r="Z38" s="148" t="s">
        <v>102</v>
      </c>
      <c r="AA38" s="148" t="s">
        <v>78</v>
      </c>
      <c r="AB38" s="39" t="s">
        <v>255</v>
      </c>
    </row>
    <row r="39" spans="1:44" x14ac:dyDescent="0.15">
      <c r="A39" s="15" t="s">
        <v>252</v>
      </c>
      <c r="B39" s="15" t="s">
        <v>253</v>
      </c>
      <c r="C39" s="15">
        <v>2018</v>
      </c>
      <c r="D39" s="37" t="s">
        <v>258</v>
      </c>
      <c r="E39" s="7" t="s">
        <v>251</v>
      </c>
      <c r="F39" s="7" t="s">
        <v>257</v>
      </c>
      <c r="G39" s="7" t="s">
        <v>36</v>
      </c>
      <c r="H39" s="148" t="s">
        <v>155</v>
      </c>
      <c r="I39" s="140" t="s">
        <v>153</v>
      </c>
      <c r="J39" s="148" t="s">
        <v>38</v>
      </c>
      <c r="K39" s="140" t="s">
        <v>154</v>
      </c>
      <c r="L39" s="7">
        <v>2</v>
      </c>
      <c r="N39" s="140">
        <v>1</v>
      </c>
      <c r="O39" s="7">
        <v>0.55000000000000004</v>
      </c>
      <c r="P39" s="7">
        <v>0.6</v>
      </c>
      <c r="Q39" s="52">
        <f t="shared" si="0"/>
        <v>0.57499999999999996</v>
      </c>
      <c r="R39" s="34">
        <v>14</v>
      </c>
      <c r="S39" s="7">
        <v>138</v>
      </c>
      <c r="T39" s="16">
        <f t="shared" si="1"/>
        <v>22</v>
      </c>
      <c r="U39" s="140">
        <v>91</v>
      </c>
      <c r="V39" s="16">
        <f t="shared" si="2"/>
        <v>2002</v>
      </c>
      <c r="W39" s="7">
        <v>4</v>
      </c>
      <c r="X39" s="15" t="s">
        <v>46</v>
      </c>
      <c r="Y39" s="148" t="s">
        <v>84</v>
      </c>
      <c r="Z39" s="148" t="s">
        <v>102</v>
      </c>
      <c r="AA39" s="148" t="s">
        <v>78</v>
      </c>
      <c r="AB39" s="39" t="s">
        <v>255</v>
      </c>
    </row>
    <row r="40" spans="1:44" x14ac:dyDescent="0.15">
      <c r="A40" s="15" t="s">
        <v>252</v>
      </c>
      <c r="B40" s="15" t="s">
        <v>253</v>
      </c>
      <c r="C40" s="15">
        <v>2018</v>
      </c>
      <c r="D40" s="37" t="s">
        <v>258</v>
      </c>
      <c r="E40" s="7" t="s">
        <v>251</v>
      </c>
      <c r="F40" s="7" t="s">
        <v>257</v>
      </c>
      <c r="G40" s="7" t="s">
        <v>36</v>
      </c>
      <c r="H40" s="148" t="s">
        <v>155</v>
      </c>
      <c r="I40" s="140" t="s">
        <v>153</v>
      </c>
      <c r="J40" s="148" t="s">
        <v>38</v>
      </c>
      <c r="K40" s="140" t="s">
        <v>154</v>
      </c>
      <c r="L40" s="7">
        <v>3</v>
      </c>
      <c r="N40" s="140">
        <v>1</v>
      </c>
      <c r="O40" s="7">
        <v>0.7</v>
      </c>
      <c r="P40" s="7">
        <v>0.55000000000000004</v>
      </c>
      <c r="Q40" s="52">
        <f t="shared" si="0"/>
        <v>0.625</v>
      </c>
      <c r="R40" s="7">
        <v>13.8</v>
      </c>
      <c r="S40" s="7">
        <v>149</v>
      </c>
      <c r="T40" s="16">
        <f t="shared" si="1"/>
        <v>22</v>
      </c>
      <c r="U40" s="140">
        <v>91</v>
      </c>
      <c r="V40" s="16">
        <f t="shared" si="2"/>
        <v>2002</v>
      </c>
      <c r="W40" s="7">
        <v>4</v>
      </c>
      <c r="X40" s="15" t="s">
        <v>46</v>
      </c>
      <c r="Y40" s="148" t="s">
        <v>84</v>
      </c>
      <c r="Z40" s="148" t="s">
        <v>102</v>
      </c>
      <c r="AA40" s="148" t="s">
        <v>78</v>
      </c>
      <c r="AB40" s="39" t="s">
        <v>255</v>
      </c>
    </row>
    <row r="41" spans="1:44" ht="12.75" customHeight="1" x14ac:dyDescent="0.15">
      <c r="A41" s="15" t="s">
        <v>252</v>
      </c>
      <c r="B41" s="15" t="s">
        <v>253</v>
      </c>
      <c r="C41" s="15">
        <v>2018</v>
      </c>
      <c r="D41" s="37" t="s">
        <v>258</v>
      </c>
      <c r="E41" s="7" t="s">
        <v>251</v>
      </c>
      <c r="F41" s="7" t="s">
        <v>257</v>
      </c>
      <c r="G41" s="7" t="s">
        <v>36</v>
      </c>
      <c r="H41" s="15" t="s">
        <v>127</v>
      </c>
      <c r="I41" s="7" t="s">
        <v>153</v>
      </c>
      <c r="J41" s="15" t="s">
        <v>80</v>
      </c>
      <c r="K41" s="7" t="s">
        <v>45</v>
      </c>
      <c r="L41" s="7">
        <v>1</v>
      </c>
      <c r="N41" s="140">
        <v>5</v>
      </c>
      <c r="O41" s="7">
        <v>0.9</v>
      </c>
      <c r="P41" s="7">
        <v>0.8</v>
      </c>
      <c r="Q41" s="52">
        <f t="shared" si="0"/>
        <v>0.85000000000000009</v>
      </c>
      <c r="R41" s="7">
        <v>12.5</v>
      </c>
      <c r="S41" s="7">
        <v>87</v>
      </c>
      <c r="T41" s="16">
        <f t="shared" si="1"/>
        <v>36</v>
      </c>
      <c r="U41" s="7">
        <v>321</v>
      </c>
      <c r="V41" s="16">
        <f t="shared" si="2"/>
        <v>2311.2000000000003</v>
      </c>
      <c r="W41" s="7">
        <v>1</v>
      </c>
      <c r="X41" s="15" t="s">
        <v>46</v>
      </c>
      <c r="Y41" s="148" t="s">
        <v>84</v>
      </c>
      <c r="Z41" s="148" t="s">
        <v>102</v>
      </c>
      <c r="AA41" s="148" t="s">
        <v>78</v>
      </c>
      <c r="AB41" s="39" t="s">
        <v>255</v>
      </c>
    </row>
    <row r="42" spans="1:44" x14ac:dyDescent="0.15">
      <c r="A42" s="15" t="s">
        <v>252</v>
      </c>
      <c r="B42" s="15" t="s">
        <v>253</v>
      </c>
      <c r="C42" s="15">
        <v>2018</v>
      </c>
      <c r="D42" s="37" t="s">
        <v>258</v>
      </c>
      <c r="E42" s="7" t="s">
        <v>251</v>
      </c>
      <c r="F42" s="7" t="s">
        <v>257</v>
      </c>
      <c r="G42" s="7" t="s">
        <v>36</v>
      </c>
      <c r="H42" s="148" t="s">
        <v>127</v>
      </c>
      <c r="I42" s="140" t="s">
        <v>153</v>
      </c>
      <c r="J42" s="15" t="s">
        <v>80</v>
      </c>
      <c r="K42" s="7" t="s">
        <v>45</v>
      </c>
      <c r="L42" s="7">
        <v>2</v>
      </c>
      <c r="N42" s="140">
        <v>5</v>
      </c>
      <c r="O42" s="7">
        <v>0.8</v>
      </c>
      <c r="P42" s="7">
        <v>0.9</v>
      </c>
      <c r="Q42" s="52">
        <f t="shared" si="0"/>
        <v>0.85000000000000009</v>
      </c>
      <c r="R42" s="7">
        <v>12.1</v>
      </c>
      <c r="S42" s="7">
        <v>90</v>
      </c>
      <c r="T42" s="16">
        <f t="shared" si="1"/>
        <v>36</v>
      </c>
      <c r="U42" s="140">
        <v>321</v>
      </c>
      <c r="V42" s="16">
        <f t="shared" si="2"/>
        <v>2311.2000000000003</v>
      </c>
      <c r="W42" s="7">
        <v>1</v>
      </c>
      <c r="X42" s="15" t="s">
        <v>46</v>
      </c>
      <c r="Y42" s="148" t="s">
        <v>84</v>
      </c>
      <c r="Z42" s="148" t="s">
        <v>102</v>
      </c>
      <c r="AA42" s="148" t="s">
        <v>78</v>
      </c>
      <c r="AB42" s="39" t="s">
        <v>255</v>
      </c>
    </row>
    <row r="43" spans="1:44" x14ac:dyDescent="0.15">
      <c r="A43" s="15" t="s">
        <v>252</v>
      </c>
      <c r="B43" s="15" t="s">
        <v>253</v>
      </c>
      <c r="C43" s="15">
        <v>2018</v>
      </c>
      <c r="D43" s="37" t="s">
        <v>258</v>
      </c>
      <c r="E43" s="7" t="s">
        <v>251</v>
      </c>
      <c r="F43" s="7" t="s">
        <v>257</v>
      </c>
      <c r="G43" s="7" t="s">
        <v>36</v>
      </c>
      <c r="H43" s="148" t="s">
        <v>127</v>
      </c>
      <c r="I43" s="140" t="s">
        <v>153</v>
      </c>
      <c r="J43" s="15" t="s">
        <v>80</v>
      </c>
      <c r="K43" s="7" t="s">
        <v>45</v>
      </c>
      <c r="L43" s="7">
        <v>3</v>
      </c>
      <c r="N43" s="140">
        <v>5</v>
      </c>
      <c r="O43" s="7">
        <v>0.7</v>
      </c>
      <c r="P43" s="7">
        <v>0.7</v>
      </c>
      <c r="Q43" s="52">
        <f t="shared" si="0"/>
        <v>0.7</v>
      </c>
      <c r="R43" s="7">
        <v>12.5</v>
      </c>
      <c r="S43" s="7">
        <v>101</v>
      </c>
      <c r="T43" s="16">
        <f t="shared" si="1"/>
        <v>33</v>
      </c>
      <c r="U43" s="140">
        <v>321</v>
      </c>
      <c r="V43" s="16">
        <f t="shared" si="2"/>
        <v>2118.6</v>
      </c>
      <c r="W43" s="7">
        <v>1</v>
      </c>
      <c r="X43" s="15" t="s">
        <v>46</v>
      </c>
      <c r="Y43" s="148" t="s">
        <v>84</v>
      </c>
      <c r="Z43" s="148" t="s">
        <v>102</v>
      </c>
      <c r="AA43" s="148" t="s">
        <v>78</v>
      </c>
      <c r="AB43" s="39" t="s">
        <v>255</v>
      </c>
    </row>
    <row r="44" spans="1:44" x14ac:dyDescent="0.15">
      <c r="A44" s="15" t="s">
        <v>252</v>
      </c>
      <c r="B44" s="15" t="s">
        <v>253</v>
      </c>
      <c r="C44" s="15">
        <v>2018</v>
      </c>
      <c r="D44" s="37" t="s">
        <v>258</v>
      </c>
      <c r="E44" s="7" t="s">
        <v>251</v>
      </c>
      <c r="F44" s="7" t="s">
        <v>257</v>
      </c>
      <c r="G44" s="7" t="s">
        <v>36</v>
      </c>
      <c r="H44" s="15" t="s">
        <v>158</v>
      </c>
      <c r="I44" s="140" t="s">
        <v>153</v>
      </c>
      <c r="J44" s="15" t="s">
        <v>38</v>
      </c>
      <c r="K44" s="7" t="s">
        <v>154</v>
      </c>
      <c r="L44" s="7">
        <v>1</v>
      </c>
      <c r="N44" s="140">
        <v>1</v>
      </c>
      <c r="O44" s="7">
        <v>0.55000000000000004</v>
      </c>
      <c r="P44" s="7">
        <v>0.6</v>
      </c>
      <c r="Q44" s="52">
        <f t="shared" si="0"/>
        <v>0.57499999999999996</v>
      </c>
      <c r="R44" s="7">
        <v>13</v>
      </c>
      <c r="S44" s="7">
        <v>128</v>
      </c>
      <c r="T44" s="16">
        <f t="shared" si="1"/>
        <v>27</v>
      </c>
      <c r="U44" s="7">
        <v>138</v>
      </c>
      <c r="V44" s="16">
        <f t="shared" si="2"/>
        <v>3726</v>
      </c>
      <c r="W44" s="7">
        <v>3</v>
      </c>
      <c r="X44" s="15" t="s">
        <v>46</v>
      </c>
      <c r="Y44" s="148" t="s">
        <v>84</v>
      </c>
      <c r="Z44" s="148" t="s">
        <v>102</v>
      </c>
      <c r="AA44" s="148" t="s">
        <v>78</v>
      </c>
      <c r="AB44" s="39" t="s">
        <v>255</v>
      </c>
    </row>
    <row r="45" spans="1:44" x14ac:dyDescent="0.15">
      <c r="A45" s="15" t="s">
        <v>252</v>
      </c>
      <c r="B45" s="15" t="s">
        <v>253</v>
      </c>
      <c r="C45" s="15">
        <v>2018</v>
      </c>
      <c r="D45" s="37" t="s">
        <v>258</v>
      </c>
      <c r="E45" s="7" t="s">
        <v>251</v>
      </c>
      <c r="F45" s="7" t="s">
        <v>257</v>
      </c>
      <c r="G45" s="7" t="s">
        <v>36</v>
      </c>
      <c r="H45" s="148" t="s">
        <v>158</v>
      </c>
      <c r="I45" s="140" t="s">
        <v>153</v>
      </c>
      <c r="J45" s="15" t="s">
        <v>38</v>
      </c>
      <c r="K45" s="7" t="s">
        <v>154</v>
      </c>
      <c r="L45" s="7">
        <v>2</v>
      </c>
      <c r="N45" s="140">
        <v>1</v>
      </c>
      <c r="O45" s="7">
        <v>0.7</v>
      </c>
      <c r="P45" s="7">
        <v>0.8</v>
      </c>
      <c r="Q45" s="52">
        <f t="shared" si="0"/>
        <v>0.75</v>
      </c>
      <c r="R45" s="7">
        <v>13.9</v>
      </c>
      <c r="S45" s="7">
        <v>116</v>
      </c>
      <c r="T45" s="16">
        <f t="shared" si="1"/>
        <v>30</v>
      </c>
      <c r="U45" s="140">
        <v>138</v>
      </c>
      <c r="V45" s="16">
        <f t="shared" si="2"/>
        <v>4140</v>
      </c>
      <c r="W45" s="7">
        <v>3</v>
      </c>
      <c r="X45" s="15" t="s">
        <v>46</v>
      </c>
      <c r="Y45" s="148" t="s">
        <v>84</v>
      </c>
      <c r="Z45" s="148" t="s">
        <v>102</v>
      </c>
      <c r="AA45" s="148" t="s">
        <v>78</v>
      </c>
      <c r="AB45" s="39" t="s">
        <v>255</v>
      </c>
    </row>
    <row r="46" spans="1:44" x14ac:dyDescent="0.15">
      <c r="A46" s="15" t="s">
        <v>252</v>
      </c>
      <c r="B46" s="15" t="s">
        <v>253</v>
      </c>
      <c r="C46" s="15">
        <v>2018</v>
      </c>
      <c r="D46" s="37" t="s">
        <v>258</v>
      </c>
      <c r="E46" s="7" t="s">
        <v>251</v>
      </c>
      <c r="F46" s="7" t="s">
        <v>257</v>
      </c>
      <c r="G46" s="7" t="s">
        <v>36</v>
      </c>
      <c r="H46" s="148" t="s">
        <v>158</v>
      </c>
      <c r="I46" s="140" t="s">
        <v>153</v>
      </c>
      <c r="J46" s="15" t="s">
        <v>38</v>
      </c>
      <c r="K46" s="7" t="s">
        <v>154</v>
      </c>
      <c r="L46" s="7">
        <v>3</v>
      </c>
      <c r="N46" s="7">
        <v>1</v>
      </c>
      <c r="O46" s="7">
        <v>0.55000000000000004</v>
      </c>
      <c r="P46" s="34">
        <v>0.55000000000000004</v>
      </c>
      <c r="Q46" s="52">
        <f t="shared" si="0"/>
        <v>0.55000000000000004</v>
      </c>
      <c r="R46" s="7">
        <v>15</v>
      </c>
      <c r="S46" s="7">
        <v>132</v>
      </c>
      <c r="T46" s="16">
        <f t="shared" si="1"/>
        <v>25</v>
      </c>
      <c r="U46" s="140">
        <v>138</v>
      </c>
      <c r="V46" s="16">
        <f t="shared" si="2"/>
        <v>3450</v>
      </c>
      <c r="W46" s="7">
        <v>3</v>
      </c>
      <c r="X46" s="15" t="s">
        <v>46</v>
      </c>
      <c r="Y46" s="148" t="s">
        <v>84</v>
      </c>
      <c r="Z46" s="148" t="s">
        <v>102</v>
      </c>
      <c r="AA46" s="148" t="s">
        <v>78</v>
      </c>
      <c r="AB46" s="39" t="s">
        <v>255</v>
      </c>
    </row>
    <row r="47" spans="1:44" x14ac:dyDescent="0.15">
      <c r="A47" s="15" t="s">
        <v>252</v>
      </c>
      <c r="B47" s="15" t="s">
        <v>253</v>
      </c>
      <c r="C47" s="15">
        <v>2018</v>
      </c>
      <c r="D47" s="37" t="s">
        <v>258</v>
      </c>
      <c r="E47" s="7" t="s">
        <v>130</v>
      </c>
      <c r="F47" s="7" t="s">
        <v>146</v>
      </c>
      <c r="G47" s="7" t="s">
        <v>36</v>
      </c>
      <c r="H47" s="15" t="s">
        <v>155</v>
      </c>
      <c r="I47" s="140" t="s">
        <v>153</v>
      </c>
      <c r="J47" s="15" t="s">
        <v>38</v>
      </c>
      <c r="K47" s="7" t="s">
        <v>154</v>
      </c>
      <c r="L47" s="7">
        <v>1</v>
      </c>
      <c r="N47" s="7">
        <v>1</v>
      </c>
      <c r="O47" s="7">
        <v>0.55000000000000004</v>
      </c>
      <c r="P47" s="7">
        <v>0.6</v>
      </c>
      <c r="Q47" s="52">
        <f t="shared" si="0"/>
        <v>0.57499999999999996</v>
      </c>
      <c r="R47" s="7">
        <v>15.2</v>
      </c>
      <c r="S47" s="7">
        <v>129</v>
      </c>
      <c r="T47" s="16">
        <f t="shared" si="1"/>
        <v>25</v>
      </c>
      <c r="U47" s="7">
        <v>102</v>
      </c>
      <c r="V47" s="16">
        <f t="shared" si="2"/>
        <v>2550</v>
      </c>
      <c r="W47" s="7">
        <v>5</v>
      </c>
      <c r="X47" s="15" t="s">
        <v>46</v>
      </c>
      <c r="Y47" s="148" t="s">
        <v>50</v>
      </c>
      <c r="Z47" s="148" t="s">
        <v>84</v>
      </c>
      <c r="AA47" s="148" t="s">
        <v>90</v>
      </c>
      <c r="AB47" s="39" t="s">
        <v>255</v>
      </c>
    </row>
    <row r="48" spans="1:44" x14ac:dyDescent="0.15">
      <c r="A48" s="15" t="s">
        <v>252</v>
      </c>
      <c r="B48" s="15" t="s">
        <v>253</v>
      </c>
      <c r="C48" s="15">
        <v>2018</v>
      </c>
      <c r="D48" s="37" t="s">
        <v>258</v>
      </c>
      <c r="E48" s="7" t="s">
        <v>130</v>
      </c>
      <c r="F48" s="7" t="s">
        <v>146</v>
      </c>
      <c r="G48" s="7" t="s">
        <v>36</v>
      </c>
      <c r="H48" s="148" t="s">
        <v>155</v>
      </c>
      <c r="I48" s="140" t="s">
        <v>153</v>
      </c>
      <c r="J48" s="148" t="s">
        <v>38</v>
      </c>
      <c r="K48" s="140" t="s">
        <v>154</v>
      </c>
      <c r="L48" s="7">
        <v>2</v>
      </c>
      <c r="N48" s="7">
        <v>1</v>
      </c>
      <c r="O48" s="7">
        <v>0.55000000000000004</v>
      </c>
      <c r="P48" s="7">
        <v>0.7</v>
      </c>
      <c r="Q48" s="52">
        <f t="shared" si="0"/>
        <v>0.625</v>
      </c>
      <c r="R48" s="7">
        <v>13.1</v>
      </c>
      <c r="S48" s="7">
        <v>125</v>
      </c>
      <c r="T48" s="16">
        <f t="shared" si="1"/>
        <v>27</v>
      </c>
      <c r="U48" s="140">
        <v>102</v>
      </c>
      <c r="V48" s="16">
        <f t="shared" si="2"/>
        <v>2754</v>
      </c>
      <c r="W48" s="7">
        <v>5</v>
      </c>
      <c r="X48" s="15" t="s">
        <v>46</v>
      </c>
      <c r="Y48" s="148" t="s">
        <v>50</v>
      </c>
      <c r="Z48" s="148" t="s">
        <v>84</v>
      </c>
      <c r="AA48" s="148" t="s">
        <v>90</v>
      </c>
      <c r="AB48" s="39" t="s">
        <v>255</v>
      </c>
    </row>
    <row r="49" spans="1:29" x14ac:dyDescent="0.15">
      <c r="A49" s="15" t="s">
        <v>252</v>
      </c>
      <c r="B49" s="15" t="s">
        <v>253</v>
      </c>
      <c r="C49" s="15">
        <v>2018</v>
      </c>
      <c r="D49" s="37" t="s">
        <v>258</v>
      </c>
      <c r="E49" s="7" t="s">
        <v>130</v>
      </c>
      <c r="F49" s="7" t="s">
        <v>146</v>
      </c>
      <c r="G49" s="7" t="s">
        <v>36</v>
      </c>
      <c r="H49" s="148" t="s">
        <v>155</v>
      </c>
      <c r="I49" s="140" t="s">
        <v>153</v>
      </c>
      <c r="J49" s="148" t="s">
        <v>38</v>
      </c>
      <c r="K49" s="140" t="s">
        <v>154</v>
      </c>
      <c r="L49" s="7">
        <v>3</v>
      </c>
      <c r="N49" s="7">
        <v>1</v>
      </c>
      <c r="O49" s="7">
        <v>0.6</v>
      </c>
      <c r="P49" s="34">
        <v>0.7</v>
      </c>
      <c r="Q49" s="52">
        <f t="shared" si="0"/>
        <v>0.64999999999999991</v>
      </c>
      <c r="R49" s="7">
        <v>14.8</v>
      </c>
      <c r="S49" s="7">
        <v>136</v>
      </c>
      <c r="T49" s="16">
        <f t="shared" si="1"/>
        <v>25</v>
      </c>
      <c r="U49" s="140">
        <v>102</v>
      </c>
      <c r="V49" s="16">
        <f t="shared" si="2"/>
        <v>2550</v>
      </c>
      <c r="W49" s="7">
        <v>5</v>
      </c>
      <c r="X49" s="15" t="s">
        <v>46</v>
      </c>
      <c r="Y49" s="148" t="s">
        <v>50</v>
      </c>
      <c r="Z49" s="148" t="s">
        <v>84</v>
      </c>
      <c r="AA49" s="148" t="s">
        <v>90</v>
      </c>
      <c r="AB49" s="39" t="s">
        <v>255</v>
      </c>
    </row>
    <row r="50" spans="1:29" x14ac:dyDescent="0.15">
      <c r="A50" s="15" t="s">
        <v>252</v>
      </c>
      <c r="B50" s="15" t="s">
        <v>253</v>
      </c>
      <c r="C50" s="15">
        <v>2018</v>
      </c>
      <c r="D50" s="37" t="s">
        <v>258</v>
      </c>
      <c r="E50" s="7" t="s">
        <v>130</v>
      </c>
      <c r="F50" s="7" t="s">
        <v>146</v>
      </c>
      <c r="G50" s="7" t="s">
        <v>36</v>
      </c>
      <c r="H50" s="15" t="s">
        <v>158</v>
      </c>
      <c r="I50" s="140" t="s">
        <v>153</v>
      </c>
      <c r="J50" s="15" t="s">
        <v>38</v>
      </c>
      <c r="K50" s="7" t="s">
        <v>154</v>
      </c>
      <c r="L50" s="7">
        <v>1</v>
      </c>
      <c r="N50" s="7">
        <v>1</v>
      </c>
      <c r="O50" s="7">
        <v>0.5</v>
      </c>
      <c r="P50" s="7">
        <v>0.6</v>
      </c>
      <c r="Q50" s="52">
        <f t="shared" si="0"/>
        <v>0.55000000000000004</v>
      </c>
      <c r="R50" s="7">
        <v>17.7</v>
      </c>
      <c r="S50" s="7">
        <v>133</v>
      </c>
      <c r="T50" s="16">
        <f t="shared" si="1"/>
        <v>25</v>
      </c>
      <c r="U50" s="140">
        <v>106</v>
      </c>
      <c r="V50" s="16">
        <f t="shared" si="2"/>
        <v>2650</v>
      </c>
      <c r="W50" s="7">
        <v>6</v>
      </c>
      <c r="X50" s="15" t="s">
        <v>46</v>
      </c>
      <c r="Y50" s="148" t="s">
        <v>50</v>
      </c>
      <c r="Z50" s="148" t="s">
        <v>84</v>
      </c>
      <c r="AA50" s="148" t="s">
        <v>90</v>
      </c>
      <c r="AB50" s="39" t="s">
        <v>255</v>
      </c>
    </row>
    <row r="51" spans="1:29" x14ac:dyDescent="0.15">
      <c r="A51" s="15" t="s">
        <v>252</v>
      </c>
      <c r="B51" s="15" t="s">
        <v>253</v>
      </c>
      <c r="C51" s="15">
        <v>2018</v>
      </c>
      <c r="D51" s="37" t="s">
        <v>258</v>
      </c>
      <c r="E51" s="7" t="s">
        <v>130</v>
      </c>
      <c r="F51" s="7" t="s">
        <v>146</v>
      </c>
      <c r="G51" s="7" t="s">
        <v>36</v>
      </c>
      <c r="H51" s="148" t="s">
        <v>158</v>
      </c>
      <c r="I51" s="140" t="s">
        <v>153</v>
      </c>
      <c r="J51" s="15" t="s">
        <v>38</v>
      </c>
      <c r="K51" s="7" t="s">
        <v>154</v>
      </c>
      <c r="L51" s="7">
        <v>2</v>
      </c>
      <c r="N51" s="7">
        <v>1</v>
      </c>
      <c r="O51" s="7">
        <v>0.7</v>
      </c>
      <c r="P51" s="7">
        <v>0.55000000000000004</v>
      </c>
      <c r="Q51" s="52">
        <f t="shared" si="0"/>
        <v>0.625</v>
      </c>
      <c r="R51" s="7">
        <v>13.5</v>
      </c>
      <c r="S51" s="7">
        <v>129</v>
      </c>
      <c r="T51" s="16">
        <f t="shared" si="1"/>
        <v>25</v>
      </c>
      <c r="U51" s="140">
        <v>106</v>
      </c>
      <c r="V51" s="16">
        <f t="shared" si="2"/>
        <v>2650</v>
      </c>
      <c r="W51" s="7">
        <v>6</v>
      </c>
      <c r="X51" s="15" t="s">
        <v>46</v>
      </c>
      <c r="Y51" s="148" t="s">
        <v>50</v>
      </c>
      <c r="Z51" s="148" t="s">
        <v>84</v>
      </c>
      <c r="AA51" s="148" t="s">
        <v>90</v>
      </c>
      <c r="AB51" s="39" t="s">
        <v>255</v>
      </c>
    </row>
    <row r="52" spans="1:29" x14ac:dyDescent="0.15">
      <c r="A52" s="15" t="s">
        <v>252</v>
      </c>
      <c r="B52" s="15" t="s">
        <v>253</v>
      </c>
      <c r="C52" s="15">
        <v>2018</v>
      </c>
      <c r="D52" s="37" t="s">
        <v>258</v>
      </c>
      <c r="E52" s="7" t="s">
        <v>130</v>
      </c>
      <c r="F52" s="7" t="s">
        <v>146</v>
      </c>
      <c r="G52" s="7" t="s">
        <v>36</v>
      </c>
      <c r="H52" s="148" t="s">
        <v>158</v>
      </c>
      <c r="I52" s="140" t="s">
        <v>153</v>
      </c>
      <c r="J52" s="15" t="s">
        <v>38</v>
      </c>
      <c r="K52" s="7" t="s">
        <v>154</v>
      </c>
      <c r="L52" s="7">
        <v>3</v>
      </c>
      <c r="N52" s="7">
        <v>1</v>
      </c>
      <c r="O52" s="7">
        <v>0.6</v>
      </c>
      <c r="P52" s="7">
        <v>0.5</v>
      </c>
      <c r="Q52" s="52">
        <f t="shared" si="0"/>
        <v>0.55000000000000004</v>
      </c>
      <c r="R52" s="7">
        <v>18.399999999999999</v>
      </c>
      <c r="S52" s="7">
        <v>127</v>
      </c>
      <c r="T52" s="16">
        <f t="shared" si="1"/>
        <v>27</v>
      </c>
      <c r="U52" s="140">
        <v>106</v>
      </c>
      <c r="V52" s="16">
        <f t="shared" si="2"/>
        <v>2862</v>
      </c>
      <c r="W52" s="7">
        <v>6</v>
      </c>
      <c r="X52" s="15" t="s">
        <v>46</v>
      </c>
      <c r="Y52" s="148" t="s">
        <v>50</v>
      </c>
      <c r="Z52" s="148" t="s">
        <v>84</v>
      </c>
      <c r="AA52" s="148" t="s">
        <v>90</v>
      </c>
      <c r="AB52" s="39" t="s">
        <v>255</v>
      </c>
    </row>
    <row r="53" spans="1:29" x14ac:dyDescent="0.15">
      <c r="A53" s="15" t="s">
        <v>252</v>
      </c>
      <c r="B53" s="15" t="s">
        <v>253</v>
      </c>
      <c r="C53" s="15">
        <v>2018</v>
      </c>
      <c r="D53" s="37" t="s">
        <v>258</v>
      </c>
      <c r="E53" s="7" t="s">
        <v>132</v>
      </c>
      <c r="F53" s="7" t="s">
        <v>147</v>
      </c>
      <c r="G53" s="7" t="s">
        <v>36</v>
      </c>
      <c r="H53" s="15" t="s">
        <v>155</v>
      </c>
      <c r="I53" s="140" t="s">
        <v>153</v>
      </c>
      <c r="J53" s="15" t="s">
        <v>38</v>
      </c>
      <c r="K53" s="7" t="s">
        <v>154</v>
      </c>
      <c r="L53" s="7">
        <v>1</v>
      </c>
      <c r="N53" s="7">
        <v>1</v>
      </c>
      <c r="O53" s="7">
        <v>0.55000000000000004</v>
      </c>
      <c r="P53" s="7">
        <v>0.7</v>
      </c>
      <c r="Q53" s="52">
        <f t="shared" si="0"/>
        <v>0.625</v>
      </c>
      <c r="R53" s="7">
        <v>13.4</v>
      </c>
      <c r="S53" s="7">
        <v>148</v>
      </c>
      <c r="T53" s="16">
        <f t="shared" si="1"/>
        <v>22</v>
      </c>
      <c r="U53" s="7">
        <v>105</v>
      </c>
      <c r="V53" s="16">
        <f t="shared" si="2"/>
        <v>2310</v>
      </c>
      <c r="W53" s="7">
        <v>11</v>
      </c>
      <c r="X53" s="15" t="s">
        <v>46</v>
      </c>
      <c r="Y53" s="148" t="s">
        <v>50</v>
      </c>
      <c r="Z53" s="148" t="s">
        <v>78</v>
      </c>
      <c r="AA53" s="148" t="s">
        <v>55</v>
      </c>
      <c r="AB53" s="39" t="s">
        <v>255</v>
      </c>
      <c r="AC53" s="36"/>
    </row>
    <row r="54" spans="1:29" x14ac:dyDescent="0.15">
      <c r="A54" s="15" t="s">
        <v>252</v>
      </c>
      <c r="B54" s="15" t="s">
        <v>253</v>
      </c>
      <c r="C54" s="15">
        <v>2018</v>
      </c>
      <c r="D54" s="37" t="s">
        <v>258</v>
      </c>
      <c r="E54" s="7" t="s">
        <v>132</v>
      </c>
      <c r="F54" s="7" t="s">
        <v>147</v>
      </c>
      <c r="G54" s="7" t="s">
        <v>36</v>
      </c>
      <c r="H54" s="148" t="s">
        <v>155</v>
      </c>
      <c r="I54" s="140" t="s">
        <v>153</v>
      </c>
      <c r="J54" s="148" t="s">
        <v>38</v>
      </c>
      <c r="K54" s="7" t="s">
        <v>154</v>
      </c>
      <c r="L54" s="7">
        <v>2</v>
      </c>
      <c r="N54" s="7">
        <v>1</v>
      </c>
      <c r="O54" s="7">
        <v>0.65</v>
      </c>
      <c r="P54" s="7">
        <v>0.65</v>
      </c>
      <c r="Q54" s="52">
        <f t="shared" si="0"/>
        <v>0.65</v>
      </c>
      <c r="R54" s="7">
        <v>13.9</v>
      </c>
      <c r="S54" s="7">
        <v>149</v>
      </c>
      <c r="T54" s="16">
        <f t="shared" si="1"/>
        <v>22</v>
      </c>
      <c r="U54" s="140">
        <v>105</v>
      </c>
      <c r="V54" s="16">
        <f t="shared" si="2"/>
        <v>2310</v>
      </c>
      <c r="W54" s="7">
        <v>11</v>
      </c>
      <c r="X54" s="15" t="s">
        <v>46</v>
      </c>
      <c r="Y54" s="148" t="s">
        <v>50</v>
      </c>
      <c r="Z54" s="148" t="s">
        <v>78</v>
      </c>
      <c r="AA54" s="148" t="s">
        <v>55</v>
      </c>
      <c r="AB54" s="39" t="s">
        <v>255</v>
      </c>
      <c r="AC54" s="36"/>
    </row>
    <row r="55" spans="1:29" x14ac:dyDescent="0.15">
      <c r="A55" s="15" t="s">
        <v>252</v>
      </c>
      <c r="B55" s="15" t="s">
        <v>253</v>
      </c>
      <c r="C55" s="15">
        <v>2018</v>
      </c>
      <c r="D55" s="37" t="s">
        <v>258</v>
      </c>
      <c r="E55" s="7" t="s">
        <v>132</v>
      </c>
      <c r="F55" s="7" t="s">
        <v>147</v>
      </c>
      <c r="G55" s="7" t="s">
        <v>36</v>
      </c>
      <c r="H55" s="148" t="s">
        <v>155</v>
      </c>
      <c r="I55" s="140" t="s">
        <v>153</v>
      </c>
      <c r="J55" s="148" t="s">
        <v>38</v>
      </c>
      <c r="K55" s="7" t="s">
        <v>154</v>
      </c>
      <c r="L55" s="7">
        <v>3</v>
      </c>
      <c r="N55" s="140">
        <v>1</v>
      </c>
      <c r="O55" s="7">
        <v>0.5</v>
      </c>
      <c r="P55" s="7">
        <v>0.5</v>
      </c>
      <c r="Q55" s="52">
        <f t="shared" si="0"/>
        <v>0.5</v>
      </c>
      <c r="R55" s="7">
        <v>14.2</v>
      </c>
      <c r="S55" s="7">
        <v>166</v>
      </c>
      <c r="T55" s="16">
        <f t="shared" si="1"/>
        <v>18</v>
      </c>
      <c r="U55" s="140">
        <v>105</v>
      </c>
      <c r="V55" s="16">
        <f t="shared" si="2"/>
        <v>1890</v>
      </c>
      <c r="W55" s="7">
        <v>11</v>
      </c>
      <c r="X55" s="15" t="s">
        <v>46</v>
      </c>
      <c r="Y55" s="148" t="s">
        <v>50</v>
      </c>
      <c r="Z55" s="148" t="s">
        <v>78</v>
      </c>
      <c r="AA55" s="148" t="s">
        <v>55</v>
      </c>
      <c r="AB55" s="39" t="s">
        <v>255</v>
      </c>
      <c r="AC55" s="36"/>
    </row>
    <row r="56" spans="1:29" x14ac:dyDescent="0.15">
      <c r="A56" s="15" t="s">
        <v>252</v>
      </c>
      <c r="B56" s="15" t="s">
        <v>253</v>
      </c>
      <c r="C56" s="15">
        <v>2018</v>
      </c>
      <c r="D56" s="37" t="s">
        <v>258</v>
      </c>
      <c r="E56" s="7" t="s">
        <v>132</v>
      </c>
      <c r="F56" s="7" t="s">
        <v>147</v>
      </c>
      <c r="G56" s="7" t="s">
        <v>36</v>
      </c>
      <c r="H56" s="15" t="s">
        <v>158</v>
      </c>
      <c r="I56" s="140" t="s">
        <v>153</v>
      </c>
      <c r="J56" s="15" t="s">
        <v>38</v>
      </c>
      <c r="K56" s="7" t="s">
        <v>154</v>
      </c>
      <c r="L56" s="7">
        <v>1</v>
      </c>
      <c r="N56" s="140">
        <v>1</v>
      </c>
      <c r="O56" s="7">
        <v>0.55000000000000004</v>
      </c>
      <c r="P56" s="7">
        <v>0.55000000000000004</v>
      </c>
      <c r="Q56" s="52">
        <f t="shared" si="0"/>
        <v>0.55000000000000004</v>
      </c>
      <c r="R56" s="7">
        <v>15.5</v>
      </c>
      <c r="S56" s="7">
        <v>122</v>
      </c>
      <c r="T56" s="16">
        <f t="shared" si="1"/>
        <v>27</v>
      </c>
      <c r="U56" s="140">
        <v>138</v>
      </c>
      <c r="V56" s="16">
        <f t="shared" si="2"/>
        <v>3726</v>
      </c>
      <c r="W56" s="7">
        <v>5</v>
      </c>
      <c r="X56" s="15" t="s">
        <v>46</v>
      </c>
      <c r="Y56" s="148" t="s">
        <v>50</v>
      </c>
      <c r="Z56" s="148" t="s">
        <v>78</v>
      </c>
      <c r="AA56" s="148" t="s">
        <v>55</v>
      </c>
      <c r="AB56" s="39" t="s">
        <v>255</v>
      </c>
    </row>
    <row r="57" spans="1:29" x14ac:dyDescent="0.15">
      <c r="A57" s="15" t="s">
        <v>252</v>
      </c>
      <c r="B57" s="15" t="s">
        <v>253</v>
      </c>
      <c r="C57" s="15">
        <v>2018</v>
      </c>
      <c r="D57" s="37" t="s">
        <v>258</v>
      </c>
      <c r="E57" s="7" t="s">
        <v>132</v>
      </c>
      <c r="F57" s="7" t="s">
        <v>147</v>
      </c>
      <c r="G57" s="7" t="s">
        <v>36</v>
      </c>
      <c r="H57" s="148" t="s">
        <v>158</v>
      </c>
      <c r="I57" s="140" t="s">
        <v>153</v>
      </c>
      <c r="J57" s="15" t="s">
        <v>38</v>
      </c>
      <c r="K57" s="7" t="s">
        <v>154</v>
      </c>
      <c r="L57" s="7">
        <v>2</v>
      </c>
      <c r="N57" s="140">
        <v>1</v>
      </c>
      <c r="O57" s="7">
        <v>0.5</v>
      </c>
      <c r="P57" s="7">
        <v>0.5</v>
      </c>
      <c r="Q57" s="52">
        <f t="shared" si="0"/>
        <v>0.5</v>
      </c>
      <c r="R57" s="7">
        <v>16.2</v>
      </c>
      <c r="S57" s="7">
        <v>119</v>
      </c>
      <c r="T57" s="16">
        <f t="shared" si="1"/>
        <v>30</v>
      </c>
      <c r="U57" s="140">
        <v>138</v>
      </c>
      <c r="V57" s="16">
        <f t="shared" si="2"/>
        <v>4140</v>
      </c>
      <c r="W57" s="7">
        <v>5</v>
      </c>
      <c r="X57" s="15" t="s">
        <v>46</v>
      </c>
      <c r="Y57" s="148" t="s">
        <v>50</v>
      </c>
      <c r="Z57" s="148" t="s">
        <v>78</v>
      </c>
      <c r="AA57" s="148" t="s">
        <v>55</v>
      </c>
      <c r="AB57" s="39" t="s">
        <v>255</v>
      </c>
    </row>
    <row r="58" spans="1:29" x14ac:dyDescent="0.15">
      <c r="A58" s="15" t="s">
        <v>252</v>
      </c>
      <c r="B58" s="15" t="s">
        <v>253</v>
      </c>
      <c r="C58" s="15">
        <v>2018</v>
      </c>
      <c r="D58" s="37" t="s">
        <v>258</v>
      </c>
      <c r="E58" s="7" t="s">
        <v>132</v>
      </c>
      <c r="F58" s="7" t="s">
        <v>147</v>
      </c>
      <c r="G58" s="7" t="s">
        <v>36</v>
      </c>
      <c r="H58" s="148" t="s">
        <v>158</v>
      </c>
      <c r="I58" s="140" t="s">
        <v>153</v>
      </c>
      <c r="J58" s="15" t="s">
        <v>38</v>
      </c>
      <c r="K58" s="7" t="s">
        <v>154</v>
      </c>
      <c r="L58" s="7">
        <v>3</v>
      </c>
      <c r="N58" s="140">
        <v>1</v>
      </c>
      <c r="O58" s="7">
        <v>0.6</v>
      </c>
      <c r="P58" s="7">
        <v>0.7</v>
      </c>
      <c r="Q58" s="52">
        <f t="shared" si="0"/>
        <v>0.64999999999999991</v>
      </c>
      <c r="R58" s="7">
        <v>15.1</v>
      </c>
      <c r="S58" s="7">
        <v>121</v>
      </c>
      <c r="T58" s="16">
        <f t="shared" si="1"/>
        <v>27</v>
      </c>
      <c r="U58" s="140">
        <v>138</v>
      </c>
      <c r="V58" s="16">
        <f t="shared" si="2"/>
        <v>3726</v>
      </c>
      <c r="W58" s="7">
        <v>5</v>
      </c>
      <c r="X58" s="15" t="s">
        <v>46</v>
      </c>
      <c r="Y58" s="148" t="s">
        <v>50</v>
      </c>
      <c r="Z58" s="148" t="s">
        <v>78</v>
      </c>
      <c r="AA58" s="148" t="s">
        <v>55</v>
      </c>
      <c r="AB58" s="39" t="s">
        <v>255</v>
      </c>
    </row>
    <row r="59" spans="1:29" x14ac:dyDescent="0.15">
      <c r="A59" s="15" t="s">
        <v>252</v>
      </c>
      <c r="B59" s="15" t="s">
        <v>253</v>
      </c>
      <c r="C59" s="15">
        <v>2018</v>
      </c>
      <c r="D59" s="37" t="s">
        <v>258</v>
      </c>
      <c r="E59" s="7" t="s">
        <v>140</v>
      </c>
      <c r="F59" s="7" t="s">
        <v>148</v>
      </c>
      <c r="G59" s="7" t="s">
        <v>36</v>
      </c>
      <c r="H59" s="15" t="s">
        <v>155</v>
      </c>
      <c r="I59" s="140" t="s">
        <v>153</v>
      </c>
      <c r="J59" s="15" t="s">
        <v>38</v>
      </c>
      <c r="K59" s="7" t="s">
        <v>154</v>
      </c>
      <c r="L59" s="7">
        <v>1</v>
      </c>
      <c r="N59" s="140">
        <v>1</v>
      </c>
      <c r="O59" s="7">
        <v>0.55000000000000004</v>
      </c>
      <c r="P59" s="7">
        <v>0.7</v>
      </c>
      <c r="Q59" s="52">
        <f t="shared" si="0"/>
        <v>0.625</v>
      </c>
      <c r="R59" s="7">
        <v>13.1</v>
      </c>
      <c r="S59" s="7">
        <v>131</v>
      </c>
      <c r="T59" s="16">
        <f t="shared" si="1"/>
        <v>25</v>
      </c>
      <c r="U59" s="7">
        <v>73</v>
      </c>
      <c r="V59" s="16">
        <f t="shared" si="2"/>
        <v>1825</v>
      </c>
      <c r="W59" s="7">
        <v>11</v>
      </c>
      <c r="X59" s="15" t="s">
        <v>46</v>
      </c>
      <c r="Y59" s="148" t="s">
        <v>50</v>
      </c>
      <c r="Z59" s="148" t="s">
        <v>90</v>
      </c>
      <c r="AA59" s="148" t="s">
        <v>84</v>
      </c>
      <c r="AB59" s="39" t="s">
        <v>255</v>
      </c>
    </row>
    <row r="60" spans="1:29" x14ac:dyDescent="0.15">
      <c r="A60" s="15" t="s">
        <v>252</v>
      </c>
      <c r="B60" s="15" t="s">
        <v>253</v>
      </c>
      <c r="C60" s="15">
        <v>2018</v>
      </c>
      <c r="D60" s="37" t="s">
        <v>258</v>
      </c>
      <c r="E60" s="7" t="s">
        <v>140</v>
      </c>
      <c r="F60" s="7" t="s">
        <v>148</v>
      </c>
      <c r="G60" s="7" t="s">
        <v>36</v>
      </c>
      <c r="H60" s="148" t="s">
        <v>155</v>
      </c>
      <c r="I60" s="140" t="s">
        <v>153</v>
      </c>
      <c r="J60" s="15" t="s">
        <v>38</v>
      </c>
      <c r="K60" s="7" t="s">
        <v>154</v>
      </c>
      <c r="L60" s="7">
        <v>2</v>
      </c>
      <c r="N60" s="7">
        <v>1</v>
      </c>
      <c r="O60" s="7">
        <v>0.7</v>
      </c>
      <c r="P60" s="7">
        <v>0.65</v>
      </c>
      <c r="Q60" s="52">
        <f t="shared" si="0"/>
        <v>0.67500000000000004</v>
      </c>
      <c r="R60" s="7">
        <v>14.4</v>
      </c>
      <c r="S60" s="7">
        <v>130</v>
      </c>
      <c r="T60" s="16">
        <f>IF(H60="","",IF(OR(H60="GREEN",H60="GK"),IF(S60&gt;=$AX$2,VLOOKUP(S60,$AX$2:$AY$12,2,1),""),IF(S60&gt;=$AZ$2,VLOOKUP(S60,$AZ$2:$BA$12,2,1),"")))</f>
        <v>25</v>
      </c>
      <c r="U60" s="140">
        <v>73</v>
      </c>
      <c r="V60" s="16">
        <f t="shared" si="2"/>
        <v>1825</v>
      </c>
      <c r="W60" s="7">
        <v>11</v>
      </c>
      <c r="X60" s="148" t="s">
        <v>46</v>
      </c>
      <c r="Y60" s="148" t="s">
        <v>50</v>
      </c>
      <c r="Z60" s="148" t="s">
        <v>90</v>
      </c>
      <c r="AA60" s="148" t="s">
        <v>84</v>
      </c>
      <c r="AB60" s="39" t="s">
        <v>255</v>
      </c>
    </row>
    <row r="61" spans="1:29" x14ac:dyDescent="0.15">
      <c r="A61" s="15" t="s">
        <v>252</v>
      </c>
      <c r="B61" s="15" t="s">
        <v>253</v>
      </c>
      <c r="C61" s="15">
        <v>2018</v>
      </c>
      <c r="D61" s="37" t="s">
        <v>258</v>
      </c>
      <c r="E61" s="7" t="s">
        <v>140</v>
      </c>
      <c r="F61" s="7" t="s">
        <v>148</v>
      </c>
      <c r="G61" s="7" t="s">
        <v>36</v>
      </c>
      <c r="H61" s="148" t="s">
        <v>155</v>
      </c>
      <c r="I61" s="140" t="s">
        <v>153</v>
      </c>
      <c r="J61" s="15" t="s">
        <v>38</v>
      </c>
      <c r="K61" s="7" t="s">
        <v>154</v>
      </c>
      <c r="L61" s="7">
        <v>3</v>
      </c>
      <c r="N61" s="7">
        <v>1</v>
      </c>
      <c r="O61" s="7">
        <v>0.5</v>
      </c>
      <c r="P61" s="7">
        <v>0.5</v>
      </c>
      <c r="Q61" s="52">
        <f t="shared" si="0"/>
        <v>0.5</v>
      </c>
      <c r="R61" s="7">
        <v>12.8</v>
      </c>
      <c r="S61" s="7">
        <v>135</v>
      </c>
      <c r="T61" s="16">
        <f>IF(H61="","",IF(OR(H61="GREEN",H61="GK"),IF(S61&gt;=$AX$2,VLOOKUP(S61,$AX$2:$AY$12,2,1),""),IF(S61&gt;=$AZ$2,VLOOKUP(S61,$AZ$2:$BA$12,2,1),"")))</f>
        <v>25</v>
      </c>
      <c r="U61" s="140">
        <v>73</v>
      </c>
      <c r="V61" s="16">
        <f t="shared" si="2"/>
        <v>1825</v>
      </c>
      <c r="W61" s="7">
        <v>11</v>
      </c>
      <c r="X61" s="148" t="s">
        <v>46</v>
      </c>
      <c r="Y61" s="148" t="s">
        <v>50</v>
      </c>
      <c r="Z61" s="148" t="s">
        <v>90</v>
      </c>
      <c r="AA61" s="148" t="s">
        <v>84</v>
      </c>
      <c r="AB61" s="39" t="s">
        <v>255</v>
      </c>
    </row>
    <row r="62" spans="1:29" x14ac:dyDescent="0.15">
      <c r="A62" s="15" t="s">
        <v>252</v>
      </c>
      <c r="B62" s="15" t="s">
        <v>253</v>
      </c>
      <c r="C62" s="15">
        <v>2018</v>
      </c>
      <c r="D62" s="37" t="s">
        <v>258</v>
      </c>
      <c r="E62" s="7" t="s">
        <v>140</v>
      </c>
      <c r="F62" s="7" t="s">
        <v>148</v>
      </c>
      <c r="G62" s="7" t="s">
        <v>36</v>
      </c>
      <c r="H62" s="15" t="s">
        <v>158</v>
      </c>
      <c r="I62" s="140" t="s">
        <v>153</v>
      </c>
      <c r="J62" s="15" t="s">
        <v>38</v>
      </c>
      <c r="K62" s="7" t="s">
        <v>154</v>
      </c>
      <c r="L62" s="7">
        <v>1</v>
      </c>
      <c r="N62" s="7">
        <v>1</v>
      </c>
      <c r="O62" s="7">
        <v>0.5</v>
      </c>
      <c r="P62" s="7">
        <v>0.55000000000000004</v>
      </c>
      <c r="Q62" s="52">
        <f t="shared" si="0"/>
        <v>0.52500000000000002</v>
      </c>
      <c r="R62" s="7">
        <v>15.4</v>
      </c>
      <c r="S62" s="7">
        <v>125</v>
      </c>
      <c r="T62" s="16">
        <f t="shared" ref="T62:T120" si="3">IF(H62="","",IF(OR(H62="GREEN",H62="GK"),IF(S62&gt;=$AX$2,VLOOKUP(S62,$AX$2:$AY$12,2,1),""),IF(S62&gt;=$AZ$2,VLOOKUP(S62,$AZ$2:$BA$12,2,1),"")))</f>
        <v>27</v>
      </c>
      <c r="U62" s="7">
        <v>537</v>
      </c>
      <c r="V62" s="16">
        <f t="shared" si="2"/>
        <v>14499</v>
      </c>
      <c r="W62" s="7">
        <v>1</v>
      </c>
      <c r="X62" s="148" t="s">
        <v>46</v>
      </c>
      <c r="Y62" s="148" t="s">
        <v>50</v>
      </c>
      <c r="Z62" s="148" t="s">
        <v>90</v>
      </c>
      <c r="AA62" s="148" t="s">
        <v>84</v>
      </c>
      <c r="AB62" s="39" t="s">
        <v>255</v>
      </c>
    </row>
    <row r="63" spans="1:29" x14ac:dyDescent="0.15">
      <c r="A63" s="15" t="s">
        <v>252</v>
      </c>
      <c r="B63" s="15" t="s">
        <v>253</v>
      </c>
      <c r="C63" s="15">
        <v>2018</v>
      </c>
      <c r="D63" s="37" t="s">
        <v>258</v>
      </c>
      <c r="E63" s="7" t="s">
        <v>140</v>
      </c>
      <c r="F63" s="7" t="s">
        <v>148</v>
      </c>
      <c r="G63" s="7" t="s">
        <v>36</v>
      </c>
      <c r="H63" s="148" t="s">
        <v>158</v>
      </c>
      <c r="I63" s="140" t="s">
        <v>153</v>
      </c>
      <c r="J63" s="15" t="s">
        <v>38</v>
      </c>
      <c r="K63" s="7" t="s">
        <v>154</v>
      </c>
      <c r="L63" s="7">
        <v>2</v>
      </c>
      <c r="N63" s="7">
        <v>1</v>
      </c>
      <c r="O63" s="7">
        <v>0.5</v>
      </c>
      <c r="P63" s="7">
        <v>0.5</v>
      </c>
      <c r="Q63" s="52">
        <f t="shared" si="0"/>
        <v>0.5</v>
      </c>
      <c r="R63" s="7">
        <v>18.7</v>
      </c>
      <c r="S63" s="7">
        <v>132</v>
      </c>
      <c r="T63" s="16">
        <f t="shared" si="3"/>
        <v>25</v>
      </c>
      <c r="U63" s="140">
        <v>537</v>
      </c>
      <c r="V63" s="16">
        <f t="shared" si="2"/>
        <v>13425</v>
      </c>
      <c r="W63" s="7">
        <v>1</v>
      </c>
      <c r="X63" s="148" t="s">
        <v>46</v>
      </c>
      <c r="Y63" s="148" t="s">
        <v>50</v>
      </c>
      <c r="Z63" s="148" t="s">
        <v>90</v>
      </c>
      <c r="AA63" s="148" t="s">
        <v>84</v>
      </c>
      <c r="AB63" s="39" t="s">
        <v>255</v>
      </c>
    </row>
    <row r="64" spans="1:29" x14ac:dyDescent="0.15">
      <c r="A64" s="15" t="s">
        <v>252</v>
      </c>
      <c r="B64" s="15" t="s">
        <v>253</v>
      </c>
      <c r="C64" s="15">
        <v>2018</v>
      </c>
      <c r="D64" s="37" t="s">
        <v>258</v>
      </c>
      <c r="E64" s="7" t="s">
        <v>140</v>
      </c>
      <c r="F64" s="7" t="s">
        <v>148</v>
      </c>
      <c r="G64" s="7" t="s">
        <v>36</v>
      </c>
      <c r="H64" s="148" t="s">
        <v>158</v>
      </c>
      <c r="I64" s="140" t="s">
        <v>153</v>
      </c>
      <c r="J64" s="15" t="s">
        <v>38</v>
      </c>
      <c r="K64" s="7" t="s">
        <v>154</v>
      </c>
      <c r="L64" s="7">
        <v>3</v>
      </c>
      <c r="N64" s="7">
        <v>1</v>
      </c>
      <c r="O64" s="7">
        <v>0.5</v>
      </c>
      <c r="P64" s="7">
        <v>0.5</v>
      </c>
      <c r="Q64" s="52">
        <f t="shared" si="0"/>
        <v>0.5</v>
      </c>
      <c r="R64" s="7">
        <v>15.2</v>
      </c>
      <c r="S64" s="7">
        <v>132</v>
      </c>
      <c r="T64" s="16">
        <f t="shared" si="3"/>
        <v>25</v>
      </c>
      <c r="U64" s="140">
        <v>537</v>
      </c>
      <c r="V64" s="16">
        <f t="shared" si="2"/>
        <v>13425</v>
      </c>
      <c r="W64" s="7">
        <v>1</v>
      </c>
      <c r="X64" s="148" t="s">
        <v>46</v>
      </c>
      <c r="Y64" s="148" t="s">
        <v>50</v>
      </c>
      <c r="Z64" s="148" t="s">
        <v>90</v>
      </c>
      <c r="AA64" s="148" t="s">
        <v>84</v>
      </c>
      <c r="AB64" s="39" t="s">
        <v>255</v>
      </c>
    </row>
    <row r="65" spans="1:28" x14ac:dyDescent="0.15">
      <c r="A65" s="15" t="s">
        <v>252</v>
      </c>
      <c r="B65" s="15" t="s">
        <v>253</v>
      </c>
      <c r="C65" s="15">
        <v>2018</v>
      </c>
      <c r="D65" s="37" t="s">
        <v>258</v>
      </c>
      <c r="E65" s="7" t="s">
        <v>140</v>
      </c>
      <c r="F65" s="7" t="s">
        <v>148</v>
      </c>
      <c r="G65" s="7" t="s">
        <v>36</v>
      </c>
      <c r="H65" s="15" t="s">
        <v>129</v>
      </c>
      <c r="I65" s="140" t="s">
        <v>153</v>
      </c>
      <c r="J65" s="15" t="s">
        <v>58</v>
      </c>
      <c r="K65" s="7" t="s">
        <v>59</v>
      </c>
      <c r="L65" s="7">
        <v>1</v>
      </c>
      <c r="N65" s="7">
        <v>5</v>
      </c>
      <c r="O65" s="7">
        <v>0.5</v>
      </c>
      <c r="P65" s="7">
        <v>0.5</v>
      </c>
      <c r="Q65" s="52">
        <f t="shared" si="0"/>
        <v>0.5</v>
      </c>
      <c r="R65" s="7">
        <v>16.899999999999999</v>
      </c>
      <c r="S65" s="7">
        <v>77</v>
      </c>
      <c r="T65" s="16">
        <f t="shared" si="3"/>
        <v>39</v>
      </c>
      <c r="U65" s="7">
        <v>138</v>
      </c>
      <c r="V65" s="16">
        <f t="shared" si="2"/>
        <v>1076.4000000000001</v>
      </c>
      <c r="W65" s="7">
        <v>8</v>
      </c>
      <c r="X65" s="148" t="s">
        <v>46</v>
      </c>
      <c r="Y65" s="148" t="s">
        <v>50</v>
      </c>
      <c r="Z65" s="148" t="s">
        <v>90</v>
      </c>
      <c r="AA65" s="148" t="s">
        <v>84</v>
      </c>
      <c r="AB65" s="39" t="s">
        <v>255</v>
      </c>
    </row>
    <row r="66" spans="1:28" x14ac:dyDescent="0.15">
      <c r="A66" s="15" t="s">
        <v>252</v>
      </c>
      <c r="B66" s="15" t="s">
        <v>253</v>
      </c>
      <c r="C66" s="15">
        <v>2018</v>
      </c>
      <c r="D66" s="37" t="s">
        <v>258</v>
      </c>
      <c r="E66" s="7" t="s">
        <v>140</v>
      </c>
      <c r="F66" s="7" t="s">
        <v>148</v>
      </c>
      <c r="G66" s="7" t="s">
        <v>36</v>
      </c>
      <c r="H66" s="148" t="s">
        <v>129</v>
      </c>
      <c r="I66" s="140" t="s">
        <v>153</v>
      </c>
      <c r="J66" s="15" t="s">
        <v>58</v>
      </c>
      <c r="K66" s="7" t="s">
        <v>59</v>
      </c>
      <c r="L66" s="7">
        <v>2</v>
      </c>
      <c r="N66" s="7">
        <v>5</v>
      </c>
      <c r="O66" s="7">
        <v>0.5</v>
      </c>
      <c r="P66" s="7">
        <v>0.5</v>
      </c>
      <c r="Q66" s="52">
        <f t="shared" ref="Q66:Q77" si="4">IF(OR(O66="",P66=""),"",AVERAGE(O66,P66))</f>
        <v>0.5</v>
      </c>
      <c r="R66" s="7">
        <v>16.600000000000001</v>
      </c>
      <c r="S66" s="7">
        <v>61</v>
      </c>
      <c r="T66" s="16">
        <f t="shared" si="3"/>
        <v>50</v>
      </c>
      <c r="U66" s="140">
        <v>138</v>
      </c>
      <c r="V66" s="16">
        <f t="shared" ref="V66:V70" si="5">IF(OR(N66="",U66="",T66=""),"",U66/N66*T66)</f>
        <v>1380</v>
      </c>
      <c r="W66" s="7">
        <v>8</v>
      </c>
      <c r="X66" s="148" t="s">
        <v>46</v>
      </c>
      <c r="Y66" s="148" t="s">
        <v>50</v>
      </c>
      <c r="Z66" s="148" t="s">
        <v>90</v>
      </c>
      <c r="AA66" s="148" t="s">
        <v>84</v>
      </c>
      <c r="AB66" s="39" t="s">
        <v>255</v>
      </c>
    </row>
    <row r="67" spans="1:28" x14ac:dyDescent="0.15">
      <c r="A67" s="15" t="s">
        <v>252</v>
      </c>
      <c r="B67" s="15" t="s">
        <v>253</v>
      </c>
      <c r="C67" s="15">
        <v>2018</v>
      </c>
      <c r="D67" s="37" t="s">
        <v>258</v>
      </c>
      <c r="E67" s="7" t="s">
        <v>140</v>
      </c>
      <c r="F67" s="7" t="s">
        <v>148</v>
      </c>
      <c r="G67" s="7" t="s">
        <v>36</v>
      </c>
      <c r="H67" s="148" t="s">
        <v>129</v>
      </c>
      <c r="I67" s="140" t="s">
        <v>153</v>
      </c>
      <c r="J67" s="15" t="s">
        <v>58</v>
      </c>
      <c r="K67" s="7" t="s">
        <v>59</v>
      </c>
      <c r="L67" s="7">
        <v>3</v>
      </c>
      <c r="N67" s="7">
        <v>5</v>
      </c>
      <c r="O67" s="7">
        <v>0.5</v>
      </c>
      <c r="P67" s="7">
        <v>0.5</v>
      </c>
      <c r="Q67" s="52">
        <f t="shared" si="4"/>
        <v>0.5</v>
      </c>
      <c r="R67" s="7">
        <v>19.100000000000001</v>
      </c>
      <c r="S67" s="7">
        <v>61</v>
      </c>
      <c r="T67" s="16">
        <f t="shared" si="3"/>
        <v>50</v>
      </c>
      <c r="U67" s="140">
        <v>138</v>
      </c>
      <c r="V67" s="16">
        <f t="shared" si="5"/>
        <v>1380</v>
      </c>
      <c r="W67" s="7">
        <v>8</v>
      </c>
      <c r="X67" s="148" t="s">
        <v>46</v>
      </c>
      <c r="Y67" s="148" t="s">
        <v>50</v>
      </c>
      <c r="Z67" s="148" t="s">
        <v>90</v>
      </c>
      <c r="AA67" s="148" t="s">
        <v>84</v>
      </c>
      <c r="AB67" s="39" t="s">
        <v>255</v>
      </c>
    </row>
    <row r="68" spans="1:28" x14ac:dyDescent="0.15">
      <c r="A68" s="15"/>
      <c r="B68" s="15"/>
      <c r="C68" s="15"/>
      <c r="D68" s="37"/>
      <c r="H68" s="15"/>
      <c r="I68" s="140"/>
      <c r="J68" s="15"/>
      <c r="Q68" s="52" t="str">
        <f t="shared" si="4"/>
        <v/>
      </c>
      <c r="T68" s="16" t="str">
        <f t="shared" si="3"/>
        <v/>
      </c>
      <c r="V68" s="16" t="str">
        <f t="shared" si="5"/>
        <v/>
      </c>
      <c r="X68" s="148"/>
      <c r="Y68" s="148"/>
      <c r="Z68" s="148"/>
      <c r="AA68" s="148"/>
      <c r="AB68" s="39"/>
    </row>
    <row r="69" spans="1:28" x14ac:dyDescent="0.15">
      <c r="A69" s="15"/>
      <c r="B69" s="15"/>
      <c r="C69" s="15"/>
      <c r="D69" s="37"/>
      <c r="H69" s="148"/>
      <c r="I69" s="140"/>
      <c r="J69" s="15"/>
      <c r="N69" s="140"/>
      <c r="Q69" s="52" t="str">
        <f t="shared" si="4"/>
        <v/>
      </c>
      <c r="T69" s="16" t="str">
        <f t="shared" si="3"/>
        <v/>
      </c>
      <c r="U69" s="140"/>
      <c r="V69" s="16" t="str">
        <f t="shared" si="5"/>
        <v/>
      </c>
      <c r="X69" s="148"/>
      <c r="Y69" s="148"/>
      <c r="Z69" s="148"/>
      <c r="AA69" s="148"/>
      <c r="AB69" s="39"/>
    </row>
    <row r="70" spans="1:28" x14ac:dyDescent="0.15">
      <c r="A70" s="15"/>
      <c r="B70" s="15"/>
      <c r="C70" s="15"/>
      <c r="D70" s="37"/>
      <c r="H70" s="148"/>
      <c r="I70" s="140"/>
      <c r="J70" s="15"/>
      <c r="N70" s="140"/>
      <c r="Q70" s="52" t="str">
        <f t="shared" si="4"/>
        <v/>
      </c>
      <c r="T70" s="16" t="str">
        <f t="shared" si="3"/>
        <v/>
      </c>
      <c r="U70" s="140"/>
      <c r="V70" s="16" t="str">
        <f t="shared" si="5"/>
        <v/>
      </c>
      <c r="X70" s="148"/>
      <c r="Y70" s="148"/>
      <c r="Z70" s="148"/>
      <c r="AA70" s="148"/>
      <c r="AB70" s="39"/>
    </row>
    <row r="71" spans="1:28" x14ac:dyDescent="0.15">
      <c r="A71" s="15"/>
      <c r="B71" s="15"/>
      <c r="C71" s="15"/>
      <c r="D71" s="37"/>
      <c r="H71" s="15"/>
      <c r="I71" s="140"/>
      <c r="J71" s="15"/>
      <c r="N71" s="140"/>
      <c r="Q71" s="52" t="str">
        <f t="shared" si="4"/>
        <v/>
      </c>
      <c r="T71" s="16" t="str">
        <f t="shared" si="3"/>
        <v/>
      </c>
      <c r="V71" s="16" t="str">
        <f>IF(OR(N71="",U71="",T71=""),"",U71/N71*T71)</f>
        <v/>
      </c>
      <c r="X71" s="15"/>
      <c r="Y71" s="15"/>
      <c r="Z71" s="15"/>
      <c r="AA71" s="15"/>
      <c r="AB71" s="39"/>
    </row>
    <row r="72" spans="1:28" x14ac:dyDescent="0.15">
      <c r="A72" s="15"/>
      <c r="B72" s="15"/>
      <c r="C72" s="15"/>
      <c r="D72" s="37"/>
      <c r="H72" s="148"/>
      <c r="I72" s="140"/>
      <c r="J72" s="148"/>
      <c r="K72" s="140"/>
      <c r="N72" s="140"/>
      <c r="Q72" s="52" t="str">
        <f t="shared" si="4"/>
        <v/>
      </c>
      <c r="T72" s="16" t="str">
        <f t="shared" si="3"/>
        <v/>
      </c>
      <c r="U72" s="140"/>
      <c r="V72" s="16" t="str">
        <f t="shared" ref="V72:V74" si="6">IF(OR(N72="",U72="",T72=""),"",U72/N72*T72)</f>
        <v/>
      </c>
      <c r="X72" s="15"/>
      <c r="Y72" s="148"/>
      <c r="Z72" s="148"/>
      <c r="AA72" s="148"/>
      <c r="AB72" s="39"/>
    </row>
    <row r="73" spans="1:28" x14ac:dyDescent="0.15">
      <c r="A73" s="15"/>
      <c r="B73" s="15"/>
      <c r="C73" s="15"/>
      <c r="D73" s="37"/>
      <c r="H73" s="148"/>
      <c r="I73" s="140"/>
      <c r="J73" s="148"/>
      <c r="K73" s="140"/>
      <c r="N73" s="140"/>
      <c r="Q73" s="52" t="str">
        <f t="shared" si="4"/>
        <v/>
      </c>
      <c r="T73" s="16" t="str">
        <f t="shared" si="3"/>
        <v/>
      </c>
      <c r="U73" s="140"/>
      <c r="V73" s="16" t="str">
        <f>IF(OR(N73="",U73="",T73=""),"",U73/N73*T73)</f>
        <v/>
      </c>
      <c r="X73" s="15"/>
      <c r="Y73" s="148"/>
      <c r="Z73" s="148"/>
      <c r="AA73" s="148"/>
      <c r="AB73" s="39"/>
    </row>
    <row r="74" spans="1:28" x14ac:dyDescent="0.15">
      <c r="A74" s="15"/>
      <c r="B74" s="15"/>
      <c r="C74" s="15"/>
      <c r="D74" s="37"/>
      <c r="H74" s="15"/>
      <c r="I74" s="140"/>
      <c r="J74" s="15"/>
      <c r="N74" s="140"/>
      <c r="Q74" s="52" t="str">
        <f t="shared" si="4"/>
        <v/>
      </c>
      <c r="T74" s="16" t="str">
        <f t="shared" si="3"/>
        <v/>
      </c>
      <c r="V74" s="16" t="str">
        <f t="shared" si="6"/>
        <v/>
      </c>
      <c r="X74" s="15"/>
      <c r="Y74" s="148"/>
      <c r="Z74" s="148"/>
      <c r="AA74" s="148"/>
      <c r="AB74" s="39"/>
    </row>
    <row r="75" spans="1:28" x14ac:dyDescent="0.15">
      <c r="A75" s="15"/>
      <c r="B75" s="15"/>
      <c r="C75" s="15"/>
      <c r="D75" s="37"/>
      <c r="H75" s="148"/>
      <c r="I75" s="140"/>
      <c r="J75" s="15"/>
      <c r="N75" s="140"/>
      <c r="Q75" s="52" t="str">
        <f t="shared" si="4"/>
        <v/>
      </c>
      <c r="T75" s="16" t="str">
        <f t="shared" si="3"/>
        <v/>
      </c>
      <c r="U75" s="140"/>
      <c r="V75" s="16" t="str">
        <f>IF(OR(N75="",U75="",T75=""),"",U75/N75*T75)</f>
        <v/>
      </c>
      <c r="X75" s="15"/>
      <c r="Y75" s="148"/>
      <c r="Z75" s="148"/>
      <c r="AA75" s="148"/>
      <c r="AB75" s="39"/>
    </row>
    <row r="76" spans="1:28" x14ac:dyDescent="0.15">
      <c r="A76" s="15"/>
      <c r="B76" s="15"/>
      <c r="C76" s="15"/>
      <c r="D76" s="37"/>
      <c r="H76" s="148"/>
      <c r="I76" s="140"/>
      <c r="J76" s="15"/>
      <c r="N76" s="140"/>
      <c r="Q76" s="52" t="str">
        <f t="shared" si="4"/>
        <v/>
      </c>
      <c r="T76" s="16" t="str">
        <f t="shared" si="3"/>
        <v/>
      </c>
      <c r="U76" s="140"/>
      <c r="V76" s="16" t="str">
        <f>IF(OR(N76="",U76="",T76=""),"",U76/N76*T76)</f>
        <v/>
      </c>
      <c r="X76" s="15"/>
      <c r="Y76" s="148"/>
      <c r="Z76" s="148"/>
      <c r="AA76" s="148"/>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4"/>
  <sheetViews>
    <sheetView topLeftCell="A28" zoomScale="70" zoomScaleNormal="70" workbookViewId="0">
      <selection activeCell="C126" sqref="C126"/>
    </sheetView>
  </sheetViews>
  <sheetFormatPr defaultColWidth="9" defaultRowHeight="13.5" x14ac:dyDescent="0.15"/>
  <cols>
    <col min="1" max="3" width="9" style="165"/>
    <col min="4" max="4" width="11" style="165" bestFit="1" customWidth="1"/>
    <col min="5" max="5" width="10.875" style="165" bestFit="1" customWidth="1"/>
    <col min="6" max="16" width="9" style="165"/>
    <col min="17" max="17" width="9" style="57"/>
    <col min="18" max="18" width="9" style="165"/>
    <col min="19" max="19" width="11.625" style="165" bestFit="1" customWidth="1"/>
    <col min="20" max="20" width="9" style="57"/>
    <col min="21" max="21" width="9" style="165"/>
    <col min="22" max="22" width="9" style="58"/>
    <col min="23" max="32" width="9" style="165"/>
    <col min="33" max="33" width="14.375" style="165" bestFit="1" customWidth="1"/>
    <col min="34" max="34" width="11.375" style="165" bestFit="1" customWidth="1"/>
    <col min="35" max="16384" width="9" style="165"/>
  </cols>
  <sheetData>
    <row r="1" spans="1:53" ht="45" x14ac:dyDescent="0.15">
      <c r="A1" s="168" t="s">
        <v>0</v>
      </c>
      <c r="B1" s="134" t="s">
        <v>1</v>
      </c>
      <c r="C1" s="134" t="s">
        <v>2</v>
      </c>
      <c r="D1" s="135" t="s">
        <v>3</v>
      </c>
      <c r="E1" s="169" t="s">
        <v>4</v>
      </c>
      <c r="F1" s="169" t="s">
        <v>5</v>
      </c>
      <c r="G1" s="169" t="s">
        <v>6</v>
      </c>
      <c r="H1" s="169" t="s">
        <v>7</v>
      </c>
      <c r="I1" s="169" t="s">
        <v>8</v>
      </c>
      <c r="J1" s="169" t="s">
        <v>9</v>
      </c>
      <c r="K1" s="169" t="s">
        <v>10</v>
      </c>
      <c r="L1" s="135" t="s">
        <v>11</v>
      </c>
      <c r="M1" s="135" t="s">
        <v>12</v>
      </c>
      <c r="N1" s="135" t="s">
        <v>13</v>
      </c>
      <c r="O1" s="135" t="s">
        <v>260</v>
      </c>
      <c r="P1" s="135" t="s">
        <v>15</v>
      </c>
      <c r="Q1" s="53" t="s">
        <v>16</v>
      </c>
      <c r="R1" s="135" t="s">
        <v>232</v>
      </c>
      <c r="S1" s="135" t="s">
        <v>235</v>
      </c>
      <c r="T1" s="53" t="s">
        <v>19</v>
      </c>
      <c r="U1" s="137" t="s">
        <v>108</v>
      </c>
      <c r="V1" s="54" t="s">
        <v>20</v>
      </c>
      <c r="W1" s="135" t="s">
        <v>21</v>
      </c>
      <c r="X1" s="169" t="s">
        <v>22</v>
      </c>
      <c r="Y1" s="169" t="s">
        <v>23</v>
      </c>
      <c r="Z1" s="169" t="s">
        <v>24</v>
      </c>
      <c r="AA1" s="169" t="s">
        <v>25</v>
      </c>
      <c r="AB1" s="170" t="s">
        <v>26</v>
      </c>
      <c r="AE1" s="141" t="s">
        <v>0</v>
      </c>
      <c r="AF1" s="142"/>
      <c r="AG1" s="141" t="s">
        <v>4</v>
      </c>
      <c r="AH1" s="141" t="s">
        <v>5</v>
      </c>
      <c r="AI1" s="142"/>
      <c r="AJ1" s="141" t="s">
        <v>6</v>
      </c>
      <c r="AK1" s="142"/>
      <c r="AL1" s="143" t="s">
        <v>7</v>
      </c>
      <c r="AM1" s="142"/>
      <c r="AN1" s="143" t="s">
        <v>8</v>
      </c>
      <c r="AO1" s="142"/>
      <c r="AP1" s="143" t="s">
        <v>27</v>
      </c>
      <c r="AQ1" s="142"/>
      <c r="AR1" s="143" t="s">
        <v>10</v>
      </c>
      <c r="AS1" s="142"/>
      <c r="AT1" s="144" t="s">
        <v>28</v>
      </c>
      <c r="AU1" s="142"/>
      <c r="AV1" s="143" t="s">
        <v>29</v>
      </c>
      <c r="AX1" s="145" t="s">
        <v>30</v>
      </c>
      <c r="AY1" s="146" t="s">
        <v>31</v>
      </c>
      <c r="AZ1" s="146" t="s">
        <v>32</v>
      </c>
      <c r="BA1" s="147" t="s">
        <v>236</v>
      </c>
    </row>
    <row r="2" spans="1:53" s="55" customFormat="1" x14ac:dyDescent="0.15">
      <c r="A2" s="55" t="s">
        <v>41</v>
      </c>
      <c r="B2" s="165" t="s">
        <v>253</v>
      </c>
      <c r="C2" s="133">
        <v>2018</v>
      </c>
      <c r="D2" s="56" t="s">
        <v>261</v>
      </c>
      <c r="E2" s="165" t="s">
        <v>133</v>
      </c>
      <c r="F2" s="165" t="s">
        <v>244</v>
      </c>
      <c r="G2" s="55" t="s">
        <v>42</v>
      </c>
      <c r="H2" s="55" t="s">
        <v>155</v>
      </c>
      <c r="I2" s="55" t="s">
        <v>153</v>
      </c>
      <c r="J2" s="55" t="s">
        <v>38</v>
      </c>
      <c r="K2" s="55" t="s">
        <v>154</v>
      </c>
      <c r="L2" s="165">
        <v>1</v>
      </c>
      <c r="M2" s="165"/>
      <c r="N2" s="55">
        <v>1</v>
      </c>
      <c r="O2" s="165">
        <v>0.5</v>
      </c>
      <c r="P2" s="165">
        <v>0.5</v>
      </c>
      <c r="Q2" s="176">
        <f t="shared" ref="Q2:Q65" si="0">IF(OR(O2="",P2=""),"",AVERAGE(O2,P2))</f>
        <v>0.5</v>
      </c>
      <c r="R2" s="165">
        <v>15.7</v>
      </c>
      <c r="S2" s="55">
        <v>148</v>
      </c>
      <c r="T2" s="57">
        <f t="shared" ref="T2:T10" si="1">IF(H2="","",IF(OR(H2="GREEN",H2="GK"),IF(S2&gt;=$AX$2,VLOOKUP(S2,$AX$2:$AY$10,2,1),""),IF(S2&gt;=$AZ$2,VLOOKUP(S2,$AZ$2:$BA$10,2,1),"")))</f>
        <v>22</v>
      </c>
      <c r="U2" s="165">
        <v>105</v>
      </c>
      <c r="V2" s="58">
        <f t="shared" ref="V2:V65" si="2">IF(OR(N2="",U2="",T2=""),"",U2/N2*T2)</f>
        <v>2310</v>
      </c>
      <c r="W2" s="165">
        <v>4</v>
      </c>
      <c r="X2" s="55" t="s">
        <v>46</v>
      </c>
      <c r="Y2" s="55" t="s">
        <v>84</v>
      </c>
      <c r="Z2" s="55" t="s">
        <v>55</v>
      </c>
      <c r="AA2" s="55" t="s">
        <v>90</v>
      </c>
      <c r="AB2" s="55" t="s">
        <v>255</v>
      </c>
      <c r="AE2" s="150" t="s">
        <v>35</v>
      </c>
      <c r="AG2" s="59" t="s">
        <v>133</v>
      </c>
      <c r="AH2" s="60" t="s">
        <v>244</v>
      </c>
      <c r="AJ2" s="171" t="s">
        <v>36</v>
      </c>
      <c r="AL2" s="171" t="s">
        <v>127</v>
      </c>
      <c r="AN2" s="171" t="s">
        <v>37</v>
      </c>
      <c r="AP2" s="171" t="s">
        <v>38</v>
      </c>
      <c r="AR2" s="171" t="s">
        <v>157</v>
      </c>
      <c r="AT2" s="171" t="s">
        <v>39</v>
      </c>
      <c r="AV2" s="171" t="s">
        <v>40</v>
      </c>
      <c r="AX2" s="61">
        <v>1</v>
      </c>
      <c r="AY2" s="62">
        <v>50</v>
      </c>
      <c r="AZ2" s="62">
        <v>1</v>
      </c>
      <c r="BA2" s="63">
        <v>50</v>
      </c>
    </row>
    <row r="3" spans="1:53" x14ac:dyDescent="0.15">
      <c r="A3" s="55" t="s">
        <v>41</v>
      </c>
      <c r="B3" s="165" t="s">
        <v>253</v>
      </c>
      <c r="C3" s="133">
        <v>2018</v>
      </c>
      <c r="D3" s="56" t="s">
        <v>261</v>
      </c>
      <c r="E3" s="165" t="s">
        <v>133</v>
      </c>
      <c r="F3" s="165" t="s">
        <v>244</v>
      </c>
      <c r="G3" s="55" t="s">
        <v>42</v>
      </c>
      <c r="H3" s="55" t="s">
        <v>155</v>
      </c>
      <c r="I3" s="55" t="s">
        <v>153</v>
      </c>
      <c r="J3" s="55" t="s">
        <v>38</v>
      </c>
      <c r="K3" s="55" t="s">
        <v>154</v>
      </c>
      <c r="L3" s="165">
        <v>2</v>
      </c>
      <c r="N3" s="55">
        <v>1</v>
      </c>
      <c r="O3" s="165">
        <v>0.4</v>
      </c>
      <c r="P3" s="165">
        <v>0.35</v>
      </c>
      <c r="Q3" s="176">
        <f t="shared" si="0"/>
        <v>0.375</v>
      </c>
      <c r="R3" s="165">
        <v>16.100000000000001</v>
      </c>
      <c r="S3" s="55">
        <v>147</v>
      </c>
      <c r="T3" s="57">
        <f t="shared" si="1"/>
        <v>22</v>
      </c>
      <c r="U3" s="165">
        <v>105</v>
      </c>
      <c r="V3" s="58">
        <f t="shared" si="2"/>
        <v>2310</v>
      </c>
      <c r="W3" s="165">
        <v>4</v>
      </c>
      <c r="X3" s="55" t="s">
        <v>46</v>
      </c>
      <c r="Y3" s="55" t="s">
        <v>84</v>
      </c>
      <c r="Z3" s="55" t="s">
        <v>55</v>
      </c>
      <c r="AA3" s="55" t="s">
        <v>90</v>
      </c>
      <c r="AB3" s="55" t="s">
        <v>255</v>
      </c>
      <c r="AE3" s="155" t="s">
        <v>41</v>
      </c>
      <c r="AG3" s="64" t="s">
        <v>239</v>
      </c>
      <c r="AH3" s="64" t="s">
        <v>244</v>
      </c>
      <c r="AJ3" s="65" t="s">
        <v>42</v>
      </c>
      <c r="AL3" s="65" t="s">
        <v>128</v>
      </c>
      <c r="AN3" s="65" t="s">
        <v>43</v>
      </c>
      <c r="AP3" s="65" t="s">
        <v>44</v>
      </c>
      <c r="AR3" s="163" t="s">
        <v>45</v>
      </c>
      <c r="AT3" s="65" t="s">
        <v>46</v>
      </c>
      <c r="AV3" s="65" t="s">
        <v>47</v>
      </c>
      <c r="AX3" s="66">
        <v>72</v>
      </c>
      <c r="AY3" s="67">
        <v>46</v>
      </c>
      <c r="AZ3" s="67">
        <v>71</v>
      </c>
      <c r="BA3" s="68">
        <v>42</v>
      </c>
    </row>
    <row r="4" spans="1:53" x14ac:dyDescent="0.15">
      <c r="A4" s="55" t="s">
        <v>41</v>
      </c>
      <c r="B4" s="165" t="s">
        <v>253</v>
      </c>
      <c r="C4" s="133">
        <v>2018</v>
      </c>
      <c r="D4" s="56" t="s">
        <v>262</v>
      </c>
      <c r="E4" s="165" t="s">
        <v>133</v>
      </c>
      <c r="F4" s="165" t="s">
        <v>244</v>
      </c>
      <c r="G4" s="55" t="s">
        <v>42</v>
      </c>
      <c r="H4" s="55" t="s">
        <v>155</v>
      </c>
      <c r="I4" s="55" t="s">
        <v>153</v>
      </c>
      <c r="J4" s="55" t="s">
        <v>38</v>
      </c>
      <c r="K4" s="55" t="s">
        <v>154</v>
      </c>
      <c r="L4" s="165">
        <v>3</v>
      </c>
      <c r="N4" s="55">
        <v>1</v>
      </c>
      <c r="O4" s="165">
        <v>0.65</v>
      </c>
      <c r="P4" s="165">
        <v>0.5</v>
      </c>
      <c r="Q4" s="176">
        <f t="shared" si="0"/>
        <v>0.57499999999999996</v>
      </c>
      <c r="R4" s="165">
        <v>14.8</v>
      </c>
      <c r="S4" s="55">
        <v>150</v>
      </c>
      <c r="T4" s="57">
        <f t="shared" si="1"/>
        <v>22</v>
      </c>
      <c r="U4" s="165">
        <v>105</v>
      </c>
      <c r="V4" s="58">
        <f t="shared" si="2"/>
        <v>2310</v>
      </c>
      <c r="W4" s="165">
        <v>4</v>
      </c>
      <c r="X4" s="55" t="s">
        <v>46</v>
      </c>
      <c r="Y4" s="55" t="s">
        <v>84</v>
      </c>
      <c r="Z4" s="55" t="s">
        <v>55</v>
      </c>
      <c r="AA4" s="55" t="s">
        <v>90</v>
      </c>
      <c r="AB4" s="55" t="s">
        <v>255</v>
      </c>
      <c r="AE4" s="155" t="s">
        <v>34</v>
      </c>
      <c r="AG4" s="64" t="s">
        <v>239</v>
      </c>
      <c r="AH4" s="64" t="s">
        <v>245</v>
      </c>
      <c r="AJ4" s="69" t="s">
        <v>48</v>
      </c>
      <c r="AL4" s="69" t="s">
        <v>129</v>
      </c>
      <c r="AN4" s="172" t="s">
        <v>49</v>
      </c>
      <c r="AP4" s="65" t="s">
        <v>237</v>
      </c>
      <c r="AR4" s="163" t="s">
        <v>121</v>
      </c>
      <c r="AT4" s="172"/>
      <c r="AV4" s="65" t="s">
        <v>50</v>
      </c>
      <c r="AX4" s="66">
        <v>75</v>
      </c>
      <c r="AY4" s="67">
        <v>42</v>
      </c>
      <c r="AZ4" s="67">
        <v>76</v>
      </c>
      <c r="BA4" s="68">
        <v>39</v>
      </c>
    </row>
    <row r="5" spans="1:53" s="55" customFormat="1" ht="13.5" customHeight="1" x14ac:dyDescent="0.15">
      <c r="A5" s="55" t="s">
        <v>41</v>
      </c>
      <c r="B5" s="165" t="s">
        <v>253</v>
      </c>
      <c r="C5" s="133">
        <v>2018</v>
      </c>
      <c r="D5" s="56" t="s">
        <v>262</v>
      </c>
      <c r="E5" s="165" t="s">
        <v>133</v>
      </c>
      <c r="F5" s="165" t="s">
        <v>244</v>
      </c>
      <c r="G5" s="55" t="s">
        <v>42</v>
      </c>
      <c r="H5" s="55" t="s">
        <v>155</v>
      </c>
      <c r="I5" s="55" t="s">
        <v>153</v>
      </c>
      <c r="J5" s="55" t="s">
        <v>38</v>
      </c>
      <c r="K5" s="55" t="s">
        <v>154</v>
      </c>
      <c r="L5" s="165">
        <v>1</v>
      </c>
      <c r="N5" s="55">
        <v>9</v>
      </c>
      <c r="O5" s="55">
        <v>0.85</v>
      </c>
      <c r="P5" s="55">
        <v>0.95</v>
      </c>
      <c r="Q5" s="57">
        <f t="shared" si="0"/>
        <v>0.89999999999999991</v>
      </c>
      <c r="R5" s="55">
        <v>16.899999999999999</v>
      </c>
      <c r="S5" s="165">
        <v>138</v>
      </c>
      <c r="T5" s="77">
        <f t="shared" si="1"/>
        <v>22</v>
      </c>
      <c r="U5" s="55">
        <v>753</v>
      </c>
      <c r="V5" s="78">
        <f t="shared" si="2"/>
        <v>1840.6666666666667</v>
      </c>
      <c r="W5" s="55">
        <v>5</v>
      </c>
      <c r="X5" s="55" t="s">
        <v>46</v>
      </c>
      <c r="Y5" s="55" t="s">
        <v>84</v>
      </c>
      <c r="Z5" s="55" t="s">
        <v>55</v>
      </c>
      <c r="AA5" s="55" t="s">
        <v>90</v>
      </c>
      <c r="AB5" s="55" t="s">
        <v>255</v>
      </c>
      <c r="AC5" s="165"/>
      <c r="AD5" s="165"/>
      <c r="AE5" s="70" t="s">
        <v>263</v>
      </c>
      <c r="AG5" s="64" t="s">
        <v>240</v>
      </c>
      <c r="AH5" s="64" t="s">
        <v>244</v>
      </c>
      <c r="AJ5" s="71"/>
      <c r="AL5" s="72" t="s">
        <v>264</v>
      </c>
      <c r="AN5" s="72" t="s">
        <v>265</v>
      </c>
      <c r="AP5" s="163" t="s">
        <v>266</v>
      </c>
      <c r="AR5" s="163" t="s">
        <v>54</v>
      </c>
      <c r="AV5" s="163" t="s">
        <v>55</v>
      </c>
      <c r="AX5" s="73">
        <v>84</v>
      </c>
      <c r="AY5" s="74">
        <v>39</v>
      </c>
      <c r="AZ5" s="74">
        <v>84</v>
      </c>
      <c r="BA5" s="75">
        <v>36</v>
      </c>
    </row>
    <row r="6" spans="1:53" x14ac:dyDescent="0.15">
      <c r="A6" s="55" t="s">
        <v>41</v>
      </c>
      <c r="B6" s="165" t="s">
        <v>253</v>
      </c>
      <c r="C6" s="133">
        <v>2018</v>
      </c>
      <c r="D6" s="56" t="s">
        <v>262</v>
      </c>
      <c r="E6" s="165" t="s">
        <v>133</v>
      </c>
      <c r="F6" s="165" t="s">
        <v>244</v>
      </c>
      <c r="G6" s="55" t="s">
        <v>42</v>
      </c>
      <c r="H6" s="55" t="s">
        <v>155</v>
      </c>
      <c r="I6" s="55" t="s">
        <v>153</v>
      </c>
      <c r="J6" s="55" t="s">
        <v>38</v>
      </c>
      <c r="K6" s="55" t="s">
        <v>154</v>
      </c>
      <c r="L6" s="165">
        <v>2</v>
      </c>
      <c r="N6" s="55">
        <v>9</v>
      </c>
      <c r="O6" s="55">
        <v>1.1000000000000001</v>
      </c>
      <c r="P6" s="55">
        <v>1</v>
      </c>
      <c r="Q6" s="57">
        <f t="shared" si="0"/>
        <v>1.05</v>
      </c>
      <c r="R6" s="55">
        <v>14.5</v>
      </c>
      <c r="S6" s="165">
        <v>134</v>
      </c>
      <c r="T6" s="77">
        <f t="shared" si="1"/>
        <v>25</v>
      </c>
      <c r="U6" s="55">
        <v>753</v>
      </c>
      <c r="V6" s="78">
        <f t="shared" si="2"/>
        <v>2091.666666666667</v>
      </c>
      <c r="W6" s="55">
        <v>5</v>
      </c>
      <c r="X6" s="55" t="s">
        <v>46</v>
      </c>
      <c r="Y6" s="55" t="s">
        <v>84</v>
      </c>
      <c r="Z6" s="55" t="s">
        <v>55</v>
      </c>
      <c r="AA6" s="55" t="s">
        <v>90</v>
      </c>
      <c r="AB6" s="55" t="s">
        <v>255</v>
      </c>
      <c r="AE6" s="155" t="s">
        <v>56</v>
      </c>
      <c r="AG6" s="64" t="s">
        <v>240</v>
      </c>
      <c r="AH6" s="64" t="s">
        <v>246</v>
      </c>
      <c r="AL6" s="72" t="s">
        <v>267</v>
      </c>
      <c r="AN6" s="72" t="s">
        <v>268</v>
      </c>
      <c r="AP6" s="65" t="s">
        <v>53</v>
      </c>
      <c r="AR6" s="163" t="s">
        <v>59</v>
      </c>
      <c r="AV6" s="65" t="s">
        <v>60</v>
      </c>
      <c r="AX6" s="66">
        <v>97</v>
      </c>
      <c r="AY6" s="67">
        <v>36</v>
      </c>
      <c r="AZ6" s="67">
        <v>99</v>
      </c>
      <c r="BA6" s="68">
        <v>33</v>
      </c>
    </row>
    <row r="7" spans="1:53" x14ac:dyDescent="0.15">
      <c r="A7" s="55" t="s">
        <v>41</v>
      </c>
      <c r="B7" s="165" t="s">
        <v>253</v>
      </c>
      <c r="C7" s="133">
        <v>2018</v>
      </c>
      <c r="D7" s="56" t="s">
        <v>262</v>
      </c>
      <c r="E7" s="165" t="s">
        <v>133</v>
      </c>
      <c r="F7" s="165" t="s">
        <v>244</v>
      </c>
      <c r="G7" s="55" t="s">
        <v>42</v>
      </c>
      <c r="H7" s="55" t="s">
        <v>155</v>
      </c>
      <c r="I7" s="55" t="s">
        <v>153</v>
      </c>
      <c r="J7" s="55" t="s">
        <v>38</v>
      </c>
      <c r="K7" s="55" t="s">
        <v>154</v>
      </c>
      <c r="L7" s="165">
        <v>3</v>
      </c>
      <c r="N7" s="55">
        <v>9</v>
      </c>
      <c r="O7" s="55">
        <v>1</v>
      </c>
      <c r="P7" s="55">
        <v>1.05</v>
      </c>
      <c r="Q7" s="57">
        <f t="shared" si="0"/>
        <v>1.0249999999999999</v>
      </c>
      <c r="R7" s="55">
        <v>15.4</v>
      </c>
      <c r="S7" s="165">
        <v>138</v>
      </c>
      <c r="T7" s="77">
        <f t="shared" si="1"/>
        <v>22</v>
      </c>
      <c r="U7" s="55">
        <v>753</v>
      </c>
      <c r="V7" s="78">
        <f t="shared" si="2"/>
        <v>1840.6666666666667</v>
      </c>
      <c r="W7" s="165">
        <v>5</v>
      </c>
      <c r="X7" s="55" t="s">
        <v>46</v>
      </c>
      <c r="Y7" s="55" t="s">
        <v>84</v>
      </c>
      <c r="Z7" s="55" t="s">
        <v>55</v>
      </c>
      <c r="AA7" s="55" t="s">
        <v>90</v>
      </c>
      <c r="AB7" s="55" t="s">
        <v>255</v>
      </c>
      <c r="AE7" s="155" t="s">
        <v>61</v>
      </c>
      <c r="AG7" s="64" t="s">
        <v>241</v>
      </c>
      <c r="AH7" s="64" t="s">
        <v>246</v>
      </c>
      <c r="AL7" s="76" t="s">
        <v>269</v>
      </c>
      <c r="AP7" s="65" t="s">
        <v>58</v>
      </c>
      <c r="AR7" s="163" t="s">
        <v>122</v>
      </c>
      <c r="AV7" s="65" t="s">
        <v>64</v>
      </c>
      <c r="AX7" s="66">
        <v>109</v>
      </c>
      <c r="AY7" s="67">
        <v>33</v>
      </c>
      <c r="AZ7" s="67">
        <v>113</v>
      </c>
      <c r="BA7" s="68">
        <v>30</v>
      </c>
    </row>
    <row r="8" spans="1:53" x14ac:dyDescent="0.15">
      <c r="A8" s="55" t="s">
        <v>41</v>
      </c>
      <c r="B8" s="165" t="s">
        <v>253</v>
      </c>
      <c r="C8" s="133">
        <v>2018</v>
      </c>
      <c r="D8" s="56" t="s">
        <v>262</v>
      </c>
      <c r="E8" s="165" t="s">
        <v>133</v>
      </c>
      <c r="F8" s="165" t="s">
        <v>244</v>
      </c>
      <c r="G8" s="55" t="s">
        <v>42</v>
      </c>
      <c r="H8" s="55" t="s">
        <v>158</v>
      </c>
      <c r="I8" s="55" t="s">
        <v>153</v>
      </c>
      <c r="J8" s="55" t="s">
        <v>38</v>
      </c>
      <c r="K8" s="55" t="s">
        <v>154</v>
      </c>
      <c r="L8" s="165">
        <v>1</v>
      </c>
      <c r="M8" s="55"/>
      <c r="N8" s="55">
        <v>1</v>
      </c>
      <c r="O8" s="55">
        <v>0.8</v>
      </c>
      <c r="P8" s="55">
        <v>0.7</v>
      </c>
      <c r="Q8" s="57">
        <f t="shared" si="0"/>
        <v>0.75</v>
      </c>
      <c r="R8" s="55">
        <v>14</v>
      </c>
      <c r="S8" s="55">
        <v>145</v>
      </c>
      <c r="T8" s="77">
        <f t="shared" si="1"/>
        <v>22</v>
      </c>
      <c r="U8" s="55">
        <v>149</v>
      </c>
      <c r="V8" s="78">
        <f t="shared" si="2"/>
        <v>3278</v>
      </c>
      <c r="W8" s="55">
        <v>1</v>
      </c>
      <c r="X8" s="55" t="s">
        <v>46</v>
      </c>
      <c r="Y8" s="55" t="s">
        <v>84</v>
      </c>
      <c r="Z8" s="55" t="s">
        <v>55</v>
      </c>
      <c r="AA8" s="55" t="s">
        <v>90</v>
      </c>
      <c r="AB8" s="55" t="s">
        <v>255</v>
      </c>
      <c r="AC8" s="55"/>
      <c r="AD8" s="55"/>
      <c r="AE8" s="155" t="s">
        <v>59</v>
      </c>
      <c r="AG8" s="64" t="s">
        <v>242</v>
      </c>
      <c r="AH8" s="64" t="s">
        <v>247</v>
      </c>
      <c r="AL8" s="76" t="s">
        <v>270</v>
      </c>
      <c r="AP8" s="65" t="s">
        <v>62</v>
      </c>
      <c r="AR8" s="163" t="s">
        <v>81</v>
      </c>
      <c r="AV8" s="65" t="s">
        <v>97</v>
      </c>
      <c r="AX8" s="66">
        <v>119</v>
      </c>
      <c r="AY8" s="67">
        <v>30</v>
      </c>
      <c r="AZ8" s="67">
        <v>121</v>
      </c>
      <c r="BA8" s="68">
        <v>27</v>
      </c>
    </row>
    <row r="9" spans="1:53" x14ac:dyDescent="0.15">
      <c r="A9" s="55" t="s">
        <v>41</v>
      </c>
      <c r="B9" s="165" t="s">
        <v>253</v>
      </c>
      <c r="C9" s="133">
        <v>2018</v>
      </c>
      <c r="D9" s="56" t="s">
        <v>262</v>
      </c>
      <c r="E9" s="165" t="s">
        <v>133</v>
      </c>
      <c r="F9" s="165" t="s">
        <v>244</v>
      </c>
      <c r="G9" s="55" t="s">
        <v>42</v>
      </c>
      <c r="H9" s="55" t="s">
        <v>158</v>
      </c>
      <c r="I9" s="55" t="s">
        <v>153</v>
      </c>
      <c r="J9" s="55" t="s">
        <v>38</v>
      </c>
      <c r="K9" s="55" t="s">
        <v>154</v>
      </c>
      <c r="L9" s="165">
        <v>2</v>
      </c>
      <c r="N9" s="55">
        <v>1</v>
      </c>
      <c r="O9" s="55">
        <v>0.4</v>
      </c>
      <c r="P9" s="55">
        <v>0.5</v>
      </c>
      <c r="Q9" s="57">
        <f t="shared" si="0"/>
        <v>0.45</v>
      </c>
      <c r="R9" s="55">
        <v>13.7</v>
      </c>
      <c r="S9" s="55">
        <v>151</v>
      </c>
      <c r="T9" s="77">
        <f t="shared" si="1"/>
        <v>22</v>
      </c>
      <c r="U9" s="55">
        <v>149</v>
      </c>
      <c r="V9" s="58">
        <f t="shared" si="2"/>
        <v>3278</v>
      </c>
      <c r="W9" s="165">
        <v>1</v>
      </c>
      <c r="X9" s="55" t="s">
        <v>46</v>
      </c>
      <c r="Y9" s="55" t="s">
        <v>84</v>
      </c>
      <c r="Z9" s="55" t="s">
        <v>55</v>
      </c>
      <c r="AA9" s="55" t="s">
        <v>90</v>
      </c>
      <c r="AB9" s="55" t="s">
        <v>255</v>
      </c>
      <c r="AE9" s="155" t="s">
        <v>98</v>
      </c>
      <c r="AG9" s="64" t="s">
        <v>242</v>
      </c>
      <c r="AH9" s="64" t="s">
        <v>248</v>
      </c>
      <c r="AL9" s="72"/>
      <c r="AP9" s="65" t="s">
        <v>95</v>
      </c>
      <c r="AR9" s="163" t="s">
        <v>89</v>
      </c>
      <c r="AV9" s="65" t="s">
        <v>102</v>
      </c>
      <c r="AX9" s="66">
        <v>128</v>
      </c>
      <c r="AY9" s="67">
        <v>27</v>
      </c>
      <c r="AZ9" s="67">
        <v>129</v>
      </c>
      <c r="BA9" s="68">
        <v>25</v>
      </c>
    </row>
    <row r="10" spans="1:53" x14ac:dyDescent="0.15">
      <c r="A10" s="55" t="s">
        <v>41</v>
      </c>
      <c r="B10" s="165" t="s">
        <v>253</v>
      </c>
      <c r="C10" s="133">
        <v>2018</v>
      </c>
      <c r="D10" s="56" t="s">
        <v>262</v>
      </c>
      <c r="E10" s="165" t="s">
        <v>133</v>
      </c>
      <c r="F10" s="165" t="s">
        <v>244</v>
      </c>
      <c r="G10" s="55" t="s">
        <v>42</v>
      </c>
      <c r="H10" s="55" t="s">
        <v>158</v>
      </c>
      <c r="I10" s="55" t="s">
        <v>153</v>
      </c>
      <c r="J10" s="55" t="s">
        <v>38</v>
      </c>
      <c r="K10" s="55" t="s">
        <v>154</v>
      </c>
      <c r="L10" s="165">
        <v>3</v>
      </c>
      <c r="N10" s="55">
        <v>1</v>
      </c>
      <c r="O10" s="55">
        <v>0.6</v>
      </c>
      <c r="P10" s="55">
        <v>0.85</v>
      </c>
      <c r="Q10" s="57">
        <f t="shared" si="0"/>
        <v>0.72499999999999998</v>
      </c>
      <c r="R10" s="55">
        <v>14.5</v>
      </c>
      <c r="S10" s="55">
        <v>150</v>
      </c>
      <c r="T10" s="77">
        <f t="shared" si="1"/>
        <v>22</v>
      </c>
      <c r="U10" s="55">
        <v>149</v>
      </c>
      <c r="V10" s="58">
        <f t="shared" si="2"/>
        <v>3278</v>
      </c>
      <c r="W10" s="165">
        <v>1</v>
      </c>
      <c r="X10" s="55" t="s">
        <v>46</v>
      </c>
      <c r="Y10" s="55" t="s">
        <v>84</v>
      </c>
      <c r="Z10" s="55" t="s">
        <v>55</v>
      </c>
      <c r="AA10" s="55" t="s">
        <v>90</v>
      </c>
      <c r="AB10" s="55" t="s">
        <v>255</v>
      </c>
      <c r="AE10" s="155" t="s">
        <v>103</v>
      </c>
      <c r="AG10" s="64" t="s">
        <v>243</v>
      </c>
      <c r="AH10" s="64" t="s">
        <v>249</v>
      </c>
      <c r="AL10" s="76"/>
      <c r="AP10" s="65" t="s">
        <v>100</v>
      </c>
      <c r="AR10" s="163" t="s">
        <v>123</v>
      </c>
      <c r="AV10" s="65" t="s">
        <v>106</v>
      </c>
      <c r="AX10" s="66">
        <v>138</v>
      </c>
      <c r="AY10" s="67">
        <v>25</v>
      </c>
      <c r="AZ10" s="67">
        <v>138</v>
      </c>
      <c r="BA10" s="68">
        <v>22</v>
      </c>
    </row>
    <row r="11" spans="1:53" x14ac:dyDescent="0.15">
      <c r="A11" s="55" t="s">
        <v>41</v>
      </c>
      <c r="B11" s="165" t="s">
        <v>253</v>
      </c>
      <c r="C11" s="133">
        <v>2018</v>
      </c>
      <c r="D11" s="56" t="s">
        <v>262</v>
      </c>
      <c r="E11" s="165" t="s">
        <v>133</v>
      </c>
      <c r="F11" s="55" t="s">
        <v>244</v>
      </c>
      <c r="G11" s="55" t="s">
        <v>42</v>
      </c>
      <c r="H11" s="55" t="s">
        <v>158</v>
      </c>
      <c r="I11" s="55" t="s">
        <v>153</v>
      </c>
      <c r="J11" s="55" t="s">
        <v>38</v>
      </c>
      <c r="K11" s="55" t="s">
        <v>154</v>
      </c>
      <c r="L11" s="165">
        <v>1</v>
      </c>
      <c r="N11" s="55">
        <v>8</v>
      </c>
      <c r="O11" s="55">
        <v>0.35</v>
      </c>
      <c r="P11" s="55">
        <v>0.45</v>
      </c>
      <c r="Q11" s="57">
        <f t="shared" si="0"/>
        <v>0.4</v>
      </c>
      <c r="R11" s="55">
        <v>16.8</v>
      </c>
      <c r="S11" s="55">
        <v>140</v>
      </c>
      <c r="T11" s="77">
        <f t="shared" ref="T11:T22" si="3">IF(H11="","",IF(OR(H11="GREEN",H11="GK"),IF(S11&gt;=$AX$2,VLOOKUP(S11,$AX$2:$AY$12,2,1),""),IF(S11&gt;=$AZ$2,VLOOKUP(S11,$AZ$2:$BA$12,2,1),"")))</f>
        <v>22</v>
      </c>
      <c r="U11" s="55">
        <v>1080</v>
      </c>
      <c r="V11" s="58">
        <f t="shared" si="2"/>
        <v>2970</v>
      </c>
      <c r="W11" s="165">
        <v>4</v>
      </c>
      <c r="X11" s="55" t="s">
        <v>46</v>
      </c>
      <c r="Y11" s="55" t="s">
        <v>84</v>
      </c>
      <c r="Z11" s="55" t="s">
        <v>55</v>
      </c>
      <c r="AA11" s="55" t="s">
        <v>90</v>
      </c>
      <c r="AB11" s="55" t="s">
        <v>255</v>
      </c>
      <c r="AE11" s="155" t="s">
        <v>65</v>
      </c>
      <c r="AG11" s="64" t="s">
        <v>161</v>
      </c>
      <c r="AH11" s="64" t="s">
        <v>250</v>
      </c>
      <c r="AL11" s="76"/>
      <c r="AP11" s="65" t="s">
        <v>104</v>
      </c>
      <c r="AR11" s="163" t="s">
        <v>87</v>
      </c>
      <c r="AV11" s="65" t="s">
        <v>69</v>
      </c>
      <c r="AX11" s="66">
        <v>151</v>
      </c>
      <c r="AY11" s="67">
        <v>22</v>
      </c>
      <c r="AZ11" s="67">
        <v>152</v>
      </c>
      <c r="BA11" s="68">
        <v>18</v>
      </c>
    </row>
    <row r="12" spans="1:53" x14ac:dyDescent="0.15">
      <c r="A12" s="55" t="s">
        <v>41</v>
      </c>
      <c r="B12" s="165" t="s">
        <v>253</v>
      </c>
      <c r="C12" s="133">
        <v>2018</v>
      </c>
      <c r="D12" s="56" t="s">
        <v>262</v>
      </c>
      <c r="E12" s="165" t="s">
        <v>133</v>
      </c>
      <c r="F12" s="55" t="s">
        <v>244</v>
      </c>
      <c r="G12" s="55" t="s">
        <v>42</v>
      </c>
      <c r="H12" s="55" t="s">
        <v>158</v>
      </c>
      <c r="I12" s="55" t="s">
        <v>153</v>
      </c>
      <c r="J12" s="55" t="s">
        <v>38</v>
      </c>
      <c r="K12" s="55" t="s">
        <v>154</v>
      </c>
      <c r="L12" s="165">
        <v>2</v>
      </c>
      <c r="N12" s="55">
        <v>8</v>
      </c>
      <c r="O12" s="55">
        <v>0.45</v>
      </c>
      <c r="P12" s="55">
        <v>0.4</v>
      </c>
      <c r="Q12" s="57">
        <f t="shared" si="0"/>
        <v>0.42500000000000004</v>
      </c>
      <c r="R12" s="55">
        <v>17.399999999999999</v>
      </c>
      <c r="S12" s="55">
        <v>144</v>
      </c>
      <c r="T12" s="77">
        <f t="shared" si="3"/>
        <v>22</v>
      </c>
      <c r="U12" s="55">
        <v>1080</v>
      </c>
      <c r="V12" s="58">
        <f t="shared" si="2"/>
        <v>2970</v>
      </c>
      <c r="W12" s="165">
        <v>4</v>
      </c>
      <c r="X12" s="55" t="s">
        <v>46</v>
      </c>
      <c r="Y12" s="55" t="s">
        <v>84</v>
      </c>
      <c r="Z12" s="55" t="s">
        <v>55</v>
      </c>
      <c r="AA12" s="55" t="s">
        <v>90</v>
      </c>
      <c r="AB12" s="55" t="s">
        <v>255</v>
      </c>
      <c r="AE12" s="155" t="s">
        <v>70</v>
      </c>
      <c r="AG12" s="70"/>
      <c r="AH12" s="70"/>
      <c r="AL12" s="76"/>
      <c r="AP12" s="65" t="s">
        <v>67</v>
      </c>
      <c r="AR12" s="163" t="s">
        <v>124</v>
      </c>
      <c r="AV12" s="65" t="s">
        <v>72</v>
      </c>
      <c r="AX12" s="79">
        <v>180</v>
      </c>
      <c r="AY12" s="80">
        <v>18</v>
      </c>
      <c r="AZ12" s="80">
        <v>181</v>
      </c>
      <c r="BA12" s="81">
        <v>16</v>
      </c>
    </row>
    <row r="13" spans="1:53" x14ac:dyDescent="0.15">
      <c r="A13" s="55" t="s">
        <v>41</v>
      </c>
      <c r="B13" s="165" t="s">
        <v>253</v>
      </c>
      <c r="C13" s="133">
        <v>2018</v>
      </c>
      <c r="D13" s="56" t="s">
        <v>262</v>
      </c>
      <c r="E13" s="165" t="s">
        <v>133</v>
      </c>
      <c r="F13" s="55" t="s">
        <v>244</v>
      </c>
      <c r="G13" s="55" t="s">
        <v>42</v>
      </c>
      <c r="H13" s="55" t="s">
        <v>158</v>
      </c>
      <c r="I13" s="55" t="s">
        <v>153</v>
      </c>
      <c r="J13" s="55" t="s">
        <v>38</v>
      </c>
      <c r="K13" s="55" t="s">
        <v>154</v>
      </c>
      <c r="L13" s="165">
        <v>3</v>
      </c>
      <c r="N13" s="55">
        <v>8</v>
      </c>
      <c r="O13" s="165">
        <v>0.5</v>
      </c>
      <c r="P13" s="165">
        <v>0.55000000000000004</v>
      </c>
      <c r="Q13" s="57">
        <f t="shared" si="0"/>
        <v>0.52500000000000002</v>
      </c>
      <c r="R13" s="55">
        <v>15.8</v>
      </c>
      <c r="S13" s="165">
        <v>140</v>
      </c>
      <c r="T13" s="77">
        <f t="shared" si="3"/>
        <v>22</v>
      </c>
      <c r="U13" s="55">
        <v>1080</v>
      </c>
      <c r="V13" s="58">
        <f t="shared" si="2"/>
        <v>2970</v>
      </c>
      <c r="W13" s="165">
        <v>4</v>
      </c>
      <c r="X13" s="55" t="s">
        <v>46</v>
      </c>
      <c r="Y13" s="55" t="s">
        <v>84</v>
      </c>
      <c r="Z13" s="55" t="s">
        <v>55</v>
      </c>
      <c r="AA13" s="55" t="s">
        <v>90</v>
      </c>
      <c r="AB13" s="55" t="s">
        <v>255</v>
      </c>
      <c r="AE13" s="155" t="s">
        <v>73</v>
      </c>
      <c r="AG13" s="163"/>
      <c r="AH13" s="163"/>
      <c r="AP13" s="65" t="s">
        <v>71</v>
      </c>
      <c r="AR13" s="163" t="s">
        <v>103</v>
      </c>
      <c r="AV13" s="65" t="s">
        <v>75</v>
      </c>
    </row>
    <row r="14" spans="1:53" x14ac:dyDescent="0.15">
      <c r="A14" s="55" t="s">
        <v>41</v>
      </c>
      <c r="B14" s="165" t="s">
        <v>253</v>
      </c>
      <c r="C14" s="133">
        <v>2018</v>
      </c>
      <c r="D14" s="56" t="s">
        <v>262</v>
      </c>
      <c r="E14" s="165" t="s">
        <v>239</v>
      </c>
      <c r="F14" s="55" t="s">
        <v>244</v>
      </c>
      <c r="G14" s="55" t="s">
        <v>42</v>
      </c>
      <c r="H14" s="55" t="s">
        <v>158</v>
      </c>
      <c r="I14" s="55" t="s">
        <v>153</v>
      </c>
      <c r="J14" s="55" t="s">
        <v>38</v>
      </c>
      <c r="K14" s="55" t="s">
        <v>154</v>
      </c>
      <c r="L14" s="165">
        <v>1</v>
      </c>
      <c r="N14" s="55">
        <v>3</v>
      </c>
      <c r="O14" s="55">
        <v>0.5</v>
      </c>
      <c r="P14" s="55">
        <v>0.4</v>
      </c>
      <c r="Q14" s="57">
        <f t="shared" si="0"/>
        <v>0.45</v>
      </c>
      <c r="R14" s="165">
        <v>17</v>
      </c>
      <c r="S14" s="55">
        <v>128</v>
      </c>
      <c r="T14" s="77">
        <f t="shared" si="3"/>
        <v>27</v>
      </c>
      <c r="U14" s="55">
        <v>537</v>
      </c>
      <c r="V14" s="58">
        <f t="shared" si="2"/>
        <v>4833</v>
      </c>
      <c r="W14" s="165">
        <v>1</v>
      </c>
      <c r="X14" s="55" t="s">
        <v>39</v>
      </c>
      <c r="Y14" s="55" t="s">
        <v>84</v>
      </c>
      <c r="Z14" s="55" t="s">
        <v>50</v>
      </c>
      <c r="AA14" s="55" t="s">
        <v>90</v>
      </c>
      <c r="AB14" s="55" t="s">
        <v>255</v>
      </c>
      <c r="AE14" s="155" t="s">
        <v>76</v>
      </c>
      <c r="AG14" s="163"/>
      <c r="AH14" s="163"/>
      <c r="AP14" s="65" t="s">
        <v>74</v>
      </c>
      <c r="AR14" s="163" t="s">
        <v>125</v>
      </c>
      <c r="AV14" s="65" t="s">
        <v>78</v>
      </c>
    </row>
    <row r="15" spans="1:53" x14ac:dyDescent="0.15">
      <c r="A15" s="55" t="s">
        <v>41</v>
      </c>
      <c r="B15" s="165" t="s">
        <v>253</v>
      </c>
      <c r="C15" s="133">
        <v>2018</v>
      </c>
      <c r="D15" s="56" t="s">
        <v>262</v>
      </c>
      <c r="E15" s="165" t="s">
        <v>239</v>
      </c>
      <c r="F15" s="55" t="s">
        <v>244</v>
      </c>
      <c r="G15" s="55" t="s">
        <v>42</v>
      </c>
      <c r="H15" s="55" t="s">
        <v>158</v>
      </c>
      <c r="I15" s="55" t="s">
        <v>153</v>
      </c>
      <c r="J15" s="55" t="s">
        <v>38</v>
      </c>
      <c r="K15" s="55" t="s">
        <v>154</v>
      </c>
      <c r="L15" s="165">
        <v>2</v>
      </c>
      <c r="N15" s="55">
        <v>3</v>
      </c>
      <c r="O15" s="55">
        <v>0.45</v>
      </c>
      <c r="P15" s="55">
        <v>0.3</v>
      </c>
      <c r="Q15" s="82">
        <f t="shared" si="0"/>
        <v>0.375</v>
      </c>
      <c r="R15" s="165">
        <v>13.7</v>
      </c>
      <c r="S15" s="55">
        <v>131</v>
      </c>
      <c r="T15" s="77">
        <f t="shared" si="3"/>
        <v>25</v>
      </c>
      <c r="U15" s="55">
        <v>537</v>
      </c>
      <c r="V15" s="58">
        <f t="shared" si="2"/>
        <v>4475</v>
      </c>
      <c r="W15" s="165">
        <v>1</v>
      </c>
      <c r="X15" s="55" t="s">
        <v>39</v>
      </c>
      <c r="Y15" s="55" t="s">
        <v>84</v>
      </c>
      <c r="Z15" s="55" t="s">
        <v>50</v>
      </c>
      <c r="AA15" s="55" t="s">
        <v>90</v>
      </c>
      <c r="AB15" s="55" t="s">
        <v>255</v>
      </c>
      <c r="AE15" s="155" t="s">
        <v>79</v>
      </c>
      <c r="AG15" s="163"/>
      <c r="AH15" s="163"/>
      <c r="AP15" s="65" t="s">
        <v>77</v>
      </c>
      <c r="AR15" s="163" t="s">
        <v>94</v>
      </c>
      <c r="AV15" s="65" t="s">
        <v>107</v>
      </c>
    </row>
    <row r="16" spans="1:53" x14ac:dyDescent="0.15">
      <c r="A16" s="55" t="s">
        <v>41</v>
      </c>
      <c r="B16" s="165" t="s">
        <v>253</v>
      </c>
      <c r="C16" s="133">
        <v>2018</v>
      </c>
      <c r="D16" s="56" t="s">
        <v>262</v>
      </c>
      <c r="E16" s="165" t="s">
        <v>239</v>
      </c>
      <c r="F16" s="55" t="s">
        <v>244</v>
      </c>
      <c r="G16" s="55" t="s">
        <v>42</v>
      </c>
      <c r="H16" s="55" t="s">
        <v>158</v>
      </c>
      <c r="I16" s="55" t="s">
        <v>153</v>
      </c>
      <c r="J16" s="55" t="s">
        <v>38</v>
      </c>
      <c r="K16" s="55" t="s">
        <v>154</v>
      </c>
      <c r="L16" s="165">
        <v>3</v>
      </c>
      <c r="N16" s="55">
        <v>3</v>
      </c>
      <c r="O16" s="55">
        <v>0.45</v>
      </c>
      <c r="P16" s="55">
        <v>0.3</v>
      </c>
      <c r="Q16" s="82">
        <f t="shared" si="0"/>
        <v>0.375</v>
      </c>
      <c r="R16" s="165">
        <v>14.1</v>
      </c>
      <c r="S16" s="55">
        <v>130</v>
      </c>
      <c r="T16" s="77">
        <f t="shared" si="3"/>
        <v>25</v>
      </c>
      <c r="U16" s="55">
        <v>537</v>
      </c>
      <c r="V16" s="58">
        <f t="shared" si="2"/>
        <v>4475</v>
      </c>
      <c r="W16" s="165">
        <v>1</v>
      </c>
      <c r="X16" s="55" t="s">
        <v>39</v>
      </c>
      <c r="Y16" s="55" t="s">
        <v>84</v>
      </c>
      <c r="Z16" s="55" t="s">
        <v>50</v>
      </c>
      <c r="AA16" s="55" t="s">
        <v>90</v>
      </c>
      <c r="AB16" s="55" t="s">
        <v>255</v>
      </c>
      <c r="AE16" s="155" t="s">
        <v>82</v>
      </c>
      <c r="AG16" s="71"/>
      <c r="AH16" s="71"/>
      <c r="AP16" s="65" t="s">
        <v>80</v>
      </c>
      <c r="AR16" s="163" t="s">
        <v>63</v>
      </c>
      <c r="AV16" s="65" t="s">
        <v>84</v>
      </c>
    </row>
    <row r="17" spans="1:49" x14ac:dyDescent="0.15">
      <c r="A17" s="55" t="s">
        <v>41</v>
      </c>
      <c r="B17" s="165" t="s">
        <v>253</v>
      </c>
      <c r="C17" s="133">
        <v>2018</v>
      </c>
      <c r="D17" s="56" t="s">
        <v>262</v>
      </c>
      <c r="E17" s="165" t="s">
        <v>239</v>
      </c>
      <c r="F17" s="165" t="s">
        <v>244</v>
      </c>
      <c r="G17" s="55" t="s">
        <v>42</v>
      </c>
      <c r="H17" s="55" t="s">
        <v>158</v>
      </c>
      <c r="I17" s="55" t="s">
        <v>153</v>
      </c>
      <c r="J17" s="55" t="s">
        <v>38</v>
      </c>
      <c r="K17" s="55" t="s">
        <v>154</v>
      </c>
      <c r="L17" s="165">
        <v>1</v>
      </c>
      <c r="M17" s="55"/>
      <c r="N17" s="55">
        <v>1</v>
      </c>
      <c r="O17" s="55">
        <v>0.3</v>
      </c>
      <c r="P17" s="55">
        <v>0.25</v>
      </c>
      <c r="Q17" s="82">
        <f t="shared" si="0"/>
        <v>0.27500000000000002</v>
      </c>
      <c r="R17" s="165">
        <v>15.1</v>
      </c>
      <c r="S17" s="55">
        <v>128</v>
      </c>
      <c r="T17" s="77">
        <f t="shared" si="3"/>
        <v>27</v>
      </c>
      <c r="U17" s="55">
        <v>148</v>
      </c>
      <c r="V17" s="78">
        <f t="shared" si="2"/>
        <v>3996</v>
      </c>
      <c r="W17" s="55">
        <v>1</v>
      </c>
      <c r="X17" s="55" t="s">
        <v>39</v>
      </c>
      <c r="Y17" s="55" t="s">
        <v>84</v>
      </c>
      <c r="Z17" s="55" t="s">
        <v>50</v>
      </c>
      <c r="AA17" s="55" t="s">
        <v>90</v>
      </c>
      <c r="AB17" s="55" t="s">
        <v>255</v>
      </c>
      <c r="AE17" s="155" t="s">
        <v>85</v>
      </c>
      <c r="AP17" s="167" t="s">
        <v>110</v>
      </c>
      <c r="AR17" s="163" t="s">
        <v>96</v>
      </c>
      <c r="AV17" s="65" t="s">
        <v>86</v>
      </c>
    </row>
    <row r="18" spans="1:49" x14ac:dyDescent="0.15">
      <c r="A18" s="55" t="s">
        <v>41</v>
      </c>
      <c r="B18" s="165" t="s">
        <v>253</v>
      </c>
      <c r="C18" s="133">
        <v>2018</v>
      </c>
      <c r="D18" s="56" t="s">
        <v>262</v>
      </c>
      <c r="E18" s="165" t="s">
        <v>239</v>
      </c>
      <c r="F18" s="55" t="s">
        <v>244</v>
      </c>
      <c r="G18" s="55" t="s">
        <v>42</v>
      </c>
      <c r="H18" s="55" t="s">
        <v>158</v>
      </c>
      <c r="I18" s="55" t="s">
        <v>153</v>
      </c>
      <c r="J18" s="55" t="s">
        <v>38</v>
      </c>
      <c r="K18" s="55" t="s">
        <v>154</v>
      </c>
      <c r="L18" s="165">
        <v>2</v>
      </c>
      <c r="N18" s="55">
        <v>1</v>
      </c>
      <c r="O18" s="55">
        <v>0.45</v>
      </c>
      <c r="P18" s="55">
        <v>0.4</v>
      </c>
      <c r="Q18" s="82">
        <f t="shared" si="0"/>
        <v>0.42500000000000004</v>
      </c>
      <c r="R18" s="165">
        <v>12.8</v>
      </c>
      <c r="S18" s="55">
        <v>125</v>
      </c>
      <c r="T18" s="77">
        <f t="shared" si="3"/>
        <v>27</v>
      </c>
      <c r="U18" s="55">
        <v>148</v>
      </c>
      <c r="V18" s="58">
        <f t="shared" si="2"/>
        <v>3996</v>
      </c>
      <c r="W18" s="165">
        <v>1</v>
      </c>
      <c r="X18" s="55" t="s">
        <v>39</v>
      </c>
      <c r="Y18" s="55" t="s">
        <v>84</v>
      </c>
      <c r="Z18" s="55" t="s">
        <v>50</v>
      </c>
      <c r="AA18" s="55" t="s">
        <v>90</v>
      </c>
      <c r="AB18" s="55" t="s">
        <v>255</v>
      </c>
      <c r="AE18" s="155" t="s">
        <v>87</v>
      </c>
      <c r="AP18" s="167" t="s">
        <v>111</v>
      </c>
      <c r="AR18" s="163" t="s">
        <v>101</v>
      </c>
      <c r="AV18" s="65" t="s">
        <v>88</v>
      </c>
    </row>
    <row r="19" spans="1:49" x14ac:dyDescent="0.15">
      <c r="A19" s="55" t="s">
        <v>41</v>
      </c>
      <c r="B19" s="165" t="s">
        <v>253</v>
      </c>
      <c r="C19" s="133">
        <v>2018</v>
      </c>
      <c r="D19" s="56" t="s">
        <v>262</v>
      </c>
      <c r="E19" s="165" t="s">
        <v>239</v>
      </c>
      <c r="F19" s="55" t="s">
        <v>244</v>
      </c>
      <c r="G19" s="55" t="s">
        <v>42</v>
      </c>
      <c r="H19" s="55" t="s">
        <v>158</v>
      </c>
      <c r="I19" s="55" t="s">
        <v>153</v>
      </c>
      <c r="J19" s="55" t="s">
        <v>38</v>
      </c>
      <c r="K19" s="55" t="s">
        <v>154</v>
      </c>
      <c r="L19" s="165">
        <v>3</v>
      </c>
      <c r="N19" s="55">
        <v>1</v>
      </c>
      <c r="O19" s="55">
        <v>0.25</v>
      </c>
      <c r="P19" s="55">
        <v>0.25</v>
      </c>
      <c r="Q19" s="82">
        <f t="shared" si="0"/>
        <v>0.25</v>
      </c>
      <c r="R19" s="165">
        <v>14.5</v>
      </c>
      <c r="S19" s="55">
        <v>130</v>
      </c>
      <c r="T19" s="77">
        <f t="shared" si="3"/>
        <v>25</v>
      </c>
      <c r="U19" s="55">
        <v>148</v>
      </c>
      <c r="V19" s="58">
        <f t="shared" si="2"/>
        <v>3700</v>
      </c>
      <c r="W19" s="165">
        <v>1</v>
      </c>
      <c r="X19" s="55" t="s">
        <v>39</v>
      </c>
      <c r="Y19" s="55" t="s">
        <v>84</v>
      </c>
      <c r="Z19" s="55" t="s">
        <v>50</v>
      </c>
      <c r="AA19" s="55" t="s">
        <v>90</v>
      </c>
      <c r="AB19" s="55" t="s">
        <v>255</v>
      </c>
      <c r="AE19" s="164" t="s">
        <v>89</v>
      </c>
      <c r="AP19" s="167" t="s">
        <v>112</v>
      </c>
      <c r="AR19" s="163" t="s">
        <v>126</v>
      </c>
      <c r="AV19" s="65" t="s">
        <v>90</v>
      </c>
    </row>
    <row r="20" spans="1:49" x14ac:dyDescent="0.15">
      <c r="A20" s="55" t="s">
        <v>41</v>
      </c>
      <c r="B20" s="165" t="s">
        <v>253</v>
      </c>
      <c r="C20" s="133">
        <v>2018</v>
      </c>
      <c r="D20" s="56" t="s">
        <v>262</v>
      </c>
      <c r="E20" s="165" t="s">
        <v>239</v>
      </c>
      <c r="F20" s="165" t="s">
        <v>244</v>
      </c>
      <c r="G20" s="55" t="s">
        <v>42</v>
      </c>
      <c r="H20" s="55" t="s">
        <v>155</v>
      </c>
      <c r="I20" s="55" t="s">
        <v>153</v>
      </c>
      <c r="J20" s="55" t="s">
        <v>38</v>
      </c>
      <c r="K20" s="55" t="s">
        <v>154</v>
      </c>
      <c r="L20" s="165">
        <v>1</v>
      </c>
      <c r="M20" s="55"/>
      <c r="N20" s="55">
        <v>1</v>
      </c>
      <c r="O20" s="55">
        <v>0.45</v>
      </c>
      <c r="P20" s="55">
        <v>0.5</v>
      </c>
      <c r="Q20" s="57">
        <f t="shared" si="0"/>
        <v>0.47499999999999998</v>
      </c>
      <c r="R20" s="165">
        <v>15.1</v>
      </c>
      <c r="S20" s="165">
        <v>124</v>
      </c>
      <c r="T20" s="77">
        <f t="shared" si="3"/>
        <v>27</v>
      </c>
      <c r="U20" s="55">
        <v>105</v>
      </c>
      <c r="V20" s="78">
        <f t="shared" si="2"/>
        <v>2835</v>
      </c>
      <c r="W20" s="55">
        <v>2</v>
      </c>
      <c r="X20" s="55" t="s">
        <v>39</v>
      </c>
      <c r="Y20" s="55" t="s">
        <v>84</v>
      </c>
      <c r="Z20" s="55" t="s">
        <v>50</v>
      </c>
      <c r="AA20" s="55" t="s">
        <v>90</v>
      </c>
      <c r="AB20" s="55" t="s">
        <v>255</v>
      </c>
      <c r="AE20" s="164"/>
      <c r="AP20" s="167" t="s">
        <v>113</v>
      </c>
      <c r="AR20" s="163" t="s">
        <v>105</v>
      </c>
      <c r="AV20" s="69" t="s">
        <v>271</v>
      </c>
    </row>
    <row r="21" spans="1:49" x14ac:dyDescent="0.15">
      <c r="A21" s="55" t="s">
        <v>41</v>
      </c>
      <c r="B21" s="165" t="s">
        <v>253</v>
      </c>
      <c r="C21" s="133">
        <v>2018</v>
      </c>
      <c r="D21" s="56" t="s">
        <v>262</v>
      </c>
      <c r="E21" s="165" t="s">
        <v>239</v>
      </c>
      <c r="F21" s="165" t="s">
        <v>244</v>
      </c>
      <c r="G21" s="55" t="s">
        <v>42</v>
      </c>
      <c r="H21" s="55" t="s">
        <v>155</v>
      </c>
      <c r="I21" s="55" t="s">
        <v>153</v>
      </c>
      <c r="J21" s="55" t="s">
        <v>38</v>
      </c>
      <c r="K21" s="55" t="s">
        <v>154</v>
      </c>
      <c r="L21" s="165">
        <v>2</v>
      </c>
      <c r="N21" s="55">
        <v>1</v>
      </c>
      <c r="O21" s="55">
        <v>0.4</v>
      </c>
      <c r="P21" s="55">
        <v>0.3</v>
      </c>
      <c r="Q21" s="57">
        <f t="shared" si="0"/>
        <v>0.35</v>
      </c>
      <c r="R21" s="165">
        <v>16.8</v>
      </c>
      <c r="S21" s="165">
        <v>122</v>
      </c>
      <c r="T21" s="77">
        <f t="shared" si="3"/>
        <v>27</v>
      </c>
      <c r="U21" s="55">
        <v>105</v>
      </c>
      <c r="V21" s="58">
        <f t="shared" si="2"/>
        <v>2835</v>
      </c>
      <c r="W21" s="165">
        <v>2</v>
      </c>
      <c r="X21" s="55" t="s">
        <v>39</v>
      </c>
      <c r="Y21" s="55" t="s">
        <v>84</v>
      </c>
      <c r="Z21" s="55" t="s">
        <v>50</v>
      </c>
      <c r="AA21" s="55" t="s">
        <v>90</v>
      </c>
      <c r="AB21" s="55" t="s">
        <v>255</v>
      </c>
      <c r="AE21" s="172"/>
      <c r="AP21" s="167" t="s">
        <v>114</v>
      </c>
      <c r="AR21" s="163" t="s">
        <v>68</v>
      </c>
      <c r="AV21" s="69" t="s">
        <v>272</v>
      </c>
    </row>
    <row r="22" spans="1:49" x14ac:dyDescent="0.15">
      <c r="A22" s="55" t="s">
        <v>41</v>
      </c>
      <c r="B22" s="165" t="s">
        <v>253</v>
      </c>
      <c r="C22" s="133">
        <v>2018</v>
      </c>
      <c r="D22" s="56" t="s">
        <v>262</v>
      </c>
      <c r="E22" s="165" t="s">
        <v>239</v>
      </c>
      <c r="F22" s="165" t="s">
        <v>244</v>
      </c>
      <c r="G22" s="55" t="s">
        <v>42</v>
      </c>
      <c r="H22" s="55" t="s">
        <v>155</v>
      </c>
      <c r="I22" s="55" t="s">
        <v>153</v>
      </c>
      <c r="J22" s="55" t="s">
        <v>38</v>
      </c>
      <c r="K22" s="55" t="s">
        <v>154</v>
      </c>
      <c r="L22" s="165">
        <v>3</v>
      </c>
      <c r="N22" s="55">
        <v>1</v>
      </c>
      <c r="O22" s="55">
        <v>0.35</v>
      </c>
      <c r="P22" s="55">
        <v>0.25</v>
      </c>
      <c r="Q22" s="57">
        <f t="shared" si="0"/>
        <v>0.3</v>
      </c>
      <c r="R22" s="165">
        <v>14.5</v>
      </c>
      <c r="S22" s="165">
        <v>125</v>
      </c>
      <c r="T22" s="77">
        <f t="shared" si="3"/>
        <v>27</v>
      </c>
      <c r="U22" s="55">
        <v>105</v>
      </c>
      <c r="V22" s="58">
        <f t="shared" si="2"/>
        <v>2835</v>
      </c>
      <c r="W22" s="165">
        <v>2</v>
      </c>
      <c r="X22" s="55" t="s">
        <v>39</v>
      </c>
      <c r="Y22" s="55" t="s">
        <v>84</v>
      </c>
      <c r="Z22" s="55" t="s">
        <v>50</v>
      </c>
      <c r="AA22" s="55" t="s">
        <v>90</v>
      </c>
      <c r="AB22" s="55" t="s">
        <v>255</v>
      </c>
      <c r="AP22" s="167" t="s">
        <v>115</v>
      </c>
      <c r="AR22" s="163" t="s">
        <v>83</v>
      </c>
      <c r="AV22" s="69"/>
    </row>
    <row r="23" spans="1:49" x14ac:dyDescent="0.15">
      <c r="A23" s="55" t="s">
        <v>41</v>
      </c>
      <c r="B23" s="165" t="s">
        <v>253</v>
      </c>
      <c r="C23" s="133">
        <v>2018</v>
      </c>
      <c r="D23" s="56" t="s">
        <v>262</v>
      </c>
      <c r="E23" s="165" t="s">
        <v>239</v>
      </c>
      <c r="F23" s="165" t="s">
        <v>244</v>
      </c>
      <c r="G23" s="55" t="s">
        <v>42</v>
      </c>
      <c r="H23" s="55" t="s">
        <v>155</v>
      </c>
      <c r="I23" s="55" t="s">
        <v>153</v>
      </c>
      <c r="J23" s="55" t="s">
        <v>38</v>
      </c>
      <c r="K23" s="55" t="s">
        <v>154</v>
      </c>
      <c r="L23" s="165">
        <v>1</v>
      </c>
      <c r="M23" s="55"/>
      <c r="N23" s="55">
        <v>3</v>
      </c>
      <c r="O23" s="55">
        <v>0.85</v>
      </c>
      <c r="P23" s="55">
        <v>0.75</v>
      </c>
      <c r="Q23" s="57">
        <f t="shared" si="0"/>
        <v>0.8</v>
      </c>
      <c r="R23" s="165">
        <v>12.8</v>
      </c>
      <c r="S23" s="165">
        <v>126</v>
      </c>
      <c r="T23" s="77">
        <f t="shared" ref="T23:T86" si="4">IF(H23="","",IF(OR(H23="GREEN",H23="GK"),IF(S23&gt;=$AX$2,VLOOKUP(S23,$AX$2:$AY$10,2,1),""),IF(S23&gt;=$AZ$2,VLOOKUP(S23,$AZ$2:$BA$10,2,1),"")))</f>
        <v>27</v>
      </c>
      <c r="U23" s="55">
        <v>428</v>
      </c>
      <c r="V23" s="78">
        <f t="shared" si="2"/>
        <v>3851.9999999999995</v>
      </c>
      <c r="W23" s="55">
        <v>1</v>
      </c>
      <c r="X23" s="55" t="s">
        <v>39</v>
      </c>
      <c r="Y23" s="55" t="s">
        <v>84</v>
      </c>
      <c r="Z23" s="55" t="s">
        <v>50</v>
      </c>
      <c r="AA23" s="55" t="s">
        <v>90</v>
      </c>
      <c r="AB23" s="55" t="s">
        <v>255</v>
      </c>
      <c r="AP23" s="167" t="s">
        <v>117</v>
      </c>
      <c r="AR23" s="172" t="s">
        <v>238</v>
      </c>
      <c r="AV23" s="172"/>
    </row>
    <row r="24" spans="1:49" x14ac:dyDescent="0.15">
      <c r="A24" s="55" t="s">
        <v>41</v>
      </c>
      <c r="B24" s="165" t="s">
        <v>253</v>
      </c>
      <c r="C24" s="133">
        <v>2018</v>
      </c>
      <c r="D24" s="56" t="s">
        <v>262</v>
      </c>
      <c r="E24" s="165" t="s">
        <v>239</v>
      </c>
      <c r="F24" s="165" t="s">
        <v>244</v>
      </c>
      <c r="G24" s="55" t="s">
        <v>42</v>
      </c>
      <c r="H24" s="55" t="s">
        <v>155</v>
      </c>
      <c r="I24" s="55" t="s">
        <v>153</v>
      </c>
      <c r="J24" s="55" t="s">
        <v>38</v>
      </c>
      <c r="K24" s="55" t="s">
        <v>154</v>
      </c>
      <c r="L24" s="165">
        <v>2</v>
      </c>
      <c r="N24" s="55">
        <v>3</v>
      </c>
      <c r="O24" s="55">
        <v>0.4</v>
      </c>
      <c r="P24" s="55">
        <v>0.65</v>
      </c>
      <c r="Q24" s="57">
        <f t="shared" si="0"/>
        <v>0.52500000000000002</v>
      </c>
      <c r="R24" s="165">
        <v>15.4</v>
      </c>
      <c r="S24" s="165">
        <v>124</v>
      </c>
      <c r="T24" s="77">
        <f t="shared" si="4"/>
        <v>27</v>
      </c>
      <c r="U24" s="55">
        <v>428</v>
      </c>
      <c r="V24" s="58">
        <f t="shared" si="2"/>
        <v>3851.9999999999995</v>
      </c>
      <c r="W24" s="165">
        <v>1</v>
      </c>
      <c r="X24" s="55" t="s">
        <v>39</v>
      </c>
      <c r="Y24" s="55" t="s">
        <v>84</v>
      </c>
      <c r="Z24" s="55" t="s">
        <v>50</v>
      </c>
      <c r="AA24" s="55" t="s">
        <v>90</v>
      </c>
      <c r="AB24" s="55" t="s">
        <v>255</v>
      </c>
      <c r="AP24" s="167" t="s">
        <v>118</v>
      </c>
    </row>
    <row r="25" spans="1:49" x14ac:dyDescent="0.15">
      <c r="A25" s="55" t="s">
        <v>41</v>
      </c>
      <c r="B25" s="165" t="s">
        <v>253</v>
      </c>
      <c r="C25" s="133">
        <v>2018</v>
      </c>
      <c r="D25" s="56" t="s">
        <v>262</v>
      </c>
      <c r="E25" s="165" t="s">
        <v>239</v>
      </c>
      <c r="F25" s="165" t="s">
        <v>244</v>
      </c>
      <c r="G25" s="55" t="s">
        <v>42</v>
      </c>
      <c r="H25" s="55" t="s">
        <v>155</v>
      </c>
      <c r="I25" s="55" t="s">
        <v>153</v>
      </c>
      <c r="J25" s="55" t="s">
        <v>38</v>
      </c>
      <c r="K25" s="55" t="s">
        <v>154</v>
      </c>
      <c r="L25" s="165">
        <v>3</v>
      </c>
      <c r="N25" s="55">
        <v>3</v>
      </c>
      <c r="O25" s="55">
        <v>0.35</v>
      </c>
      <c r="P25" s="55">
        <v>0.45</v>
      </c>
      <c r="Q25" s="57">
        <f t="shared" si="0"/>
        <v>0.4</v>
      </c>
      <c r="R25" s="165">
        <v>15.6</v>
      </c>
      <c r="S25" s="165">
        <v>123</v>
      </c>
      <c r="T25" s="77">
        <f t="shared" si="4"/>
        <v>27</v>
      </c>
      <c r="U25" s="55">
        <v>428</v>
      </c>
      <c r="V25" s="58">
        <f t="shared" si="2"/>
        <v>3851.9999999999995</v>
      </c>
      <c r="W25" s="165">
        <v>1</v>
      </c>
      <c r="X25" s="55" t="s">
        <v>39</v>
      </c>
      <c r="Y25" s="55" t="s">
        <v>84</v>
      </c>
      <c r="Z25" s="55" t="s">
        <v>50</v>
      </c>
      <c r="AA25" s="55" t="s">
        <v>90</v>
      </c>
      <c r="AB25" s="55" t="s">
        <v>255</v>
      </c>
    </row>
    <row r="26" spans="1:49" x14ac:dyDescent="0.15">
      <c r="A26" s="55" t="s">
        <v>41</v>
      </c>
      <c r="B26" s="165" t="s">
        <v>253</v>
      </c>
      <c r="C26" s="133">
        <v>2018</v>
      </c>
      <c r="D26" s="56" t="s">
        <v>262</v>
      </c>
      <c r="E26" s="165" t="s">
        <v>239</v>
      </c>
      <c r="F26" s="165" t="s">
        <v>244</v>
      </c>
      <c r="G26" s="55" t="s">
        <v>42</v>
      </c>
      <c r="H26" s="55" t="s">
        <v>158</v>
      </c>
      <c r="I26" s="55" t="s">
        <v>153</v>
      </c>
      <c r="J26" s="55" t="s">
        <v>38</v>
      </c>
      <c r="K26" s="55" t="s">
        <v>154</v>
      </c>
      <c r="L26" s="165">
        <v>1</v>
      </c>
      <c r="N26" s="55">
        <v>6</v>
      </c>
      <c r="O26" s="55">
        <v>0.75</v>
      </c>
      <c r="P26" s="55">
        <v>0.85</v>
      </c>
      <c r="Q26" s="57">
        <f t="shared" si="0"/>
        <v>0.8</v>
      </c>
      <c r="R26" s="165">
        <v>13.4</v>
      </c>
      <c r="S26" s="165">
        <v>128</v>
      </c>
      <c r="T26" s="77">
        <f t="shared" si="4"/>
        <v>27</v>
      </c>
      <c r="U26" s="55">
        <v>540</v>
      </c>
      <c r="V26" s="58">
        <f t="shared" si="2"/>
        <v>2430</v>
      </c>
      <c r="W26" s="165">
        <v>1</v>
      </c>
      <c r="X26" s="55" t="s">
        <v>46</v>
      </c>
      <c r="Y26" s="55" t="s">
        <v>84</v>
      </c>
      <c r="Z26" s="55" t="s">
        <v>50</v>
      </c>
      <c r="AA26" s="55" t="s">
        <v>90</v>
      </c>
      <c r="AB26" s="55" t="s">
        <v>255</v>
      </c>
    </row>
    <row r="27" spans="1:49" x14ac:dyDescent="0.15">
      <c r="A27" s="55" t="s">
        <v>41</v>
      </c>
      <c r="B27" s="165" t="s">
        <v>253</v>
      </c>
      <c r="C27" s="133">
        <v>2018</v>
      </c>
      <c r="D27" s="56" t="s">
        <v>262</v>
      </c>
      <c r="E27" s="165" t="s">
        <v>239</v>
      </c>
      <c r="F27" s="165" t="s">
        <v>244</v>
      </c>
      <c r="G27" s="55" t="s">
        <v>42</v>
      </c>
      <c r="H27" s="55" t="s">
        <v>158</v>
      </c>
      <c r="I27" s="55" t="s">
        <v>153</v>
      </c>
      <c r="J27" s="55" t="s">
        <v>38</v>
      </c>
      <c r="K27" s="55" t="s">
        <v>154</v>
      </c>
      <c r="L27" s="165">
        <v>2</v>
      </c>
      <c r="M27" s="55"/>
      <c r="N27" s="55">
        <v>6</v>
      </c>
      <c r="O27" s="55">
        <v>0.8</v>
      </c>
      <c r="P27" s="55">
        <v>0.9</v>
      </c>
      <c r="Q27" s="57">
        <f t="shared" si="0"/>
        <v>0.85000000000000009</v>
      </c>
      <c r="R27" s="165">
        <v>15.8</v>
      </c>
      <c r="S27" s="165">
        <v>124</v>
      </c>
      <c r="T27" s="77">
        <f t="shared" si="4"/>
        <v>27</v>
      </c>
      <c r="U27" s="55">
        <v>540</v>
      </c>
      <c r="V27" s="78">
        <f t="shared" si="2"/>
        <v>2430</v>
      </c>
      <c r="W27" s="55">
        <v>1</v>
      </c>
      <c r="X27" s="55" t="s">
        <v>46</v>
      </c>
      <c r="Y27" s="55" t="s">
        <v>84</v>
      </c>
      <c r="Z27" s="55" t="s">
        <v>50</v>
      </c>
      <c r="AA27" s="55" t="s">
        <v>90</v>
      </c>
      <c r="AB27" s="55" t="s">
        <v>255</v>
      </c>
      <c r="AE27" s="175"/>
      <c r="AF27" s="175"/>
      <c r="AG27" s="175"/>
      <c r="AH27" s="175"/>
      <c r="AI27" s="175"/>
      <c r="AJ27" s="175"/>
      <c r="AK27" s="175"/>
      <c r="AL27" s="175"/>
      <c r="AM27" s="175"/>
      <c r="AN27" s="175"/>
      <c r="AO27" s="175"/>
      <c r="AP27" s="175"/>
      <c r="AQ27" s="175"/>
      <c r="AR27" s="175"/>
      <c r="AS27" s="175"/>
      <c r="AT27" s="175"/>
      <c r="AU27" s="175"/>
      <c r="AV27" s="175"/>
      <c r="AW27" s="175"/>
    </row>
    <row r="28" spans="1:49" x14ac:dyDescent="0.15">
      <c r="A28" s="55" t="s">
        <v>41</v>
      </c>
      <c r="B28" s="165" t="s">
        <v>253</v>
      </c>
      <c r="C28" s="133">
        <v>2018</v>
      </c>
      <c r="D28" s="56" t="s">
        <v>262</v>
      </c>
      <c r="E28" s="165" t="s">
        <v>239</v>
      </c>
      <c r="F28" s="165" t="s">
        <v>244</v>
      </c>
      <c r="G28" s="55" t="s">
        <v>42</v>
      </c>
      <c r="H28" s="55" t="s">
        <v>158</v>
      </c>
      <c r="I28" s="55" t="s">
        <v>153</v>
      </c>
      <c r="J28" s="55" t="s">
        <v>38</v>
      </c>
      <c r="K28" s="55" t="s">
        <v>154</v>
      </c>
      <c r="L28" s="165">
        <v>3</v>
      </c>
      <c r="N28" s="55">
        <v>6</v>
      </c>
      <c r="O28" s="55">
        <v>1</v>
      </c>
      <c r="P28" s="55">
        <v>1.1000000000000001</v>
      </c>
      <c r="Q28" s="57">
        <f t="shared" si="0"/>
        <v>1.05</v>
      </c>
      <c r="R28" s="165">
        <v>16.399999999999999</v>
      </c>
      <c r="S28" s="165">
        <v>120</v>
      </c>
      <c r="T28" s="77">
        <f t="shared" si="4"/>
        <v>30</v>
      </c>
      <c r="U28" s="55">
        <v>540</v>
      </c>
      <c r="V28" s="58">
        <f t="shared" si="2"/>
        <v>2700</v>
      </c>
      <c r="W28" s="165">
        <v>1</v>
      </c>
      <c r="X28" s="55" t="s">
        <v>46</v>
      </c>
      <c r="Y28" s="55" t="s">
        <v>84</v>
      </c>
      <c r="Z28" s="55" t="s">
        <v>50</v>
      </c>
      <c r="AA28" s="55" t="s">
        <v>90</v>
      </c>
      <c r="AB28" s="55" t="s">
        <v>255</v>
      </c>
      <c r="AE28" s="175"/>
      <c r="AF28" s="175"/>
      <c r="AG28" s="175"/>
      <c r="AH28" s="175"/>
      <c r="AI28" s="175"/>
      <c r="AJ28" s="175"/>
      <c r="AK28" s="175"/>
      <c r="AL28" s="175"/>
      <c r="AM28" s="175"/>
      <c r="AN28" s="175"/>
      <c r="AO28" s="175"/>
      <c r="AP28" s="175"/>
      <c r="AQ28" s="175"/>
      <c r="AR28" s="175"/>
      <c r="AS28" s="175"/>
      <c r="AT28" s="175"/>
      <c r="AU28" s="175"/>
      <c r="AV28" s="175"/>
      <c r="AW28" s="175"/>
    </row>
    <row r="29" spans="1:49" x14ac:dyDescent="0.15">
      <c r="A29" s="55" t="s">
        <v>41</v>
      </c>
      <c r="B29" s="165" t="s">
        <v>253</v>
      </c>
      <c r="C29" s="133">
        <v>2018</v>
      </c>
      <c r="D29" s="56" t="s">
        <v>262</v>
      </c>
      <c r="E29" s="165" t="s">
        <v>239</v>
      </c>
      <c r="F29" s="165" t="s">
        <v>244</v>
      </c>
      <c r="G29" s="55" t="s">
        <v>42</v>
      </c>
      <c r="H29" s="55" t="s">
        <v>129</v>
      </c>
      <c r="I29" s="55" t="s">
        <v>153</v>
      </c>
      <c r="J29" s="55" t="s">
        <v>58</v>
      </c>
      <c r="K29" s="55" t="s">
        <v>59</v>
      </c>
      <c r="L29" s="165">
        <v>1</v>
      </c>
      <c r="N29" s="55">
        <v>5</v>
      </c>
      <c r="O29" s="55">
        <v>0.35</v>
      </c>
      <c r="P29" s="55">
        <v>0.25</v>
      </c>
      <c r="Q29" s="57">
        <f t="shared" si="0"/>
        <v>0.3</v>
      </c>
      <c r="R29" s="165">
        <v>16.2</v>
      </c>
      <c r="S29" s="165">
        <v>85</v>
      </c>
      <c r="T29" s="77">
        <f t="shared" si="4"/>
        <v>36</v>
      </c>
      <c r="U29" s="55">
        <v>537</v>
      </c>
      <c r="V29" s="58">
        <f t="shared" si="2"/>
        <v>3866.4</v>
      </c>
      <c r="W29" s="165">
        <v>1</v>
      </c>
      <c r="X29" s="55" t="s">
        <v>39</v>
      </c>
      <c r="Y29" s="55" t="s">
        <v>84</v>
      </c>
      <c r="Z29" s="55" t="s">
        <v>50</v>
      </c>
      <c r="AA29" s="55" t="s">
        <v>90</v>
      </c>
      <c r="AB29" s="55" t="s">
        <v>255</v>
      </c>
    </row>
    <row r="30" spans="1:49" x14ac:dyDescent="0.15">
      <c r="A30" s="55" t="s">
        <v>41</v>
      </c>
      <c r="B30" s="165" t="s">
        <v>253</v>
      </c>
      <c r="C30" s="133">
        <v>2018</v>
      </c>
      <c r="D30" s="56" t="s">
        <v>262</v>
      </c>
      <c r="E30" s="165" t="s">
        <v>239</v>
      </c>
      <c r="F30" s="165" t="s">
        <v>244</v>
      </c>
      <c r="G30" s="55" t="s">
        <v>42</v>
      </c>
      <c r="H30" s="55" t="s">
        <v>129</v>
      </c>
      <c r="I30" s="55" t="s">
        <v>153</v>
      </c>
      <c r="J30" s="55" t="s">
        <v>58</v>
      </c>
      <c r="K30" s="55" t="s">
        <v>59</v>
      </c>
      <c r="L30" s="165">
        <v>2</v>
      </c>
      <c r="M30" s="55"/>
      <c r="N30" s="55">
        <v>5</v>
      </c>
      <c r="O30" s="55">
        <v>0.4</v>
      </c>
      <c r="P30" s="55">
        <v>0.3</v>
      </c>
      <c r="Q30" s="57">
        <f t="shared" si="0"/>
        <v>0.35</v>
      </c>
      <c r="R30" s="165">
        <v>14.4</v>
      </c>
      <c r="S30" s="165">
        <v>75</v>
      </c>
      <c r="T30" s="77">
        <f t="shared" si="4"/>
        <v>42</v>
      </c>
      <c r="U30" s="55">
        <v>537</v>
      </c>
      <c r="V30" s="78">
        <f t="shared" si="2"/>
        <v>4510.8</v>
      </c>
      <c r="W30" s="55">
        <v>1</v>
      </c>
      <c r="X30" s="55" t="s">
        <v>39</v>
      </c>
      <c r="Y30" s="55" t="s">
        <v>84</v>
      </c>
      <c r="Z30" s="55" t="s">
        <v>50</v>
      </c>
      <c r="AA30" s="55" t="s">
        <v>90</v>
      </c>
      <c r="AB30" s="55" t="s">
        <v>255</v>
      </c>
      <c r="AE30" s="175"/>
      <c r="AF30" s="175"/>
      <c r="AG30" s="175"/>
      <c r="AH30" s="175"/>
      <c r="AI30" s="175"/>
      <c r="AJ30" s="175"/>
      <c r="AK30" s="175"/>
      <c r="AL30" s="175"/>
      <c r="AM30" s="175"/>
      <c r="AN30" s="175"/>
      <c r="AO30" s="175"/>
      <c r="AP30" s="175"/>
      <c r="AQ30" s="175"/>
      <c r="AR30" s="175"/>
      <c r="AS30" s="175"/>
      <c r="AT30" s="175"/>
      <c r="AU30" s="175"/>
      <c r="AV30" s="175"/>
      <c r="AW30" s="175"/>
    </row>
    <row r="31" spans="1:49" x14ac:dyDescent="0.15">
      <c r="A31" s="55" t="s">
        <v>41</v>
      </c>
      <c r="B31" s="165" t="s">
        <v>253</v>
      </c>
      <c r="C31" s="133">
        <v>2018</v>
      </c>
      <c r="D31" s="56" t="s">
        <v>262</v>
      </c>
      <c r="E31" s="165" t="s">
        <v>239</v>
      </c>
      <c r="F31" s="165" t="s">
        <v>244</v>
      </c>
      <c r="G31" s="55" t="s">
        <v>42</v>
      </c>
      <c r="H31" s="55" t="s">
        <v>129</v>
      </c>
      <c r="I31" s="55" t="s">
        <v>153</v>
      </c>
      <c r="J31" s="55" t="s">
        <v>58</v>
      </c>
      <c r="K31" s="55" t="s">
        <v>59</v>
      </c>
      <c r="L31" s="165">
        <v>3</v>
      </c>
      <c r="N31" s="55">
        <v>5</v>
      </c>
      <c r="O31" s="55">
        <v>0.4</v>
      </c>
      <c r="P31" s="55">
        <v>0.25</v>
      </c>
      <c r="Q31" s="57">
        <f t="shared" si="0"/>
        <v>0.32500000000000001</v>
      </c>
      <c r="R31" s="165">
        <v>15.1</v>
      </c>
      <c r="S31" s="165">
        <v>80</v>
      </c>
      <c r="T31" s="77">
        <f t="shared" si="4"/>
        <v>39</v>
      </c>
      <c r="U31" s="55">
        <v>537</v>
      </c>
      <c r="V31" s="58">
        <f t="shared" si="2"/>
        <v>4188.6000000000004</v>
      </c>
      <c r="W31" s="165">
        <v>1</v>
      </c>
      <c r="X31" s="55" t="s">
        <v>39</v>
      </c>
      <c r="Y31" s="55" t="s">
        <v>84</v>
      </c>
      <c r="Z31" s="55" t="s">
        <v>50</v>
      </c>
      <c r="AA31" s="55" t="s">
        <v>90</v>
      </c>
      <c r="AB31" s="55" t="s">
        <v>255</v>
      </c>
      <c r="AE31" s="175"/>
      <c r="AF31" s="175"/>
      <c r="AG31" s="175"/>
      <c r="AH31" s="175"/>
      <c r="AI31" s="175"/>
      <c r="AJ31" s="175"/>
      <c r="AK31" s="175"/>
      <c r="AL31" s="175"/>
      <c r="AM31" s="175"/>
      <c r="AN31" s="175"/>
      <c r="AO31" s="175"/>
      <c r="AP31" s="175"/>
      <c r="AQ31" s="175"/>
      <c r="AR31" s="175"/>
      <c r="AS31" s="175"/>
      <c r="AT31" s="175"/>
      <c r="AU31" s="175"/>
      <c r="AV31" s="175"/>
      <c r="AW31" s="175"/>
    </row>
    <row r="32" spans="1:49" x14ac:dyDescent="0.15">
      <c r="A32" s="55" t="s">
        <v>41</v>
      </c>
      <c r="B32" s="165" t="s">
        <v>253</v>
      </c>
      <c r="C32" s="133">
        <v>2018</v>
      </c>
      <c r="D32" s="56" t="s">
        <v>262</v>
      </c>
      <c r="E32" s="165" t="s">
        <v>239</v>
      </c>
      <c r="F32" s="165" t="s">
        <v>245</v>
      </c>
      <c r="G32" s="55" t="s">
        <v>42</v>
      </c>
      <c r="H32" s="55" t="s">
        <v>158</v>
      </c>
      <c r="I32" s="55" t="s">
        <v>153</v>
      </c>
      <c r="J32" s="55" t="s">
        <v>38</v>
      </c>
      <c r="K32" s="55" t="s">
        <v>154</v>
      </c>
      <c r="L32" s="165">
        <v>1</v>
      </c>
      <c r="M32" s="55"/>
      <c r="N32" s="55">
        <v>1</v>
      </c>
      <c r="O32" s="55">
        <v>0.35</v>
      </c>
      <c r="P32" s="55">
        <v>0.3</v>
      </c>
      <c r="Q32" s="82">
        <f t="shared" si="0"/>
        <v>0.32499999999999996</v>
      </c>
      <c r="R32" s="55">
        <v>15.4</v>
      </c>
      <c r="S32" s="55">
        <v>126</v>
      </c>
      <c r="T32" s="77">
        <f t="shared" si="4"/>
        <v>27</v>
      </c>
      <c r="U32" s="55">
        <v>148</v>
      </c>
      <c r="V32" s="78">
        <f t="shared" si="2"/>
        <v>3996</v>
      </c>
      <c r="W32" s="55">
        <v>1</v>
      </c>
      <c r="X32" s="55" t="s">
        <v>39</v>
      </c>
      <c r="Y32" s="55" t="s">
        <v>50</v>
      </c>
      <c r="Z32" s="55" t="s">
        <v>90</v>
      </c>
      <c r="AA32" s="55" t="s">
        <v>78</v>
      </c>
      <c r="AB32" s="55" t="s">
        <v>255</v>
      </c>
    </row>
    <row r="33" spans="1:49" x14ac:dyDescent="0.15">
      <c r="A33" s="55" t="s">
        <v>41</v>
      </c>
      <c r="B33" s="165" t="s">
        <v>253</v>
      </c>
      <c r="C33" s="133">
        <v>2018</v>
      </c>
      <c r="D33" s="56" t="s">
        <v>262</v>
      </c>
      <c r="E33" s="165" t="s">
        <v>239</v>
      </c>
      <c r="F33" s="165" t="s">
        <v>245</v>
      </c>
      <c r="G33" s="55" t="s">
        <v>42</v>
      </c>
      <c r="H33" s="55" t="s">
        <v>158</v>
      </c>
      <c r="I33" s="55" t="s">
        <v>153</v>
      </c>
      <c r="J33" s="55" t="s">
        <v>38</v>
      </c>
      <c r="K33" s="55" t="s">
        <v>154</v>
      </c>
      <c r="L33" s="165">
        <v>2</v>
      </c>
      <c r="N33" s="55">
        <v>1</v>
      </c>
      <c r="O33" s="55">
        <v>0.45</v>
      </c>
      <c r="P33" s="55">
        <v>0.3</v>
      </c>
      <c r="Q33" s="82">
        <f t="shared" si="0"/>
        <v>0.375</v>
      </c>
      <c r="R33" s="55">
        <v>17.399999999999999</v>
      </c>
      <c r="S33" s="55">
        <v>131</v>
      </c>
      <c r="T33" s="77">
        <f t="shared" si="4"/>
        <v>25</v>
      </c>
      <c r="U33" s="55">
        <v>148</v>
      </c>
      <c r="V33" s="58">
        <f t="shared" si="2"/>
        <v>3700</v>
      </c>
      <c r="W33" s="165">
        <v>1</v>
      </c>
      <c r="X33" s="55" t="s">
        <v>39</v>
      </c>
      <c r="Y33" s="55" t="s">
        <v>50</v>
      </c>
      <c r="Z33" s="55" t="s">
        <v>90</v>
      </c>
      <c r="AA33" s="55" t="s">
        <v>78</v>
      </c>
      <c r="AB33" s="55" t="s">
        <v>255</v>
      </c>
      <c r="AE33" s="175"/>
      <c r="AF33" s="175"/>
      <c r="AG33" s="175"/>
      <c r="AH33" s="175"/>
      <c r="AI33" s="175"/>
      <c r="AJ33" s="175"/>
      <c r="AK33" s="175"/>
      <c r="AL33" s="175"/>
      <c r="AM33" s="175"/>
      <c r="AN33" s="175"/>
      <c r="AO33" s="175"/>
      <c r="AP33" s="175"/>
      <c r="AQ33" s="175"/>
      <c r="AR33" s="175"/>
      <c r="AS33" s="175"/>
      <c r="AT33" s="175"/>
      <c r="AU33" s="175"/>
      <c r="AV33" s="175"/>
      <c r="AW33" s="175"/>
    </row>
    <row r="34" spans="1:49" x14ac:dyDescent="0.15">
      <c r="A34" s="55" t="s">
        <v>41</v>
      </c>
      <c r="B34" s="165" t="s">
        <v>253</v>
      </c>
      <c r="C34" s="133">
        <v>2018</v>
      </c>
      <c r="D34" s="56" t="s">
        <v>262</v>
      </c>
      <c r="E34" s="165" t="s">
        <v>239</v>
      </c>
      <c r="F34" s="165" t="s">
        <v>245</v>
      </c>
      <c r="G34" s="55" t="s">
        <v>42</v>
      </c>
      <c r="H34" s="55" t="s">
        <v>158</v>
      </c>
      <c r="I34" s="55" t="s">
        <v>153</v>
      </c>
      <c r="J34" s="55" t="s">
        <v>38</v>
      </c>
      <c r="K34" s="55" t="s">
        <v>154</v>
      </c>
      <c r="L34" s="165">
        <v>3</v>
      </c>
      <c r="N34" s="55">
        <v>1</v>
      </c>
      <c r="O34" s="55">
        <v>0.6</v>
      </c>
      <c r="P34" s="55">
        <v>0.4</v>
      </c>
      <c r="Q34" s="82">
        <f t="shared" si="0"/>
        <v>0.5</v>
      </c>
      <c r="R34" s="55">
        <v>16</v>
      </c>
      <c r="S34" s="55">
        <v>128</v>
      </c>
      <c r="T34" s="77">
        <f t="shared" si="4"/>
        <v>27</v>
      </c>
      <c r="U34" s="55">
        <v>148</v>
      </c>
      <c r="V34" s="58">
        <f t="shared" si="2"/>
        <v>3996</v>
      </c>
      <c r="W34" s="165">
        <v>1</v>
      </c>
      <c r="X34" s="55" t="s">
        <v>39</v>
      </c>
      <c r="Y34" s="55" t="s">
        <v>50</v>
      </c>
      <c r="Z34" s="55" t="s">
        <v>90</v>
      </c>
      <c r="AA34" s="55" t="s">
        <v>78</v>
      </c>
      <c r="AB34" s="55" t="s">
        <v>255</v>
      </c>
      <c r="AE34" s="175"/>
      <c r="AF34" s="175"/>
      <c r="AG34" s="175"/>
      <c r="AH34" s="175"/>
      <c r="AI34" s="175"/>
      <c r="AJ34" s="175"/>
      <c r="AK34" s="175"/>
      <c r="AL34" s="175"/>
      <c r="AM34" s="175"/>
      <c r="AN34" s="175"/>
      <c r="AO34" s="175"/>
      <c r="AP34" s="175"/>
      <c r="AQ34" s="175"/>
      <c r="AR34" s="175"/>
      <c r="AS34" s="175"/>
      <c r="AT34" s="175"/>
      <c r="AU34" s="175"/>
      <c r="AV34" s="175"/>
      <c r="AW34" s="175"/>
    </row>
    <row r="35" spans="1:49" x14ac:dyDescent="0.15">
      <c r="A35" s="55" t="s">
        <v>41</v>
      </c>
      <c r="B35" s="165" t="s">
        <v>253</v>
      </c>
      <c r="C35" s="133">
        <v>2018</v>
      </c>
      <c r="D35" s="56" t="s">
        <v>262</v>
      </c>
      <c r="E35" s="165" t="s">
        <v>239</v>
      </c>
      <c r="F35" s="165" t="s">
        <v>245</v>
      </c>
      <c r="G35" s="55" t="s">
        <v>42</v>
      </c>
      <c r="H35" s="55" t="s">
        <v>155</v>
      </c>
      <c r="I35" s="55" t="s">
        <v>153</v>
      </c>
      <c r="J35" s="55" t="s">
        <v>38</v>
      </c>
      <c r="K35" s="55" t="s">
        <v>154</v>
      </c>
      <c r="L35" s="165">
        <v>1</v>
      </c>
      <c r="M35" s="55"/>
      <c r="N35" s="55">
        <v>1</v>
      </c>
      <c r="O35" s="55">
        <v>0.85</v>
      </c>
      <c r="P35" s="55">
        <v>0.9</v>
      </c>
      <c r="Q35" s="82">
        <f t="shared" si="0"/>
        <v>0.875</v>
      </c>
      <c r="R35" s="55">
        <v>14.2</v>
      </c>
      <c r="S35" s="55">
        <v>126</v>
      </c>
      <c r="T35" s="77">
        <f t="shared" si="4"/>
        <v>27</v>
      </c>
      <c r="U35" s="55">
        <v>105</v>
      </c>
      <c r="V35" s="78">
        <f t="shared" si="2"/>
        <v>2835</v>
      </c>
      <c r="W35" s="55">
        <v>3</v>
      </c>
      <c r="X35" s="55" t="s">
        <v>39</v>
      </c>
      <c r="Y35" s="55" t="s">
        <v>50</v>
      </c>
      <c r="Z35" s="55" t="s">
        <v>90</v>
      </c>
      <c r="AA35" s="55" t="s">
        <v>78</v>
      </c>
      <c r="AB35" s="55" t="s">
        <v>255</v>
      </c>
      <c r="AE35" s="177"/>
      <c r="AF35" s="175"/>
      <c r="AG35" s="178"/>
      <c r="AH35" s="178"/>
      <c r="AI35" s="175"/>
      <c r="AJ35" s="175"/>
      <c r="AK35" s="175"/>
      <c r="AL35" s="175"/>
      <c r="AM35" s="175"/>
      <c r="AN35" s="175"/>
      <c r="AO35" s="175"/>
      <c r="AP35" s="175"/>
      <c r="AQ35" s="175"/>
      <c r="AR35" s="178"/>
      <c r="AS35" s="175"/>
      <c r="AT35" s="175"/>
      <c r="AU35" s="175"/>
      <c r="AV35" s="175"/>
      <c r="AW35" s="175"/>
    </row>
    <row r="36" spans="1:49" x14ac:dyDescent="0.15">
      <c r="A36" s="55" t="s">
        <v>41</v>
      </c>
      <c r="B36" s="165" t="s">
        <v>253</v>
      </c>
      <c r="C36" s="133">
        <v>2018</v>
      </c>
      <c r="D36" s="56" t="s">
        <v>262</v>
      </c>
      <c r="E36" s="165" t="s">
        <v>239</v>
      </c>
      <c r="F36" s="165" t="s">
        <v>245</v>
      </c>
      <c r="G36" s="55" t="s">
        <v>42</v>
      </c>
      <c r="H36" s="55" t="s">
        <v>155</v>
      </c>
      <c r="I36" s="55" t="s">
        <v>153</v>
      </c>
      <c r="J36" s="55" t="s">
        <v>38</v>
      </c>
      <c r="K36" s="55" t="s">
        <v>154</v>
      </c>
      <c r="L36" s="165">
        <v>2</v>
      </c>
      <c r="N36" s="55">
        <v>1</v>
      </c>
      <c r="O36" s="165">
        <v>0.6</v>
      </c>
      <c r="P36" s="165">
        <v>0.7</v>
      </c>
      <c r="Q36" s="57">
        <f t="shared" si="0"/>
        <v>0.64999999999999991</v>
      </c>
      <c r="R36" s="165">
        <v>16.399999999999999</v>
      </c>
      <c r="S36" s="165">
        <v>127</v>
      </c>
      <c r="T36" s="77">
        <f t="shared" si="4"/>
        <v>27</v>
      </c>
      <c r="U36" s="55">
        <v>105</v>
      </c>
      <c r="V36" s="58">
        <f t="shared" si="2"/>
        <v>2835</v>
      </c>
      <c r="W36" s="165">
        <v>3</v>
      </c>
      <c r="X36" s="55" t="s">
        <v>39</v>
      </c>
      <c r="Y36" s="55" t="s">
        <v>50</v>
      </c>
      <c r="Z36" s="55" t="s">
        <v>90</v>
      </c>
      <c r="AA36" s="55" t="s">
        <v>78</v>
      </c>
      <c r="AB36" s="55" t="s">
        <v>255</v>
      </c>
      <c r="AE36" s="177"/>
      <c r="AF36" s="175"/>
      <c r="AG36" s="178"/>
      <c r="AH36" s="178"/>
      <c r="AI36" s="175"/>
      <c r="AJ36" s="175"/>
      <c r="AK36" s="175"/>
      <c r="AL36" s="175"/>
      <c r="AM36" s="175"/>
      <c r="AN36" s="175"/>
      <c r="AO36" s="175"/>
      <c r="AP36" s="175"/>
      <c r="AQ36" s="175"/>
      <c r="AR36" s="178"/>
      <c r="AS36" s="175"/>
      <c r="AT36" s="175"/>
      <c r="AU36" s="175"/>
      <c r="AV36" s="175"/>
      <c r="AW36" s="175"/>
    </row>
    <row r="37" spans="1:49" x14ac:dyDescent="0.15">
      <c r="A37" s="55" t="s">
        <v>41</v>
      </c>
      <c r="B37" s="165" t="s">
        <v>253</v>
      </c>
      <c r="C37" s="133">
        <v>2018</v>
      </c>
      <c r="D37" s="56" t="s">
        <v>262</v>
      </c>
      <c r="E37" s="165" t="s">
        <v>239</v>
      </c>
      <c r="F37" s="165" t="s">
        <v>245</v>
      </c>
      <c r="G37" s="55" t="s">
        <v>42</v>
      </c>
      <c r="H37" s="55" t="s">
        <v>155</v>
      </c>
      <c r="I37" s="55" t="s">
        <v>153</v>
      </c>
      <c r="J37" s="55" t="s">
        <v>38</v>
      </c>
      <c r="K37" s="55" t="s">
        <v>154</v>
      </c>
      <c r="L37" s="165">
        <v>3</v>
      </c>
      <c r="N37" s="55">
        <v>1</v>
      </c>
      <c r="O37" s="165">
        <v>0.5</v>
      </c>
      <c r="P37" s="165">
        <v>0.65</v>
      </c>
      <c r="Q37" s="57">
        <f t="shared" si="0"/>
        <v>0.57499999999999996</v>
      </c>
      <c r="R37" s="165">
        <v>15</v>
      </c>
      <c r="S37" s="165">
        <v>125</v>
      </c>
      <c r="T37" s="77">
        <f t="shared" si="4"/>
        <v>27</v>
      </c>
      <c r="U37" s="55">
        <v>105</v>
      </c>
      <c r="V37" s="58">
        <f t="shared" si="2"/>
        <v>2835</v>
      </c>
      <c r="W37" s="165">
        <v>3</v>
      </c>
      <c r="X37" s="55" t="s">
        <v>39</v>
      </c>
      <c r="Y37" s="55" t="s">
        <v>50</v>
      </c>
      <c r="Z37" s="55" t="s">
        <v>90</v>
      </c>
      <c r="AA37" s="55" t="s">
        <v>78</v>
      </c>
      <c r="AB37" s="55" t="s">
        <v>255</v>
      </c>
      <c r="AE37" s="177"/>
      <c r="AF37" s="175"/>
      <c r="AG37" s="178"/>
      <c r="AH37" s="178"/>
      <c r="AI37" s="175"/>
      <c r="AJ37" s="175"/>
      <c r="AK37" s="175"/>
      <c r="AL37" s="175"/>
      <c r="AM37" s="175"/>
      <c r="AN37" s="175"/>
      <c r="AO37" s="175"/>
      <c r="AP37" s="175"/>
      <c r="AQ37" s="175"/>
      <c r="AR37" s="178"/>
      <c r="AS37" s="175"/>
      <c r="AT37" s="175"/>
      <c r="AU37" s="175"/>
      <c r="AV37" s="175"/>
      <c r="AW37" s="175"/>
    </row>
    <row r="38" spans="1:49" x14ac:dyDescent="0.15">
      <c r="A38" s="55" t="s">
        <v>41</v>
      </c>
      <c r="B38" s="165" t="s">
        <v>253</v>
      </c>
      <c r="C38" s="133">
        <v>2018</v>
      </c>
      <c r="D38" s="56" t="s">
        <v>262</v>
      </c>
      <c r="E38" s="165" t="s">
        <v>240</v>
      </c>
      <c r="F38" s="165" t="s">
        <v>244</v>
      </c>
      <c r="G38" s="55" t="s">
        <v>42</v>
      </c>
      <c r="H38" s="55" t="s">
        <v>129</v>
      </c>
      <c r="I38" s="55" t="s">
        <v>153</v>
      </c>
      <c r="J38" s="55" t="s">
        <v>111</v>
      </c>
      <c r="K38" s="55" t="s">
        <v>126</v>
      </c>
      <c r="L38" s="165">
        <v>1</v>
      </c>
      <c r="N38" s="55">
        <v>7</v>
      </c>
      <c r="O38" s="55">
        <v>0.9</v>
      </c>
      <c r="P38" s="55">
        <v>1</v>
      </c>
      <c r="Q38" s="82">
        <f t="shared" si="0"/>
        <v>0.95</v>
      </c>
      <c r="R38" s="165">
        <v>11.8</v>
      </c>
      <c r="S38" s="55">
        <v>68</v>
      </c>
      <c r="T38" s="57">
        <f t="shared" si="4"/>
        <v>50</v>
      </c>
      <c r="U38" s="165">
        <v>429</v>
      </c>
      <c r="V38" s="58">
        <f t="shared" si="2"/>
        <v>3064.2857142857142</v>
      </c>
      <c r="W38" s="165">
        <v>2</v>
      </c>
      <c r="X38" s="55" t="s">
        <v>46</v>
      </c>
      <c r="Y38" s="55" t="s">
        <v>50</v>
      </c>
      <c r="Z38" s="55" t="s">
        <v>90</v>
      </c>
      <c r="AA38" s="55" t="s">
        <v>69</v>
      </c>
      <c r="AB38" s="55" t="s">
        <v>255</v>
      </c>
    </row>
    <row r="39" spans="1:49" x14ac:dyDescent="0.15">
      <c r="A39" s="55" t="s">
        <v>41</v>
      </c>
      <c r="B39" s="165" t="s">
        <v>253</v>
      </c>
      <c r="C39" s="133">
        <v>2018</v>
      </c>
      <c r="D39" s="56" t="s">
        <v>262</v>
      </c>
      <c r="E39" s="165" t="s">
        <v>240</v>
      </c>
      <c r="F39" s="165" t="s">
        <v>244</v>
      </c>
      <c r="G39" s="55" t="s">
        <v>42</v>
      </c>
      <c r="H39" s="55" t="s">
        <v>129</v>
      </c>
      <c r="I39" s="55" t="s">
        <v>153</v>
      </c>
      <c r="J39" s="55" t="s">
        <v>111</v>
      </c>
      <c r="K39" s="55" t="s">
        <v>126</v>
      </c>
      <c r="L39" s="165">
        <v>2</v>
      </c>
      <c r="N39" s="55">
        <v>7</v>
      </c>
      <c r="O39" s="55">
        <v>0.75</v>
      </c>
      <c r="P39" s="55">
        <v>1.05</v>
      </c>
      <c r="Q39" s="82">
        <f t="shared" si="0"/>
        <v>0.9</v>
      </c>
      <c r="R39" s="55">
        <v>15.2</v>
      </c>
      <c r="S39" s="55">
        <v>65</v>
      </c>
      <c r="T39" s="57">
        <f t="shared" si="4"/>
        <v>50</v>
      </c>
      <c r="U39" s="165">
        <v>429</v>
      </c>
      <c r="V39" s="58">
        <f t="shared" si="2"/>
        <v>3064.2857142857142</v>
      </c>
      <c r="W39" s="165">
        <v>2</v>
      </c>
      <c r="X39" s="55" t="s">
        <v>46</v>
      </c>
      <c r="Y39" s="55" t="s">
        <v>50</v>
      </c>
      <c r="Z39" s="55" t="s">
        <v>90</v>
      </c>
      <c r="AA39" s="55" t="s">
        <v>69</v>
      </c>
      <c r="AB39" s="55" t="s">
        <v>255</v>
      </c>
    </row>
    <row r="40" spans="1:49" x14ac:dyDescent="0.15">
      <c r="A40" s="55" t="s">
        <v>41</v>
      </c>
      <c r="B40" s="165" t="s">
        <v>253</v>
      </c>
      <c r="C40" s="133">
        <v>2018</v>
      </c>
      <c r="D40" s="56" t="s">
        <v>262</v>
      </c>
      <c r="E40" s="165" t="s">
        <v>240</v>
      </c>
      <c r="F40" s="165" t="s">
        <v>244</v>
      </c>
      <c r="G40" s="55" t="s">
        <v>42</v>
      </c>
      <c r="H40" s="55" t="s">
        <v>129</v>
      </c>
      <c r="I40" s="55" t="s">
        <v>153</v>
      </c>
      <c r="J40" s="55" t="s">
        <v>111</v>
      </c>
      <c r="K40" s="55" t="s">
        <v>126</v>
      </c>
      <c r="L40" s="165">
        <v>3</v>
      </c>
      <c r="N40" s="55">
        <v>7</v>
      </c>
      <c r="O40" s="55">
        <v>0.6</v>
      </c>
      <c r="P40" s="55">
        <v>0.8</v>
      </c>
      <c r="Q40" s="57">
        <f t="shared" si="0"/>
        <v>0.7</v>
      </c>
      <c r="R40" s="55">
        <v>12.4</v>
      </c>
      <c r="S40" s="55">
        <v>70</v>
      </c>
      <c r="T40" s="57">
        <f t="shared" si="4"/>
        <v>50</v>
      </c>
      <c r="U40" s="165">
        <v>429</v>
      </c>
      <c r="V40" s="58">
        <f t="shared" si="2"/>
        <v>3064.2857142857142</v>
      </c>
      <c r="W40" s="165">
        <v>2</v>
      </c>
      <c r="X40" s="55" t="s">
        <v>46</v>
      </c>
      <c r="Y40" s="55" t="s">
        <v>50</v>
      </c>
      <c r="Z40" s="55" t="s">
        <v>90</v>
      </c>
      <c r="AA40" s="55" t="s">
        <v>69</v>
      </c>
      <c r="AB40" s="55" t="s">
        <v>255</v>
      </c>
    </row>
    <row r="41" spans="1:49" x14ac:dyDescent="0.15">
      <c r="A41" s="55" t="s">
        <v>41</v>
      </c>
      <c r="B41" s="165" t="s">
        <v>253</v>
      </c>
      <c r="C41" s="133">
        <v>2018</v>
      </c>
      <c r="D41" s="56" t="s">
        <v>262</v>
      </c>
      <c r="E41" s="165" t="s">
        <v>240</v>
      </c>
      <c r="F41" s="165" t="s">
        <v>244</v>
      </c>
      <c r="G41" s="55" t="s">
        <v>42</v>
      </c>
      <c r="H41" s="55" t="s">
        <v>155</v>
      </c>
      <c r="I41" s="55" t="s">
        <v>153</v>
      </c>
      <c r="J41" s="55" t="s">
        <v>38</v>
      </c>
      <c r="K41" s="55" t="s">
        <v>154</v>
      </c>
      <c r="L41" s="165">
        <v>1</v>
      </c>
      <c r="N41" s="55">
        <v>1</v>
      </c>
      <c r="O41" s="55">
        <v>0.9</v>
      </c>
      <c r="P41" s="55">
        <v>1</v>
      </c>
      <c r="Q41" s="82">
        <f t="shared" si="0"/>
        <v>0.95</v>
      </c>
      <c r="R41" s="55">
        <v>13.3</v>
      </c>
      <c r="S41" s="55">
        <v>120</v>
      </c>
      <c r="T41" s="57">
        <f t="shared" si="4"/>
        <v>30</v>
      </c>
      <c r="U41" s="165">
        <v>108</v>
      </c>
      <c r="V41" s="58">
        <f t="shared" si="2"/>
        <v>3240</v>
      </c>
      <c r="W41" s="165">
        <v>1</v>
      </c>
      <c r="X41" s="55" t="s">
        <v>46</v>
      </c>
      <c r="Y41" s="55" t="s">
        <v>50</v>
      </c>
      <c r="Z41" s="55" t="s">
        <v>90</v>
      </c>
      <c r="AA41" s="55" t="s">
        <v>69</v>
      </c>
      <c r="AB41" s="55" t="s">
        <v>255</v>
      </c>
    </row>
    <row r="42" spans="1:49" x14ac:dyDescent="0.15">
      <c r="A42" s="55" t="s">
        <v>41</v>
      </c>
      <c r="B42" s="165" t="s">
        <v>253</v>
      </c>
      <c r="C42" s="133">
        <v>2018</v>
      </c>
      <c r="D42" s="56" t="s">
        <v>262</v>
      </c>
      <c r="E42" s="165" t="s">
        <v>240</v>
      </c>
      <c r="F42" s="165" t="s">
        <v>244</v>
      </c>
      <c r="G42" s="55" t="s">
        <v>42</v>
      </c>
      <c r="H42" s="55" t="s">
        <v>155</v>
      </c>
      <c r="I42" s="55" t="s">
        <v>153</v>
      </c>
      <c r="J42" s="55" t="s">
        <v>38</v>
      </c>
      <c r="K42" s="55" t="s">
        <v>154</v>
      </c>
      <c r="L42" s="165">
        <v>2</v>
      </c>
      <c r="N42" s="55">
        <v>1</v>
      </c>
      <c r="O42" s="55">
        <v>0.75</v>
      </c>
      <c r="P42" s="55">
        <v>1.05</v>
      </c>
      <c r="Q42" s="82">
        <f t="shared" si="0"/>
        <v>0.9</v>
      </c>
      <c r="R42" s="55">
        <v>14.1</v>
      </c>
      <c r="S42" s="55">
        <v>130</v>
      </c>
      <c r="T42" s="57">
        <f t="shared" si="4"/>
        <v>25</v>
      </c>
      <c r="U42" s="165">
        <v>108</v>
      </c>
      <c r="V42" s="58">
        <f t="shared" si="2"/>
        <v>2700</v>
      </c>
      <c r="W42" s="165">
        <v>1</v>
      </c>
      <c r="X42" s="55" t="s">
        <v>46</v>
      </c>
      <c r="Y42" s="55" t="s">
        <v>50</v>
      </c>
      <c r="Z42" s="55" t="s">
        <v>90</v>
      </c>
      <c r="AA42" s="55" t="s">
        <v>69</v>
      </c>
      <c r="AB42" s="55" t="s">
        <v>255</v>
      </c>
    </row>
    <row r="43" spans="1:49" x14ac:dyDescent="0.15">
      <c r="A43" s="55" t="s">
        <v>41</v>
      </c>
      <c r="B43" s="165" t="s">
        <v>253</v>
      </c>
      <c r="C43" s="133">
        <v>2018</v>
      </c>
      <c r="D43" s="56" t="s">
        <v>262</v>
      </c>
      <c r="E43" s="165" t="s">
        <v>240</v>
      </c>
      <c r="F43" s="165" t="s">
        <v>244</v>
      </c>
      <c r="G43" s="55" t="s">
        <v>42</v>
      </c>
      <c r="H43" s="55" t="s">
        <v>155</v>
      </c>
      <c r="I43" s="55" t="s">
        <v>153</v>
      </c>
      <c r="J43" s="55" t="s">
        <v>38</v>
      </c>
      <c r="K43" s="55" t="s">
        <v>154</v>
      </c>
      <c r="L43" s="165">
        <v>3</v>
      </c>
      <c r="N43" s="55">
        <v>1</v>
      </c>
      <c r="O43" s="55">
        <v>0.6</v>
      </c>
      <c r="P43" s="55">
        <v>0.8</v>
      </c>
      <c r="Q43" s="57">
        <f t="shared" si="0"/>
        <v>0.7</v>
      </c>
      <c r="R43" s="55">
        <v>13.1</v>
      </c>
      <c r="S43" s="55">
        <v>127</v>
      </c>
      <c r="T43" s="57">
        <f t="shared" si="4"/>
        <v>27</v>
      </c>
      <c r="U43" s="165">
        <v>108</v>
      </c>
      <c r="V43" s="58">
        <f t="shared" si="2"/>
        <v>2916</v>
      </c>
      <c r="W43" s="165">
        <v>1</v>
      </c>
      <c r="X43" s="55" t="s">
        <v>46</v>
      </c>
      <c r="Y43" s="55" t="s">
        <v>50</v>
      </c>
      <c r="Z43" s="55" t="s">
        <v>90</v>
      </c>
      <c r="AA43" s="55" t="s">
        <v>69</v>
      </c>
      <c r="AB43" s="55" t="s">
        <v>255</v>
      </c>
    </row>
    <row r="44" spans="1:49" x14ac:dyDescent="0.15">
      <c r="A44" s="55" t="s">
        <v>41</v>
      </c>
      <c r="B44" s="165" t="s">
        <v>253</v>
      </c>
      <c r="C44" s="133">
        <v>2018</v>
      </c>
      <c r="D44" s="56" t="s">
        <v>262</v>
      </c>
      <c r="E44" s="165" t="s">
        <v>240</v>
      </c>
      <c r="F44" s="165" t="s">
        <v>244</v>
      </c>
      <c r="G44" s="55" t="s">
        <v>42</v>
      </c>
      <c r="H44" s="55" t="s">
        <v>158</v>
      </c>
      <c r="I44" s="55" t="s">
        <v>153</v>
      </c>
      <c r="J44" s="55" t="s">
        <v>38</v>
      </c>
      <c r="K44" s="55" t="s">
        <v>154</v>
      </c>
      <c r="L44" s="165">
        <v>1</v>
      </c>
      <c r="N44" s="55">
        <v>1</v>
      </c>
      <c r="O44" s="55">
        <v>0.45</v>
      </c>
      <c r="P44" s="55">
        <v>0.3</v>
      </c>
      <c r="Q44" s="82">
        <f t="shared" si="0"/>
        <v>0.375</v>
      </c>
      <c r="R44" s="55">
        <v>15.4</v>
      </c>
      <c r="S44" s="55">
        <v>115</v>
      </c>
      <c r="T44" s="57">
        <f t="shared" si="4"/>
        <v>30</v>
      </c>
      <c r="U44" s="165">
        <v>170</v>
      </c>
      <c r="V44" s="58">
        <f t="shared" si="2"/>
        <v>5100</v>
      </c>
      <c r="W44" s="165">
        <v>1</v>
      </c>
      <c r="X44" s="55" t="s">
        <v>46</v>
      </c>
      <c r="Y44" s="55" t="s">
        <v>50</v>
      </c>
      <c r="Z44" s="55" t="s">
        <v>90</v>
      </c>
      <c r="AA44" s="55" t="s">
        <v>69</v>
      </c>
      <c r="AB44" s="55" t="s">
        <v>255</v>
      </c>
      <c r="AC44" s="55"/>
      <c r="AD44" s="55"/>
    </row>
    <row r="45" spans="1:49" x14ac:dyDescent="0.15">
      <c r="A45" s="55" t="s">
        <v>41</v>
      </c>
      <c r="B45" s="165" t="s">
        <v>253</v>
      </c>
      <c r="C45" s="133">
        <v>2018</v>
      </c>
      <c r="D45" s="56" t="s">
        <v>262</v>
      </c>
      <c r="E45" s="165" t="s">
        <v>240</v>
      </c>
      <c r="F45" s="165" t="s">
        <v>244</v>
      </c>
      <c r="G45" s="55" t="s">
        <v>42</v>
      </c>
      <c r="H45" s="55" t="s">
        <v>158</v>
      </c>
      <c r="I45" s="55" t="s">
        <v>153</v>
      </c>
      <c r="J45" s="55" t="s">
        <v>38</v>
      </c>
      <c r="K45" s="55" t="s">
        <v>154</v>
      </c>
      <c r="L45" s="165">
        <v>2</v>
      </c>
      <c r="N45" s="55">
        <v>1</v>
      </c>
      <c r="O45" s="55">
        <v>0.5</v>
      </c>
      <c r="P45" s="55">
        <v>0.4</v>
      </c>
      <c r="Q45" s="82">
        <f t="shared" si="0"/>
        <v>0.45</v>
      </c>
      <c r="R45" s="165">
        <v>16.399999999999999</v>
      </c>
      <c r="S45" s="55">
        <v>110</v>
      </c>
      <c r="T45" s="57">
        <f t="shared" si="4"/>
        <v>33</v>
      </c>
      <c r="U45" s="165">
        <v>170</v>
      </c>
      <c r="V45" s="58">
        <f t="shared" si="2"/>
        <v>5610</v>
      </c>
      <c r="W45" s="165">
        <v>1</v>
      </c>
      <c r="X45" s="55" t="s">
        <v>46</v>
      </c>
      <c r="Y45" s="55" t="s">
        <v>50</v>
      </c>
      <c r="Z45" s="55" t="s">
        <v>90</v>
      </c>
      <c r="AA45" s="55" t="s">
        <v>69</v>
      </c>
      <c r="AB45" s="55" t="s">
        <v>255</v>
      </c>
      <c r="AC45" s="55"/>
      <c r="AD45" s="55"/>
    </row>
    <row r="46" spans="1:49" x14ac:dyDescent="0.15">
      <c r="A46" s="55" t="s">
        <v>41</v>
      </c>
      <c r="B46" s="165" t="s">
        <v>253</v>
      </c>
      <c r="C46" s="133">
        <v>2018</v>
      </c>
      <c r="D46" s="56" t="s">
        <v>262</v>
      </c>
      <c r="E46" s="165" t="s">
        <v>240</v>
      </c>
      <c r="F46" s="165" t="s">
        <v>244</v>
      </c>
      <c r="G46" s="55" t="s">
        <v>42</v>
      </c>
      <c r="H46" s="55" t="s">
        <v>158</v>
      </c>
      <c r="I46" s="55" t="s">
        <v>153</v>
      </c>
      <c r="J46" s="55" t="s">
        <v>38</v>
      </c>
      <c r="K46" s="55" t="s">
        <v>154</v>
      </c>
      <c r="L46" s="165">
        <v>3</v>
      </c>
      <c r="N46" s="55">
        <v>1</v>
      </c>
      <c r="O46" s="55">
        <v>0.35</v>
      </c>
      <c r="P46" s="55">
        <v>0.25</v>
      </c>
      <c r="Q46" s="57">
        <f t="shared" si="0"/>
        <v>0.3</v>
      </c>
      <c r="R46" s="165">
        <v>14.8</v>
      </c>
      <c r="S46" s="55">
        <v>118</v>
      </c>
      <c r="T46" s="57">
        <f t="shared" si="4"/>
        <v>30</v>
      </c>
      <c r="U46" s="165">
        <v>170</v>
      </c>
      <c r="V46" s="58">
        <f t="shared" si="2"/>
        <v>5100</v>
      </c>
      <c r="W46" s="165">
        <v>1</v>
      </c>
      <c r="X46" s="55" t="s">
        <v>46</v>
      </c>
      <c r="Y46" s="55" t="s">
        <v>50</v>
      </c>
      <c r="Z46" s="55" t="s">
        <v>90</v>
      </c>
      <c r="AA46" s="55" t="s">
        <v>69</v>
      </c>
      <c r="AB46" s="55" t="s">
        <v>255</v>
      </c>
      <c r="AC46" s="55"/>
      <c r="AD46" s="55"/>
    </row>
    <row r="47" spans="1:49" x14ac:dyDescent="0.15">
      <c r="A47" s="55" t="s">
        <v>41</v>
      </c>
      <c r="B47" s="165" t="s">
        <v>253</v>
      </c>
      <c r="C47" s="133">
        <v>2018</v>
      </c>
      <c r="D47" s="56" t="s">
        <v>262</v>
      </c>
      <c r="E47" s="165" t="s">
        <v>240</v>
      </c>
      <c r="F47" s="165" t="s">
        <v>244</v>
      </c>
      <c r="G47" s="55" t="s">
        <v>42</v>
      </c>
      <c r="H47" s="55" t="s">
        <v>158</v>
      </c>
      <c r="I47" s="55" t="s">
        <v>153</v>
      </c>
      <c r="J47" s="55" t="s">
        <v>38</v>
      </c>
      <c r="K47" s="55" t="s">
        <v>154</v>
      </c>
      <c r="L47" s="165">
        <v>1</v>
      </c>
      <c r="N47" s="55">
        <v>4</v>
      </c>
      <c r="O47" s="55">
        <v>0.8</v>
      </c>
      <c r="P47" s="55">
        <v>0.7</v>
      </c>
      <c r="Q47" s="82">
        <f t="shared" si="0"/>
        <v>0.75</v>
      </c>
      <c r="R47" s="165">
        <v>15.9</v>
      </c>
      <c r="S47" s="55">
        <v>109</v>
      </c>
      <c r="T47" s="57">
        <f t="shared" si="4"/>
        <v>33</v>
      </c>
      <c r="U47" s="165">
        <v>645</v>
      </c>
      <c r="V47" s="58">
        <f t="shared" si="2"/>
        <v>5321.25</v>
      </c>
      <c r="W47" s="165">
        <v>2</v>
      </c>
      <c r="X47" s="55" t="s">
        <v>46</v>
      </c>
      <c r="Y47" s="55" t="s">
        <v>50</v>
      </c>
      <c r="Z47" s="55" t="s">
        <v>90</v>
      </c>
      <c r="AA47" s="55" t="s">
        <v>69</v>
      </c>
      <c r="AB47" s="55" t="s">
        <v>255</v>
      </c>
    </row>
    <row r="48" spans="1:49" x14ac:dyDescent="0.15">
      <c r="A48" s="55" t="s">
        <v>41</v>
      </c>
      <c r="B48" s="165" t="s">
        <v>253</v>
      </c>
      <c r="C48" s="133">
        <v>2018</v>
      </c>
      <c r="D48" s="56" t="s">
        <v>262</v>
      </c>
      <c r="E48" s="165" t="s">
        <v>240</v>
      </c>
      <c r="F48" s="165" t="s">
        <v>244</v>
      </c>
      <c r="G48" s="55" t="s">
        <v>42</v>
      </c>
      <c r="H48" s="55" t="s">
        <v>158</v>
      </c>
      <c r="I48" s="55" t="s">
        <v>153</v>
      </c>
      <c r="J48" s="55" t="s">
        <v>38</v>
      </c>
      <c r="K48" s="55" t="s">
        <v>154</v>
      </c>
      <c r="L48" s="165">
        <v>2</v>
      </c>
      <c r="N48" s="55">
        <v>4</v>
      </c>
      <c r="O48" s="55">
        <v>0.45</v>
      </c>
      <c r="P48" s="55">
        <v>0.5</v>
      </c>
      <c r="Q48" s="82">
        <f t="shared" si="0"/>
        <v>0.47499999999999998</v>
      </c>
      <c r="R48" s="55">
        <v>14.7</v>
      </c>
      <c r="S48" s="55">
        <v>118</v>
      </c>
      <c r="T48" s="57">
        <f t="shared" si="4"/>
        <v>30</v>
      </c>
      <c r="U48" s="165">
        <v>645</v>
      </c>
      <c r="V48" s="58">
        <f t="shared" si="2"/>
        <v>4837.5</v>
      </c>
      <c r="W48" s="165">
        <v>2</v>
      </c>
      <c r="X48" s="55" t="s">
        <v>46</v>
      </c>
      <c r="Y48" s="55" t="s">
        <v>50</v>
      </c>
      <c r="Z48" s="55" t="s">
        <v>90</v>
      </c>
      <c r="AA48" s="55" t="s">
        <v>69</v>
      </c>
      <c r="AB48" s="55" t="s">
        <v>255</v>
      </c>
    </row>
    <row r="49" spans="1:30" x14ac:dyDescent="0.15">
      <c r="A49" s="55" t="s">
        <v>41</v>
      </c>
      <c r="B49" s="165" t="s">
        <v>253</v>
      </c>
      <c r="C49" s="133">
        <v>2018</v>
      </c>
      <c r="D49" s="56" t="s">
        <v>262</v>
      </c>
      <c r="E49" s="165" t="s">
        <v>240</v>
      </c>
      <c r="F49" s="165" t="s">
        <v>244</v>
      </c>
      <c r="G49" s="55" t="s">
        <v>42</v>
      </c>
      <c r="H49" s="55" t="s">
        <v>158</v>
      </c>
      <c r="I49" s="55" t="s">
        <v>153</v>
      </c>
      <c r="J49" s="55" t="s">
        <v>38</v>
      </c>
      <c r="K49" s="55" t="s">
        <v>154</v>
      </c>
      <c r="L49" s="165">
        <v>3</v>
      </c>
      <c r="N49" s="55">
        <v>4</v>
      </c>
      <c r="O49" s="55">
        <v>0.5</v>
      </c>
      <c r="P49" s="55">
        <v>0.65</v>
      </c>
      <c r="Q49" s="57">
        <f t="shared" si="0"/>
        <v>0.57499999999999996</v>
      </c>
      <c r="R49" s="55">
        <v>16.8</v>
      </c>
      <c r="S49" s="55">
        <v>120</v>
      </c>
      <c r="T49" s="57">
        <f t="shared" si="4"/>
        <v>30</v>
      </c>
      <c r="U49" s="55">
        <v>645</v>
      </c>
      <c r="V49" s="58">
        <f t="shared" si="2"/>
        <v>4837.5</v>
      </c>
      <c r="W49" s="165">
        <v>2</v>
      </c>
      <c r="X49" s="55" t="s">
        <v>46</v>
      </c>
      <c r="Y49" s="55" t="s">
        <v>50</v>
      </c>
      <c r="Z49" s="55" t="s">
        <v>90</v>
      </c>
      <c r="AA49" s="55" t="s">
        <v>69</v>
      </c>
      <c r="AB49" s="55" t="s">
        <v>255</v>
      </c>
    </row>
    <row r="50" spans="1:30" x14ac:dyDescent="0.15">
      <c r="A50" s="55" t="s">
        <v>41</v>
      </c>
      <c r="B50" s="165" t="s">
        <v>253</v>
      </c>
      <c r="C50" s="133">
        <v>2018</v>
      </c>
      <c r="D50" s="56" t="s">
        <v>262</v>
      </c>
      <c r="E50" s="165" t="s">
        <v>240</v>
      </c>
      <c r="F50" s="165" t="s">
        <v>244</v>
      </c>
      <c r="G50" s="55" t="s">
        <v>42</v>
      </c>
      <c r="H50" s="55" t="s">
        <v>155</v>
      </c>
      <c r="I50" s="55" t="s">
        <v>153</v>
      </c>
      <c r="J50" s="55" t="s">
        <v>38</v>
      </c>
      <c r="K50" s="55" t="s">
        <v>154</v>
      </c>
      <c r="L50" s="165">
        <v>1</v>
      </c>
      <c r="N50" s="55">
        <v>9</v>
      </c>
      <c r="O50" s="55">
        <v>0.75</v>
      </c>
      <c r="P50" s="55">
        <v>0.8</v>
      </c>
      <c r="Q50" s="57">
        <f t="shared" si="0"/>
        <v>0.77500000000000002</v>
      </c>
      <c r="R50" s="55">
        <v>15.1</v>
      </c>
      <c r="S50" s="165">
        <v>154</v>
      </c>
      <c r="T50" s="57">
        <f t="shared" si="4"/>
        <v>22</v>
      </c>
      <c r="U50" s="165">
        <v>626</v>
      </c>
      <c r="V50" s="58">
        <f t="shared" si="2"/>
        <v>1530.2222222222222</v>
      </c>
      <c r="W50" s="165">
        <v>3</v>
      </c>
      <c r="X50" s="55" t="s">
        <v>46</v>
      </c>
      <c r="Y50" s="55" t="s">
        <v>50</v>
      </c>
      <c r="Z50" s="55" t="s">
        <v>90</v>
      </c>
      <c r="AA50" s="55" t="s">
        <v>69</v>
      </c>
      <c r="AB50" s="55" t="s">
        <v>255</v>
      </c>
    </row>
    <row r="51" spans="1:30" x14ac:dyDescent="0.15">
      <c r="A51" s="55" t="s">
        <v>41</v>
      </c>
      <c r="B51" s="165" t="s">
        <v>253</v>
      </c>
      <c r="C51" s="133">
        <v>2018</v>
      </c>
      <c r="D51" s="56" t="s">
        <v>262</v>
      </c>
      <c r="E51" s="165" t="s">
        <v>240</v>
      </c>
      <c r="F51" s="165" t="s">
        <v>244</v>
      </c>
      <c r="G51" s="55" t="s">
        <v>42</v>
      </c>
      <c r="H51" s="55" t="s">
        <v>155</v>
      </c>
      <c r="I51" s="55" t="s">
        <v>153</v>
      </c>
      <c r="J51" s="55" t="s">
        <v>38</v>
      </c>
      <c r="K51" s="55" t="s">
        <v>154</v>
      </c>
      <c r="L51" s="165">
        <v>2</v>
      </c>
      <c r="N51" s="55">
        <v>9</v>
      </c>
      <c r="O51" s="55">
        <v>0.9</v>
      </c>
      <c r="P51" s="55">
        <v>0.85</v>
      </c>
      <c r="Q51" s="57">
        <f t="shared" si="0"/>
        <v>0.875</v>
      </c>
      <c r="R51" s="55">
        <v>13</v>
      </c>
      <c r="S51" s="165">
        <v>149</v>
      </c>
      <c r="T51" s="57">
        <f t="shared" si="4"/>
        <v>22</v>
      </c>
      <c r="U51" s="165">
        <v>626</v>
      </c>
      <c r="V51" s="58">
        <f t="shared" si="2"/>
        <v>1530.2222222222222</v>
      </c>
      <c r="W51" s="165">
        <v>3</v>
      </c>
      <c r="X51" s="55" t="s">
        <v>46</v>
      </c>
      <c r="Y51" s="55" t="s">
        <v>50</v>
      </c>
      <c r="Z51" s="55" t="s">
        <v>90</v>
      </c>
      <c r="AA51" s="55" t="s">
        <v>69</v>
      </c>
      <c r="AB51" s="55" t="s">
        <v>255</v>
      </c>
    </row>
    <row r="52" spans="1:30" x14ac:dyDescent="0.15">
      <c r="A52" s="55" t="s">
        <v>41</v>
      </c>
      <c r="B52" s="165" t="s">
        <v>253</v>
      </c>
      <c r="C52" s="133">
        <v>2018</v>
      </c>
      <c r="D52" s="56" t="s">
        <v>262</v>
      </c>
      <c r="E52" s="165" t="s">
        <v>240</v>
      </c>
      <c r="F52" s="165" t="s">
        <v>244</v>
      </c>
      <c r="G52" s="55" t="s">
        <v>42</v>
      </c>
      <c r="H52" s="55" t="s">
        <v>155</v>
      </c>
      <c r="I52" s="55" t="s">
        <v>153</v>
      </c>
      <c r="J52" s="55" t="s">
        <v>38</v>
      </c>
      <c r="K52" s="55" t="s">
        <v>154</v>
      </c>
      <c r="L52" s="165">
        <v>3</v>
      </c>
      <c r="N52" s="55">
        <v>9</v>
      </c>
      <c r="O52" s="55">
        <v>1</v>
      </c>
      <c r="P52" s="55">
        <v>1.2</v>
      </c>
      <c r="Q52" s="57">
        <f t="shared" si="0"/>
        <v>1.1000000000000001</v>
      </c>
      <c r="R52" s="55">
        <v>14.2</v>
      </c>
      <c r="S52" s="165">
        <v>161</v>
      </c>
      <c r="T52" s="57">
        <f t="shared" si="4"/>
        <v>22</v>
      </c>
      <c r="U52" s="55">
        <v>626</v>
      </c>
      <c r="V52" s="58">
        <f t="shared" si="2"/>
        <v>1530.2222222222222</v>
      </c>
      <c r="W52" s="165">
        <v>3</v>
      </c>
      <c r="X52" s="55" t="s">
        <v>46</v>
      </c>
      <c r="Y52" s="55" t="s">
        <v>50</v>
      </c>
      <c r="Z52" s="55" t="s">
        <v>90</v>
      </c>
      <c r="AA52" s="55" t="s">
        <v>69</v>
      </c>
      <c r="AB52" s="55" t="s">
        <v>255</v>
      </c>
    </row>
    <row r="53" spans="1:30" x14ac:dyDescent="0.15">
      <c r="A53" s="55" t="s">
        <v>41</v>
      </c>
      <c r="B53" s="165" t="s">
        <v>253</v>
      </c>
      <c r="C53" s="133">
        <v>2018</v>
      </c>
      <c r="D53" s="56" t="s">
        <v>262</v>
      </c>
      <c r="E53" s="165" t="s">
        <v>240</v>
      </c>
      <c r="F53" s="165" t="s">
        <v>244</v>
      </c>
      <c r="G53" s="55" t="s">
        <v>42</v>
      </c>
      <c r="H53" s="55" t="s">
        <v>155</v>
      </c>
      <c r="I53" s="55" t="s">
        <v>153</v>
      </c>
      <c r="J53" s="55" t="s">
        <v>38</v>
      </c>
      <c r="K53" s="55" t="s">
        <v>154</v>
      </c>
      <c r="L53" s="165">
        <v>1</v>
      </c>
      <c r="N53" s="165">
        <v>5</v>
      </c>
      <c r="O53" s="55">
        <v>1.5</v>
      </c>
      <c r="P53" s="55">
        <v>1.3</v>
      </c>
      <c r="Q53" s="57">
        <f t="shared" si="0"/>
        <v>1.4</v>
      </c>
      <c r="R53" s="55">
        <v>13.6</v>
      </c>
      <c r="S53" s="165">
        <v>129</v>
      </c>
      <c r="T53" s="57">
        <f t="shared" si="4"/>
        <v>25</v>
      </c>
      <c r="U53" s="165">
        <v>429</v>
      </c>
      <c r="V53" s="58">
        <f t="shared" si="2"/>
        <v>2145</v>
      </c>
      <c r="W53" s="165">
        <v>2</v>
      </c>
      <c r="X53" s="55" t="s">
        <v>46</v>
      </c>
      <c r="Y53" s="55" t="s">
        <v>50</v>
      </c>
      <c r="Z53" s="55" t="s">
        <v>90</v>
      </c>
      <c r="AA53" s="55" t="s">
        <v>69</v>
      </c>
      <c r="AB53" s="55" t="s">
        <v>255</v>
      </c>
    </row>
    <row r="54" spans="1:30" x14ac:dyDescent="0.15">
      <c r="A54" s="55" t="s">
        <v>41</v>
      </c>
      <c r="B54" s="165" t="s">
        <v>253</v>
      </c>
      <c r="C54" s="133">
        <v>2018</v>
      </c>
      <c r="D54" s="56" t="s">
        <v>262</v>
      </c>
      <c r="E54" s="165" t="s">
        <v>240</v>
      </c>
      <c r="F54" s="165" t="s">
        <v>244</v>
      </c>
      <c r="G54" s="55" t="s">
        <v>42</v>
      </c>
      <c r="H54" s="55" t="s">
        <v>155</v>
      </c>
      <c r="I54" s="55" t="s">
        <v>153</v>
      </c>
      <c r="J54" s="55" t="s">
        <v>38</v>
      </c>
      <c r="K54" s="55" t="s">
        <v>154</v>
      </c>
      <c r="L54" s="165">
        <v>2</v>
      </c>
      <c r="N54" s="165">
        <v>5</v>
      </c>
      <c r="O54" s="55">
        <v>1</v>
      </c>
      <c r="P54" s="55">
        <v>1.05</v>
      </c>
      <c r="Q54" s="57">
        <f t="shared" si="0"/>
        <v>1.0249999999999999</v>
      </c>
      <c r="R54" s="165">
        <v>14</v>
      </c>
      <c r="S54" s="165">
        <v>134</v>
      </c>
      <c r="T54" s="57">
        <f t="shared" si="4"/>
        <v>25</v>
      </c>
      <c r="U54" s="165">
        <v>429</v>
      </c>
      <c r="V54" s="58">
        <f t="shared" si="2"/>
        <v>2145</v>
      </c>
      <c r="W54" s="165">
        <v>2</v>
      </c>
      <c r="X54" s="55" t="s">
        <v>46</v>
      </c>
      <c r="Y54" s="55" t="s">
        <v>50</v>
      </c>
      <c r="Z54" s="55" t="s">
        <v>90</v>
      </c>
      <c r="AA54" s="55" t="s">
        <v>69</v>
      </c>
      <c r="AB54" s="55" t="s">
        <v>255</v>
      </c>
    </row>
    <row r="55" spans="1:30" x14ac:dyDescent="0.15">
      <c r="A55" s="55" t="s">
        <v>41</v>
      </c>
      <c r="B55" s="165" t="s">
        <v>253</v>
      </c>
      <c r="C55" s="133">
        <v>2018</v>
      </c>
      <c r="D55" s="56" t="s">
        <v>262</v>
      </c>
      <c r="E55" s="165" t="s">
        <v>240</v>
      </c>
      <c r="F55" s="165" t="s">
        <v>244</v>
      </c>
      <c r="G55" s="55" t="s">
        <v>42</v>
      </c>
      <c r="H55" s="55" t="s">
        <v>155</v>
      </c>
      <c r="I55" s="55" t="s">
        <v>153</v>
      </c>
      <c r="J55" s="55" t="s">
        <v>38</v>
      </c>
      <c r="K55" s="55" t="s">
        <v>154</v>
      </c>
      <c r="L55" s="165">
        <v>3</v>
      </c>
      <c r="N55" s="165">
        <v>5</v>
      </c>
      <c r="O55" s="55">
        <v>0.95</v>
      </c>
      <c r="P55" s="55">
        <v>1</v>
      </c>
      <c r="Q55" s="57">
        <f t="shared" si="0"/>
        <v>0.97499999999999998</v>
      </c>
      <c r="R55" s="165">
        <v>13.5</v>
      </c>
      <c r="S55" s="165">
        <v>128</v>
      </c>
      <c r="T55" s="57">
        <f t="shared" si="4"/>
        <v>27</v>
      </c>
      <c r="U55" s="165">
        <v>429</v>
      </c>
      <c r="V55" s="58">
        <f t="shared" si="2"/>
        <v>2316.6</v>
      </c>
      <c r="W55" s="165">
        <v>2</v>
      </c>
      <c r="X55" s="55" t="s">
        <v>46</v>
      </c>
      <c r="Y55" s="55" t="s">
        <v>50</v>
      </c>
      <c r="Z55" s="55" t="s">
        <v>90</v>
      </c>
      <c r="AA55" s="55" t="s">
        <v>69</v>
      </c>
      <c r="AB55" s="55" t="s">
        <v>255</v>
      </c>
    </row>
    <row r="56" spans="1:30" x14ac:dyDescent="0.15">
      <c r="A56" s="55" t="s">
        <v>41</v>
      </c>
      <c r="B56" s="165" t="s">
        <v>253</v>
      </c>
      <c r="C56" s="133">
        <v>2018</v>
      </c>
      <c r="D56" s="56" t="s">
        <v>262</v>
      </c>
      <c r="E56" s="165" t="s">
        <v>240</v>
      </c>
      <c r="F56" s="165" t="s">
        <v>246</v>
      </c>
      <c r="G56" s="55" t="s">
        <v>42</v>
      </c>
      <c r="H56" s="55" t="s">
        <v>129</v>
      </c>
      <c r="I56" s="55" t="s">
        <v>153</v>
      </c>
      <c r="J56" s="55" t="s">
        <v>111</v>
      </c>
      <c r="K56" s="55" t="s">
        <v>126</v>
      </c>
      <c r="L56" s="165">
        <v>1</v>
      </c>
      <c r="N56" s="55">
        <v>7</v>
      </c>
      <c r="O56" s="55">
        <v>0.45</v>
      </c>
      <c r="P56" s="55">
        <v>0.4</v>
      </c>
      <c r="Q56" s="82">
        <f t="shared" si="0"/>
        <v>0.42500000000000004</v>
      </c>
      <c r="R56" s="55">
        <v>13.4</v>
      </c>
      <c r="S56" s="55">
        <v>60</v>
      </c>
      <c r="T56" s="57">
        <f t="shared" si="4"/>
        <v>50</v>
      </c>
      <c r="U56" s="165">
        <v>537</v>
      </c>
      <c r="V56" s="58">
        <f t="shared" si="2"/>
        <v>3835.7142857142853</v>
      </c>
      <c r="W56" s="165">
        <v>2</v>
      </c>
      <c r="X56" s="55" t="s">
        <v>46</v>
      </c>
      <c r="Y56" s="55" t="s">
        <v>84</v>
      </c>
      <c r="Z56" s="55" t="s">
        <v>50</v>
      </c>
      <c r="AA56" s="55" t="s">
        <v>90</v>
      </c>
      <c r="AB56" s="55" t="s">
        <v>255</v>
      </c>
    </row>
    <row r="57" spans="1:30" x14ac:dyDescent="0.15">
      <c r="A57" s="55" t="s">
        <v>41</v>
      </c>
      <c r="B57" s="165" t="s">
        <v>253</v>
      </c>
      <c r="C57" s="133">
        <v>2018</v>
      </c>
      <c r="D57" s="56" t="s">
        <v>262</v>
      </c>
      <c r="E57" s="165" t="s">
        <v>240</v>
      </c>
      <c r="F57" s="165" t="s">
        <v>246</v>
      </c>
      <c r="G57" s="55" t="s">
        <v>42</v>
      </c>
      <c r="H57" s="55" t="s">
        <v>129</v>
      </c>
      <c r="I57" s="55" t="s">
        <v>153</v>
      </c>
      <c r="J57" s="55" t="s">
        <v>111</v>
      </c>
      <c r="K57" s="55" t="s">
        <v>126</v>
      </c>
      <c r="L57" s="165">
        <v>2</v>
      </c>
      <c r="N57" s="55">
        <v>7</v>
      </c>
      <c r="O57" s="55">
        <v>0.35</v>
      </c>
      <c r="P57" s="55">
        <v>0.4</v>
      </c>
      <c r="Q57" s="82">
        <f t="shared" si="0"/>
        <v>0.375</v>
      </c>
      <c r="R57" s="165">
        <v>16.2</v>
      </c>
      <c r="S57" s="55">
        <v>71</v>
      </c>
      <c r="T57" s="57">
        <f t="shared" si="4"/>
        <v>42</v>
      </c>
      <c r="U57" s="165">
        <v>537</v>
      </c>
      <c r="V57" s="58">
        <f t="shared" si="2"/>
        <v>3221.9999999999995</v>
      </c>
      <c r="W57" s="165">
        <v>2</v>
      </c>
      <c r="X57" s="55" t="s">
        <v>46</v>
      </c>
      <c r="Y57" s="55" t="s">
        <v>84</v>
      </c>
      <c r="Z57" s="55" t="s">
        <v>50</v>
      </c>
      <c r="AA57" s="55" t="s">
        <v>90</v>
      </c>
      <c r="AB57" s="55" t="s">
        <v>255</v>
      </c>
    </row>
    <row r="58" spans="1:30" x14ac:dyDescent="0.15">
      <c r="A58" s="55" t="s">
        <v>41</v>
      </c>
      <c r="B58" s="165" t="s">
        <v>253</v>
      </c>
      <c r="C58" s="133">
        <v>2018</v>
      </c>
      <c r="D58" s="56" t="s">
        <v>262</v>
      </c>
      <c r="E58" s="165" t="s">
        <v>240</v>
      </c>
      <c r="F58" s="165" t="s">
        <v>246</v>
      </c>
      <c r="G58" s="55" t="s">
        <v>42</v>
      </c>
      <c r="H58" s="55" t="s">
        <v>129</v>
      </c>
      <c r="I58" s="55" t="s">
        <v>153</v>
      </c>
      <c r="J58" s="55" t="s">
        <v>111</v>
      </c>
      <c r="K58" s="55" t="s">
        <v>126</v>
      </c>
      <c r="L58" s="165">
        <v>3</v>
      </c>
      <c r="N58" s="55">
        <v>7</v>
      </c>
      <c r="O58" s="55">
        <v>0.3</v>
      </c>
      <c r="P58" s="55">
        <v>0.35</v>
      </c>
      <c r="Q58" s="57">
        <f t="shared" si="0"/>
        <v>0.32499999999999996</v>
      </c>
      <c r="R58" s="165">
        <v>14.7</v>
      </c>
      <c r="S58" s="55">
        <v>68</v>
      </c>
      <c r="T58" s="57">
        <f t="shared" si="4"/>
        <v>50</v>
      </c>
      <c r="U58" s="165">
        <v>537</v>
      </c>
      <c r="V58" s="58">
        <f t="shared" si="2"/>
        <v>3835.7142857142853</v>
      </c>
      <c r="W58" s="165">
        <v>2</v>
      </c>
      <c r="X58" s="55" t="s">
        <v>46</v>
      </c>
      <c r="Y58" s="55" t="s">
        <v>84</v>
      </c>
      <c r="Z58" s="55" t="s">
        <v>50</v>
      </c>
      <c r="AA58" s="55" t="s">
        <v>90</v>
      </c>
      <c r="AB58" s="55" t="s">
        <v>255</v>
      </c>
    </row>
    <row r="59" spans="1:30" x14ac:dyDescent="0.15">
      <c r="A59" s="55" t="s">
        <v>41</v>
      </c>
      <c r="B59" s="165" t="s">
        <v>253</v>
      </c>
      <c r="C59" s="133">
        <v>2018</v>
      </c>
      <c r="D59" s="56" t="s">
        <v>262</v>
      </c>
      <c r="E59" s="165" t="s">
        <v>240</v>
      </c>
      <c r="F59" s="165" t="s">
        <v>246</v>
      </c>
      <c r="G59" s="55" t="s">
        <v>42</v>
      </c>
      <c r="H59" s="55" t="s">
        <v>155</v>
      </c>
      <c r="I59" s="55" t="s">
        <v>153</v>
      </c>
      <c r="J59" s="55" t="s">
        <v>38</v>
      </c>
      <c r="K59" s="55" t="s">
        <v>154</v>
      </c>
      <c r="L59" s="165">
        <v>1</v>
      </c>
      <c r="N59" s="55">
        <v>1</v>
      </c>
      <c r="O59" s="55">
        <v>0.75</v>
      </c>
      <c r="P59" s="55">
        <v>0.95</v>
      </c>
      <c r="Q59" s="57">
        <f t="shared" si="0"/>
        <v>0.85</v>
      </c>
      <c r="R59" s="55">
        <v>15</v>
      </c>
      <c r="S59" s="165">
        <v>130</v>
      </c>
      <c r="T59" s="57">
        <f t="shared" si="4"/>
        <v>25</v>
      </c>
      <c r="U59" s="165">
        <v>170</v>
      </c>
      <c r="V59" s="58">
        <f t="shared" si="2"/>
        <v>4250</v>
      </c>
      <c r="W59" s="165">
        <v>1</v>
      </c>
      <c r="X59" s="55" t="s">
        <v>46</v>
      </c>
      <c r="Y59" s="55" t="s">
        <v>84</v>
      </c>
      <c r="Z59" s="55" t="s">
        <v>50</v>
      </c>
      <c r="AA59" s="55" t="s">
        <v>90</v>
      </c>
      <c r="AB59" s="55" t="s">
        <v>255</v>
      </c>
      <c r="AC59" s="55"/>
      <c r="AD59" s="55"/>
    </row>
    <row r="60" spans="1:30" x14ac:dyDescent="0.15">
      <c r="A60" s="55" t="s">
        <v>41</v>
      </c>
      <c r="B60" s="165" t="s">
        <v>253</v>
      </c>
      <c r="C60" s="133">
        <v>2018</v>
      </c>
      <c r="D60" s="56" t="s">
        <v>262</v>
      </c>
      <c r="E60" s="165" t="s">
        <v>240</v>
      </c>
      <c r="F60" s="165" t="s">
        <v>246</v>
      </c>
      <c r="G60" s="55" t="s">
        <v>42</v>
      </c>
      <c r="H60" s="55" t="s">
        <v>155</v>
      </c>
      <c r="I60" s="55" t="s">
        <v>153</v>
      </c>
      <c r="J60" s="55" t="s">
        <v>38</v>
      </c>
      <c r="K60" s="55" t="s">
        <v>154</v>
      </c>
      <c r="L60" s="165">
        <v>2</v>
      </c>
      <c r="N60" s="55">
        <v>1</v>
      </c>
      <c r="O60" s="55">
        <v>0.8</v>
      </c>
      <c r="P60" s="55">
        <v>0.9</v>
      </c>
      <c r="Q60" s="57">
        <f t="shared" si="0"/>
        <v>0.85000000000000009</v>
      </c>
      <c r="R60" s="55">
        <v>14.2</v>
      </c>
      <c r="S60" s="165">
        <v>125</v>
      </c>
      <c r="T60" s="57">
        <f t="shared" si="4"/>
        <v>27</v>
      </c>
      <c r="U60" s="165">
        <v>170</v>
      </c>
      <c r="V60" s="58">
        <f t="shared" si="2"/>
        <v>4590</v>
      </c>
      <c r="W60" s="165">
        <v>1</v>
      </c>
      <c r="X60" s="55" t="s">
        <v>46</v>
      </c>
      <c r="Y60" s="55" t="s">
        <v>84</v>
      </c>
      <c r="Z60" s="55" t="s">
        <v>50</v>
      </c>
      <c r="AA60" s="55" t="s">
        <v>90</v>
      </c>
      <c r="AB60" s="55" t="s">
        <v>255</v>
      </c>
      <c r="AC60" s="55"/>
      <c r="AD60" s="55"/>
    </row>
    <row r="61" spans="1:30" x14ac:dyDescent="0.15">
      <c r="A61" s="55" t="s">
        <v>41</v>
      </c>
      <c r="B61" s="165" t="s">
        <v>253</v>
      </c>
      <c r="C61" s="133">
        <v>2018</v>
      </c>
      <c r="D61" s="56" t="s">
        <v>262</v>
      </c>
      <c r="E61" s="165" t="s">
        <v>240</v>
      </c>
      <c r="F61" s="165" t="s">
        <v>246</v>
      </c>
      <c r="G61" s="55" t="s">
        <v>42</v>
      </c>
      <c r="H61" s="55" t="s">
        <v>155</v>
      </c>
      <c r="I61" s="55" t="s">
        <v>153</v>
      </c>
      <c r="J61" s="55" t="s">
        <v>38</v>
      </c>
      <c r="K61" s="55" t="s">
        <v>154</v>
      </c>
      <c r="L61" s="165">
        <v>3</v>
      </c>
      <c r="N61" s="55">
        <v>1</v>
      </c>
      <c r="O61" s="55">
        <v>1.2</v>
      </c>
      <c r="P61" s="55">
        <v>1.1000000000000001</v>
      </c>
      <c r="Q61" s="57">
        <f t="shared" si="0"/>
        <v>1.1499999999999999</v>
      </c>
      <c r="R61" s="55">
        <v>13.1</v>
      </c>
      <c r="S61" s="165">
        <v>124</v>
      </c>
      <c r="T61" s="57">
        <f t="shared" si="4"/>
        <v>27</v>
      </c>
      <c r="U61" s="55">
        <v>170</v>
      </c>
      <c r="V61" s="58">
        <f t="shared" si="2"/>
        <v>4590</v>
      </c>
      <c r="W61" s="165">
        <v>1</v>
      </c>
      <c r="X61" s="55" t="s">
        <v>46</v>
      </c>
      <c r="Y61" s="55" t="s">
        <v>84</v>
      </c>
      <c r="Z61" s="55" t="s">
        <v>50</v>
      </c>
      <c r="AA61" s="55" t="s">
        <v>90</v>
      </c>
      <c r="AB61" s="55" t="s">
        <v>255</v>
      </c>
      <c r="AC61" s="55"/>
      <c r="AD61" s="55"/>
    </row>
    <row r="62" spans="1:30" x14ac:dyDescent="0.15">
      <c r="A62" s="55" t="s">
        <v>41</v>
      </c>
      <c r="B62" s="165" t="s">
        <v>253</v>
      </c>
      <c r="C62" s="133">
        <v>2018</v>
      </c>
      <c r="D62" s="56" t="s">
        <v>262</v>
      </c>
      <c r="E62" s="165" t="s">
        <v>240</v>
      </c>
      <c r="F62" s="165" t="s">
        <v>246</v>
      </c>
      <c r="G62" s="55" t="s">
        <v>42</v>
      </c>
      <c r="H62" s="55" t="s">
        <v>155</v>
      </c>
      <c r="I62" s="55" t="s">
        <v>153</v>
      </c>
      <c r="J62" s="55" t="s">
        <v>38</v>
      </c>
      <c r="K62" s="55" t="s">
        <v>154</v>
      </c>
      <c r="L62" s="165">
        <v>1</v>
      </c>
      <c r="N62" s="55">
        <v>5</v>
      </c>
      <c r="O62" s="165">
        <v>0.25</v>
      </c>
      <c r="P62" s="165">
        <v>0.3</v>
      </c>
      <c r="Q62" s="57">
        <f t="shared" si="0"/>
        <v>0.27500000000000002</v>
      </c>
      <c r="R62" s="55">
        <v>15.9</v>
      </c>
      <c r="S62" s="165">
        <v>118</v>
      </c>
      <c r="T62" s="57">
        <f t="shared" si="4"/>
        <v>30</v>
      </c>
      <c r="U62" s="165">
        <v>429</v>
      </c>
      <c r="V62" s="58">
        <f t="shared" si="2"/>
        <v>2574</v>
      </c>
      <c r="W62" s="165">
        <v>1</v>
      </c>
      <c r="X62" s="55" t="s">
        <v>46</v>
      </c>
      <c r="Y62" s="55" t="s">
        <v>84</v>
      </c>
      <c r="Z62" s="55" t="s">
        <v>50</v>
      </c>
      <c r="AA62" s="55" t="s">
        <v>90</v>
      </c>
      <c r="AB62" s="55" t="s">
        <v>255</v>
      </c>
      <c r="AC62" s="55"/>
      <c r="AD62" s="55"/>
    </row>
    <row r="63" spans="1:30" x14ac:dyDescent="0.15">
      <c r="A63" s="55" t="s">
        <v>41</v>
      </c>
      <c r="B63" s="165" t="s">
        <v>253</v>
      </c>
      <c r="C63" s="133">
        <v>2018</v>
      </c>
      <c r="D63" s="56" t="s">
        <v>262</v>
      </c>
      <c r="E63" s="165" t="s">
        <v>240</v>
      </c>
      <c r="F63" s="165" t="s">
        <v>246</v>
      </c>
      <c r="G63" s="55" t="s">
        <v>42</v>
      </c>
      <c r="H63" s="55" t="s">
        <v>155</v>
      </c>
      <c r="I63" s="55" t="s">
        <v>153</v>
      </c>
      <c r="J63" s="55" t="s">
        <v>38</v>
      </c>
      <c r="K63" s="55" t="s">
        <v>154</v>
      </c>
      <c r="L63" s="165">
        <v>2</v>
      </c>
      <c r="N63" s="55">
        <v>5</v>
      </c>
      <c r="O63" s="165">
        <v>0.25</v>
      </c>
      <c r="P63" s="165">
        <v>0.3</v>
      </c>
      <c r="Q63" s="57">
        <f t="shared" si="0"/>
        <v>0.27500000000000002</v>
      </c>
      <c r="R63" s="55">
        <v>16.100000000000001</v>
      </c>
      <c r="S63" s="165">
        <v>120</v>
      </c>
      <c r="T63" s="57">
        <f t="shared" si="4"/>
        <v>30</v>
      </c>
      <c r="U63" s="165">
        <v>429</v>
      </c>
      <c r="V63" s="58">
        <f t="shared" si="2"/>
        <v>2574</v>
      </c>
      <c r="W63" s="165">
        <v>1</v>
      </c>
      <c r="X63" s="55" t="s">
        <v>46</v>
      </c>
      <c r="Y63" s="55" t="s">
        <v>84</v>
      </c>
      <c r="Z63" s="55" t="s">
        <v>50</v>
      </c>
      <c r="AA63" s="55" t="s">
        <v>90</v>
      </c>
      <c r="AB63" s="55" t="s">
        <v>255</v>
      </c>
    </row>
    <row r="64" spans="1:30" x14ac:dyDescent="0.15">
      <c r="A64" s="55" t="s">
        <v>41</v>
      </c>
      <c r="B64" s="165" t="s">
        <v>253</v>
      </c>
      <c r="C64" s="133">
        <v>2018</v>
      </c>
      <c r="D64" s="56" t="s">
        <v>262</v>
      </c>
      <c r="E64" s="165" t="s">
        <v>240</v>
      </c>
      <c r="F64" s="165" t="s">
        <v>246</v>
      </c>
      <c r="G64" s="55" t="s">
        <v>42</v>
      </c>
      <c r="H64" s="55" t="s">
        <v>155</v>
      </c>
      <c r="I64" s="55" t="s">
        <v>153</v>
      </c>
      <c r="J64" s="55" t="s">
        <v>38</v>
      </c>
      <c r="K64" s="55" t="s">
        <v>154</v>
      </c>
      <c r="L64" s="165">
        <v>3</v>
      </c>
      <c r="N64" s="55">
        <v>5</v>
      </c>
      <c r="O64" s="165">
        <v>0.25</v>
      </c>
      <c r="P64" s="165">
        <v>0.25</v>
      </c>
      <c r="Q64" s="57">
        <f t="shared" si="0"/>
        <v>0.25</v>
      </c>
      <c r="R64" s="55">
        <v>13.6</v>
      </c>
      <c r="S64" s="165">
        <v>122</v>
      </c>
      <c r="T64" s="57">
        <f t="shared" si="4"/>
        <v>27</v>
      </c>
      <c r="U64" s="55">
        <v>429</v>
      </c>
      <c r="V64" s="58">
        <f t="shared" si="2"/>
        <v>2316.6</v>
      </c>
      <c r="W64" s="165">
        <v>1</v>
      </c>
      <c r="X64" s="55" t="s">
        <v>46</v>
      </c>
      <c r="Y64" s="55" t="s">
        <v>84</v>
      </c>
      <c r="Z64" s="55" t="s">
        <v>50</v>
      </c>
      <c r="AA64" s="55" t="s">
        <v>90</v>
      </c>
      <c r="AB64" s="55" t="s">
        <v>255</v>
      </c>
    </row>
    <row r="65" spans="1:30" x14ac:dyDescent="0.15">
      <c r="A65" s="55" t="s">
        <v>41</v>
      </c>
      <c r="B65" s="165" t="s">
        <v>253</v>
      </c>
      <c r="C65" s="133">
        <v>2018</v>
      </c>
      <c r="D65" s="56" t="s">
        <v>262</v>
      </c>
      <c r="E65" s="165" t="s">
        <v>240</v>
      </c>
      <c r="F65" s="165" t="s">
        <v>246</v>
      </c>
      <c r="G65" s="55" t="s">
        <v>42</v>
      </c>
      <c r="H65" s="55" t="s">
        <v>155</v>
      </c>
      <c r="I65" s="55" t="s">
        <v>153</v>
      </c>
      <c r="J65" s="55" t="s">
        <v>38</v>
      </c>
      <c r="K65" s="55" t="s">
        <v>154</v>
      </c>
      <c r="L65" s="165">
        <v>1</v>
      </c>
      <c r="N65" s="55">
        <v>8</v>
      </c>
      <c r="O65" s="55">
        <v>0.35</v>
      </c>
      <c r="P65" s="55">
        <v>0.45</v>
      </c>
      <c r="Q65" s="57">
        <f t="shared" si="0"/>
        <v>0.4</v>
      </c>
      <c r="R65" s="165">
        <v>14.7</v>
      </c>
      <c r="S65" s="165">
        <v>115</v>
      </c>
      <c r="T65" s="57">
        <f t="shared" si="4"/>
        <v>30</v>
      </c>
      <c r="U65" s="165">
        <v>1058</v>
      </c>
      <c r="V65" s="58">
        <f t="shared" si="2"/>
        <v>3967.5</v>
      </c>
      <c r="W65" s="165">
        <v>1</v>
      </c>
      <c r="X65" s="55" t="s">
        <v>46</v>
      </c>
      <c r="Y65" s="55" t="s">
        <v>84</v>
      </c>
      <c r="Z65" s="55" t="s">
        <v>50</v>
      </c>
      <c r="AA65" s="55" t="s">
        <v>90</v>
      </c>
      <c r="AB65" s="55" t="s">
        <v>255</v>
      </c>
      <c r="AC65" s="55"/>
      <c r="AD65" s="55"/>
    </row>
    <row r="66" spans="1:30" x14ac:dyDescent="0.15">
      <c r="A66" s="55" t="s">
        <v>41</v>
      </c>
      <c r="B66" s="165" t="s">
        <v>253</v>
      </c>
      <c r="C66" s="133">
        <v>2018</v>
      </c>
      <c r="D66" s="56" t="s">
        <v>262</v>
      </c>
      <c r="E66" s="165" t="s">
        <v>240</v>
      </c>
      <c r="F66" s="165" t="s">
        <v>246</v>
      </c>
      <c r="G66" s="55" t="s">
        <v>42</v>
      </c>
      <c r="H66" s="55" t="s">
        <v>155</v>
      </c>
      <c r="I66" s="55" t="s">
        <v>153</v>
      </c>
      <c r="J66" s="55" t="s">
        <v>38</v>
      </c>
      <c r="K66" s="55" t="s">
        <v>154</v>
      </c>
      <c r="L66" s="165">
        <v>2</v>
      </c>
      <c r="N66" s="55">
        <v>8</v>
      </c>
      <c r="O66" s="55">
        <v>0.45</v>
      </c>
      <c r="P66" s="55">
        <v>0.5</v>
      </c>
      <c r="Q66" s="57">
        <f t="shared" ref="Q66:Q103" si="5">IF(OR(O66="",P66=""),"",AVERAGE(O66,P66))</f>
        <v>0.47499999999999998</v>
      </c>
      <c r="R66" s="165">
        <v>14.1</v>
      </c>
      <c r="S66" s="165">
        <v>118</v>
      </c>
      <c r="T66" s="57">
        <f t="shared" si="4"/>
        <v>30</v>
      </c>
      <c r="U66" s="165">
        <v>1058</v>
      </c>
      <c r="V66" s="58">
        <f t="shared" ref="V66:V124" si="6">IF(OR(N66="",U66="",T66=""),"",U66/N66*T66)</f>
        <v>3967.5</v>
      </c>
      <c r="W66" s="165">
        <v>1</v>
      </c>
      <c r="X66" s="55" t="s">
        <v>46</v>
      </c>
      <c r="Y66" s="55" t="s">
        <v>84</v>
      </c>
      <c r="Z66" s="55" t="s">
        <v>50</v>
      </c>
      <c r="AA66" s="55" t="s">
        <v>90</v>
      </c>
      <c r="AB66" s="55" t="s">
        <v>255</v>
      </c>
      <c r="AC66" s="55"/>
      <c r="AD66" s="55"/>
    </row>
    <row r="67" spans="1:30" x14ac:dyDescent="0.15">
      <c r="A67" s="55" t="s">
        <v>41</v>
      </c>
      <c r="B67" s="165" t="s">
        <v>253</v>
      </c>
      <c r="C67" s="133">
        <v>2018</v>
      </c>
      <c r="D67" s="56" t="s">
        <v>262</v>
      </c>
      <c r="E67" s="165" t="s">
        <v>240</v>
      </c>
      <c r="F67" s="165" t="s">
        <v>246</v>
      </c>
      <c r="G67" s="55" t="s">
        <v>42</v>
      </c>
      <c r="H67" s="55" t="s">
        <v>155</v>
      </c>
      <c r="I67" s="55" t="s">
        <v>153</v>
      </c>
      <c r="J67" s="55" t="s">
        <v>38</v>
      </c>
      <c r="K67" s="55" t="s">
        <v>154</v>
      </c>
      <c r="L67" s="165">
        <v>3</v>
      </c>
      <c r="N67" s="55">
        <v>8</v>
      </c>
      <c r="O67" s="55">
        <v>0.25</v>
      </c>
      <c r="P67" s="55">
        <v>0.35</v>
      </c>
      <c r="Q67" s="57">
        <f t="shared" si="5"/>
        <v>0.3</v>
      </c>
      <c r="R67" s="165">
        <v>16.8</v>
      </c>
      <c r="S67" s="165">
        <v>115</v>
      </c>
      <c r="T67" s="57">
        <f t="shared" si="4"/>
        <v>30</v>
      </c>
      <c r="U67" s="55">
        <v>1058</v>
      </c>
      <c r="V67" s="58">
        <f t="shared" si="6"/>
        <v>3967.5</v>
      </c>
      <c r="W67" s="165">
        <v>1</v>
      </c>
      <c r="X67" s="55" t="s">
        <v>46</v>
      </c>
      <c r="Y67" s="55" t="s">
        <v>84</v>
      </c>
      <c r="Z67" s="55" t="s">
        <v>50</v>
      </c>
      <c r="AA67" s="55" t="s">
        <v>90</v>
      </c>
      <c r="AB67" s="55" t="s">
        <v>255</v>
      </c>
      <c r="AC67" s="55"/>
      <c r="AD67" s="55"/>
    </row>
    <row r="68" spans="1:30" x14ac:dyDescent="0.15">
      <c r="A68" s="55" t="s">
        <v>41</v>
      </c>
      <c r="B68" s="165" t="s">
        <v>253</v>
      </c>
      <c r="C68" s="133">
        <v>2018</v>
      </c>
      <c r="D68" s="56" t="s">
        <v>262</v>
      </c>
      <c r="E68" s="165" t="s">
        <v>240</v>
      </c>
      <c r="F68" s="165" t="s">
        <v>246</v>
      </c>
      <c r="G68" s="55" t="s">
        <v>42</v>
      </c>
      <c r="H68" s="55" t="s">
        <v>158</v>
      </c>
      <c r="I68" s="55" t="s">
        <v>153</v>
      </c>
      <c r="J68" s="55" t="s">
        <v>38</v>
      </c>
      <c r="K68" s="55" t="s">
        <v>154</v>
      </c>
      <c r="L68" s="165">
        <v>1</v>
      </c>
      <c r="N68" s="55">
        <v>4</v>
      </c>
      <c r="O68" s="55">
        <v>0.65</v>
      </c>
      <c r="P68" s="55">
        <v>0.85</v>
      </c>
      <c r="Q68" s="82">
        <f t="shared" si="5"/>
        <v>0.75</v>
      </c>
      <c r="R68" s="55">
        <v>17</v>
      </c>
      <c r="S68" s="55">
        <v>121</v>
      </c>
      <c r="T68" s="57">
        <f t="shared" si="4"/>
        <v>27</v>
      </c>
      <c r="U68" s="165">
        <v>645</v>
      </c>
      <c r="V68" s="58">
        <f t="shared" si="6"/>
        <v>4353.75</v>
      </c>
      <c r="W68" s="165">
        <v>1</v>
      </c>
      <c r="X68" s="55" t="s">
        <v>46</v>
      </c>
      <c r="Y68" s="55" t="s">
        <v>84</v>
      </c>
      <c r="Z68" s="55" t="s">
        <v>50</v>
      </c>
      <c r="AA68" s="55" t="s">
        <v>90</v>
      </c>
      <c r="AB68" s="55" t="s">
        <v>255</v>
      </c>
    </row>
    <row r="69" spans="1:30" x14ac:dyDescent="0.15">
      <c r="A69" s="55" t="s">
        <v>41</v>
      </c>
      <c r="B69" s="165" t="s">
        <v>253</v>
      </c>
      <c r="C69" s="133">
        <v>2018</v>
      </c>
      <c r="D69" s="56" t="s">
        <v>262</v>
      </c>
      <c r="E69" s="165" t="s">
        <v>240</v>
      </c>
      <c r="F69" s="165" t="s">
        <v>246</v>
      </c>
      <c r="G69" s="55" t="s">
        <v>42</v>
      </c>
      <c r="H69" s="55" t="s">
        <v>158</v>
      </c>
      <c r="I69" s="55" t="s">
        <v>153</v>
      </c>
      <c r="J69" s="55" t="s">
        <v>38</v>
      </c>
      <c r="K69" s="55" t="s">
        <v>154</v>
      </c>
      <c r="L69" s="165">
        <v>2</v>
      </c>
      <c r="N69" s="55">
        <v>4</v>
      </c>
      <c r="O69" s="55">
        <v>0.85</v>
      </c>
      <c r="P69" s="55">
        <v>0.9</v>
      </c>
      <c r="Q69" s="82">
        <f t="shared" si="5"/>
        <v>0.875</v>
      </c>
      <c r="R69" s="55">
        <v>12.8</v>
      </c>
      <c r="S69" s="55">
        <v>120</v>
      </c>
      <c r="T69" s="57">
        <f t="shared" si="4"/>
        <v>30</v>
      </c>
      <c r="U69" s="165">
        <v>645</v>
      </c>
      <c r="V69" s="58">
        <f t="shared" si="6"/>
        <v>4837.5</v>
      </c>
      <c r="W69" s="165">
        <v>1</v>
      </c>
      <c r="X69" s="55" t="s">
        <v>46</v>
      </c>
      <c r="Y69" s="55" t="s">
        <v>84</v>
      </c>
      <c r="Z69" s="55" t="s">
        <v>50</v>
      </c>
      <c r="AA69" s="55" t="s">
        <v>90</v>
      </c>
      <c r="AB69" s="55" t="s">
        <v>255</v>
      </c>
    </row>
    <row r="70" spans="1:30" x14ac:dyDescent="0.15">
      <c r="A70" s="55" t="s">
        <v>41</v>
      </c>
      <c r="B70" s="165" t="s">
        <v>253</v>
      </c>
      <c r="C70" s="133">
        <v>2018</v>
      </c>
      <c r="D70" s="56" t="s">
        <v>262</v>
      </c>
      <c r="E70" s="165" t="s">
        <v>240</v>
      </c>
      <c r="F70" s="165" t="s">
        <v>246</v>
      </c>
      <c r="G70" s="55" t="s">
        <v>42</v>
      </c>
      <c r="H70" s="55" t="s">
        <v>158</v>
      </c>
      <c r="I70" s="55" t="s">
        <v>153</v>
      </c>
      <c r="J70" s="55" t="s">
        <v>38</v>
      </c>
      <c r="K70" s="55" t="s">
        <v>154</v>
      </c>
      <c r="L70" s="165">
        <v>3</v>
      </c>
      <c r="N70" s="55">
        <v>4</v>
      </c>
      <c r="O70" s="55">
        <v>0.65</v>
      </c>
      <c r="P70" s="55">
        <v>0.75</v>
      </c>
      <c r="Q70" s="82">
        <f t="shared" si="5"/>
        <v>0.7</v>
      </c>
      <c r="R70" s="55">
        <v>14.8</v>
      </c>
      <c r="S70" s="55">
        <v>120</v>
      </c>
      <c r="T70" s="57">
        <f t="shared" si="4"/>
        <v>30</v>
      </c>
      <c r="U70" s="55">
        <v>645</v>
      </c>
      <c r="V70" s="58">
        <f t="shared" si="6"/>
        <v>4837.5</v>
      </c>
      <c r="W70" s="165">
        <v>1</v>
      </c>
      <c r="X70" s="55" t="s">
        <v>46</v>
      </c>
      <c r="Y70" s="55" t="s">
        <v>84</v>
      </c>
      <c r="Z70" s="55" t="s">
        <v>50</v>
      </c>
      <c r="AA70" s="55" t="s">
        <v>90</v>
      </c>
      <c r="AB70" s="55" t="s">
        <v>255</v>
      </c>
    </row>
    <row r="71" spans="1:30" x14ac:dyDescent="0.15">
      <c r="A71" s="55" t="s">
        <v>41</v>
      </c>
      <c r="B71" s="165" t="s">
        <v>253</v>
      </c>
      <c r="C71" s="133">
        <v>2018</v>
      </c>
      <c r="D71" s="56" t="s">
        <v>262</v>
      </c>
      <c r="E71" s="55" t="s">
        <v>242</v>
      </c>
      <c r="F71" s="165" t="s">
        <v>247</v>
      </c>
      <c r="G71" s="55" t="s">
        <v>42</v>
      </c>
      <c r="H71" s="55" t="s">
        <v>155</v>
      </c>
      <c r="I71" s="55" t="s">
        <v>153</v>
      </c>
      <c r="J71" s="55" t="s">
        <v>38</v>
      </c>
      <c r="K71" s="55" t="s">
        <v>154</v>
      </c>
      <c r="L71" s="165">
        <v>1</v>
      </c>
      <c r="N71" s="165">
        <v>1</v>
      </c>
      <c r="O71" s="55">
        <v>0.45</v>
      </c>
      <c r="P71" s="55">
        <v>0.5</v>
      </c>
      <c r="Q71" s="57">
        <f t="shared" si="5"/>
        <v>0.47499999999999998</v>
      </c>
      <c r="R71" s="165">
        <v>13</v>
      </c>
      <c r="S71" s="165">
        <v>121</v>
      </c>
      <c r="T71" s="57">
        <f t="shared" si="4"/>
        <v>27</v>
      </c>
      <c r="U71" s="165">
        <v>105</v>
      </c>
      <c r="V71" s="58">
        <f t="shared" si="6"/>
        <v>2835</v>
      </c>
      <c r="W71" s="165">
        <v>2</v>
      </c>
      <c r="X71" s="55" t="s">
        <v>46</v>
      </c>
      <c r="Y71" s="55" t="s">
        <v>50</v>
      </c>
      <c r="Z71" s="55" t="s">
        <v>84</v>
      </c>
      <c r="AA71" s="55" t="s">
        <v>69</v>
      </c>
      <c r="AB71" s="55" t="s">
        <v>255</v>
      </c>
    </row>
    <row r="72" spans="1:30" x14ac:dyDescent="0.15">
      <c r="A72" s="55" t="s">
        <v>41</v>
      </c>
      <c r="B72" s="165" t="s">
        <v>253</v>
      </c>
      <c r="C72" s="133">
        <v>2018</v>
      </c>
      <c r="D72" s="56" t="s">
        <v>262</v>
      </c>
      <c r="E72" s="55" t="s">
        <v>242</v>
      </c>
      <c r="F72" s="165" t="s">
        <v>247</v>
      </c>
      <c r="G72" s="55" t="s">
        <v>42</v>
      </c>
      <c r="H72" s="55" t="s">
        <v>155</v>
      </c>
      <c r="I72" s="55" t="s">
        <v>153</v>
      </c>
      <c r="J72" s="55" t="s">
        <v>38</v>
      </c>
      <c r="K72" s="55" t="s">
        <v>154</v>
      </c>
      <c r="L72" s="165">
        <v>2</v>
      </c>
      <c r="N72" s="165">
        <v>1</v>
      </c>
      <c r="O72" s="55">
        <v>0.65</v>
      </c>
      <c r="P72" s="55">
        <v>0.5</v>
      </c>
      <c r="Q72" s="57">
        <f t="shared" si="5"/>
        <v>0.57499999999999996</v>
      </c>
      <c r="R72" s="165">
        <v>14.1</v>
      </c>
      <c r="S72" s="165">
        <v>128</v>
      </c>
      <c r="T72" s="57">
        <f t="shared" si="4"/>
        <v>27</v>
      </c>
      <c r="U72" s="165">
        <v>105</v>
      </c>
      <c r="V72" s="58">
        <f t="shared" si="6"/>
        <v>2835</v>
      </c>
      <c r="W72" s="165">
        <v>2</v>
      </c>
      <c r="X72" s="55" t="s">
        <v>46</v>
      </c>
      <c r="Y72" s="55" t="s">
        <v>50</v>
      </c>
      <c r="Z72" s="55" t="s">
        <v>84</v>
      </c>
      <c r="AA72" s="55" t="s">
        <v>69</v>
      </c>
      <c r="AB72" s="55" t="s">
        <v>255</v>
      </c>
    </row>
    <row r="73" spans="1:30" x14ac:dyDescent="0.15">
      <c r="A73" s="55" t="s">
        <v>41</v>
      </c>
      <c r="B73" s="165" t="s">
        <v>253</v>
      </c>
      <c r="C73" s="133">
        <v>2018</v>
      </c>
      <c r="D73" s="56" t="s">
        <v>262</v>
      </c>
      <c r="E73" s="55" t="s">
        <v>242</v>
      </c>
      <c r="F73" s="165" t="s">
        <v>247</v>
      </c>
      <c r="G73" s="55" t="s">
        <v>42</v>
      </c>
      <c r="H73" s="55" t="s">
        <v>155</v>
      </c>
      <c r="I73" s="55" t="s">
        <v>153</v>
      </c>
      <c r="J73" s="55" t="s">
        <v>38</v>
      </c>
      <c r="K73" s="55" t="s">
        <v>154</v>
      </c>
      <c r="L73" s="165">
        <v>3</v>
      </c>
      <c r="N73" s="165">
        <v>1</v>
      </c>
      <c r="O73" s="55">
        <v>0.4</v>
      </c>
      <c r="P73" s="55">
        <v>0.45</v>
      </c>
      <c r="Q73" s="57">
        <f t="shared" si="5"/>
        <v>0.42500000000000004</v>
      </c>
      <c r="R73" s="165">
        <v>15.9</v>
      </c>
      <c r="S73" s="165">
        <v>127</v>
      </c>
      <c r="T73" s="57">
        <f t="shared" si="4"/>
        <v>27</v>
      </c>
      <c r="U73" s="165">
        <v>105</v>
      </c>
      <c r="V73" s="58">
        <f t="shared" si="6"/>
        <v>2835</v>
      </c>
      <c r="W73" s="165">
        <v>2</v>
      </c>
      <c r="X73" s="55" t="s">
        <v>46</v>
      </c>
      <c r="Y73" s="55" t="s">
        <v>50</v>
      </c>
      <c r="Z73" s="55" t="s">
        <v>84</v>
      </c>
      <c r="AA73" s="55" t="s">
        <v>69</v>
      </c>
      <c r="AB73" s="55" t="s">
        <v>255</v>
      </c>
    </row>
    <row r="74" spans="1:30" x14ac:dyDescent="0.15">
      <c r="A74" s="55" t="s">
        <v>41</v>
      </c>
      <c r="B74" s="165" t="s">
        <v>253</v>
      </c>
      <c r="C74" s="133">
        <v>2018</v>
      </c>
      <c r="D74" s="56" t="s">
        <v>262</v>
      </c>
      <c r="E74" s="55" t="s">
        <v>242</v>
      </c>
      <c r="F74" s="165" t="s">
        <v>247</v>
      </c>
      <c r="G74" s="55" t="s">
        <v>42</v>
      </c>
      <c r="H74" s="55" t="s">
        <v>155</v>
      </c>
      <c r="I74" s="55" t="s">
        <v>153</v>
      </c>
      <c r="J74" s="55" t="s">
        <v>38</v>
      </c>
      <c r="K74" s="55" t="s">
        <v>154</v>
      </c>
      <c r="L74" s="165">
        <v>1</v>
      </c>
      <c r="N74" s="165">
        <v>4</v>
      </c>
      <c r="O74" s="55">
        <v>1</v>
      </c>
      <c r="P74" s="55">
        <v>0.85</v>
      </c>
      <c r="Q74" s="57">
        <f t="shared" si="5"/>
        <v>0.92500000000000004</v>
      </c>
      <c r="R74" s="165">
        <v>16.100000000000001</v>
      </c>
      <c r="S74" s="165">
        <v>120</v>
      </c>
      <c r="T74" s="57">
        <f t="shared" si="4"/>
        <v>30</v>
      </c>
      <c r="U74" s="165">
        <v>419</v>
      </c>
      <c r="V74" s="58">
        <f t="shared" si="6"/>
        <v>3142.5</v>
      </c>
      <c r="W74" s="165">
        <v>1</v>
      </c>
      <c r="X74" s="55" t="s">
        <v>46</v>
      </c>
      <c r="Y74" s="55" t="s">
        <v>50</v>
      </c>
      <c r="Z74" s="55" t="s">
        <v>84</v>
      </c>
      <c r="AA74" s="55" t="s">
        <v>69</v>
      </c>
      <c r="AB74" s="55" t="s">
        <v>255</v>
      </c>
    </row>
    <row r="75" spans="1:30" x14ac:dyDescent="0.15">
      <c r="A75" s="55" t="s">
        <v>41</v>
      </c>
      <c r="B75" s="165" t="s">
        <v>253</v>
      </c>
      <c r="C75" s="133">
        <v>2018</v>
      </c>
      <c r="D75" s="56" t="s">
        <v>262</v>
      </c>
      <c r="E75" s="55" t="s">
        <v>242</v>
      </c>
      <c r="F75" s="165" t="s">
        <v>247</v>
      </c>
      <c r="G75" s="55" t="s">
        <v>42</v>
      </c>
      <c r="H75" s="55" t="s">
        <v>155</v>
      </c>
      <c r="I75" s="55" t="s">
        <v>153</v>
      </c>
      <c r="J75" s="55" t="s">
        <v>38</v>
      </c>
      <c r="K75" s="55" t="s">
        <v>154</v>
      </c>
      <c r="L75" s="165">
        <v>2</v>
      </c>
      <c r="N75" s="165">
        <v>4</v>
      </c>
      <c r="O75" s="55">
        <v>0.85</v>
      </c>
      <c r="P75" s="55">
        <v>0.9</v>
      </c>
      <c r="Q75" s="57">
        <f t="shared" si="5"/>
        <v>0.875</v>
      </c>
      <c r="R75" s="165">
        <v>14.4</v>
      </c>
      <c r="S75" s="165">
        <v>122</v>
      </c>
      <c r="T75" s="57">
        <f t="shared" si="4"/>
        <v>27</v>
      </c>
      <c r="U75" s="165">
        <v>419</v>
      </c>
      <c r="V75" s="58">
        <f t="shared" si="6"/>
        <v>2828.25</v>
      </c>
      <c r="W75" s="165">
        <v>1</v>
      </c>
      <c r="X75" s="55" t="s">
        <v>46</v>
      </c>
      <c r="Y75" s="55" t="s">
        <v>50</v>
      </c>
      <c r="Z75" s="55" t="s">
        <v>84</v>
      </c>
      <c r="AA75" s="55" t="s">
        <v>69</v>
      </c>
      <c r="AB75" s="55" t="s">
        <v>255</v>
      </c>
    </row>
    <row r="76" spans="1:30" x14ac:dyDescent="0.15">
      <c r="A76" s="55" t="s">
        <v>41</v>
      </c>
      <c r="B76" s="165" t="s">
        <v>253</v>
      </c>
      <c r="C76" s="133">
        <v>2018</v>
      </c>
      <c r="D76" s="56" t="s">
        <v>262</v>
      </c>
      <c r="E76" s="55" t="s">
        <v>242</v>
      </c>
      <c r="F76" s="165" t="s">
        <v>247</v>
      </c>
      <c r="G76" s="55" t="s">
        <v>42</v>
      </c>
      <c r="H76" s="55" t="s">
        <v>155</v>
      </c>
      <c r="I76" s="55" t="s">
        <v>153</v>
      </c>
      <c r="J76" s="55" t="s">
        <v>38</v>
      </c>
      <c r="K76" s="55" t="s">
        <v>154</v>
      </c>
      <c r="L76" s="165">
        <v>3</v>
      </c>
      <c r="N76" s="165">
        <v>4</v>
      </c>
      <c r="O76" s="55">
        <v>0.95</v>
      </c>
      <c r="P76" s="55">
        <v>0.85</v>
      </c>
      <c r="Q76" s="57">
        <f t="shared" si="5"/>
        <v>0.89999999999999991</v>
      </c>
      <c r="R76" s="165">
        <v>14.2</v>
      </c>
      <c r="S76" s="165">
        <v>123</v>
      </c>
      <c r="T76" s="57">
        <f t="shared" si="4"/>
        <v>27</v>
      </c>
      <c r="U76" s="165">
        <v>419</v>
      </c>
      <c r="V76" s="58">
        <f t="shared" si="6"/>
        <v>2828.25</v>
      </c>
      <c r="W76" s="165">
        <v>1</v>
      </c>
      <c r="X76" s="55" t="s">
        <v>46</v>
      </c>
      <c r="Y76" s="55" t="s">
        <v>50</v>
      </c>
      <c r="Z76" s="55" t="s">
        <v>84</v>
      </c>
      <c r="AA76" s="55" t="s">
        <v>69</v>
      </c>
      <c r="AB76" s="55" t="s">
        <v>255</v>
      </c>
    </row>
    <row r="77" spans="1:30" x14ac:dyDescent="0.15">
      <c r="A77" s="55" t="s">
        <v>41</v>
      </c>
      <c r="B77" s="165" t="s">
        <v>253</v>
      </c>
      <c r="C77" s="133">
        <v>2018</v>
      </c>
      <c r="D77" s="56" t="s">
        <v>262</v>
      </c>
      <c r="E77" s="55" t="s">
        <v>242</v>
      </c>
      <c r="F77" s="165" t="s">
        <v>247</v>
      </c>
      <c r="G77" s="55" t="s">
        <v>42</v>
      </c>
      <c r="H77" s="55" t="s">
        <v>158</v>
      </c>
      <c r="I77" s="55" t="s">
        <v>153</v>
      </c>
      <c r="J77" s="55" t="s">
        <v>38</v>
      </c>
      <c r="K77" s="55" t="s">
        <v>154</v>
      </c>
      <c r="L77" s="165">
        <v>1</v>
      </c>
      <c r="N77" s="55">
        <v>1</v>
      </c>
      <c r="O77" s="55">
        <v>0.25</v>
      </c>
      <c r="P77" s="55">
        <v>0.3</v>
      </c>
      <c r="Q77" s="57">
        <f t="shared" si="5"/>
        <v>0.27500000000000002</v>
      </c>
      <c r="R77" s="165">
        <v>17.399999999999999</v>
      </c>
      <c r="S77" s="165">
        <v>122</v>
      </c>
      <c r="T77" s="57">
        <f t="shared" si="4"/>
        <v>27</v>
      </c>
      <c r="U77" s="165">
        <v>138</v>
      </c>
      <c r="V77" s="58">
        <f t="shared" si="6"/>
        <v>3726</v>
      </c>
      <c r="W77" s="165">
        <v>1</v>
      </c>
      <c r="X77" s="55" t="s">
        <v>46</v>
      </c>
      <c r="Y77" s="55" t="s">
        <v>50</v>
      </c>
      <c r="Z77" s="55" t="s">
        <v>84</v>
      </c>
      <c r="AA77" s="55" t="s">
        <v>69</v>
      </c>
      <c r="AB77" s="55" t="s">
        <v>255</v>
      </c>
    </row>
    <row r="78" spans="1:30" x14ac:dyDescent="0.15">
      <c r="A78" s="55" t="s">
        <v>41</v>
      </c>
      <c r="B78" s="165" t="s">
        <v>253</v>
      </c>
      <c r="C78" s="133">
        <v>2018</v>
      </c>
      <c r="D78" s="56" t="s">
        <v>262</v>
      </c>
      <c r="E78" s="55" t="s">
        <v>242</v>
      </c>
      <c r="F78" s="165" t="s">
        <v>247</v>
      </c>
      <c r="G78" s="55" t="s">
        <v>42</v>
      </c>
      <c r="H78" s="55" t="s">
        <v>158</v>
      </c>
      <c r="I78" s="55" t="s">
        <v>153</v>
      </c>
      <c r="J78" s="55" t="s">
        <v>38</v>
      </c>
      <c r="K78" s="55" t="s">
        <v>154</v>
      </c>
      <c r="L78" s="165">
        <v>2</v>
      </c>
      <c r="N78" s="55">
        <v>1</v>
      </c>
      <c r="O78" s="55">
        <v>0.35</v>
      </c>
      <c r="P78" s="55">
        <v>0.3</v>
      </c>
      <c r="Q78" s="57">
        <f t="shared" si="5"/>
        <v>0.32499999999999996</v>
      </c>
      <c r="R78" s="165">
        <v>15.8</v>
      </c>
      <c r="S78" s="55">
        <v>123</v>
      </c>
      <c r="T78" s="57">
        <f t="shared" si="4"/>
        <v>27</v>
      </c>
      <c r="U78" s="165">
        <v>138</v>
      </c>
      <c r="V78" s="58">
        <f t="shared" si="6"/>
        <v>3726</v>
      </c>
      <c r="W78" s="165">
        <v>1</v>
      </c>
      <c r="X78" s="55" t="s">
        <v>46</v>
      </c>
      <c r="Y78" s="55" t="s">
        <v>50</v>
      </c>
      <c r="Z78" s="55" t="s">
        <v>84</v>
      </c>
      <c r="AA78" s="55" t="s">
        <v>69</v>
      </c>
      <c r="AB78" s="55" t="s">
        <v>255</v>
      </c>
    </row>
    <row r="79" spans="1:30" x14ac:dyDescent="0.15">
      <c r="A79" s="55" t="s">
        <v>41</v>
      </c>
      <c r="B79" s="165" t="s">
        <v>253</v>
      </c>
      <c r="C79" s="133">
        <v>2018</v>
      </c>
      <c r="D79" s="56" t="s">
        <v>262</v>
      </c>
      <c r="E79" s="55" t="s">
        <v>242</v>
      </c>
      <c r="F79" s="165" t="s">
        <v>247</v>
      </c>
      <c r="G79" s="55" t="s">
        <v>42</v>
      </c>
      <c r="H79" s="55" t="s">
        <v>158</v>
      </c>
      <c r="I79" s="55" t="s">
        <v>153</v>
      </c>
      <c r="J79" s="55" t="s">
        <v>38</v>
      </c>
      <c r="K79" s="55" t="s">
        <v>154</v>
      </c>
      <c r="L79" s="165">
        <v>3</v>
      </c>
      <c r="N79" s="165">
        <v>1</v>
      </c>
      <c r="O79" s="55">
        <v>0.4</v>
      </c>
      <c r="P79" s="55">
        <v>0.3</v>
      </c>
      <c r="Q79" s="57">
        <f t="shared" si="5"/>
        <v>0.35</v>
      </c>
      <c r="R79" s="165">
        <v>16</v>
      </c>
      <c r="S79" s="55">
        <v>124</v>
      </c>
      <c r="T79" s="57">
        <f t="shared" si="4"/>
        <v>27</v>
      </c>
      <c r="U79" s="165">
        <v>138</v>
      </c>
      <c r="V79" s="58">
        <f t="shared" si="6"/>
        <v>3726</v>
      </c>
      <c r="W79" s="165">
        <v>1</v>
      </c>
      <c r="X79" s="55" t="s">
        <v>46</v>
      </c>
      <c r="Y79" s="55" t="s">
        <v>50</v>
      </c>
      <c r="Z79" s="55" t="s">
        <v>84</v>
      </c>
      <c r="AA79" s="55" t="s">
        <v>69</v>
      </c>
      <c r="AB79" s="55" t="s">
        <v>255</v>
      </c>
    </row>
    <row r="80" spans="1:30" x14ac:dyDescent="0.15">
      <c r="A80" s="55" t="s">
        <v>41</v>
      </c>
      <c r="B80" s="165" t="s">
        <v>253</v>
      </c>
      <c r="C80" s="133">
        <v>2018</v>
      </c>
      <c r="D80" s="56" t="s">
        <v>262</v>
      </c>
      <c r="E80" s="55" t="s">
        <v>242</v>
      </c>
      <c r="F80" s="165" t="s">
        <v>247</v>
      </c>
      <c r="G80" s="55" t="s">
        <v>42</v>
      </c>
      <c r="H80" s="55" t="s">
        <v>158</v>
      </c>
      <c r="I80" s="55" t="s">
        <v>153</v>
      </c>
      <c r="J80" s="55" t="s">
        <v>38</v>
      </c>
      <c r="K80" s="55" t="s">
        <v>154</v>
      </c>
      <c r="L80" s="165">
        <v>1</v>
      </c>
      <c r="N80" s="165">
        <v>4</v>
      </c>
      <c r="O80" s="165">
        <v>0.7</v>
      </c>
      <c r="P80" s="165">
        <v>0.85</v>
      </c>
      <c r="Q80" s="57">
        <f t="shared" si="5"/>
        <v>0.77499999999999991</v>
      </c>
      <c r="R80" s="165">
        <v>15</v>
      </c>
      <c r="S80" s="55">
        <v>126</v>
      </c>
      <c r="T80" s="57">
        <f t="shared" si="4"/>
        <v>27</v>
      </c>
      <c r="U80" s="165">
        <v>537</v>
      </c>
      <c r="V80" s="58">
        <f t="shared" si="6"/>
        <v>3624.75</v>
      </c>
      <c r="W80" s="165">
        <v>1</v>
      </c>
      <c r="X80" s="55" t="s">
        <v>46</v>
      </c>
      <c r="Y80" s="55" t="s">
        <v>50</v>
      </c>
      <c r="Z80" s="55" t="s">
        <v>84</v>
      </c>
      <c r="AA80" s="55" t="s">
        <v>69</v>
      </c>
      <c r="AB80" s="55" t="s">
        <v>255</v>
      </c>
    </row>
    <row r="81" spans="1:28" x14ac:dyDescent="0.15">
      <c r="A81" s="55" t="s">
        <v>41</v>
      </c>
      <c r="B81" s="165" t="s">
        <v>253</v>
      </c>
      <c r="C81" s="133">
        <v>2018</v>
      </c>
      <c r="D81" s="56" t="s">
        <v>262</v>
      </c>
      <c r="E81" s="55" t="s">
        <v>242</v>
      </c>
      <c r="F81" s="165" t="s">
        <v>247</v>
      </c>
      <c r="G81" s="55" t="s">
        <v>42</v>
      </c>
      <c r="H81" s="55" t="s">
        <v>158</v>
      </c>
      <c r="I81" s="55" t="s">
        <v>153</v>
      </c>
      <c r="J81" s="55" t="s">
        <v>38</v>
      </c>
      <c r="K81" s="55" t="s">
        <v>154</v>
      </c>
      <c r="L81" s="165">
        <v>2</v>
      </c>
      <c r="N81" s="165">
        <v>4</v>
      </c>
      <c r="O81" s="165">
        <v>0.65</v>
      </c>
      <c r="P81" s="165">
        <v>0.65</v>
      </c>
      <c r="Q81" s="57">
        <f t="shared" si="5"/>
        <v>0.65</v>
      </c>
      <c r="R81" s="165">
        <v>14.1</v>
      </c>
      <c r="S81" s="55">
        <v>122</v>
      </c>
      <c r="T81" s="57">
        <f t="shared" si="4"/>
        <v>27</v>
      </c>
      <c r="U81" s="165">
        <v>537</v>
      </c>
      <c r="V81" s="58">
        <f t="shared" si="6"/>
        <v>3624.75</v>
      </c>
      <c r="W81" s="165">
        <v>1</v>
      </c>
      <c r="X81" s="55" t="s">
        <v>46</v>
      </c>
      <c r="Y81" s="55" t="s">
        <v>50</v>
      </c>
      <c r="Z81" s="55" t="s">
        <v>84</v>
      </c>
      <c r="AA81" s="55" t="s">
        <v>69</v>
      </c>
      <c r="AB81" s="55" t="s">
        <v>255</v>
      </c>
    </row>
    <row r="82" spans="1:28" x14ac:dyDescent="0.15">
      <c r="A82" s="55" t="s">
        <v>41</v>
      </c>
      <c r="B82" s="165" t="s">
        <v>253</v>
      </c>
      <c r="C82" s="133">
        <v>2018</v>
      </c>
      <c r="D82" s="56" t="s">
        <v>262</v>
      </c>
      <c r="E82" s="55" t="s">
        <v>242</v>
      </c>
      <c r="F82" s="165" t="s">
        <v>247</v>
      </c>
      <c r="G82" s="55" t="s">
        <v>42</v>
      </c>
      <c r="H82" s="55" t="s">
        <v>158</v>
      </c>
      <c r="I82" s="55" t="s">
        <v>153</v>
      </c>
      <c r="J82" s="55" t="s">
        <v>38</v>
      </c>
      <c r="K82" s="55" t="s">
        <v>154</v>
      </c>
      <c r="L82" s="165">
        <v>3</v>
      </c>
      <c r="N82" s="165">
        <v>4</v>
      </c>
      <c r="O82" s="165">
        <v>0.8</v>
      </c>
      <c r="P82" s="165">
        <v>0.9</v>
      </c>
      <c r="Q82" s="57">
        <f t="shared" si="5"/>
        <v>0.85000000000000009</v>
      </c>
      <c r="R82" s="165">
        <v>13.4</v>
      </c>
      <c r="S82" s="55">
        <v>123</v>
      </c>
      <c r="T82" s="57">
        <f t="shared" si="4"/>
        <v>27</v>
      </c>
      <c r="U82" s="165">
        <v>537</v>
      </c>
      <c r="V82" s="58">
        <f t="shared" si="6"/>
        <v>3624.75</v>
      </c>
      <c r="W82" s="165">
        <v>1</v>
      </c>
      <c r="X82" s="55" t="s">
        <v>46</v>
      </c>
      <c r="Y82" s="55" t="s">
        <v>50</v>
      </c>
      <c r="Z82" s="55" t="s">
        <v>84</v>
      </c>
      <c r="AA82" s="55" t="s">
        <v>69</v>
      </c>
      <c r="AB82" s="55" t="s">
        <v>255</v>
      </c>
    </row>
    <row r="83" spans="1:28" x14ac:dyDescent="0.15">
      <c r="A83" s="55" t="s">
        <v>41</v>
      </c>
      <c r="B83" s="165" t="s">
        <v>253</v>
      </c>
      <c r="C83" s="133">
        <v>2018</v>
      </c>
      <c r="D83" s="56" t="s">
        <v>262</v>
      </c>
      <c r="E83" s="55" t="s">
        <v>242</v>
      </c>
      <c r="F83" s="165" t="s">
        <v>248</v>
      </c>
      <c r="G83" s="55" t="s">
        <v>42</v>
      </c>
      <c r="H83" s="55" t="s">
        <v>155</v>
      </c>
      <c r="I83" s="55" t="s">
        <v>153</v>
      </c>
      <c r="J83" s="55" t="s">
        <v>38</v>
      </c>
      <c r="K83" s="55" t="s">
        <v>154</v>
      </c>
      <c r="L83" s="165">
        <v>1</v>
      </c>
      <c r="N83" s="165">
        <v>5</v>
      </c>
      <c r="O83" s="55">
        <v>0.65</v>
      </c>
      <c r="P83" s="179">
        <v>0.25</v>
      </c>
      <c r="Q83" s="176">
        <f t="shared" si="5"/>
        <v>0.45</v>
      </c>
      <c r="R83" s="55">
        <v>12.9</v>
      </c>
      <c r="S83" s="55">
        <v>98</v>
      </c>
      <c r="T83" s="57">
        <f t="shared" si="4"/>
        <v>36</v>
      </c>
      <c r="U83" s="165">
        <v>419</v>
      </c>
      <c r="V83" s="58">
        <f t="shared" si="6"/>
        <v>3016.7999999999997</v>
      </c>
      <c r="W83" s="165">
        <v>2</v>
      </c>
      <c r="X83" s="55" t="s">
        <v>46</v>
      </c>
      <c r="Y83" s="55" t="s">
        <v>50</v>
      </c>
      <c r="Z83" s="55" t="s">
        <v>90</v>
      </c>
      <c r="AA83" s="55" t="s">
        <v>78</v>
      </c>
      <c r="AB83" s="55" t="s">
        <v>255</v>
      </c>
    </row>
    <row r="84" spans="1:28" x14ac:dyDescent="0.15">
      <c r="A84" s="55" t="s">
        <v>41</v>
      </c>
      <c r="B84" s="165" t="s">
        <v>253</v>
      </c>
      <c r="C84" s="133">
        <v>2018</v>
      </c>
      <c r="D84" s="56" t="s">
        <v>262</v>
      </c>
      <c r="E84" s="55" t="s">
        <v>242</v>
      </c>
      <c r="F84" s="165" t="s">
        <v>248</v>
      </c>
      <c r="G84" s="55" t="s">
        <v>42</v>
      </c>
      <c r="H84" s="55" t="s">
        <v>155</v>
      </c>
      <c r="I84" s="55" t="s">
        <v>153</v>
      </c>
      <c r="J84" s="55" t="s">
        <v>38</v>
      </c>
      <c r="K84" s="55" t="s">
        <v>154</v>
      </c>
      <c r="L84" s="165">
        <v>2</v>
      </c>
      <c r="N84" s="165">
        <v>5</v>
      </c>
      <c r="O84" s="55">
        <v>0.75</v>
      </c>
      <c r="P84" s="55">
        <v>0.3</v>
      </c>
      <c r="Q84" s="176">
        <f t="shared" si="5"/>
        <v>0.52500000000000002</v>
      </c>
      <c r="R84" s="55">
        <v>15.1</v>
      </c>
      <c r="S84" s="55">
        <v>95</v>
      </c>
      <c r="T84" s="57">
        <f t="shared" si="4"/>
        <v>36</v>
      </c>
      <c r="U84" s="165">
        <v>419</v>
      </c>
      <c r="V84" s="58">
        <f t="shared" si="6"/>
        <v>3016.7999999999997</v>
      </c>
      <c r="W84" s="165">
        <v>2</v>
      </c>
      <c r="X84" s="55" t="s">
        <v>46</v>
      </c>
      <c r="Y84" s="55" t="s">
        <v>50</v>
      </c>
      <c r="Z84" s="55" t="s">
        <v>90</v>
      </c>
      <c r="AA84" s="55" t="s">
        <v>78</v>
      </c>
      <c r="AB84" s="55" t="s">
        <v>255</v>
      </c>
    </row>
    <row r="85" spans="1:28" x14ac:dyDescent="0.15">
      <c r="A85" s="55" t="s">
        <v>41</v>
      </c>
      <c r="B85" s="165" t="s">
        <v>253</v>
      </c>
      <c r="C85" s="133">
        <v>2018</v>
      </c>
      <c r="D85" s="56" t="s">
        <v>262</v>
      </c>
      <c r="E85" s="55" t="s">
        <v>242</v>
      </c>
      <c r="F85" s="165" t="s">
        <v>248</v>
      </c>
      <c r="G85" s="55" t="s">
        <v>42</v>
      </c>
      <c r="H85" s="55" t="s">
        <v>155</v>
      </c>
      <c r="I85" s="55" t="s">
        <v>153</v>
      </c>
      <c r="J85" s="55" t="s">
        <v>38</v>
      </c>
      <c r="K85" s="55" t="s">
        <v>154</v>
      </c>
      <c r="L85" s="165">
        <v>3</v>
      </c>
      <c r="N85" s="165">
        <v>5</v>
      </c>
      <c r="O85" s="55">
        <v>0.85</v>
      </c>
      <c r="P85" s="55">
        <v>0.25</v>
      </c>
      <c r="Q85" s="176">
        <f t="shared" si="5"/>
        <v>0.55000000000000004</v>
      </c>
      <c r="R85" s="55">
        <v>14.1</v>
      </c>
      <c r="S85" s="55">
        <v>100</v>
      </c>
      <c r="T85" s="57">
        <f t="shared" si="4"/>
        <v>33</v>
      </c>
      <c r="U85" s="165">
        <v>419</v>
      </c>
      <c r="V85" s="58">
        <f t="shared" si="6"/>
        <v>2765.4</v>
      </c>
      <c r="W85" s="165">
        <v>2</v>
      </c>
      <c r="X85" s="55" t="s">
        <v>46</v>
      </c>
      <c r="Y85" s="55" t="s">
        <v>50</v>
      </c>
      <c r="Z85" s="55" t="s">
        <v>90</v>
      </c>
      <c r="AA85" s="55" t="s">
        <v>78</v>
      </c>
      <c r="AB85" s="55" t="s">
        <v>255</v>
      </c>
    </row>
    <row r="86" spans="1:28" x14ac:dyDescent="0.15">
      <c r="A86" s="55" t="s">
        <v>41</v>
      </c>
      <c r="B86" s="165" t="s">
        <v>253</v>
      </c>
      <c r="C86" s="133">
        <v>2018</v>
      </c>
      <c r="D86" s="56" t="s">
        <v>262</v>
      </c>
      <c r="E86" s="55" t="s">
        <v>242</v>
      </c>
      <c r="F86" s="165" t="s">
        <v>248</v>
      </c>
      <c r="G86" s="55" t="s">
        <v>42</v>
      </c>
      <c r="H86" s="55" t="s">
        <v>155</v>
      </c>
      <c r="I86" s="55" t="s">
        <v>153</v>
      </c>
      <c r="J86" s="55" t="s">
        <v>38</v>
      </c>
      <c r="K86" s="55" t="s">
        <v>154</v>
      </c>
      <c r="L86" s="165">
        <v>1</v>
      </c>
      <c r="N86" s="165">
        <v>1</v>
      </c>
      <c r="O86" s="55">
        <v>0.25</v>
      </c>
      <c r="P86" s="179">
        <v>0.25</v>
      </c>
      <c r="Q86" s="176">
        <f t="shared" si="5"/>
        <v>0.25</v>
      </c>
      <c r="R86" s="55">
        <v>15.2</v>
      </c>
      <c r="S86" s="55">
        <v>121</v>
      </c>
      <c r="T86" s="57">
        <f t="shared" si="4"/>
        <v>27</v>
      </c>
      <c r="U86" s="165">
        <v>84</v>
      </c>
      <c r="V86" s="58">
        <f t="shared" si="6"/>
        <v>2268</v>
      </c>
      <c r="W86" s="165">
        <v>2</v>
      </c>
      <c r="X86" s="55" t="s">
        <v>46</v>
      </c>
      <c r="Y86" s="55" t="s">
        <v>50</v>
      </c>
      <c r="Z86" s="55" t="s">
        <v>90</v>
      </c>
      <c r="AA86" s="55" t="s">
        <v>78</v>
      </c>
      <c r="AB86" s="55" t="s">
        <v>255</v>
      </c>
    </row>
    <row r="87" spans="1:28" x14ac:dyDescent="0.15">
      <c r="A87" s="55" t="s">
        <v>41</v>
      </c>
      <c r="B87" s="165" t="s">
        <v>253</v>
      </c>
      <c r="C87" s="133">
        <v>2018</v>
      </c>
      <c r="D87" s="56" t="s">
        <v>262</v>
      </c>
      <c r="E87" s="55" t="s">
        <v>242</v>
      </c>
      <c r="F87" s="165" t="s">
        <v>248</v>
      </c>
      <c r="G87" s="55" t="s">
        <v>42</v>
      </c>
      <c r="H87" s="55" t="s">
        <v>155</v>
      </c>
      <c r="I87" s="55" t="s">
        <v>153</v>
      </c>
      <c r="J87" s="55" t="s">
        <v>38</v>
      </c>
      <c r="K87" s="55" t="s">
        <v>154</v>
      </c>
      <c r="L87" s="165">
        <v>2</v>
      </c>
      <c r="N87" s="165">
        <v>1</v>
      </c>
      <c r="O87" s="55">
        <v>0.25</v>
      </c>
      <c r="P87" s="55">
        <v>0.3</v>
      </c>
      <c r="Q87" s="176">
        <f t="shared" si="5"/>
        <v>0.27500000000000002</v>
      </c>
      <c r="R87" s="55">
        <v>14</v>
      </c>
      <c r="S87" s="55">
        <v>126</v>
      </c>
      <c r="T87" s="57">
        <f t="shared" ref="T87:T124" si="7">IF(H87="","",IF(OR(H87="GREEN",H87="GK"),IF(S87&gt;=$AX$2,VLOOKUP(S87,$AX$2:$AY$10,2,1),""),IF(S87&gt;=$AZ$2,VLOOKUP(S87,$AZ$2:$BA$10,2,1),"")))</f>
        <v>27</v>
      </c>
      <c r="U87" s="165">
        <v>84</v>
      </c>
      <c r="V87" s="58">
        <f t="shared" si="6"/>
        <v>2268</v>
      </c>
      <c r="W87" s="165">
        <v>2</v>
      </c>
      <c r="X87" s="55" t="s">
        <v>46</v>
      </c>
      <c r="Y87" s="55" t="s">
        <v>50</v>
      </c>
      <c r="Z87" s="55" t="s">
        <v>90</v>
      </c>
      <c r="AA87" s="55" t="s">
        <v>78</v>
      </c>
      <c r="AB87" s="55" t="s">
        <v>255</v>
      </c>
    </row>
    <row r="88" spans="1:28" x14ac:dyDescent="0.15">
      <c r="A88" s="55" t="s">
        <v>41</v>
      </c>
      <c r="B88" s="165" t="s">
        <v>253</v>
      </c>
      <c r="C88" s="133">
        <v>2018</v>
      </c>
      <c r="D88" s="56" t="s">
        <v>262</v>
      </c>
      <c r="E88" s="55" t="s">
        <v>242</v>
      </c>
      <c r="F88" s="165" t="s">
        <v>248</v>
      </c>
      <c r="G88" s="55" t="s">
        <v>42</v>
      </c>
      <c r="H88" s="55" t="s">
        <v>155</v>
      </c>
      <c r="I88" s="55" t="s">
        <v>153</v>
      </c>
      <c r="J88" s="55" t="s">
        <v>38</v>
      </c>
      <c r="K88" s="55" t="s">
        <v>154</v>
      </c>
      <c r="L88" s="165">
        <v>3</v>
      </c>
      <c r="N88" s="165">
        <v>1</v>
      </c>
      <c r="O88" s="55">
        <v>0.25</v>
      </c>
      <c r="P88" s="55">
        <v>0.25</v>
      </c>
      <c r="Q88" s="176">
        <f t="shared" si="5"/>
        <v>0.25</v>
      </c>
      <c r="R88" s="55">
        <v>17.399999999999999</v>
      </c>
      <c r="S88" s="55">
        <v>130</v>
      </c>
      <c r="T88" s="57">
        <f t="shared" si="7"/>
        <v>25</v>
      </c>
      <c r="U88" s="165">
        <v>84</v>
      </c>
      <c r="V88" s="58">
        <f t="shared" si="6"/>
        <v>2100</v>
      </c>
      <c r="W88" s="165">
        <v>2</v>
      </c>
      <c r="X88" s="55" t="s">
        <v>46</v>
      </c>
      <c r="Y88" s="55" t="s">
        <v>50</v>
      </c>
      <c r="Z88" s="55" t="s">
        <v>90</v>
      </c>
      <c r="AA88" s="55" t="s">
        <v>78</v>
      </c>
      <c r="AB88" s="55" t="s">
        <v>255</v>
      </c>
    </row>
    <row r="89" spans="1:28" x14ac:dyDescent="0.15">
      <c r="A89" s="55" t="s">
        <v>41</v>
      </c>
      <c r="B89" s="165" t="s">
        <v>253</v>
      </c>
      <c r="C89" s="133">
        <v>2018</v>
      </c>
      <c r="D89" s="56" t="s">
        <v>262</v>
      </c>
      <c r="E89" s="55" t="s">
        <v>242</v>
      </c>
      <c r="F89" s="165" t="s">
        <v>248</v>
      </c>
      <c r="G89" s="55" t="s">
        <v>42</v>
      </c>
      <c r="H89" s="55" t="s">
        <v>158</v>
      </c>
      <c r="I89" s="55" t="s">
        <v>153</v>
      </c>
      <c r="J89" s="55" t="s">
        <v>38</v>
      </c>
      <c r="K89" s="55" t="s">
        <v>154</v>
      </c>
      <c r="L89" s="165">
        <v>1</v>
      </c>
      <c r="N89" s="165">
        <v>1</v>
      </c>
      <c r="O89" s="55">
        <v>0.65</v>
      </c>
      <c r="P89" s="55">
        <v>0.5</v>
      </c>
      <c r="Q89" s="82">
        <f t="shared" si="5"/>
        <v>0.57499999999999996</v>
      </c>
      <c r="R89" s="55">
        <v>15.9</v>
      </c>
      <c r="S89" s="55">
        <v>128</v>
      </c>
      <c r="T89" s="57">
        <f t="shared" si="7"/>
        <v>27</v>
      </c>
      <c r="U89" s="165">
        <v>138</v>
      </c>
      <c r="V89" s="58">
        <f t="shared" si="6"/>
        <v>3726</v>
      </c>
      <c r="W89" s="165">
        <v>2</v>
      </c>
      <c r="X89" s="55" t="s">
        <v>46</v>
      </c>
      <c r="Y89" s="55" t="s">
        <v>50</v>
      </c>
      <c r="Z89" s="55" t="s">
        <v>90</v>
      </c>
      <c r="AA89" s="55" t="s">
        <v>78</v>
      </c>
      <c r="AB89" s="55" t="s">
        <v>255</v>
      </c>
    </row>
    <row r="90" spans="1:28" x14ac:dyDescent="0.15">
      <c r="A90" s="55" t="s">
        <v>41</v>
      </c>
      <c r="B90" s="165" t="s">
        <v>253</v>
      </c>
      <c r="C90" s="133">
        <v>2018</v>
      </c>
      <c r="D90" s="56" t="s">
        <v>262</v>
      </c>
      <c r="E90" s="55" t="s">
        <v>242</v>
      </c>
      <c r="F90" s="165" t="s">
        <v>248</v>
      </c>
      <c r="G90" s="55" t="s">
        <v>42</v>
      </c>
      <c r="H90" s="55" t="s">
        <v>158</v>
      </c>
      <c r="I90" s="55" t="s">
        <v>153</v>
      </c>
      <c r="J90" s="55" t="s">
        <v>38</v>
      </c>
      <c r="K90" s="55" t="s">
        <v>154</v>
      </c>
      <c r="L90" s="165">
        <v>2</v>
      </c>
      <c r="N90" s="165">
        <v>1</v>
      </c>
      <c r="O90" s="55">
        <v>0.45</v>
      </c>
      <c r="P90" s="55">
        <v>0.5</v>
      </c>
      <c r="Q90" s="82">
        <f t="shared" si="5"/>
        <v>0.47499999999999998</v>
      </c>
      <c r="R90" s="55">
        <v>16.8</v>
      </c>
      <c r="S90" s="55">
        <v>124</v>
      </c>
      <c r="T90" s="57">
        <f t="shared" si="7"/>
        <v>27</v>
      </c>
      <c r="U90" s="165">
        <v>138</v>
      </c>
      <c r="V90" s="58">
        <f t="shared" si="6"/>
        <v>3726</v>
      </c>
      <c r="W90" s="165">
        <v>2</v>
      </c>
      <c r="X90" s="55" t="s">
        <v>46</v>
      </c>
      <c r="Y90" s="55" t="s">
        <v>50</v>
      </c>
      <c r="Z90" s="55" t="s">
        <v>90</v>
      </c>
      <c r="AA90" s="55" t="s">
        <v>78</v>
      </c>
      <c r="AB90" s="55" t="s">
        <v>255</v>
      </c>
    </row>
    <row r="91" spans="1:28" x14ac:dyDescent="0.15">
      <c r="A91" s="55" t="s">
        <v>41</v>
      </c>
      <c r="B91" s="165" t="s">
        <v>253</v>
      </c>
      <c r="C91" s="133">
        <v>2018</v>
      </c>
      <c r="D91" s="56" t="s">
        <v>262</v>
      </c>
      <c r="E91" s="55" t="s">
        <v>242</v>
      </c>
      <c r="F91" s="165" t="s">
        <v>248</v>
      </c>
      <c r="G91" s="55" t="s">
        <v>42</v>
      </c>
      <c r="H91" s="55" t="s">
        <v>158</v>
      </c>
      <c r="I91" s="55" t="s">
        <v>153</v>
      </c>
      <c r="J91" s="55" t="s">
        <v>38</v>
      </c>
      <c r="K91" s="55" t="s">
        <v>154</v>
      </c>
      <c r="L91" s="165">
        <v>3</v>
      </c>
      <c r="N91" s="165">
        <v>1</v>
      </c>
      <c r="O91" s="55">
        <v>0.5</v>
      </c>
      <c r="P91" s="55">
        <v>0.45</v>
      </c>
      <c r="Q91" s="82">
        <f t="shared" si="5"/>
        <v>0.47499999999999998</v>
      </c>
      <c r="R91" s="55">
        <v>15</v>
      </c>
      <c r="S91" s="55">
        <v>130</v>
      </c>
      <c r="T91" s="57">
        <f t="shared" si="7"/>
        <v>25</v>
      </c>
      <c r="U91" s="165">
        <v>138</v>
      </c>
      <c r="V91" s="58">
        <f t="shared" si="6"/>
        <v>3450</v>
      </c>
      <c r="W91" s="165">
        <v>2</v>
      </c>
      <c r="X91" s="55" t="s">
        <v>46</v>
      </c>
      <c r="Y91" s="55" t="s">
        <v>50</v>
      </c>
      <c r="Z91" s="55" t="s">
        <v>90</v>
      </c>
      <c r="AA91" s="55" t="s">
        <v>78</v>
      </c>
      <c r="AB91" s="55" t="s">
        <v>255</v>
      </c>
    </row>
    <row r="92" spans="1:28" x14ac:dyDescent="0.15">
      <c r="A92" s="55" t="s">
        <v>41</v>
      </c>
      <c r="B92" s="165" t="s">
        <v>253</v>
      </c>
      <c r="C92" s="133">
        <v>2018</v>
      </c>
      <c r="D92" s="56" t="s">
        <v>262</v>
      </c>
      <c r="E92" s="55" t="s">
        <v>242</v>
      </c>
      <c r="F92" s="165" t="s">
        <v>248</v>
      </c>
      <c r="G92" s="55" t="s">
        <v>42</v>
      </c>
      <c r="H92" s="55" t="s">
        <v>158</v>
      </c>
      <c r="I92" s="55" t="s">
        <v>153</v>
      </c>
      <c r="J92" s="55" t="s">
        <v>38</v>
      </c>
      <c r="K92" s="55" t="s">
        <v>154</v>
      </c>
      <c r="L92" s="165">
        <v>1</v>
      </c>
      <c r="N92" s="165">
        <v>3</v>
      </c>
      <c r="O92" s="55">
        <v>0.25</v>
      </c>
      <c r="P92" s="55">
        <v>0.25</v>
      </c>
      <c r="Q92" s="82">
        <f t="shared" si="5"/>
        <v>0.25</v>
      </c>
      <c r="R92" s="55">
        <v>14.4</v>
      </c>
      <c r="S92" s="55">
        <v>126</v>
      </c>
      <c r="T92" s="57">
        <f t="shared" si="7"/>
        <v>27</v>
      </c>
      <c r="U92" s="165">
        <v>537</v>
      </c>
      <c r="V92" s="58">
        <f t="shared" si="6"/>
        <v>4833</v>
      </c>
      <c r="W92" s="165">
        <v>2</v>
      </c>
      <c r="X92" s="55" t="s">
        <v>46</v>
      </c>
      <c r="Y92" s="55" t="s">
        <v>50</v>
      </c>
      <c r="Z92" s="55" t="s">
        <v>90</v>
      </c>
      <c r="AA92" s="55" t="s">
        <v>78</v>
      </c>
      <c r="AB92" s="55" t="s">
        <v>255</v>
      </c>
    </row>
    <row r="93" spans="1:28" x14ac:dyDescent="0.15">
      <c r="A93" s="55" t="s">
        <v>41</v>
      </c>
      <c r="B93" s="165" t="s">
        <v>253</v>
      </c>
      <c r="C93" s="133">
        <v>2018</v>
      </c>
      <c r="D93" s="56" t="s">
        <v>262</v>
      </c>
      <c r="E93" s="55" t="s">
        <v>242</v>
      </c>
      <c r="F93" s="165" t="s">
        <v>248</v>
      </c>
      <c r="G93" s="55" t="s">
        <v>42</v>
      </c>
      <c r="H93" s="55" t="s">
        <v>158</v>
      </c>
      <c r="I93" s="55" t="s">
        <v>153</v>
      </c>
      <c r="J93" s="55" t="s">
        <v>38</v>
      </c>
      <c r="K93" s="55" t="s">
        <v>154</v>
      </c>
      <c r="L93" s="165">
        <v>2</v>
      </c>
      <c r="N93" s="165">
        <v>3</v>
      </c>
      <c r="O93" s="55">
        <v>0.25</v>
      </c>
      <c r="P93" s="55">
        <v>0.25</v>
      </c>
      <c r="Q93" s="82">
        <f t="shared" si="5"/>
        <v>0.25</v>
      </c>
      <c r="R93" s="55">
        <v>14.7</v>
      </c>
      <c r="S93" s="55">
        <v>124</v>
      </c>
      <c r="T93" s="57">
        <f t="shared" si="7"/>
        <v>27</v>
      </c>
      <c r="U93" s="165">
        <v>537</v>
      </c>
      <c r="V93" s="58">
        <f t="shared" si="6"/>
        <v>4833</v>
      </c>
      <c r="W93" s="165">
        <v>2</v>
      </c>
      <c r="X93" s="55" t="s">
        <v>46</v>
      </c>
      <c r="Y93" s="55" t="s">
        <v>50</v>
      </c>
      <c r="Z93" s="55" t="s">
        <v>90</v>
      </c>
      <c r="AA93" s="55" t="s">
        <v>78</v>
      </c>
      <c r="AB93" s="55" t="s">
        <v>255</v>
      </c>
    </row>
    <row r="94" spans="1:28" x14ac:dyDescent="0.15">
      <c r="A94" s="55" t="s">
        <v>41</v>
      </c>
      <c r="B94" s="165" t="s">
        <v>253</v>
      </c>
      <c r="C94" s="133">
        <v>2018</v>
      </c>
      <c r="D94" s="56" t="s">
        <v>262</v>
      </c>
      <c r="E94" s="55" t="s">
        <v>242</v>
      </c>
      <c r="F94" s="165" t="s">
        <v>248</v>
      </c>
      <c r="G94" s="55" t="s">
        <v>42</v>
      </c>
      <c r="H94" s="55" t="s">
        <v>158</v>
      </c>
      <c r="I94" s="55" t="s">
        <v>153</v>
      </c>
      <c r="J94" s="55" t="s">
        <v>38</v>
      </c>
      <c r="K94" s="55" t="s">
        <v>154</v>
      </c>
      <c r="L94" s="165">
        <v>3</v>
      </c>
      <c r="N94" s="165">
        <v>3</v>
      </c>
      <c r="O94" s="55">
        <v>0.25</v>
      </c>
      <c r="P94" s="55">
        <v>0.25</v>
      </c>
      <c r="Q94" s="82">
        <f t="shared" si="5"/>
        <v>0.25</v>
      </c>
      <c r="R94" s="55">
        <v>15.1</v>
      </c>
      <c r="S94" s="55">
        <v>122</v>
      </c>
      <c r="T94" s="57">
        <f t="shared" si="7"/>
        <v>27</v>
      </c>
      <c r="U94" s="165">
        <v>537</v>
      </c>
      <c r="V94" s="58">
        <f t="shared" si="6"/>
        <v>4833</v>
      </c>
      <c r="W94" s="165">
        <v>2</v>
      </c>
      <c r="X94" s="55" t="s">
        <v>46</v>
      </c>
      <c r="Y94" s="55" t="s">
        <v>50</v>
      </c>
      <c r="Z94" s="55" t="s">
        <v>90</v>
      </c>
      <c r="AA94" s="55" t="s">
        <v>78</v>
      </c>
      <c r="AB94" s="55" t="s">
        <v>255</v>
      </c>
    </row>
    <row r="95" spans="1:28" x14ac:dyDescent="0.15">
      <c r="A95" s="55" t="s">
        <v>41</v>
      </c>
      <c r="B95" s="165" t="s">
        <v>253</v>
      </c>
      <c r="C95" s="133">
        <v>2018</v>
      </c>
      <c r="D95" s="56" t="s">
        <v>262</v>
      </c>
      <c r="E95" s="165" t="s">
        <v>243</v>
      </c>
      <c r="F95" s="165" t="s">
        <v>249</v>
      </c>
      <c r="G95" s="55" t="s">
        <v>42</v>
      </c>
      <c r="H95" s="55" t="s">
        <v>158</v>
      </c>
      <c r="I95" s="55" t="s">
        <v>153</v>
      </c>
      <c r="J95" s="55" t="s">
        <v>38</v>
      </c>
      <c r="K95" s="55" t="s">
        <v>154</v>
      </c>
      <c r="L95" s="165">
        <v>1</v>
      </c>
      <c r="N95" s="165">
        <v>1</v>
      </c>
      <c r="O95" s="55">
        <v>0.35</v>
      </c>
      <c r="P95" s="55">
        <v>0.25</v>
      </c>
      <c r="Q95" s="57">
        <f t="shared" si="5"/>
        <v>0.3</v>
      </c>
      <c r="R95" s="165">
        <v>16.399999999999999</v>
      </c>
      <c r="S95" s="165">
        <v>126</v>
      </c>
      <c r="T95" s="57">
        <f t="shared" si="7"/>
        <v>27</v>
      </c>
      <c r="U95" s="165">
        <v>138</v>
      </c>
      <c r="V95" s="58">
        <f t="shared" si="6"/>
        <v>3726</v>
      </c>
      <c r="W95" s="165">
        <v>1</v>
      </c>
      <c r="X95" s="55" t="s">
        <v>46</v>
      </c>
      <c r="Y95" s="55" t="s">
        <v>50</v>
      </c>
      <c r="Z95" s="55" t="s">
        <v>90</v>
      </c>
      <c r="AA95" s="55" t="s">
        <v>84</v>
      </c>
      <c r="AB95" s="55" t="s">
        <v>255</v>
      </c>
    </row>
    <row r="96" spans="1:28" x14ac:dyDescent="0.15">
      <c r="A96" s="55" t="s">
        <v>41</v>
      </c>
      <c r="B96" s="165" t="s">
        <v>253</v>
      </c>
      <c r="C96" s="133">
        <v>2018</v>
      </c>
      <c r="D96" s="56" t="s">
        <v>262</v>
      </c>
      <c r="E96" s="165" t="s">
        <v>243</v>
      </c>
      <c r="F96" s="165" t="s">
        <v>249</v>
      </c>
      <c r="G96" s="55" t="s">
        <v>42</v>
      </c>
      <c r="H96" s="55" t="s">
        <v>158</v>
      </c>
      <c r="I96" s="55" t="s">
        <v>153</v>
      </c>
      <c r="J96" s="55" t="s">
        <v>38</v>
      </c>
      <c r="K96" s="55" t="s">
        <v>154</v>
      </c>
      <c r="L96" s="165">
        <v>2</v>
      </c>
      <c r="N96" s="165">
        <v>1</v>
      </c>
      <c r="O96" s="55">
        <v>0.25</v>
      </c>
      <c r="P96" s="55">
        <v>0.3</v>
      </c>
      <c r="Q96" s="57">
        <f t="shared" si="5"/>
        <v>0.27500000000000002</v>
      </c>
      <c r="R96" s="165">
        <v>15.8</v>
      </c>
      <c r="S96" s="165">
        <v>127</v>
      </c>
      <c r="T96" s="57">
        <f t="shared" si="7"/>
        <v>27</v>
      </c>
      <c r="U96" s="165">
        <v>138</v>
      </c>
      <c r="V96" s="58">
        <f t="shared" si="6"/>
        <v>3726</v>
      </c>
      <c r="W96" s="165">
        <v>1</v>
      </c>
      <c r="X96" s="55" t="s">
        <v>46</v>
      </c>
      <c r="Y96" s="55" t="s">
        <v>50</v>
      </c>
      <c r="Z96" s="55" t="s">
        <v>90</v>
      </c>
      <c r="AA96" s="55" t="s">
        <v>84</v>
      </c>
      <c r="AB96" s="55" t="s">
        <v>255</v>
      </c>
    </row>
    <row r="97" spans="1:28" x14ac:dyDescent="0.15">
      <c r="A97" s="55" t="s">
        <v>41</v>
      </c>
      <c r="B97" s="165" t="s">
        <v>253</v>
      </c>
      <c r="C97" s="133">
        <v>2018</v>
      </c>
      <c r="D97" s="56" t="s">
        <v>262</v>
      </c>
      <c r="E97" s="165" t="s">
        <v>243</v>
      </c>
      <c r="F97" s="165" t="s">
        <v>249</v>
      </c>
      <c r="G97" s="55" t="s">
        <v>42</v>
      </c>
      <c r="H97" s="55" t="s">
        <v>158</v>
      </c>
      <c r="I97" s="55" t="s">
        <v>153</v>
      </c>
      <c r="J97" s="55" t="s">
        <v>38</v>
      </c>
      <c r="K97" s="55" t="s">
        <v>154</v>
      </c>
      <c r="L97" s="165">
        <v>3</v>
      </c>
      <c r="N97" s="165">
        <v>1</v>
      </c>
      <c r="O97" s="55">
        <v>0.3</v>
      </c>
      <c r="P97" s="55">
        <v>0.25</v>
      </c>
      <c r="Q97" s="57">
        <f t="shared" si="5"/>
        <v>0.27500000000000002</v>
      </c>
      <c r="R97" s="165">
        <v>14</v>
      </c>
      <c r="S97" s="165">
        <v>124</v>
      </c>
      <c r="T97" s="57">
        <f t="shared" si="7"/>
        <v>27</v>
      </c>
      <c r="U97" s="165">
        <v>138</v>
      </c>
      <c r="V97" s="58">
        <f t="shared" si="6"/>
        <v>3726</v>
      </c>
      <c r="W97" s="165">
        <v>1</v>
      </c>
      <c r="X97" s="55" t="s">
        <v>46</v>
      </c>
      <c r="Y97" s="55" t="s">
        <v>50</v>
      </c>
      <c r="Z97" s="55" t="s">
        <v>90</v>
      </c>
      <c r="AA97" s="55" t="s">
        <v>84</v>
      </c>
      <c r="AB97" s="55" t="s">
        <v>255</v>
      </c>
    </row>
    <row r="98" spans="1:28" x14ac:dyDescent="0.15">
      <c r="A98" s="55" t="s">
        <v>41</v>
      </c>
      <c r="B98" s="165" t="s">
        <v>253</v>
      </c>
      <c r="C98" s="133">
        <v>2018</v>
      </c>
      <c r="D98" s="56" t="s">
        <v>262</v>
      </c>
      <c r="E98" s="165" t="s">
        <v>243</v>
      </c>
      <c r="F98" s="165" t="s">
        <v>249</v>
      </c>
      <c r="G98" s="55" t="s">
        <v>42</v>
      </c>
      <c r="H98" s="55" t="s">
        <v>158</v>
      </c>
      <c r="I98" s="55" t="s">
        <v>153</v>
      </c>
      <c r="J98" s="55" t="s">
        <v>38</v>
      </c>
      <c r="K98" s="55" t="s">
        <v>154</v>
      </c>
      <c r="L98" s="165">
        <v>1</v>
      </c>
      <c r="N98" s="165">
        <v>4</v>
      </c>
      <c r="O98" s="55">
        <v>0.45</v>
      </c>
      <c r="P98" s="55">
        <v>0.6</v>
      </c>
      <c r="Q98" s="57">
        <f t="shared" si="5"/>
        <v>0.52500000000000002</v>
      </c>
      <c r="R98" s="165">
        <v>12.9</v>
      </c>
      <c r="S98" s="165">
        <v>120</v>
      </c>
      <c r="T98" s="57">
        <f t="shared" si="7"/>
        <v>30</v>
      </c>
      <c r="U98" s="165">
        <v>429</v>
      </c>
      <c r="V98" s="58">
        <f t="shared" si="6"/>
        <v>3217.5</v>
      </c>
      <c r="W98" s="165">
        <v>2</v>
      </c>
      <c r="X98" s="55" t="s">
        <v>46</v>
      </c>
      <c r="Y98" s="55" t="s">
        <v>50</v>
      </c>
      <c r="Z98" s="55" t="s">
        <v>90</v>
      </c>
      <c r="AA98" s="55" t="s">
        <v>84</v>
      </c>
      <c r="AB98" s="55" t="s">
        <v>255</v>
      </c>
    </row>
    <row r="99" spans="1:28" x14ac:dyDescent="0.15">
      <c r="A99" s="55" t="s">
        <v>41</v>
      </c>
      <c r="B99" s="165" t="s">
        <v>253</v>
      </c>
      <c r="C99" s="133">
        <v>2018</v>
      </c>
      <c r="D99" s="56" t="s">
        <v>262</v>
      </c>
      <c r="E99" s="165" t="s">
        <v>243</v>
      </c>
      <c r="F99" s="165" t="s">
        <v>249</v>
      </c>
      <c r="G99" s="55" t="s">
        <v>42</v>
      </c>
      <c r="H99" s="55" t="s">
        <v>158</v>
      </c>
      <c r="I99" s="55" t="s">
        <v>153</v>
      </c>
      <c r="J99" s="55" t="s">
        <v>38</v>
      </c>
      <c r="K99" s="55" t="s">
        <v>154</v>
      </c>
      <c r="L99" s="165">
        <v>2</v>
      </c>
      <c r="N99" s="165">
        <v>4</v>
      </c>
      <c r="O99" s="55">
        <v>0.65</v>
      </c>
      <c r="P99" s="55">
        <v>0.65</v>
      </c>
      <c r="Q99" s="57">
        <f t="shared" si="5"/>
        <v>0.65</v>
      </c>
      <c r="R99" s="165">
        <v>16.8</v>
      </c>
      <c r="S99" s="165">
        <v>119</v>
      </c>
      <c r="T99" s="57">
        <f t="shared" si="7"/>
        <v>30</v>
      </c>
      <c r="U99" s="165">
        <v>429</v>
      </c>
      <c r="V99" s="58">
        <f t="shared" si="6"/>
        <v>3217.5</v>
      </c>
      <c r="W99" s="165">
        <v>2</v>
      </c>
      <c r="X99" s="55" t="s">
        <v>46</v>
      </c>
      <c r="Y99" s="55" t="s">
        <v>50</v>
      </c>
      <c r="Z99" s="55" t="s">
        <v>90</v>
      </c>
      <c r="AA99" s="55" t="s">
        <v>84</v>
      </c>
      <c r="AB99" s="55" t="s">
        <v>255</v>
      </c>
    </row>
    <row r="100" spans="1:28" x14ac:dyDescent="0.15">
      <c r="A100" s="55" t="s">
        <v>41</v>
      </c>
      <c r="B100" s="165" t="s">
        <v>253</v>
      </c>
      <c r="C100" s="133">
        <v>2018</v>
      </c>
      <c r="D100" s="56" t="s">
        <v>262</v>
      </c>
      <c r="E100" s="165" t="s">
        <v>243</v>
      </c>
      <c r="F100" s="165" t="s">
        <v>249</v>
      </c>
      <c r="G100" s="55" t="s">
        <v>42</v>
      </c>
      <c r="H100" s="55" t="s">
        <v>158</v>
      </c>
      <c r="I100" s="55" t="s">
        <v>153</v>
      </c>
      <c r="J100" s="55" t="s">
        <v>38</v>
      </c>
      <c r="K100" s="55" t="s">
        <v>154</v>
      </c>
      <c r="L100" s="165">
        <v>3</v>
      </c>
      <c r="N100" s="165">
        <v>4</v>
      </c>
      <c r="O100" s="55">
        <v>0.5</v>
      </c>
      <c r="P100" s="55">
        <v>0.45</v>
      </c>
      <c r="Q100" s="57">
        <f t="shared" si="5"/>
        <v>0.47499999999999998</v>
      </c>
      <c r="R100" s="165">
        <v>14.7</v>
      </c>
      <c r="S100" s="165">
        <v>121</v>
      </c>
      <c r="T100" s="57">
        <f t="shared" si="7"/>
        <v>27</v>
      </c>
      <c r="U100" s="165">
        <v>429</v>
      </c>
      <c r="V100" s="58">
        <f t="shared" si="6"/>
        <v>2895.75</v>
      </c>
      <c r="W100" s="165">
        <v>2</v>
      </c>
      <c r="X100" s="55" t="s">
        <v>46</v>
      </c>
      <c r="Y100" s="55" t="s">
        <v>50</v>
      </c>
      <c r="Z100" s="55" t="s">
        <v>90</v>
      </c>
      <c r="AA100" s="55" t="s">
        <v>84</v>
      </c>
      <c r="AB100" s="55" t="s">
        <v>255</v>
      </c>
    </row>
    <row r="101" spans="1:28" x14ac:dyDescent="0.15">
      <c r="A101" s="55" t="s">
        <v>41</v>
      </c>
      <c r="B101" s="165" t="s">
        <v>253</v>
      </c>
      <c r="C101" s="133">
        <v>2018</v>
      </c>
      <c r="D101" s="56" t="s">
        <v>262</v>
      </c>
      <c r="E101" s="165" t="s">
        <v>243</v>
      </c>
      <c r="F101" s="165" t="s">
        <v>249</v>
      </c>
      <c r="G101" s="55" t="s">
        <v>42</v>
      </c>
      <c r="H101" s="55" t="s">
        <v>155</v>
      </c>
      <c r="I101" s="55" t="s">
        <v>153</v>
      </c>
      <c r="J101" s="55" t="s">
        <v>38</v>
      </c>
      <c r="K101" s="55" t="s">
        <v>154</v>
      </c>
      <c r="L101" s="165">
        <v>1</v>
      </c>
      <c r="N101" s="165">
        <v>1</v>
      </c>
      <c r="O101" s="165">
        <v>1</v>
      </c>
      <c r="P101" s="165">
        <v>1.1499999999999999</v>
      </c>
      <c r="Q101" s="82">
        <f t="shared" si="5"/>
        <v>1.075</v>
      </c>
      <c r="R101" s="55">
        <v>14.9</v>
      </c>
      <c r="S101" s="55">
        <v>120</v>
      </c>
      <c r="T101" s="57">
        <f t="shared" si="7"/>
        <v>30</v>
      </c>
      <c r="U101" s="165">
        <v>105</v>
      </c>
      <c r="V101" s="58">
        <f t="shared" si="6"/>
        <v>3150</v>
      </c>
      <c r="W101" s="165">
        <v>1</v>
      </c>
      <c r="X101" s="55" t="s">
        <v>46</v>
      </c>
      <c r="Y101" s="55" t="s">
        <v>50</v>
      </c>
      <c r="Z101" s="55" t="s">
        <v>90</v>
      </c>
      <c r="AA101" s="55" t="s">
        <v>84</v>
      </c>
      <c r="AB101" s="55" t="s">
        <v>255</v>
      </c>
    </row>
    <row r="102" spans="1:28" x14ac:dyDescent="0.15">
      <c r="A102" s="55" t="s">
        <v>41</v>
      </c>
      <c r="B102" s="165" t="s">
        <v>253</v>
      </c>
      <c r="C102" s="133">
        <v>2018</v>
      </c>
      <c r="D102" s="56" t="s">
        <v>262</v>
      </c>
      <c r="E102" s="165" t="s">
        <v>243</v>
      </c>
      <c r="F102" s="165" t="s">
        <v>249</v>
      </c>
      <c r="G102" s="55" t="s">
        <v>42</v>
      </c>
      <c r="H102" s="55" t="s">
        <v>155</v>
      </c>
      <c r="I102" s="55" t="s">
        <v>153</v>
      </c>
      <c r="J102" s="55" t="s">
        <v>38</v>
      </c>
      <c r="K102" s="55" t="s">
        <v>154</v>
      </c>
      <c r="L102" s="165">
        <v>2</v>
      </c>
      <c r="N102" s="165">
        <v>1</v>
      </c>
      <c r="O102" s="165">
        <v>0.9</v>
      </c>
      <c r="P102" s="165">
        <v>1</v>
      </c>
      <c r="Q102" s="82">
        <f t="shared" si="5"/>
        <v>0.95</v>
      </c>
      <c r="R102" s="55">
        <v>14.5</v>
      </c>
      <c r="S102" s="55">
        <v>126</v>
      </c>
      <c r="T102" s="57">
        <f t="shared" si="7"/>
        <v>27</v>
      </c>
      <c r="U102" s="165">
        <v>105</v>
      </c>
      <c r="V102" s="58">
        <f t="shared" si="6"/>
        <v>2835</v>
      </c>
      <c r="W102" s="165">
        <v>1</v>
      </c>
      <c r="X102" s="55" t="s">
        <v>46</v>
      </c>
      <c r="Y102" s="55" t="s">
        <v>50</v>
      </c>
      <c r="Z102" s="55" t="s">
        <v>90</v>
      </c>
      <c r="AA102" s="55" t="s">
        <v>84</v>
      </c>
      <c r="AB102" s="55" t="s">
        <v>255</v>
      </c>
    </row>
    <row r="103" spans="1:28" x14ac:dyDescent="0.15">
      <c r="A103" s="55" t="s">
        <v>41</v>
      </c>
      <c r="B103" s="165" t="s">
        <v>253</v>
      </c>
      <c r="C103" s="133">
        <v>2018</v>
      </c>
      <c r="D103" s="56" t="s">
        <v>262</v>
      </c>
      <c r="E103" s="165" t="s">
        <v>243</v>
      </c>
      <c r="F103" s="165" t="s">
        <v>249</v>
      </c>
      <c r="G103" s="55" t="s">
        <v>42</v>
      </c>
      <c r="H103" s="55" t="s">
        <v>155</v>
      </c>
      <c r="I103" s="55" t="s">
        <v>153</v>
      </c>
      <c r="J103" s="55" t="s">
        <v>38</v>
      </c>
      <c r="K103" s="55" t="s">
        <v>154</v>
      </c>
      <c r="L103" s="165">
        <v>3</v>
      </c>
      <c r="N103" s="165">
        <v>1</v>
      </c>
      <c r="O103" s="55">
        <v>0.95</v>
      </c>
      <c r="P103" s="55">
        <v>0.85</v>
      </c>
      <c r="Q103" s="82">
        <f t="shared" si="5"/>
        <v>0.89999999999999991</v>
      </c>
      <c r="R103" s="55">
        <v>13</v>
      </c>
      <c r="S103" s="55">
        <v>124</v>
      </c>
      <c r="T103" s="57">
        <f t="shared" si="7"/>
        <v>27</v>
      </c>
      <c r="U103" s="165">
        <v>105</v>
      </c>
      <c r="V103" s="58">
        <f t="shared" si="6"/>
        <v>2835</v>
      </c>
      <c r="W103" s="165">
        <v>1</v>
      </c>
      <c r="X103" s="55" t="s">
        <v>46</v>
      </c>
      <c r="Y103" s="55" t="s">
        <v>50</v>
      </c>
      <c r="Z103" s="55" t="s">
        <v>90</v>
      </c>
      <c r="AA103" s="55" t="s">
        <v>84</v>
      </c>
      <c r="AB103" s="55" t="s">
        <v>255</v>
      </c>
    </row>
    <row r="104" spans="1:28" x14ac:dyDescent="0.15">
      <c r="A104" s="55" t="s">
        <v>41</v>
      </c>
      <c r="B104" s="165" t="s">
        <v>253</v>
      </c>
      <c r="C104" s="133">
        <v>2018</v>
      </c>
      <c r="D104" s="56" t="s">
        <v>262</v>
      </c>
      <c r="E104" s="165" t="s">
        <v>243</v>
      </c>
      <c r="F104" s="165" t="s">
        <v>249</v>
      </c>
      <c r="G104" s="55" t="s">
        <v>42</v>
      </c>
      <c r="H104" s="55" t="s">
        <v>155</v>
      </c>
      <c r="I104" s="55" t="s">
        <v>153</v>
      </c>
      <c r="J104" s="55" t="s">
        <v>38</v>
      </c>
      <c r="K104" s="55" t="s">
        <v>154</v>
      </c>
      <c r="L104" s="165">
        <v>1</v>
      </c>
      <c r="N104" s="165">
        <v>4</v>
      </c>
      <c r="O104" s="55">
        <v>0.65</v>
      </c>
      <c r="P104" s="55">
        <v>0.45</v>
      </c>
      <c r="Q104" s="82">
        <f>IF(OR(O104="",P104=""),"",AVERAGE(O104,P104))</f>
        <v>0.55000000000000004</v>
      </c>
      <c r="R104" s="165">
        <v>14.3</v>
      </c>
      <c r="S104" s="55">
        <v>121</v>
      </c>
      <c r="T104" s="57">
        <f t="shared" si="7"/>
        <v>27</v>
      </c>
      <c r="U104" s="165">
        <v>321</v>
      </c>
      <c r="V104" s="58">
        <f t="shared" si="6"/>
        <v>2166.75</v>
      </c>
      <c r="W104" s="165">
        <v>2</v>
      </c>
      <c r="X104" s="55" t="s">
        <v>46</v>
      </c>
      <c r="Y104" s="55" t="s">
        <v>50</v>
      </c>
      <c r="Z104" s="55" t="s">
        <v>90</v>
      </c>
      <c r="AA104" s="55" t="s">
        <v>84</v>
      </c>
      <c r="AB104" s="55" t="s">
        <v>255</v>
      </c>
    </row>
    <row r="105" spans="1:28" x14ac:dyDescent="0.15">
      <c r="A105" s="55" t="s">
        <v>41</v>
      </c>
      <c r="B105" s="165" t="s">
        <v>253</v>
      </c>
      <c r="C105" s="133">
        <v>2018</v>
      </c>
      <c r="D105" s="56" t="s">
        <v>262</v>
      </c>
      <c r="E105" s="165" t="s">
        <v>243</v>
      </c>
      <c r="F105" s="165" t="s">
        <v>249</v>
      </c>
      <c r="G105" s="55" t="s">
        <v>42</v>
      </c>
      <c r="H105" s="55" t="s">
        <v>155</v>
      </c>
      <c r="I105" s="55" t="s">
        <v>153</v>
      </c>
      <c r="J105" s="55" t="s">
        <v>38</v>
      </c>
      <c r="K105" s="55" t="s">
        <v>154</v>
      </c>
      <c r="L105" s="165">
        <v>2</v>
      </c>
      <c r="N105" s="165">
        <v>4</v>
      </c>
      <c r="O105" s="55">
        <v>0.5</v>
      </c>
      <c r="P105" s="55">
        <v>0.55000000000000004</v>
      </c>
      <c r="Q105" s="82">
        <f>IF(OR(O105="",P105=""),"",AVERAGE(O105,P105))</f>
        <v>0.52500000000000002</v>
      </c>
      <c r="R105" s="165">
        <v>16</v>
      </c>
      <c r="S105" s="55">
        <v>118</v>
      </c>
      <c r="T105" s="57">
        <f t="shared" si="7"/>
        <v>30</v>
      </c>
      <c r="U105" s="165">
        <v>321</v>
      </c>
      <c r="V105" s="58">
        <f t="shared" si="6"/>
        <v>2407.5</v>
      </c>
      <c r="W105" s="165">
        <v>2</v>
      </c>
      <c r="X105" s="55" t="s">
        <v>46</v>
      </c>
      <c r="Y105" s="55" t="s">
        <v>50</v>
      </c>
      <c r="Z105" s="55" t="s">
        <v>90</v>
      </c>
      <c r="AA105" s="55" t="s">
        <v>84</v>
      </c>
      <c r="AB105" s="55" t="s">
        <v>255</v>
      </c>
    </row>
    <row r="106" spans="1:28" x14ac:dyDescent="0.15">
      <c r="A106" s="55" t="s">
        <v>41</v>
      </c>
      <c r="B106" s="165" t="s">
        <v>253</v>
      </c>
      <c r="C106" s="133">
        <v>2018</v>
      </c>
      <c r="D106" s="56" t="s">
        <v>262</v>
      </c>
      <c r="E106" s="165" t="s">
        <v>243</v>
      </c>
      <c r="F106" s="165" t="s">
        <v>249</v>
      </c>
      <c r="G106" s="55" t="s">
        <v>42</v>
      </c>
      <c r="H106" s="55" t="s">
        <v>155</v>
      </c>
      <c r="I106" s="55" t="s">
        <v>153</v>
      </c>
      <c r="J106" s="55" t="s">
        <v>38</v>
      </c>
      <c r="K106" s="55" t="s">
        <v>154</v>
      </c>
      <c r="L106" s="165">
        <v>3</v>
      </c>
      <c r="N106" s="165">
        <v>4</v>
      </c>
      <c r="O106" s="55">
        <v>0.65</v>
      </c>
      <c r="P106" s="55">
        <v>0.5</v>
      </c>
      <c r="Q106" s="82">
        <f>IF(OR(O106="",P106=""),"",AVERAGE(O106,P106))</f>
        <v>0.57499999999999996</v>
      </c>
      <c r="R106" s="165">
        <v>15</v>
      </c>
      <c r="S106" s="55">
        <v>120</v>
      </c>
      <c r="T106" s="57">
        <f t="shared" si="7"/>
        <v>30</v>
      </c>
      <c r="U106" s="165">
        <v>321</v>
      </c>
      <c r="V106" s="58">
        <f t="shared" si="6"/>
        <v>2407.5</v>
      </c>
      <c r="W106" s="165">
        <v>2</v>
      </c>
      <c r="X106" s="55" t="s">
        <v>46</v>
      </c>
      <c r="Y106" s="55" t="s">
        <v>50</v>
      </c>
      <c r="Z106" s="55" t="s">
        <v>90</v>
      </c>
      <c r="AA106" s="55" t="s">
        <v>84</v>
      </c>
      <c r="AB106" s="55" t="s">
        <v>255</v>
      </c>
    </row>
    <row r="107" spans="1:28" x14ac:dyDescent="0.15">
      <c r="A107" s="55" t="s">
        <v>41</v>
      </c>
      <c r="B107" s="165" t="s">
        <v>253</v>
      </c>
      <c r="C107" s="133">
        <v>2018</v>
      </c>
      <c r="D107" s="56" t="s">
        <v>262</v>
      </c>
      <c r="E107" s="165" t="s">
        <v>161</v>
      </c>
      <c r="F107" s="165" t="s">
        <v>250</v>
      </c>
      <c r="G107" s="55" t="s">
        <v>42</v>
      </c>
      <c r="H107" s="55" t="s">
        <v>158</v>
      </c>
      <c r="I107" s="55" t="s">
        <v>153</v>
      </c>
      <c r="J107" s="55" t="s">
        <v>38</v>
      </c>
      <c r="K107" s="55" t="s">
        <v>154</v>
      </c>
      <c r="L107" s="165">
        <v>1</v>
      </c>
      <c r="N107" s="165">
        <v>1</v>
      </c>
      <c r="O107" s="55">
        <v>0.4</v>
      </c>
      <c r="P107" s="55">
        <v>0.45</v>
      </c>
      <c r="Q107" s="57">
        <f t="shared" ref="Q107:Q124" si="8">IF(OR(O107="",P107=""),"",AVERAGE(O107,P107))</f>
        <v>0.42500000000000004</v>
      </c>
      <c r="R107" s="55">
        <v>15</v>
      </c>
      <c r="S107" s="165">
        <v>131</v>
      </c>
      <c r="T107" s="57">
        <f t="shared" si="7"/>
        <v>25</v>
      </c>
      <c r="U107" s="165">
        <v>137</v>
      </c>
      <c r="V107" s="58">
        <f t="shared" si="6"/>
        <v>3425</v>
      </c>
      <c r="W107" s="165">
        <v>1</v>
      </c>
      <c r="X107" s="55" t="s">
        <v>39</v>
      </c>
      <c r="Y107" s="55" t="s">
        <v>84</v>
      </c>
      <c r="Z107" s="55" t="s">
        <v>90</v>
      </c>
      <c r="AA107" s="55" t="s">
        <v>69</v>
      </c>
      <c r="AB107" s="55" t="s">
        <v>255</v>
      </c>
    </row>
    <row r="108" spans="1:28" x14ac:dyDescent="0.15">
      <c r="A108" s="55" t="s">
        <v>41</v>
      </c>
      <c r="B108" s="165" t="s">
        <v>253</v>
      </c>
      <c r="C108" s="133">
        <v>2018</v>
      </c>
      <c r="D108" s="56" t="s">
        <v>262</v>
      </c>
      <c r="E108" s="165" t="s">
        <v>161</v>
      </c>
      <c r="F108" s="165" t="s">
        <v>250</v>
      </c>
      <c r="G108" s="55" t="s">
        <v>42</v>
      </c>
      <c r="H108" s="55" t="s">
        <v>158</v>
      </c>
      <c r="I108" s="55" t="s">
        <v>153</v>
      </c>
      <c r="J108" s="55" t="s">
        <v>38</v>
      </c>
      <c r="K108" s="55" t="s">
        <v>154</v>
      </c>
      <c r="L108" s="165">
        <v>2</v>
      </c>
      <c r="N108" s="165">
        <v>1</v>
      </c>
      <c r="O108" s="55">
        <v>0.35</v>
      </c>
      <c r="P108" s="55">
        <v>0.4</v>
      </c>
      <c r="Q108" s="57">
        <f t="shared" si="8"/>
        <v>0.375</v>
      </c>
      <c r="R108" s="55">
        <v>12.9</v>
      </c>
      <c r="S108" s="165">
        <v>130</v>
      </c>
      <c r="T108" s="57">
        <f t="shared" si="7"/>
        <v>25</v>
      </c>
      <c r="U108" s="165">
        <v>137</v>
      </c>
      <c r="V108" s="58">
        <f t="shared" si="6"/>
        <v>3425</v>
      </c>
      <c r="W108" s="165">
        <v>1</v>
      </c>
      <c r="X108" s="55" t="s">
        <v>39</v>
      </c>
      <c r="Y108" s="55" t="s">
        <v>84</v>
      </c>
      <c r="Z108" s="55" t="s">
        <v>90</v>
      </c>
      <c r="AA108" s="55" t="s">
        <v>69</v>
      </c>
      <c r="AB108" s="55" t="s">
        <v>255</v>
      </c>
    </row>
    <row r="109" spans="1:28" x14ac:dyDescent="0.15">
      <c r="A109" s="55" t="s">
        <v>41</v>
      </c>
      <c r="B109" s="165" t="s">
        <v>253</v>
      </c>
      <c r="C109" s="133">
        <v>2018</v>
      </c>
      <c r="D109" s="56" t="s">
        <v>262</v>
      </c>
      <c r="E109" s="165" t="s">
        <v>161</v>
      </c>
      <c r="F109" s="165" t="s">
        <v>250</v>
      </c>
      <c r="G109" s="55" t="s">
        <v>42</v>
      </c>
      <c r="H109" s="55" t="s">
        <v>158</v>
      </c>
      <c r="I109" s="55" t="s">
        <v>153</v>
      </c>
      <c r="J109" s="55" t="s">
        <v>38</v>
      </c>
      <c r="K109" s="55" t="s">
        <v>154</v>
      </c>
      <c r="L109" s="165">
        <v>3</v>
      </c>
      <c r="N109" s="165">
        <v>1</v>
      </c>
      <c r="O109" s="55">
        <v>0.5</v>
      </c>
      <c r="P109" s="55">
        <v>0.65</v>
      </c>
      <c r="Q109" s="57">
        <f t="shared" si="8"/>
        <v>0.57499999999999996</v>
      </c>
      <c r="R109" s="55">
        <v>16.399999999999999</v>
      </c>
      <c r="S109" s="165">
        <v>129</v>
      </c>
      <c r="T109" s="57">
        <f t="shared" si="7"/>
        <v>25</v>
      </c>
      <c r="U109" s="165">
        <v>137</v>
      </c>
      <c r="V109" s="58">
        <f t="shared" si="6"/>
        <v>3425</v>
      </c>
      <c r="W109" s="165">
        <v>1</v>
      </c>
      <c r="X109" s="55" t="s">
        <v>39</v>
      </c>
      <c r="Y109" s="55" t="s">
        <v>84</v>
      </c>
      <c r="Z109" s="55" t="s">
        <v>90</v>
      </c>
      <c r="AA109" s="55" t="s">
        <v>69</v>
      </c>
      <c r="AB109" s="55" t="s">
        <v>255</v>
      </c>
    </row>
    <row r="110" spans="1:28" x14ac:dyDescent="0.15">
      <c r="A110" s="55" t="s">
        <v>41</v>
      </c>
      <c r="B110" s="165" t="s">
        <v>253</v>
      </c>
      <c r="C110" s="133">
        <v>2018</v>
      </c>
      <c r="D110" s="56" t="s">
        <v>262</v>
      </c>
      <c r="E110" s="165" t="s">
        <v>161</v>
      </c>
      <c r="F110" s="165" t="s">
        <v>250</v>
      </c>
      <c r="G110" s="55" t="s">
        <v>42</v>
      </c>
      <c r="H110" s="55" t="s">
        <v>158</v>
      </c>
      <c r="I110" s="55" t="s">
        <v>153</v>
      </c>
      <c r="J110" s="55" t="s">
        <v>38</v>
      </c>
      <c r="K110" s="55" t="s">
        <v>154</v>
      </c>
      <c r="L110" s="165">
        <v>1</v>
      </c>
      <c r="N110" s="165">
        <v>4</v>
      </c>
      <c r="O110" s="55">
        <v>0.85</v>
      </c>
      <c r="P110" s="55">
        <v>0.9</v>
      </c>
      <c r="Q110" s="57">
        <f t="shared" si="8"/>
        <v>0.875</v>
      </c>
      <c r="R110" s="55">
        <v>16.2</v>
      </c>
      <c r="S110" s="165">
        <v>125</v>
      </c>
      <c r="T110" s="57">
        <f t="shared" si="7"/>
        <v>27</v>
      </c>
      <c r="U110" s="165">
        <v>515</v>
      </c>
      <c r="V110" s="58">
        <f t="shared" si="6"/>
        <v>3476.25</v>
      </c>
      <c r="W110" s="165">
        <v>1</v>
      </c>
      <c r="X110" s="55" t="s">
        <v>39</v>
      </c>
      <c r="Y110" s="55" t="s">
        <v>84</v>
      </c>
      <c r="Z110" s="55" t="s">
        <v>90</v>
      </c>
      <c r="AA110" s="55" t="s">
        <v>69</v>
      </c>
      <c r="AB110" s="55" t="s">
        <v>255</v>
      </c>
    </row>
    <row r="111" spans="1:28" x14ac:dyDescent="0.15">
      <c r="A111" s="55" t="s">
        <v>41</v>
      </c>
      <c r="B111" s="165" t="s">
        <v>253</v>
      </c>
      <c r="C111" s="133">
        <v>2018</v>
      </c>
      <c r="D111" s="56" t="s">
        <v>262</v>
      </c>
      <c r="E111" s="165" t="s">
        <v>161</v>
      </c>
      <c r="F111" s="165" t="s">
        <v>250</v>
      </c>
      <c r="G111" s="55" t="s">
        <v>42</v>
      </c>
      <c r="H111" s="55" t="s">
        <v>158</v>
      </c>
      <c r="I111" s="55" t="s">
        <v>153</v>
      </c>
      <c r="J111" s="55" t="s">
        <v>38</v>
      </c>
      <c r="K111" s="55" t="s">
        <v>154</v>
      </c>
      <c r="L111" s="165">
        <v>2</v>
      </c>
      <c r="N111" s="165">
        <v>4</v>
      </c>
      <c r="O111" s="55">
        <v>0.7</v>
      </c>
      <c r="P111" s="55">
        <v>0.75</v>
      </c>
      <c r="Q111" s="57">
        <f t="shared" si="8"/>
        <v>0.72499999999999998</v>
      </c>
      <c r="R111" s="55">
        <v>15.1</v>
      </c>
      <c r="S111" s="165">
        <v>126</v>
      </c>
      <c r="T111" s="57">
        <f t="shared" si="7"/>
        <v>27</v>
      </c>
      <c r="U111" s="165">
        <v>515</v>
      </c>
      <c r="V111" s="58">
        <f t="shared" si="6"/>
        <v>3476.25</v>
      </c>
      <c r="W111" s="165">
        <v>1</v>
      </c>
      <c r="X111" s="55" t="s">
        <v>39</v>
      </c>
      <c r="Y111" s="55" t="s">
        <v>84</v>
      </c>
      <c r="Z111" s="55" t="s">
        <v>90</v>
      </c>
      <c r="AA111" s="55" t="s">
        <v>69</v>
      </c>
      <c r="AB111" s="55" t="s">
        <v>255</v>
      </c>
    </row>
    <row r="112" spans="1:28" x14ac:dyDescent="0.15">
      <c r="A112" s="55" t="s">
        <v>41</v>
      </c>
      <c r="B112" s="165" t="s">
        <v>253</v>
      </c>
      <c r="C112" s="133">
        <v>2018</v>
      </c>
      <c r="D112" s="56" t="s">
        <v>262</v>
      </c>
      <c r="E112" s="165" t="s">
        <v>161</v>
      </c>
      <c r="F112" s="165" t="s">
        <v>250</v>
      </c>
      <c r="G112" s="55" t="s">
        <v>42</v>
      </c>
      <c r="H112" s="55" t="s">
        <v>158</v>
      </c>
      <c r="I112" s="55" t="s">
        <v>153</v>
      </c>
      <c r="J112" s="55" t="s">
        <v>38</v>
      </c>
      <c r="K112" s="55" t="s">
        <v>154</v>
      </c>
      <c r="L112" s="165">
        <v>3</v>
      </c>
      <c r="N112" s="165">
        <v>4</v>
      </c>
      <c r="O112" s="55">
        <v>0.65</v>
      </c>
      <c r="P112" s="55">
        <v>0.65</v>
      </c>
      <c r="Q112" s="57">
        <f t="shared" si="8"/>
        <v>0.65</v>
      </c>
      <c r="R112" s="55">
        <v>15</v>
      </c>
      <c r="S112" s="165">
        <v>124</v>
      </c>
      <c r="T112" s="57">
        <f t="shared" si="7"/>
        <v>27</v>
      </c>
      <c r="U112" s="165">
        <v>515</v>
      </c>
      <c r="V112" s="58">
        <f t="shared" si="6"/>
        <v>3476.25</v>
      </c>
      <c r="W112" s="165">
        <v>1</v>
      </c>
      <c r="X112" s="55" t="s">
        <v>39</v>
      </c>
      <c r="Y112" s="55" t="s">
        <v>84</v>
      </c>
      <c r="Z112" s="55" t="s">
        <v>90</v>
      </c>
      <c r="AA112" s="55" t="s">
        <v>69</v>
      </c>
      <c r="AB112" s="55" t="s">
        <v>255</v>
      </c>
    </row>
    <row r="113" spans="1:28" x14ac:dyDescent="0.15">
      <c r="A113" s="55" t="s">
        <v>41</v>
      </c>
      <c r="B113" s="165" t="s">
        <v>253</v>
      </c>
      <c r="C113" s="133">
        <v>2018</v>
      </c>
      <c r="D113" s="56" t="s">
        <v>262</v>
      </c>
      <c r="E113" s="165" t="s">
        <v>161</v>
      </c>
      <c r="F113" s="165" t="s">
        <v>250</v>
      </c>
      <c r="G113" s="55" t="s">
        <v>42</v>
      </c>
      <c r="H113" s="55" t="s">
        <v>155</v>
      </c>
      <c r="I113" s="55" t="s">
        <v>153</v>
      </c>
      <c r="J113" s="55" t="s">
        <v>38</v>
      </c>
      <c r="K113" s="55" t="s">
        <v>154</v>
      </c>
      <c r="L113" s="165">
        <v>1</v>
      </c>
      <c r="N113" s="165">
        <v>1</v>
      </c>
      <c r="O113" s="55">
        <v>1.1000000000000001</v>
      </c>
      <c r="P113" s="55">
        <v>0.95</v>
      </c>
      <c r="Q113" s="57">
        <f t="shared" si="8"/>
        <v>1.0249999999999999</v>
      </c>
      <c r="R113" s="165">
        <v>14.4</v>
      </c>
      <c r="S113" s="165">
        <v>130</v>
      </c>
      <c r="T113" s="57">
        <f t="shared" si="7"/>
        <v>25</v>
      </c>
      <c r="U113" s="165">
        <v>137</v>
      </c>
      <c r="V113" s="58">
        <f t="shared" si="6"/>
        <v>3425</v>
      </c>
      <c r="W113" s="165">
        <v>1</v>
      </c>
      <c r="X113" s="55" t="s">
        <v>39</v>
      </c>
      <c r="Y113" s="55" t="s">
        <v>84</v>
      </c>
      <c r="Z113" s="55" t="s">
        <v>90</v>
      </c>
      <c r="AA113" s="55" t="s">
        <v>69</v>
      </c>
      <c r="AB113" s="55" t="s">
        <v>255</v>
      </c>
    </row>
    <row r="114" spans="1:28" x14ac:dyDescent="0.15">
      <c r="A114" s="55" t="s">
        <v>41</v>
      </c>
      <c r="B114" s="165" t="s">
        <v>253</v>
      </c>
      <c r="C114" s="133">
        <v>2018</v>
      </c>
      <c r="D114" s="56" t="s">
        <v>262</v>
      </c>
      <c r="E114" s="165" t="s">
        <v>161</v>
      </c>
      <c r="F114" s="165" t="s">
        <v>250</v>
      </c>
      <c r="G114" s="55" t="s">
        <v>42</v>
      </c>
      <c r="H114" s="55" t="s">
        <v>155</v>
      </c>
      <c r="I114" s="55" t="s">
        <v>153</v>
      </c>
      <c r="J114" s="55" t="s">
        <v>38</v>
      </c>
      <c r="K114" s="55" t="s">
        <v>154</v>
      </c>
      <c r="L114" s="165">
        <v>2</v>
      </c>
      <c r="N114" s="165">
        <v>1</v>
      </c>
      <c r="O114" s="55">
        <v>1</v>
      </c>
      <c r="P114" s="55">
        <v>1.1499999999999999</v>
      </c>
      <c r="Q114" s="57">
        <f t="shared" si="8"/>
        <v>1.075</v>
      </c>
      <c r="R114" s="165">
        <v>14.7</v>
      </c>
      <c r="S114" s="165">
        <v>132</v>
      </c>
      <c r="T114" s="57">
        <f t="shared" si="7"/>
        <v>25</v>
      </c>
      <c r="U114" s="165">
        <v>137</v>
      </c>
      <c r="V114" s="58">
        <f t="shared" si="6"/>
        <v>3425</v>
      </c>
      <c r="W114" s="165">
        <v>1</v>
      </c>
      <c r="X114" s="55" t="s">
        <v>39</v>
      </c>
      <c r="Y114" s="55" t="s">
        <v>84</v>
      </c>
      <c r="Z114" s="55" t="s">
        <v>90</v>
      </c>
      <c r="AA114" s="55" t="s">
        <v>69</v>
      </c>
      <c r="AB114" s="55" t="s">
        <v>255</v>
      </c>
    </row>
    <row r="115" spans="1:28" x14ac:dyDescent="0.15">
      <c r="A115" s="55" t="s">
        <v>41</v>
      </c>
      <c r="B115" s="165" t="s">
        <v>253</v>
      </c>
      <c r="C115" s="133">
        <v>2018</v>
      </c>
      <c r="D115" s="56" t="s">
        <v>262</v>
      </c>
      <c r="E115" s="165" t="s">
        <v>161</v>
      </c>
      <c r="F115" s="165" t="s">
        <v>250</v>
      </c>
      <c r="G115" s="55" t="s">
        <v>42</v>
      </c>
      <c r="H115" s="55" t="s">
        <v>155</v>
      </c>
      <c r="I115" s="55" t="s">
        <v>153</v>
      </c>
      <c r="J115" s="55" t="s">
        <v>38</v>
      </c>
      <c r="K115" s="55" t="s">
        <v>154</v>
      </c>
      <c r="L115" s="165">
        <v>3</v>
      </c>
      <c r="N115" s="165">
        <v>1</v>
      </c>
      <c r="O115" s="55">
        <v>0.95</v>
      </c>
      <c r="P115" s="55">
        <v>1</v>
      </c>
      <c r="Q115" s="57">
        <f t="shared" si="8"/>
        <v>0.97499999999999998</v>
      </c>
      <c r="R115" s="165">
        <v>14.2</v>
      </c>
      <c r="S115" s="165">
        <v>129</v>
      </c>
      <c r="T115" s="57">
        <f t="shared" si="7"/>
        <v>25</v>
      </c>
      <c r="U115" s="165">
        <v>137</v>
      </c>
      <c r="V115" s="58">
        <f t="shared" si="6"/>
        <v>3425</v>
      </c>
      <c r="W115" s="165">
        <v>1</v>
      </c>
      <c r="X115" s="55" t="s">
        <v>39</v>
      </c>
      <c r="Y115" s="55" t="s">
        <v>84</v>
      </c>
      <c r="Z115" s="55" t="s">
        <v>90</v>
      </c>
      <c r="AA115" s="55" t="s">
        <v>69</v>
      </c>
      <c r="AB115" s="55" t="s">
        <v>255</v>
      </c>
    </row>
    <row r="116" spans="1:28" x14ac:dyDescent="0.15">
      <c r="A116" s="55" t="s">
        <v>41</v>
      </c>
      <c r="B116" s="165" t="s">
        <v>253</v>
      </c>
      <c r="C116" s="133">
        <v>2018</v>
      </c>
      <c r="D116" s="56" t="s">
        <v>262</v>
      </c>
      <c r="E116" s="165" t="s">
        <v>161</v>
      </c>
      <c r="F116" s="165" t="s">
        <v>250</v>
      </c>
      <c r="G116" s="55" t="s">
        <v>42</v>
      </c>
      <c r="H116" s="55" t="s">
        <v>155</v>
      </c>
      <c r="I116" s="55" t="s">
        <v>153</v>
      </c>
      <c r="J116" s="55" t="s">
        <v>38</v>
      </c>
      <c r="K116" s="55" t="s">
        <v>154</v>
      </c>
      <c r="L116" s="165">
        <v>1</v>
      </c>
      <c r="N116" s="165">
        <v>4</v>
      </c>
      <c r="O116" s="55">
        <v>0.85</v>
      </c>
      <c r="P116" s="55">
        <v>0.95</v>
      </c>
      <c r="Q116" s="57">
        <f t="shared" si="8"/>
        <v>0.89999999999999991</v>
      </c>
      <c r="R116" s="165">
        <v>13.5</v>
      </c>
      <c r="S116" s="165">
        <v>125</v>
      </c>
      <c r="T116" s="57">
        <f t="shared" si="7"/>
        <v>27</v>
      </c>
      <c r="U116" s="165">
        <v>515</v>
      </c>
      <c r="V116" s="58">
        <f t="shared" si="6"/>
        <v>3476.25</v>
      </c>
      <c r="W116" s="165">
        <v>1</v>
      </c>
      <c r="X116" s="55" t="s">
        <v>39</v>
      </c>
      <c r="Y116" s="55" t="s">
        <v>84</v>
      </c>
      <c r="Z116" s="55" t="s">
        <v>90</v>
      </c>
      <c r="AA116" s="55" t="s">
        <v>69</v>
      </c>
      <c r="AB116" s="55" t="s">
        <v>255</v>
      </c>
    </row>
    <row r="117" spans="1:28" x14ac:dyDescent="0.15">
      <c r="A117" s="55" t="s">
        <v>41</v>
      </c>
      <c r="B117" s="165" t="s">
        <v>253</v>
      </c>
      <c r="C117" s="133">
        <v>2018</v>
      </c>
      <c r="D117" s="56" t="s">
        <v>262</v>
      </c>
      <c r="E117" s="165" t="s">
        <v>161</v>
      </c>
      <c r="F117" s="165" t="s">
        <v>250</v>
      </c>
      <c r="G117" s="55" t="s">
        <v>42</v>
      </c>
      <c r="H117" s="55" t="s">
        <v>155</v>
      </c>
      <c r="I117" s="55" t="s">
        <v>153</v>
      </c>
      <c r="J117" s="55" t="s">
        <v>38</v>
      </c>
      <c r="K117" s="55" t="s">
        <v>154</v>
      </c>
      <c r="L117" s="165">
        <v>2</v>
      </c>
      <c r="N117" s="165">
        <v>4</v>
      </c>
      <c r="O117" s="55">
        <v>0.9</v>
      </c>
      <c r="P117" s="55">
        <v>1.1499999999999999</v>
      </c>
      <c r="Q117" s="57">
        <f t="shared" si="8"/>
        <v>1.0249999999999999</v>
      </c>
      <c r="R117" s="165">
        <v>13.9</v>
      </c>
      <c r="S117" s="165">
        <v>126</v>
      </c>
      <c r="T117" s="57">
        <f t="shared" si="7"/>
        <v>27</v>
      </c>
      <c r="U117" s="165">
        <v>515</v>
      </c>
      <c r="V117" s="58">
        <f t="shared" si="6"/>
        <v>3476.25</v>
      </c>
      <c r="W117" s="165">
        <v>1</v>
      </c>
      <c r="X117" s="55" t="s">
        <v>39</v>
      </c>
      <c r="Y117" s="55" t="s">
        <v>84</v>
      </c>
      <c r="Z117" s="55" t="s">
        <v>90</v>
      </c>
      <c r="AA117" s="55" t="s">
        <v>69</v>
      </c>
      <c r="AB117" s="55" t="s">
        <v>255</v>
      </c>
    </row>
    <row r="118" spans="1:28" x14ac:dyDescent="0.15">
      <c r="A118" s="55" t="s">
        <v>41</v>
      </c>
      <c r="B118" s="165" t="s">
        <v>253</v>
      </c>
      <c r="C118" s="133">
        <v>2018</v>
      </c>
      <c r="D118" s="56" t="s">
        <v>262</v>
      </c>
      <c r="E118" s="165" t="s">
        <v>161</v>
      </c>
      <c r="F118" s="165" t="s">
        <v>250</v>
      </c>
      <c r="G118" s="55" t="s">
        <v>42</v>
      </c>
      <c r="H118" s="55" t="s">
        <v>155</v>
      </c>
      <c r="I118" s="55" t="s">
        <v>153</v>
      </c>
      <c r="J118" s="55" t="s">
        <v>38</v>
      </c>
      <c r="K118" s="55" t="s">
        <v>154</v>
      </c>
      <c r="L118" s="165">
        <v>3</v>
      </c>
      <c r="N118" s="165">
        <v>4</v>
      </c>
      <c r="O118" s="55">
        <v>1</v>
      </c>
      <c r="P118" s="55">
        <v>1.05</v>
      </c>
      <c r="Q118" s="57">
        <f t="shared" si="8"/>
        <v>1.0249999999999999</v>
      </c>
      <c r="R118" s="165">
        <v>12.8</v>
      </c>
      <c r="S118" s="165">
        <v>122</v>
      </c>
      <c r="T118" s="57">
        <f t="shared" si="7"/>
        <v>27</v>
      </c>
      <c r="U118" s="165">
        <v>515</v>
      </c>
      <c r="V118" s="58">
        <f t="shared" si="6"/>
        <v>3476.25</v>
      </c>
      <c r="W118" s="165">
        <v>1</v>
      </c>
      <c r="X118" s="55" t="s">
        <v>39</v>
      </c>
      <c r="Y118" s="55" t="s">
        <v>84</v>
      </c>
      <c r="Z118" s="55" t="s">
        <v>90</v>
      </c>
      <c r="AA118" s="55" t="s">
        <v>69</v>
      </c>
      <c r="AB118" s="55" t="s">
        <v>255</v>
      </c>
    </row>
    <row r="119" spans="1:28" x14ac:dyDescent="0.15">
      <c r="A119" s="55" t="s">
        <v>41</v>
      </c>
      <c r="B119" s="165" t="s">
        <v>253</v>
      </c>
      <c r="C119" s="133">
        <v>2018</v>
      </c>
      <c r="D119" s="56" t="s">
        <v>262</v>
      </c>
      <c r="E119" s="165" t="s">
        <v>241</v>
      </c>
      <c r="F119" s="165" t="s">
        <v>246</v>
      </c>
      <c r="G119" s="55" t="s">
        <v>42</v>
      </c>
      <c r="H119" s="55" t="s">
        <v>158</v>
      </c>
      <c r="I119" s="55" t="s">
        <v>153</v>
      </c>
      <c r="J119" s="55" t="s">
        <v>38</v>
      </c>
      <c r="K119" s="55" t="s">
        <v>154</v>
      </c>
      <c r="L119" s="165">
        <v>1</v>
      </c>
      <c r="N119" s="165">
        <v>1</v>
      </c>
      <c r="O119" s="55">
        <v>0.65</v>
      </c>
      <c r="P119" s="55">
        <v>0.75</v>
      </c>
      <c r="Q119" s="57">
        <f t="shared" si="8"/>
        <v>0.7</v>
      </c>
      <c r="R119" s="165">
        <v>12.8</v>
      </c>
      <c r="S119" s="165">
        <v>109</v>
      </c>
      <c r="T119" s="57">
        <f t="shared" si="7"/>
        <v>33</v>
      </c>
      <c r="U119" s="165">
        <v>104</v>
      </c>
      <c r="V119" s="58">
        <f t="shared" si="6"/>
        <v>3432</v>
      </c>
      <c r="W119" s="165">
        <v>1</v>
      </c>
      <c r="X119" s="55" t="s">
        <v>46</v>
      </c>
      <c r="Y119" s="55" t="s">
        <v>84</v>
      </c>
      <c r="Z119" s="55" t="s">
        <v>69</v>
      </c>
      <c r="AA119" s="55" t="s">
        <v>90</v>
      </c>
      <c r="AB119" s="55" t="s">
        <v>255</v>
      </c>
    </row>
    <row r="120" spans="1:28" x14ac:dyDescent="0.15">
      <c r="A120" s="55" t="s">
        <v>41</v>
      </c>
      <c r="B120" s="165" t="s">
        <v>253</v>
      </c>
      <c r="C120" s="133">
        <v>2018</v>
      </c>
      <c r="D120" s="56" t="s">
        <v>262</v>
      </c>
      <c r="E120" s="165" t="s">
        <v>241</v>
      </c>
      <c r="F120" s="165" t="s">
        <v>246</v>
      </c>
      <c r="G120" s="55" t="s">
        <v>42</v>
      </c>
      <c r="H120" s="55" t="s">
        <v>158</v>
      </c>
      <c r="I120" s="55" t="s">
        <v>153</v>
      </c>
      <c r="J120" s="55" t="s">
        <v>38</v>
      </c>
      <c r="K120" s="55" t="s">
        <v>154</v>
      </c>
      <c r="L120" s="165">
        <v>2</v>
      </c>
      <c r="N120" s="165">
        <v>1</v>
      </c>
      <c r="O120" s="55">
        <v>0.7</v>
      </c>
      <c r="P120" s="55">
        <v>0.85</v>
      </c>
      <c r="Q120" s="57">
        <f t="shared" si="8"/>
        <v>0.77499999999999991</v>
      </c>
      <c r="R120" s="165">
        <v>16.8</v>
      </c>
      <c r="S120" s="165">
        <v>114</v>
      </c>
      <c r="T120" s="57">
        <f t="shared" si="7"/>
        <v>30</v>
      </c>
      <c r="U120" s="165">
        <v>104</v>
      </c>
      <c r="V120" s="58">
        <f t="shared" si="6"/>
        <v>3120</v>
      </c>
      <c r="W120" s="165">
        <v>1</v>
      </c>
      <c r="X120" s="55" t="s">
        <v>46</v>
      </c>
      <c r="Y120" s="55" t="s">
        <v>84</v>
      </c>
      <c r="Z120" s="55" t="s">
        <v>69</v>
      </c>
      <c r="AA120" s="55" t="s">
        <v>90</v>
      </c>
      <c r="AB120" s="55" t="s">
        <v>255</v>
      </c>
    </row>
    <row r="121" spans="1:28" x14ac:dyDescent="0.15">
      <c r="A121" s="55" t="s">
        <v>41</v>
      </c>
      <c r="B121" s="165" t="s">
        <v>253</v>
      </c>
      <c r="C121" s="133">
        <v>2018</v>
      </c>
      <c r="D121" s="56" t="s">
        <v>262</v>
      </c>
      <c r="E121" s="165" t="s">
        <v>241</v>
      </c>
      <c r="F121" s="165" t="s">
        <v>246</v>
      </c>
      <c r="G121" s="55" t="s">
        <v>42</v>
      </c>
      <c r="H121" s="55" t="s">
        <v>158</v>
      </c>
      <c r="I121" s="55" t="s">
        <v>153</v>
      </c>
      <c r="J121" s="55" t="s">
        <v>38</v>
      </c>
      <c r="K121" s="55" t="s">
        <v>154</v>
      </c>
      <c r="L121" s="165">
        <v>3</v>
      </c>
      <c r="N121" s="165">
        <v>1</v>
      </c>
      <c r="O121" s="55">
        <v>0.85</v>
      </c>
      <c r="P121" s="55">
        <v>0.75</v>
      </c>
      <c r="Q121" s="57">
        <f t="shared" si="8"/>
        <v>0.8</v>
      </c>
      <c r="R121" s="165">
        <v>14.8</v>
      </c>
      <c r="S121" s="165">
        <v>115</v>
      </c>
      <c r="T121" s="57">
        <f t="shared" si="7"/>
        <v>30</v>
      </c>
      <c r="U121" s="165">
        <v>104</v>
      </c>
      <c r="V121" s="58">
        <f t="shared" si="6"/>
        <v>3120</v>
      </c>
      <c r="W121" s="165">
        <v>1</v>
      </c>
      <c r="X121" s="55" t="s">
        <v>46</v>
      </c>
      <c r="Y121" s="55" t="s">
        <v>84</v>
      </c>
      <c r="Z121" s="55" t="s">
        <v>69</v>
      </c>
      <c r="AA121" s="55" t="s">
        <v>90</v>
      </c>
      <c r="AB121" s="55" t="s">
        <v>255</v>
      </c>
    </row>
    <row r="122" spans="1:28" x14ac:dyDescent="0.15">
      <c r="A122" s="55" t="s">
        <v>41</v>
      </c>
      <c r="B122" s="165" t="s">
        <v>253</v>
      </c>
      <c r="C122" s="133">
        <v>2018</v>
      </c>
      <c r="D122" s="56" t="s">
        <v>262</v>
      </c>
      <c r="E122" s="165" t="s">
        <v>241</v>
      </c>
      <c r="F122" s="165" t="s">
        <v>246</v>
      </c>
      <c r="G122" s="55" t="s">
        <v>42</v>
      </c>
      <c r="H122" s="55" t="s">
        <v>155</v>
      </c>
      <c r="I122" s="55" t="s">
        <v>153</v>
      </c>
      <c r="J122" s="55" t="s">
        <v>38</v>
      </c>
      <c r="K122" s="55" t="s">
        <v>154</v>
      </c>
      <c r="L122" s="165">
        <v>1</v>
      </c>
      <c r="N122" s="165">
        <v>1</v>
      </c>
      <c r="O122" s="55">
        <v>1</v>
      </c>
      <c r="P122" s="55">
        <v>1.2</v>
      </c>
      <c r="Q122" s="57">
        <f t="shared" si="8"/>
        <v>1.1000000000000001</v>
      </c>
      <c r="R122" s="165">
        <v>13.5</v>
      </c>
      <c r="S122" s="55">
        <v>110</v>
      </c>
      <c r="T122" s="57">
        <f t="shared" si="7"/>
        <v>33</v>
      </c>
      <c r="U122" s="165">
        <v>104</v>
      </c>
      <c r="V122" s="58">
        <f t="shared" si="6"/>
        <v>3432</v>
      </c>
      <c r="W122" s="165">
        <v>3</v>
      </c>
      <c r="X122" s="55" t="s">
        <v>46</v>
      </c>
      <c r="Y122" s="55" t="s">
        <v>84</v>
      </c>
      <c r="Z122" s="55" t="s">
        <v>69</v>
      </c>
      <c r="AA122" s="55" t="s">
        <v>90</v>
      </c>
      <c r="AB122" s="55" t="s">
        <v>255</v>
      </c>
    </row>
    <row r="123" spans="1:28" x14ac:dyDescent="0.15">
      <c r="A123" s="55" t="s">
        <v>41</v>
      </c>
      <c r="B123" s="165" t="s">
        <v>253</v>
      </c>
      <c r="C123" s="133">
        <v>2018</v>
      </c>
      <c r="D123" s="56" t="s">
        <v>262</v>
      </c>
      <c r="E123" s="165" t="s">
        <v>241</v>
      </c>
      <c r="F123" s="165" t="s">
        <v>246</v>
      </c>
      <c r="G123" s="55" t="s">
        <v>42</v>
      </c>
      <c r="H123" s="55" t="s">
        <v>155</v>
      </c>
      <c r="I123" s="55" t="s">
        <v>153</v>
      </c>
      <c r="J123" s="55" t="s">
        <v>38</v>
      </c>
      <c r="K123" s="55" t="s">
        <v>154</v>
      </c>
      <c r="L123" s="165">
        <v>2</v>
      </c>
      <c r="N123" s="165">
        <v>1</v>
      </c>
      <c r="O123" s="55">
        <v>1.05</v>
      </c>
      <c r="P123" s="55">
        <v>1.3</v>
      </c>
      <c r="Q123" s="57">
        <f t="shared" si="8"/>
        <v>1.175</v>
      </c>
      <c r="R123" s="165">
        <v>12.9</v>
      </c>
      <c r="S123" s="55">
        <v>113</v>
      </c>
      <c r="T123" s="57">
        <f t="shared" si="7"/>
        <v>30</v>
      </c>
      <c r="U123" s="165">
        <v>104</v>
      </c>
      <c r="V123" s="58">
        <f t="shared" si="6"/>
        <v>3120</v>
      </c>
      <c r="W123" s="165">
        <v>3</v>
      </c>
      <c r="X123" s="55" t="s">
        <v>46</v>
      </c>
      <c r="Y123" s="55" t="s">
        <v>84</v>
      </c>
      <c r="Z123" s="55" t="s">
        <v>69</v>
      </c>
      <c r="AA123" s="55" t="s">
        <v>90</v>
      </c>
      <c r="AB123" s="55" t="s">
        <v>255</v>
      </c>
    </row>
    <row r="124" spans="1:28" x14ac:dyDescent="0.15">
      <c r="A124" s="55" t="s">
        <v>41</v>
      </c>
      <c r="B124" s="165" t="s">
        <v>253</v>
      </c>
      <c r="C124" s="133">
        <v>2018</v>
      </c>
      <c r="D124" s="56" t="s">
        <v>262</v>
      </c>
      <c r="E124" s="165" t="s">
        <v>241</v>
      </c>
      <c r="F124" s="165" t="s">
        <v>246</v>
      </c>
      <c r="G124" s="55" t="s">
        <v>42</v>
      </c>
      <c r="H124" s="55" t="s">
        <v>155</v>
      </c>
      <c r="I124" s="55" t="s">
        <v>153</v>
      </c>
      <c r="J124" s="55" t="s">
        <v>38</v>
      </c>
      <c r="K124" s="55" t="s">
        <v>154</v>
      </c>
      <c r="L124" s="165">
        <v>3</v>
      </c>
      <c r="N124" s="165">
        <v>1</v>
      </c>
      <c r="O124" s="55">
        <v>1.2</v>
      </c>
      <c r="P124" s="55">
        <v>1.25</v>
      </c>
      <c r="Q124" s="57">
        <f t="shared" si="8"/>
        <v>1.2250000000000001</v>
      </c>
      <c r="R124" s="165">
        <v>14.7</v>
      </c>
      <c r="S124" s="55">
        <v>110</v>
      </c>
      <c r="T124" s="57">
        <f t="shared" si="7"/>
        <v>33</v>
      </c>
      <c r="U124" s="165">
        <v>104</v>
      </c>
      <c r="V124" s="58">
        <f t="shared" si="6"/>
        <v>3432</v>
      </c>
      <c r="W124" s="165">
        <v>3</v>
      </c>
      <c r="X124" s="55" t="s">
        <v>46</v>
      </c>
      <c r="Y124" s="55" t="s">
        <v>84</v>
      </c>
      <c r="Z124" s="55" t="s">
        <v>69</v>
      </c>
      <c r="AA124" s="55" t="s">
        <v>90</v>
      </c>
      <c r="AB124" s="55" t="s">
        <v>255</v>
      </c>
    </row>
  </sheetData>
  <autoFilter ref="A1:BA124"/>
  <dataConsolidate/>
  <phoneticPr fontId="3"/>
  <dataValidations count="13">
    <dataValidation operator="equal" allowBlank="1" showInputMessage="1" showErrorMessage="1" sqref="B2:B124"/>
    <dataValidation type="decimal" allowBlank="1" showInputMessage="1" showErrorMessage="1" error="硬度を正しく入力して下さい。" sqref="O2:P307">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24">
      <formula1>$AR$2:$AR$23</formula1>
    </dataValidation>
    <dataValidation type="list" allowBlank="1" showInputMessage="1" showErrorMessage="1" sqref="J2:J307">
      <formula1>$AP$2:$AP$19</formula1>
    </dataValidation>
    <dataValidation type="list" allowBlank="1" showInputMessage="1" showErrorMessage="1" sqref="A2:A307">
      <formula1>$AE$2:$AE$16</formula1>
    </dataValidation>
    <dataValidation type="list" allowBlank="1" showInputMessage="1" showErrorMessage="1" sqref="X2:X307">
      <formula1>$AT$2:$AT$3</formula1>
    </dataValidation>
    <dataValidation type="list" allowBlank="1" showInputMessage="1" showErrorMessage="1" sqref="I2:I307">
      <formula1>$AN$5:$AN$6</formula1>
    </dataValidation>
    <dataValidation type="list" allowBlank="1" showInputMessage="1" showErrorMessage="1" sqref="G2:G307">
      <formula1>$AJ$2:$AJ$4</formula1>
    </dataValidation>
    <dataValidation type="list" allowBlank="1" showInputMessage="1" showErrorMessage="1" sqref="H2:H307">
      <formula1>$AL$2:$AL$8</formula1>
    </dataValidation>
    <dataValidation type="list" allowBlank="1" showInputMessage="1" showErrorMessage="1" sqref="K125:K307">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70" zoomScaleNormal="70" workbookViewId="0">
      <selection activeCell="AC37" sqref="AC37"/>
    </sheetView>
  </sheetViews>
  <sheetFormatPr defaultRowHeight="13.5" x14ac:dyDescent="0.15"/>
  <cols>
    <col min="1" max="1" width="9" style="140"/>
    <col min="2" max="2" width="9" style="148"/>
    <col min="3" max="3" width="9" style="140"/>
    <col min="4" max="4" width="10.5" style="140" bestFit="1" customWidth="1"/>
    <col min="5" max="13" width="9" style="140"/>
    <col min="14" max="14" width="9.5" style="140" bestFit="1" customWidth="1"/>
    <col min="15" max="16" width="9" style="140"/>
    <col min="17" max="17" width="9" style="149"/>
    <col min="18" max="19" width="9" style="140"/>
    <col min="20" max="20" width="9" style="149"/>
    <col min="21" max="21" width="9" style="140"/>
    <col min="22" max="22" width="9" style="149"/>
    <col min="23" max="27" width="9" style="140"/>
    <col min="28" max="28" width="9" style="148"/>
    <col min="29" max="32" width="9" style="140"/>
    <col min="33" max="33" width="15.875" style="140" bestFit="1" customWidth="1"/>
    <col min="34" max="34" width="11.375" style="140" bestFit="1" customWidth="1"/>
    <col min="35" max="259" width="9" style="140"/>
    <col min="260" max="260" width="10.5" style="140" bestFit="1" customWidth="1"/>
    <col min="261" max="269" width="9" style="140"/>
    <col min="270" max="270" width="9.5" style="140" bestFit="1" customWidth="1"/>
    <col min="271" max="288" width="9" style="140"/>
    <col min="289" max="289" width="15.875" style="140" bestFit="1" customWidth="1"/>
    <col min="290" max="290" width="11.375" style="140" bestFit="1" customWidth="1"/>
    <col min="291" max="515" width="9" style="140"/>
    <col min="516" max="516" width="10.5" style="140" bestFit="1" customWidth="1"/>
    <col min="517" max="525" width="9" style="140"/>
    <col min="526" max="526" width="9.5" style="140" bestFit="1" customWidth="1"/>
    <col min="527" max="544" width="9" style="140"/>
    <col min="545" max="545" width="15.875" style="140" bestFit="1" customWidth="1"/>
    <col min="546" max="546" width="11.375" style="140" bestFit="1" customWidth="1"/>
    <col min="547" max="771" width="9" style="140"/>
    <col min="772" max="772" width="10.5" style="140" bestFit="1" customWidth="1"/>
    <col min="773" max="781" width="9" style="140"/>
    <col min="782" max="782" width="9.5" style="140" bestFit="1" customWidth="1"/>
    <col min="783" max="800" width="9" style="140"/>
    <col min="801" max="801" width="15.875" style="140" bestFit="1" customWidth="1"/>
    <col min="802" max="802" width="11.375" style="140" bestFit="1" customWidth="1"/>
    <col min="803" max="1027" width="9" style="140"/>
    <col min="1028" max="1028" width="10.5" style="140" bestFit="1" customWidth="1"/>
    <col min="1029" max="1037" width="9" style="140"/>
    <col min="1038" max="1038" width="9.5" style="140" bestFit="1" customWidth="1"/>
    <col min="1039" max="1056" width="9" style="140"/>
    <col min="1057" max="1057" width="15.875" style="140" bestFit="1" customWidth="1"/>
    <col min="1058" max="1058" width="11.375" style="140" bestFit="1" customWidth="1"/>
    <col min="1059" max="1283" width="9" style="140"/>
    <col min="1284" max="1284" width="10.5" style="140" bestFit="1" customWidth="1"/>
    <col min="1285" max="1293" width="9" style="140"/>
    <col min="1294" max="1294" width="9.5" style="140" bestFit="1" customWidth="1"/>
    <col min="1295" max="1312" width="9" style="140"/>
    <col min="1313" max="1313" width="15.875" style="140" bestFit="1" customWidth="1"/>
    <col min="1314" max="1314" width="11.375" style="140" bestFit="1" customWidth="1"/>
    <col min="1315" max="1539" width="9" style="140"/>
    <col min="1540" max="1540" width="10.5" style="140" bestFit="1" customWidth="1"/>
    <col min="1541" max="1549" width="9" style="140"/>
    <col min="1550" max="1550" width="9.5" style="140" bestFit="1" customWidth="1"/>
    <col min="1551" max="1568" width="9" style="140"/>
    <col min="1569" max="1569" width="15.875" style="140" bestFit="1" customWidth="1"/>
    <col min="1570" max="1570" width="11.375" style="140" bestFit="1" customWidth="1"/>
    <col min="1571" max="1795" width="9" style="140"/>
    <col min="1796" max="1796" width="10.5" style="140" bestFit="1" customWidth="1"/>
    <col min="1797" max="1805" width="9" style="140"/>
    <col min="1806" max="1806" width="9.5" style="140" bestFit="1" customWidth="1"/>
    <col min="1807" max="1824" width="9" style="140"/>
    <col min="1825" max="1825" width="15.875" style="140" bestFit="1" customWidth="1"/>
    <col min="1826" max="1826" width="11.375" style="140" bestFit="1" customWidth="1"/>
    <col min="1827" max="2051" width="9" style="140"/>
    <col min="2052" max="2052" width="10.5" style="140" bestFit="1" customWidth="1"/>
    <col min="2053" max="2061" width="9" style="140"/>
    <col min="2062" max="2062" width="9.5" style="140" bestFit="1" customWidth="1"/>
    <col min="2063" max="2080" width="9" style="140"/>
    <col min="2081" max="2081" width="15.875" style="140" bestFit="1" customWidth="1"/>
    <col min="2082" max="2082" width="11.375" style="140" bestFit="1" customWidth="1"/>
    <col min="2083" max="2307" width="9" style="140"/>
    <col min="2308" max="2308" width="10.5" style="140" bestFit="1" customWidth="1"/>
    <col min="2309" max="2317" width="9" style="140"/>
    <col min="2318" max="2318" width="9.5" style="140" bestFit="1" customWidth="1"/>
    <col min="2319" max="2336" width="9" style="140"/>
    <col min="2337" max="2337" width="15.875" style="140" bestFit="1" customWidth="1"/>
    <col min="2338" max="2338" width="11.375" style="140" bestFit="1" customWidth="1"/>
    <col min="2339" max="2563" width="9" style="140"/>
    <col min="2564" max="2564" width="10.5" style="140" bestFit="1" customWidth="1"/>
    <col min="2565" max="2573" width="9" style="140"/>
    <col min="2574" max="2574" width="9.5" style="140" bestFit="1" customWidth="1"/>
    <col min="2575" max="2592" width="9" style="140"/>
    <col min="2593" max="2593" width="15.875" style="140" bestFit="1" customWidth="1"/>
    <col min="2594" max="2594" width="11.375" style="140" bestFit="1" customWidth="1"/>
    <col min="2595" max="2819" width="9" style="140"/>
    <col min="2820" max="2820" width="10.5" style="140" bestFit="1" customWidth="1"/>
    <col min="2821" max="2829" width="9" style="140"/>
    <col min="2830" max="2830" width="9.5" style="140" bestFit="1" customWidth="1"/>
    <col min="2831" max="2848" width="9" style="140"/>
    <col min="2849" max="2849" width="15.875" style="140" bestFit="1" customWidth="1"/>
    <col min="2850" max="2850" width="11.375" style="140" bestFit="1" customWidth="1"/>
    <col min="2851" max="3075" width="9" style="140"/>
    <col min="3076" max="3076" width="10.5" style="140" bestFit="1" customWidth="1"/>
    <col min="3077" max="3085" width="9" style="140"/>
    <col min="3086" max="3086" width="9.5" style="140" bestFit="1" customWidth="1"/>
    <col min="3087" max="3104" width="9" style="140"/>
    <col min="3105" max="3105" width="15.875" style="140" bestFit="1" customWidth="1"/>
    <col min="3106" max="3106" width="11.375" style="140" bestFit="1" customWidth="1"/>
    <col min="3107" max="3331" width="9" style="140"/>
    <col min="3332" max="3332" width="10.5" style="140" bestFit="1" customWidth="1"/>
    <col min="3333" max="3341" width="9" style="140"/>
    <col min="3342" max="3342" width="9.5" style="140" bestFit="1" customWidth="1"/>
    <col min="3343" max="3360" width="9" style="140"/>
    <col min="3361" max="3361" width="15.875" style="140" bestFit="1" customWidth="1"/>
    <col min="3362" max="3362" width="11.375" style="140" bestFit="1" customWidth="1"/>
    <col min="3363" max="3587" width="9" style="140"/>
    <col min="3588" max="3588" width="10.5" style="140" bestFit="1" customWidth="1"/>
    <col min="3589" max="3597" width="9" style="140"/>
    <col min="3598" max="3598" width="9.5" style="140" bestFit="1" customWidth="1"/>
    <col min="3599" max="3616" width="9" style="140"/>
    <col min="3617" max="3617" width="15.875" style="140" bestFit="1" customWidth="1"/>
    <col min="3618" max="3618" width="11.375" style="140" bestFit="1" customWidth="1"/>
    <col min="3619" max="3843" width="9" style="140"/>
    <col min="3844" max="3844" width="10.5" style="140" bestFit="1" customWidth="1"/>
    <col min="3845" max="3853" width="9" style="140"/>
    <col min="3854" max="3854" width="9.5" style="140" bestFit="1" customWidth="1"/>
    <col min="3855" max="3872" width="9" style="140"/>
    <col min="3873" max="3873" width="15.875" style="140" bestFit="1" customWidth="1"/>
    <col min="3874" max="3874" width="11.375" style="140" bestFit="1" customWidth="1"/>
    <col min="3875" max="4099" width="9" style="140"/>
    <col min="4100" max="4100" width="10.5" style="140" bestFit="1" customWidth="1"/>
    <col min="4101" max="4109" width="9" style="140"/>
    <col min="4110" max="4110" width="9.5" style="140" bestFit="1" customWidth="1"/>
    <col min="4111" max="4128" width="9" style="140"/>
    <col min="4129" max="4129" width="15.875" style="140" bestFit="1" customWidth="1"/>
    <col min="4130" max="4130" width="11.375" style="140" bestFit="1" customWidth="1"/>
    <col min="4131" max="4355" width="9" style="140"/>
    <col min="4356" max="4356" width="10.5" style="140" bestFit="1" customWidth="1"/>
    <col min="4357" max="4365" width="9" style="140"/>
    <col min="4366" max="4366" width="9.5" style="140" bestFit="1" customWidth="1"/>
    <col min="4367" max="4384" width="9" style="140"/>
    <col min="4385" max="4385" width="15.875" style="140" bestFit="1" customWidth="1"/>
    <col min="4386" max="4386" width="11.375" style="140" bestFit="1" customWidth="1"/>
    <col min="4387" max="4611" width="9" style="140"/>
    <col min="4612" max="4612" width="10.5" style="140" bestFit="1" customWidth="1"/>
    <col min="4613" max="4621" width="9" style="140"/>
    <col min="4622" max="4622" width="9.5" style="140" bestFit="1" customWidth="1"/>
    <col min="4623" max="4640" width="9" style="140"/>
    <col min="4641" max="4641" width="15.875" style="140" bestFit="1" customWidth="1"/>
    <col min="4642" max="4642" width="11.375" style="140" bestFit="1" customWidth="1"/>
    <col min="4643" max="4867" width="9" style="140"/>
    <col min="4868" max="4868" width="10.5" style="140" bestFit="1" customWidth="1"/>
    <col min="4869" max="4877" width="9" style="140"/>
    <col min="4878" max="4878" width="9.5" style="140" bestFit="1" customWidth="1"/>
    <col min="4879" max="4896" width="9" style="140"/>
    <col min="4897" max="4897" width="15.875" style="140" bestFit="1" customWidth="1"/>
    <col min="4898" max="4898" width="11.375" style="140" bestFit="1" customWidth="1"/>
    <col min="4899" max="5123" width="9" style="140"/>
    <col min="5124" max="5124" width="10.5" style="140" bestFit="1" customWidth="1"/>
    <col min="5125" max="5133" width="9" style="140"/>
    <col min="5134" max="5134" width="9.5" style="140" bestFit="1" customWidth="1"/>
    <col min="5135" max="5152" width="9" style="140"/>
    <col min="5153" max="5153" width="15.875" style="140" bestFit="1" customWidth="1"/>
    <col min="5154" max="5154" width="11.375" style="140" bestFit="1" customWidth="1"/>
    <col min="5155" max="5379" width="9" style="140"/>
    <col min="5380" max="5380" width="10.5" style="140" bestFit="1" customWidth="1"/>
    <col min="5381" max="5389" width="9" style="140"/>
    <col min="5390" max="5390" width="9.5" style="140" bestFit="1" customWidth="1"/>
    <col min="5391" max="5408" width="9" style="140"/>
    <col min="5409" max="5409" width="15.875" style="140" bestFit="1" customWidth="1"/>
    <col min="5410" max="5410" width="11.375" style="140" bestFit="1" customWidth="1"/>
    <col min="5411" max="5635" width="9" style="140"/>
    <col min="5636" max="5636" width="10.5" style="140" bestFit="1" customWidth="1"/>
    <col min="5637" max="5645" width="9" style="140"/>
    <col min="5646" max="5646" width="9.5" style="140" bestFit="1" customWidth="1"/>
    <col min="5647" max="5664" width="9" style="140"/>
    <col min="5665" max="5665" width="15.875" style="140" bestFit="1" customWidth="1"/>
    <col min="5666" max="5666" width="11.375" style="140" bestFit="1" customWidth="1"/>
    <col min="5667" max="5891" width="9" style="140"/>
    <col min="5892" max="5892" width="10.5" style="140" bestFit="1" customWidth="1"/>
    <col min="5893" max="5901" width="9" style="140"/>
    <col min="5902" max="5902" width="9.5" style="140" bestFit="1" customWidth="1"/>
    <col min="5903" max="5920" width="9" style="140"/>
    <col min="5921" max="5921" width="15.875" style="140" bestFit="1" customWidth="1"/>
    <col min="5922" max="5922" width="11.375" style="140" bestFit="1" customWidth="1"/>
    <col min="5923" max="6147" width="9" style="140"/>
    <col min="6148" max="6148" width="10.5" style="140" bestFit="1" customWidth="1"/>
    <col min="6149" max="6157" width="9" style="140"/>
    <col min="6158" max="6158" width="9.5" style="140" bestFit="1" customWidth="1"/>
    <col min="6159" max="6176" width="9" style="140"/>
    <col min="6177" max="6177" width="15.875" style="140" bestFit="1" customWidth="1"/>
    <col min="6178" max="6178" width="11.375" style="140" bestFit="1" customWidth="1"/>
    <col min="6179" max="6403" width="9" style="140"/>
    <col min="6404" max="6404" width="10.5" style="140" bestFit="1" customWidth="1"/>
    <col min="6405" max="6413" width="9" style="140"/>
    <col min="6414" max="6414" width="9.5" style="140" bestFit="1" customWidth="1"/>
    <col min="6415" max="6432" width="9" style="140"/>
    <col min="6433" max="6433" width="15.875" style="140" bestFit="1" customWidth="1"/>
    <col min="6434" max="6434" width="11.375" style="140" bestFit="1" customWidth="1"/>
    <col min="6435" max="6659" width="9" style="140"/>
    <col min="6660" max="6660" width="10.5" style="140" bestFit="1" customWidth="1"/>
    <col min="6661" max="6669" width="9" style="140"/>
    <col min="6670" max="6670" width="9.5" style="140" bestFit="1" customWidth="1"/>
    <col min="6671" max="6688" width="9" style="140"/>
    <col min="6689" max="6689" width="15.875" style="140" bestFit="1" customWidth="1"/>
    <col min="6690" max="6690" width="11.375" style="140" bestFit="1" customWidth="1"/>
    <col min="6691" max="6915" width="9" style="140"/>
    <col min="6916" max="6916" width="10.5" style="140" bestFit="1" customWidth="1"/>
    <col min="6917" max="6925" width="9" style="140"/>
    <col min="6926" max="6926" width="9.5" style="140" bestFit="1" customWidth="1"/>
    <col min="6927" max="6944" width="9" style="140"/>
    <col min="6945" max="6945" width="15.875" style="140" bestFit="1" customWidth="1"/>
    <col min="6946" max="6946" width="11.375" style="140" bestFit="1" customWidth="1"/>
    <col min="6947" max="7171" width="9" style="140"/>
    <col min="7172" max="7172" width="10.5" style="140" bestFit="1" customWidth="1"/>
    <col min="7173" max="7181" width="9" style="140"/>
    <col min="7182" max="7182" width="9.5" style="140" bestFit="1" customWidth="1"/>
    <col min="7183" max="7200" width="9" style="140"/>
    <col min="7201" max="7201" width="15.875" style="140" bestFit="1" customWidth="1"/>
    <col min="7202" max="7202" width="11.375" style="140" bestFit="1" customWidth="1"/>
    <col min="7203" max="7427" width="9" style="140"/>
    <col min="7428" max="7428" width="10.5" style="140" bestFit="1" customWidth="1"/>
    <col min="7429" max="7437" width="9" style="140"/>
    <col min="7438" max="7438" width="9.5" style="140" bestFit="1" customWidth="1"/>
    <col min="7439" max="7456" width="9" style="140"/>
    <col min="7457" max="7457" width="15.875" style="140" bestFit="1" customWidth="1"/>
    <col min="7458" max="7458" width="11.375" style="140" bestFit="1" customWidth="1"/>
    <col min="7459" max="7683" width="9" style="140"/>
    <col min="7684" max="7684" width="10.5" style="140" bestFit="1" customWidth="1"/>
    <col min="7685" max="7693" width="9" style="140"/>
    <col min="7694" max="7694" width="9.5" style="140" bestFit="1" customWidth="1"/>
    <col min="7695" max="7712" width="9" style="140"/>
    <col min="7713" max="7713" width="15.875" style="140" bestFit="1" customWidth="1"/>
    <col min="7714" max="7714" width="11.375" style="140" bestFit="1" customWidth="1"/>
    <col min="7715" max="7939" width="9" style="140"/>
    <col min="7940" max="7940" width="10.5" style="140" bestFit="1" customWidth="1"/>
    <col min="7941" max="7949" width="9" style="140"/>
    <col min="7950" max="7950" width="9.5" style="140" bestFit="1" customWidth="1"/>
    <col min="7951" max="7968" width="9" style="140"/>
    <col min="7969" max="7969" width="15.875" style="140" bestFit="1" customWidth="1"/>
    <col min="7970" max="7970" width="11.375" style="140" bestFit="1" customWidth="1"/>
    <col min="7971" max="8195" width="9" style="140"/>
    <col min="8196" max="8196" width="10.5" style="140" bestFit="1" customWidth="1"/>
    <col min="8197" max="8205" width="9" style="140"/>
    <col min="8206" max="8206" width="9.5" style="140" bestFit="1" customWidth="1"/>
    <col min="8207" max="8224" width="9" style="140"/>
    <col min="8225" max="8225" width="15.875" style="140" bestFit="1" customWidth="1"/>
    <col min="8226" max="8226" width="11.375" style="140" bestFit="1" customWidth="1"/>
    <col min="8227" max="8451" width="9" style="140"/>
    <col min="8452" max="8452" width="10.5" style="140" bestFit="1" customWidth="1"/>
    <col min="8453" max="8461" width="9" style="140"/>
    <col min="8462" max="8462" width="9.5" style="140" bestFit="1" customWidth="1"/>
    <col min="8463" max="8480" width="9" style="140"/>
    <col min="8481" max="8481" width="15.875" style="140" bestFit="1" customWidth="1"/>
    <col min="8482" max="8482" width="11.375" style="140" bestFit="1" customWidth="1"/>
    <col min="8483" max="8707" width="9" style="140"/>
    <col min="8708" max="8708" width="10.5" style="140" bestFit="1" customWidth="1"/>
    <col min="8709" max="8717" width="9" style="140"/>
    <col min="8718" max="8718" width="9.5" style="140" bestFit="1" customWidth="1"/>
    <col min="8719" max="8736" width="9" style="140"/>
    <col min="8737" max="8737" width="15.875" style="140" bestFit="1" customWidth="1"/>
    <col min="8738" max="8738" width="11.375" style="140" bestFit="1" customWidth="1"/>
    <col min="8739" max="8963" width="9" style="140"/>
    <col min="8964" max="8964" width="10.5" style="140" bestFit="1" customWidth="1"/>
    <col min="8965" max="8973" width="9" style="140"/>
    <col min="8974" max="8974" width="9.5" style="140" bestFit="1" customWidth="1"/>
    <col min="8975" max="8992" width="9" style="140"/>
    <col min="8993" max="8993" width="15.875" style="140" bestFit="1" customWidth="1"/>
    <col min="8994" max="8994" width="11.375" style="140" bestFit="1" customWidth="1"/>
    <col min="8995" max="9219" width="9" style="140"/>
    <col min="9220" max="9220" width="10.5" style="140" bestFit="1" customWidth="1"/>
    <col min="9221" max="9229" width="9" style="140"/>
    <col min="9230" max="9230" width="9.5" style="140" bestFit="1" customWidth="1"/>
    <col min="9231" max="9248" width="9" style="140"/>
    <col min="9249" max="9249" width="15.875" style="140" bestFit="1" customWidth="1"/>
    <col min="9250" max="9250" width="11.375" style="140" bestFit="1" customWidth="1"/>
    <col min="9251" max="9475" width="9" style="140"/>
    <col min="9476" max="9476" width="10.5" style="140" bestFit="1" customWidth="1"/>
    <col min="9477" max="9485" width="9" style="140"/>
    <col min="9486" max="9486" width="9.5" style="140" bestFit="1" customWidth="1"/>
    <col min="9487" max="9504" width="9" style="140"/>
    <col min="9505" max="9505" width="15.875" style="140" bestFit="1" customWidth="1"/>
    <col min="9506" max="9506" width="11.375" style="140" bestFit="1" customWidth="1"/>
    <col min="9507" max="9731" width="9" style="140"/>
    <col min="9732" max="9732" width="10.5" style="140" bestFit="1" customWidth="1"/>
    <col min="9733" max="9741" width="9" style="140"/>
    <col min="9742" max="9742" width="9.5" style="140" bestFit="1" customWidth="1"/>
    <col min="9743" max="9760" width="9" style="140"/>
    <col min="9761" max="9761" width="15.875" style="140" bestFit="1" customWidth="1"/>
    <col min="9762" max="9762" width="11.375" style="140" bestFit="1" customWidth="1"/>
    <col min="9763" max="9987" width="9" style="140"/>
    <col min="9988" max="9988" width="10.5" style="140" bestFit="1" customWidth="1"/>
    <col min="9989" max="9997" width="9" style="140"/>
    <col min="9998" max="9998" width="9.5" style="140" bestFit="1" customWidth="1"/>
    <col min="9999" max="10016" width="9" style="140"/>
    <col min="10017" max="10017" width="15.875" style="140" bestFit="1" customWidth="1"/>
    <col min="10018" max="10018" width="11.375" style="140" bestFit="1" customWidth="1"/>
    <col min="10019" max="10243" width="9" style="140"/>
    <col min="10244" max="10244" width="10.5" style="140" bestFit="1" customWidth="1"/>
    <col min="10245" max="10253" width="9" style="140"/>
    <col min="10254" max="10254" width="9.5" style="140" bestFit="1" customWidth="1"/>
    <col min="10255" max="10272" width="9" style="140"/>
    <col min="10273" max="10273" width="15.875" style="140" bestFit="1" customWidth="1"/>
    <col min="10274" max="10274" width="11.375" style="140" bestFit="1" customWidth="1"/>
    <col min="10275" max="10499" width="9" style="140"/>
    <col min="10500" max="10500" width="10.5" style="140" bestFit="1" customWidth="1"/>
    <col min="10501" max="10509" width="9" style="140"/>
    <col min="10510" max="10510" width="9.5" style="140" bestFit="1" customWidth="1"/>
    <col min="10511" max="10528" width="9" style="140"/>
    <col min="10529" max="10529" width="15.875" style="140" bestFit="1" customWidth="1"/>
    <col min="10530" max="10530" width="11.375" style="140" bestFit="1" customWidth="1"/>
    <col min="10531" max="10755" width="9" style="140"/>
    <col min="10756" max="10756" width="10.5" style="140" bestFit="1" customWidth="1"/>
    <col min="10757" max="10765" width="9" style="140"/>
    <col min="10766" max="10766" width="9.5" style="140" bestFit="1" customWidth="1"/>
    <col min="10767" max="10784" width="9" style="140"/>
    <col min="10785" max="10785" width="15.875" style="140" bestFit="1" customWidth="1"/>
    <col min="10786" max="10786" width="11.375" style="140" bestFit="1" customWidth="1"/>
    <col min="10787" max="11011" width="9" style="140"/>
    <col min="11012" max="11012" width="10.5" style="140" bestFit="1" customWidth="1"/>
    <col min="11013" max="11021" width="9" style="140"/>
    <col min="11022" max="11022" width="9.5" style="140" bestFit="1" customWidth="1"/>
    <col min="11023" max="11040" width="9" style="140"/>
    <col min="11041" max="11041" width="15.875" style="140" bestFit="1" customWidth="1"/>
    <col min="11042" max="11042" width="11.375" style="140" bestFit="1" customWidth="1"/>
    <col min="11043" max="11267" width="9" style="140"/>
    <col min="11268" max="11268" width="10.5" style="140" bestFit="1" customWidth="1"/>
    <col min="11269" max="11277" width="9" style="140"/>
    <col min="11278" max="11278" width="9.5" style="140" bestFit="1" customWidth="1"/>
    <col min="11279" max="11296" width="9" style="140"/>
    <col min="11297" max="11297" width="15.875" style="140" bestFit="1" customWidth="1"/>
    <col min="11298" max="11298" width="11.375" style="140" bestFit="1" customWidth="1"/>
    <col min="11299" max="11523" width="9" style="140"/>
    <col min="11524" max="11524" width="10.5" style="140" bestFit="1" customWidth="1"/>
    <col min="11525" max="11533" width="9" style="140"/>
    <col min="11534" max="11534" width="9.5" style="140" bestFit="1" customWidth="1"/>
    <col min="11535" max="11552" width="9" style="140"/>
    <col min="11553" max="11553" width="15.875" style="140" bestFit="1" customWidth="1"/>
    <col min="11554" max="11554" width="11.375" style="140" bestFit="1" customWidth="1"/>
    <col min="11555" max="11779" width="9" style="140"/>
    <col min="11780" max="11780" width="10.5" style="140" bestFit="1" customWidth="1"/>
    <col min="11781" max="11789" width="9" style="140"/>
    <col min="11790" max="11790" width="9.5" style="140" bestFit="1" customWidth="1"/>
    <col min="11791" max="11808" width="9" style="140"/>
    <col min="11809" max="11809" width="15.875" style="140" bestFit="1" customWidth="1"/>
    <col min="11810" max="11810" width="11.375" style="140" bestFit="1" customWidth="1"/>
    <col min="11811" max="12035" width="9" style="140"/>
    <col min="12036" max="12036" width="10.5" style="140" bestFit="1" customWidth="1"/>
    <col min="12037" max="12045" width="9" style="140"/>
    <col min="12046" max="12046" width="9.5" style="140" bestFit="1" customWidth="1"/>
    <col min="12047" max="12064" width="9" style="140"/>
    <col min="12065" max="12065" width="15.875" style="140" bestFit="1" customWidth="1"/>
    <col min="12066" max="12066" width="11.375" style="140" bestFit="1" customWidth="1"/>
    <col min="12067" max="12291" width="9" style="140"/>
    <col min="12292" max="12292" width="10.5" style="140" bestFit="1" customWidth="1"/>
    <col min="12293" max="12301" width="9" style="140"/>
    <col min="12302" max="12302" width="9.5" style="140" bestFit="1" customWidth="1"/>
    <col min="12303" max="12320" width="9" style="140"/>
    <col min="12321" max="12321" width="15.875" style="140" bestFit="1" customWidth="1"/>
    <col min="12322" max="12322" width="11.375" style="140" bestFit="1" customWidth="1"/>
    <col min="12323" max="12547" width="9" style="140"/>
    <col min="12548" max="12548" width="10.5" style="140" bestFit="1" customWidth="1"/>
    <col min="12549" max="12557" width="9" style="140"/>
    <col min="12558" max="12558" width="9.5" style="140" bestFit="1" customWidth="1"/>
    <col min="12559" max="12576" width="9" style="140"/>
    <col min="12577" max="12577" width="15.875" style="140" bestFit="1" customWidth="1"/>
    <col min="12578" max="12578" width="11.375" style="140" bestFit="1" customWidth="1"/>
    <col min="12579" max="12803" width="9" style="140"/>
    <col min="12804" max="12804" width="10.5" style="140" bestFit="1" customWidth="1"/>
    <col min="12805" max="12813" width="9" style="140"/>
    <col min="12814" max="12814" width="9.5" style="140" bestFit="1" customWidth="1"/>
    <col min="12815" max="12832" width="9" style="140"/>
    <col min="12833" max="12833" width="15.875" style="140" bestFit="1" customWidth="1"/>
    <col min="12834" max="12834" width="11.375" style="140" bestFit="1" customWidth="1"/>
    <col min="12835" max="13059" width="9" style="140"/>
    <col min="13060" max="13060" width="10.5" style="140" bestFit="1" customWidth="1"/>
    <col min="13061" max="13069" width="9" style="140"/>
    <col min="13070" max="13070" width="9.5" style="140" bestFit="1" customWidth="1"/>
    <col min="13071" max="13088" width="9" style="140"/>
    <col min="13089" max="13089" width="15.875" style="140" bestFit="1" customWidth="1"/>
    <col min="13090" max="13090" width="11.375" style="140" bestFit="1" customWidth="1"/>
    <col min="13091" max="13315" width="9" style="140"/>
    <col min="13316" max="13316" width="10.5" style="140" bestFit="1" customWidth="1"/>
    <col min="13317" max="13325" width="9" style="140"/>
    <col min="13326" max="13326" width="9.5" style="140" bestFit="1" customWidth="1"/>
    <col min="13327" max="13344" width="9" style="140"/>
    <col min="13345" max="13345" width="15.875" style="140" bestFit="1" customWidth="1"/>
    <col min="13346" max="13346" width="11.375" style="140" bestFit="1" customWidth="1"/>
    <col min="13347" max="13571" width="9" style="140"/>
    <col min="13572" max="13572" width="10.5" style="140" bestFit="1" customWidth="1"/>
    <col min="13573" max="13581" width="9" style="140"/>
    <col min="13582" max="13582" width="9.5" style="140" bestFit="1" customWidth="1"/>
    <col min="13583" max="13600" width="9" style="140"/>
    <col min="13601" max="13601" width="15.875" style="140" bestFit="1" customWidth="1"/>
    <col min="13602" max="13602" width="11.375" style="140" bestFit="1" customWidth="1"/>
    <col min="13603" max="13827" width="9" style="140"/>
    <col min="13828" max="13828" width="10.5" style="140" bestFit="1" customWidth="1"/>
    <col min="13829" max="13837" width="9" style="140"/>
    <col min="13838" max="13838" width="9.5" style="140" bestFit="1" customWidth="1"/>
    <col min="13839" max="13856" width="9" style="140"/>
    <col min="13857" max="13857" width="15.875" style="140" bestFit="1" customWidth="1"/>
    <col min="13858" max="13858" width="11.375" style="140" bestFit="1" customWidth="1"/>
    <col min="13859" max="14083" width="9" style="140"/>
    <col min="14084" max="14084" width="10.5" style="140" bestFit="1" customWidth="1"/>
    <col min="14085" max="14093" width="9" style="140"/>
    <col min="14094" max="14094" width="9.5" style="140" bestFit="1" customWidth="1"/>
    <col min="14095" max="14112" width="9" style="140"/>
    <col min="14113" max="14113" width="15.875" style="140" bestFit="1" customWidth="1"/>
    <col min="14114" max="14114" width="11.375" style="140" bestFit="1" customWidth="1"/>
    <col min="14115" max="14339" width="9" style="140"/>
    <col min="14340" max="14340" width="10.5" style="140" bestFit="1" customWidth="1"/>
    <col min="14341" max="14349" width="9" style="140"/>
    <col min="14350" max="14350" width="9.5" style="140" bestFit="1" customWidth="1"/>
    <col min="14351" max="14368" width="9" style="140"/>
    <col min="14369" max="14369" width="15.875" style="140" bestFit="1" customWidth="1"/>
    <col min="14370" max="14370" width="11.375" style="140" bestFit="1" customWidth="1"/>
    <col min="14371" max="14595" width="9" style="140"/>
    <col min="14596" max="14596" width="10.5" style="140" bestFit="1" customWidth="1"/>
    <col min="14597" max="14605" width="9" style="140"/>
    <col min="14606" max="14606" width="9.5" style="140" bestFit="1" customWidth="1"/>
    <col min="14607" max="14624" width="9" style="140"/>
    <col min="14625" max="14625" width="15.875" style="140" bestFit="1" customWidth="1"/>
    <col min="14626" max="14626" width="11.375" style="140" bestFit="1" customWidth="1"/>
    <col min="14627" max="14851" width="9" style="140"/>
    <col min="14852" max="14852" width="10.5" style="140" bestFit="1" customWidth="1"/>
    <col min="14853" max="14861" width="9" style="140"/>
    <col min="14862" max="14862" width="9.5" style="140" bestFit="1" customWidth="1"/>
    <col min="14863" max="14880" width="9" style="140"/>
    <col min="14881" max="14881" width="15.875" style="140" bestFit="1" customWidth="1"/>
    <col min="14882" max="14882" width="11.375" style="140" bestFit="1" customWidth="1"/>
    <col min="14883" max="15107" width="9" style="140"/>
    <col min="15108" max="15108" width="10.5" style="140" bestFit="1" customWidth="1"/>
    <col min="15109" max="15117" width="9" style="140"/>
    <col min="15118" max="15118" width="9.5" style="140" bestFit="1" customWidth="1"/>
    <col min="15119" max="15136" width="9" style="140"/>
    <col min="15137" max="15137" width="15.875" style="140" bestFit="1" customWidth="1"/>
    <col min="15138" max="15138" width="11.375" style="140" bestFit="1" customWidth="1"/>
    <col min="15139" max="15363" width="9" style="140"/>
    <col min="15364" max="15364" width="10.5" style="140" bestFit="1" customWidth="1"/>
    <col min="15365" max="15373" width="9" style="140"/>
    <col min="15374" max="15374" width="9.5" style="140" bestFit="1" customWidth="1"/>
    <col min="15375" max="15392" width="9" style="140"/>
    <col min="15393" max="15393" width="15.875" style="140" bestFit="1" customWidth="1"/>
    <col min="15394" max="15394" width="11.375" style="140" bestFit="1" customWidth="1"/>
    <col min="15395" max="15619" width="9" style="140"/>
    <col min="15620" max="15620" width="10.5" style="140" bestFit="1" customWidth="1"/>
    <col min="15621" max="15629" width="9" style="140"/>
    <col min="15630" max="15630" width="9.5" style="140" bestFit="1" customWidth="1"/>
    <col min="15631" max="15648" width="9" style="140"/>
    <col min="15649" max="15649" width="15.875" style="140" bestFit="1" customWidth="1"/>
    <col min="15650" max="15650" width="11.375" style="140" bestFit="1" customWidth="1"/>
    <col min="15651" max="15875" width="9" style="140"/>
    <col min="15876" max="15876" width="10.5" style="140" bestFit="1" customWidth="1"/>
    <col min="15877" max="15885" width="9" style="140"/>
    <col min="15886" max="15886" width="9.5" style="140" bestFit="1" customWidth="1"/>
    <col min="15887" max="15904" width="9" style="140"/>
    <col min="15905" max="15905" width="15.875" style="140" bestFit="1" customWidth="1"/>
    <col min="15906" max="15906" width="11.375" style="140" bestFit="1" customWidth="1"/>
    <col min="15907" max="16131" width="9" style="140"/>
    <col min="16132" max="16132" width="10.5" style="140" bestFit="1" customWidth="1"/>
    <col min="16133" max="16141" width="9" style="140"/>
    <col min="16142" max="16142" width="9.5" style="140" bestFit="1" customWidth="1"/>
    <col min="16143" max="16160" width="9" style="140"/>
    <col min="16161" max="16161" width="15.875" style="140" bestFit="1" customWidth="1"/>
    <col min="16162" max="16162" width="11.375" style="140" bestFit="1" customWidth="1"/>
    <col min="16163" max="16384" width="9" style="140"/>
  </cols>
  <sheetData>
    <row r="1" spans="1:53" ht="45" x14ac:dyDescent="0.15">
      <c r="A1" s="83" t="s">
        <v>0</v>
      </c>
      <c r="B1" s="134" t="s">
        <v>1</v>
      </c>
      <c r="C1" s="134" t="s">
        <v>2</v>
      </c>
      <c r="D1" s="135" t="s">
        <v>3</v>
      </c>
      <c r="E1" s="84" t="s">
        <v>4</v>
      </c>
      <c r="F1" s="84" t="s">
        <v>5</v>
      </c>
      <c r="G1" s="84" t="s">
        <v>6</v>
      </c>
      <c r="H1" s="84" t="s">
        <v>7</v>
      </c>
      <c r="I1" s="84" t="s">
        <v>8</v>
      </c>
      <c r="J1" s="84" t="s">
        <v>9</v>
      </c>
      <c r="K1" s="84" t="s">
        <v>10</v>
      </c>
      <c r="L1" s="135" t="s">
        <v>11</v>
      </c>
      <c r="M1" s="135" t="s">
        <v>12</v>
      </c>
      <c r="N1" s="135" t="s">
        <v>13</v>
      </c>
      <c r="O1" s="135" t="s">
        <v>260</v>
      </c>
      <c r="P1" s="135" t="s">
        <v>15</v>
      </c>
      <c r="Q1" s="136" t="s">
        <v>16</v>
      </c>
      <c r="R1" s="135" t="s">
        <v>232</v>
      </c>
      <c r="S1" s="135" t="s">
        <v>235</v>
      </c>
      <c r="T1" s="136" t="s">
        <v>19</v>
      </c>
      <c r="U1" s="137" t="s">
        <v>108</v>
      </c>
      <c r="V1" s="138" t="s">
        <v>20</v>
      </c>
      <c r="W1" s="135" t="s">
        <v>21</v>
      </c>
      <c r="X1" s="84" t="s">
        <v>22</v>
      </c>
      <c r="Y1" s="84" t="s">
        <v>23</v>
      </c>
      <c r="Z1" s="84" t="s">
        <v>24</v>
      </c>
      <c r="AA1" s="85" t="s">
        <v>25</v>
      </c>
      <c r="AB1" s="139" t="s">
        <v>26</v>
      </c>
      <c r="AE1" s="141" t="s">
        <v>0</v>
      </c>
      <c r="AF1" s="142"/>
      <c r="AG1" s="141" t="s">
        <v>4</v>
      </c>
      <c r="AH1" s="141" t="s">
        <v>5</v>
      </c>
      <c r="AI1" s="142"/>
      <c r="AJ1" s="141" t="s">
        <v>6</v>
      </c>
      <c r="AK1" s="142"/>
      <c r="AL1" s="143" t="s">
        <v>7</v>
      </c>
      <c r="AM1" s="142"/>
      <c r="AN1" s="143" t="s">
        <v>8</v>
      </c>
      <c r="AO1" s="142"/>
      <c r="AP1" s="143" t="s">
        <v>27</v>
      </c>
      <c r="AQ1" s="142"/>
      <c r="AR1" s="143" t="s">
        <v>10</v>
      </c>
      <c r="AS1" s="142"/>
      <c r="AT1" s="144" t="s">
        <v>28</v>
      </c>
      <c r="AU1" s="142"/>
      <c r="AV1" s="143" t="s">
        <v>29</v>
      </c>
      <c r="AX1" s="145" t="s">
        <v>30</v>
      </c>
      <c r="AY1" s="146" t="s">
        <v>31</v>
      </c>
      <c r="AZ1" s="146" t="s">
        <v>32</v>
      </c>
      <c r="BA1" s="147" t="s">
        <v>236</v>
      </c>
    </row>
    <row r="2" spans="1:53" s="148" customFormat="1" x14ac:dyDescent="0.15">
      <c r="A2" s="55" t="s">
        <v>56</v>
      </c>
      <c r="B2" s="55" t="s">
        <v>273</v>
      </c>
      <c r="C2" s="148">
        <v>2018</v>
      </c>
      <c r="D2" s="86" t="s">
        <v>274</v>
      </c>
      <c r="E2" s="148" t="s">
        <v>275</v>
      </c>
      <c r="F2" s="148" t="s">
        <v>162</v>
      </c>
      <c r="G2" s="55" t="s">
        <v>42</v>
      </c>
      <c r="H2" s="148" t="s">
        <v>155</v>
      </c>
      <c r="I2" s="55" t="s">
        <v>153</v>
      </c>
      <c r="J2" s="148" t="s">
        <v>38</v>
      </c>
      <c r="K2" s="148" t="s">
        <v>154</v>
      </c>
      <c r="L2" s="148">
        <v>1</v>
      </c>
      <c r="N2" s="140">
        <v>1</v>
      </c>
      <c r="O2" s="148">
        <v>0.6</v>
      </c>
      <c r="P2" s="140">
        <v>0.75</v>
      </c>
      <c r="Q2" s="173">
        <f t="shared" ref="Q2:Q55" si="0">IF(OR(O2="",P2=""),"",AVERAGE(O2,P2))</f>
        <v>0.67500000000000004</v>
      </c>
      <c r="R2" s="148">
        <v>12.7</v>
      </c>
      <c r="S2" s="148">
        <v>141</v>
      </c>
      <c r="T2" s="149">
        <f t="shared" ref="T2:T55" si="1">IF(H2="","",IF(OR(H2="GREEN",H2="GK"),IF(S2&gt;=$AX$2,VLOOKUP(S2,$AX$2:$AY$10,2,1),""),IF(S2&gt;=$AZ$2,VLOOKUP(S2,$AZ$2:$BA$10,2,1),"")))</f>
        <v>22</v>
      </c>
      <c r="U2" s="148">
        <v>84</v>
      </c>
      <c r="V2" s="149">
        <f t="shared" ref="V2:V55" si="2">IF(OR(N2="",U2="",T2=""),"",U2/N2*T2)</f>
        <v>1848</v>
      </c>
      <c r="W2" s="148">
        <v>4</v>
      </c>
      <c r="X2" s="55" t="s">
        <v>46</v>
      </c>
      <c r="Y2" s="55" t="s">
        <v>84</v>
      </c>
      <c r="Z2" s="148" t="s">
        <v>90</v>
      </c>
      <c r="AA2" s="55" t="s">
        <v>55</v>
      </c>
      <c r="AB2" s="148" t="s">
        <v>474</v>
      </c>
      <c r="AE2" s="150" t="s">
        <v>35</v>
      </c>
      <c r="AG2" s="163" t="s">
        <v>276</v>
      </c>
      <c r="AH2" s="87" t="s">
        <v>162</v>
      </c>
      <c r="AJ2" s="151" t="s">
        <v>36</v>
      </c>
      <c r="AL2" s="151" t="s">
        <v>127</v>
      </c>
      <c r="AN2" s="151" t="s">
        <v>37</v>
      </c>
      <c r="AP2" s="151" t="s">
        <v>38</v>
      </c>
      <c r="AR2" s="151" t="s">
        <v>157</v>
      </c>
      <c r="AT2" s="151" t="s">
        <v>39</v>
      </c>
      <c r="AV2" s="151" t="s">
        <v>40</v>
      </c>
      <c r="AX2" s="152">
        <v>1</v>
      </c>
      <c r="AY2" s="153">
        <v>50</v>
      </c>
      <c r="AZ2" s="153">
        <v>1</v>
      </c>
      <c r="BA2" s="154">
        <v>50</v>
      </c>
    </row>
    <row r="3" spans="1:53" x14ac:dyDescent="0.15">
      <c r="A3" s="55" t="s">
        <v>56</v>
      </c>
      <c r="B3" s="55" t="s">
        <v>273</v>
      </c>
      <c r="C3" s="148">
        <v>2018</v>
      </c>
      <c r="D3" s="86" t="s">
        <v>274</v>
      </c>
      <c r="E3" s="148" t="s">
        <v>275</v>
      </c>
      <c r="F3" s="148" t="s">
        <v>162</v>
      </c>
      <c r="G3" s="55" t="s">
        <v>42</v>
      </c>
      <c r="H3" s="148" t="s">
        <v>155</v>
      </c>
      <c r="I3" s="55" t="s">
        <v>153</v>
      </c>
      <c r="J3" s="148" t="s">
        <v>38</v>
      </c>
      <c r="K3" s="148" t="s">
        <v>154</v>
      </c>
      <c r="L3" s="140">
        <v>2</v>
      </c>
      <c r="N3" s="140">
        <v>1</v>
      </c>
      <c r="O3" s="140">
        <v>0.8</v>
      </c>
      <c r="P3" s="140">
        <v>0.9</v>
      </c>
      <c r="Q3" s="173">
        <f t="shared" si="0"/>
        <v>0.85000000000000009</v>
      </c>
      <c r="R3" s="140">
        <v>13.8</v>
      </c>
      <c r="S3" s="140">
        <v>135</v>
      </c>
      <c r="T3" s="149">
        <f t="shared" si="1"/>
        <v>25</v>
      </c>
      <c r="U3" s="140">
        <v>84</v>
      </c>
      <c r="V3" s="149">
        <f t="shared" si="2"/>
        <v>2100</v>
      </c>
      <c r="W3" s="140">
        <v>4</v>
      </c>
      <c r="X3" s="55" t="s">
        <v>46</v>
      </c>
      <c r="Y3" s="55" t="s">
        <v>84</v>
      </c>
      <c r="Z3" s="148" t="s">
        <v>90</v>
      </c>
      <c r="AA3" s="55" t="s">
        <v>55</v>
      </c>
      <c r="AB3" s="148" t="s">
        <v>474</v>
      </c>
      <c r="AE3" s="155" t="s">
        <v>41</v>
      </c>
      <c r="AG3" s="163" t="s">
        <v>276</v>
      </c>
      <c r="AH3" s="87" t="s">
        <v>163</v>
      </c>
      <c r="AJ3" s="156" t="s">
        <v>42</v>
      </c>
      <c r="AL3" s="156" t="s">
        <v>128</v>
      </c>
      <c r="AN3" s="156" t="s">
        <v>43</v>
      </c>
      <c r="AP3" s="156" t="s">
        <v>44</v>
      </c>
      <c r="AR3" s="166" t="s">
        <v>45</v>
      </c>
      <c r="AT3" s="156" t="s">
        <v>46</v>
      </c>
      <c r="AV3" s="156" t="s">
        <v>47</v>
      </c>
      <c r="AX3" s="157">
        <v>72</v>
      </c>
      <c r="AY3" s="158">
        <v>46</v>
      </c>
      <c r="AZ3" s="158">
        <v>71</v>
      </c>
      <c r="BA3" s="159">
        <v>42</v>
      </c>
    </row>
    <row r="4" spans="1:53" x14ac:dyDescent="0.15">
      <c r="A4" s="55" t="s">
        <v>56</v>
      </c>
      <c r="B4" s="55" t="s">
        <v>273</v>
      </c>
      <c r="C4" s="148">
        <v>2018</v>
      </c>
      <c r="D4" s="86" t="s">
        <v>274</v>
      </c>
      <c r="E4" s="148" t="s">
        <v>275</v>
      </c>
      <c r="F4" s="148" t="s">
        <v>162</v>
      </c>
      <c r="G4" s="55" t="s">
        <v>42</v>
      </c>
      <c r="H4" s="148" t="s">
        <v>155</v>
      </c>
      <c r="I4" s="55" t="s">
        <v>153</v>
      </c>
      <c r="J4" s="148" t="s">
        <v>38</v>
      </c>
      <c r="K4" s="148" t="s">
        <v>154</v>
      </c>
      <c r="L4" s="140">
        <v>3</v>
      </c>
      <c r="N4" s="140">
        <v>1</v>
      </c>
      <c r="O4" s="140">
        <v>0.7</v>
      </c>
      <c r="P4" s="140">
        <v>0.75</v>
      </c>
      <c r="Q4" s="173">
        <f t="shared" si="0"/>
        <v>0.72499999999999998</v>
      </c>
      <c r="R4" s="140">
        <v>14.6</v>
      </c>
      <c r="S4" s="140">
        <v>136</v>
      </c>
      <c r="T4" s="149">
        <f t="shared" si="1"/>
        <v>25</v>
      </c>
      <c r="U4" s="140">
        <v>84</v>
      </c>
      <c r="V4" s="149">
        <f t="shared" si="2"/>
        <v>2100</v>
      </c>
      <c r="W4" s="140">
        <v>4</v>
      </c>
      <c r="X4" s="55" t="s">
        <v>46</v>
      </c>
      <c r="Y4" s="55" t="s">
        <v>84</v>
      </c>
      <c r="Z4" s="148" t="s">
        <v>90</v>
      </c>
      <c r="AA4" s="55" t="s">
        <v>55</v>
      </c>
      <c r="AB4" s="148" t="s">
        <v>474</v>
      </c>
      <c r="AE4" s="155" t="s">
        <v>34</v>
      </c>
      <c r="AG4" s="163" t="s">
        <v>277</v>
      </c>
      <c r="AH4" s="87" t="s">
        <v>278</v>
      </c>
      <c r="AJ4" s="160" t="s">
        <v>48</v>
      </c>
      <c r="AL4" s="160" t="s">
        <v>164</v>
      </c>
      <c r="AN4" s="161" t="s">
        <v>49</v>
      </c>
      <c r="AP4" s="156" t="s">
        <v>237</v>
      </c>
      <c r="AR4" s="166" t="s">
        <v>121</v>
      </c>
      <c r="AT4" s="161"/>
      <c r="AV4" s="156" t="s">
        <v>50</v>
      </c>
      <c r="AX4" s="157">
        <v>75</v>
      </c>
      <c r="AY4" s="158">
        <v>42</v>
      </c>
      <c r="AZ4" s="158">
        <v>76</v>
      </c>
      <c r="BA4" s="159">
        <v>39</v>
      </c>
    </row>
    <row r="5" spans="1:53" x14ac:dyDescent="0.15">
      <c r="A5" s="55" t="s">
        <v>56</v>
      </c>
      <c r="B5" s="55" t="s">
        <v>273</v>
      </c>
      <c r="C5" s="148">
        <v>2018</v>
      </c>
      <c r="D5" s="86" t="s">
        <v>274</v>
      </c>
      <c r="E5" s="148" t="s">
        <v>275</v>
      </c>
      <c r="F5" s="148" t="s">
        <v>162</v>
      </c>
      <c r="G5" s="55" t="s">
        <v>42</v>
      </c>
      <c r="H5" s="148" t="s">
        <v>158</v>
      </c>
      <c r="I5" s="55" t="s">
        <v>153</v>
      </c>
      <c r="J5" s="148" t="s">
        <v>38</v>
      </c>
      <c r="K5" s="148" t="s">
        <v>154</v>
      </c>
      <c r="L5" s="148">
        <v>1</v>
      </c>
      <c r="M5" s="148"/>
      <c r="N5" s="140">
        <v>1</v>
      </c>
      <c r="O5" s="148">
        <v>0.7</v>
      </c>
      <c r="P5" s="140">
        <v>0.75</v>
      </c>
      <c r="Q5" s="173">
        <f t="shared" si="0"/>
        <v>0.72499999999999998</v>
      </c>
      <c r="R5" s="148">
        <v>15.6</v>
      </c>
      <c r="S5" s="148">
        <v>139</v>
      </c>
      <c r="T5" s="149">
        <f t="shared" si="1"/>
        <v>22</v>
      </c>
      <c r="U5" s="148">
        <v>84</v>
      </c>
      <c r="V5" s="149">
        <f t="shared" si="2"/>
        <v>1848</v>
      </c>
      <c r="W5" s="148">
        <v>4</v>
      </c>
      <c r="X5" s="55" t="s">
        <v>46</v>
      </c>
      <c r="Y5" s="55" t="s">
        <v>84</v>
      </c>
      <c r="Z5" s="148" t="s">
        <v>90</v>
      </c>
      <c r="AA5" s="55" t="s">
        <v>55</v>
      </c>
      <c r="AB5" s="148" t="s">
        <v>474</v>
      </c>
      <c r="AE5" s="155" t="s">
        <v>51</v>
      </c>
      <c r="AG5" s="163" t="s">
        <v>279</v>
      </c>
      <c r="AH5" s="87" t="s">
        <v>280</v>
      </c>
      <c r="AJ5" s="161"/>
      <c r="AL5" s="162" t="s">
        <v>66</v>
      </c>
      <c r="AN5" s="162" t="s">
        <v>233</v>
      </c>
      <c r="AP5" s="156" t="s">
        <v>234</v>
      </c>
      <c r="AR5" s="166" t="s">
        <v>54</v>
      </c>
      <c r="AV5" s="156" t="s">
        <v>55</v>
      </c>
      <c r="AX5" s="157">
        <v>84</v>
      </c>
      <c r="AY5" s="158">
        <v>39</v>
      </c>
      <c r="AZ5" s="158">
        <v>84</v>
      </c>
      <c r="BA5" s="159">
        <v>36</v>
      </c>
    </row>
    <row r="6" spans="1:53" x14ac:dyDescent="0.15">
      <c r="A6" s="55" t="s">
        <v>56</v>
      </c>
      <c r="B6" s="55" t="s">
        <v>273</v>
      </c>
      <c r="C6" s="148">
        <v>2018</v>
      </c>
      <c r="D6" s="86" t="s">
        <v>274</v>
      </c>
      <c r="E6" s="148" t="s">
        <v>275</v>
      </c>
      <c r="F6" s="148" t="s">
        <v>162</v>
      </c>
      <c r="G6" s="55" t="s">
        <v>42</v>
      </c>
      <c r="H6" s="148" t="s">
        <v>158</v>
      </c>
      <c r="I6" s="55" t="s">
        <v>153</v>
      </c>
      <c r="J6" s="148" t="s">
        <v>38</v>
      </c>
      <c r="K6" s="148" t="s">
        <v>154</v>
      </c>
      <c r="L6" s="140">
        <v>2</v>
      </c>
      <c r="N6" s="140">
        <v>1</v>
      </c>
      <c r="O6" s="140">
        <v>0.75</v>
      </c>
      <c r="P6" s="140">
        <v>0.7</v>
      </c>
      <c r="Q6" s="173">
        <f t="shared" si="0"/>
        <v>0.72499999999999998</v>
      </c>
      <c r="R6" s="140">
        <v>14.7</v>
      </c>
      <c r="S6" s="140">
        <v>141</v>
      </c>
      <c r="T6" s="149">
        <f t="shared" si="1"/>
        <v>22</v>
      </c>
      <c r="U6" s="140">
        <v>84</v>
      </c>
      <c r="V6" s="149">
        <f t="shared" si="2"/>
        <v>1848</v>
      </c>
      <c r="W6" s="140">
        <v>4</v>
      </c>
      <c r="X6" s="55" t="s">
        <v>46</v>
      </c>
      <c r="Y6" s="55" t="s">
        <v>84</v>
      </c>
      <c r="Z6" s="148" t="s">
        <v>90</v>
      </c>
      <c r="AA6" s="55" t="s">
        <v>55</v>
      </c>
      <c r="AB6" s="148" t="s">
        <v>474</v>
      </c>
      <c r="AE6" s="155" t="s">
        <v>56</v>
      </c>
      <c r="AG6" s="163" t="s">
        <v>281</v>
      </c>
      <c r="AH6" s="87" t="s">
        <v>280</v>
      </c>
      <c r="AL6" s="162" t="s">
        <v>159</v>
      </c>
      <c r="AN6" s="162" t="s">
        <v>57</v>
      </c>
      <c r="AP6" s="156" t="s">
        <v>53</v>
      </c>
      <c r="AR6" s="166" t="s">
        <v>59</v>
      </c>
      <c r="AV6" s="156" t="s">
        <v>60</v>
      </c>
      <c r="AX6" s="157">
        <v>97</v>
      </c>
      <c r="AY6" s="158">
        <v>36</v>
      </c>
      <c r="AZ6" s="158">
        <v>99</v>
      </c>
      <c r="BA6" s="159">
        <v>33</v>
      </c>
    </row>
    <row r="7" spans="1:53" x14ac:dyDescent="0.15">
      <c r="A7" s="55" t="s">
        <v>56</v>
      </c>
      <c r="B7" s="55" t="s">
        <v>273</v>
      </c>
      <c r="C7" s="148">
        <v>2018</v>
      </c>
      <c r="D7" s="86" t="s">
        <v>274</v>
      </c>
      <c r="E7" s="148" t="s">
        <v>275</v>
      </c>
      <c r="F7" s="148" t="s">
        <v>162</v>
      </c>
      <c r="G7" s="55" t="s">
        <v>42</v>
      </c>
      <c r="H7" s="148" t="s">
        <v>158</v>
      </c>
      <c r="I7" s="55" t="s">
        <v>153</v>
      </c>
      <c r="J7" s="148" t="s">
        <v>38</v>
      </c>
      <c r="K7" s="148" t="s">
        <v>154</v>
      </c>
      <c r="L7" s="140">
        <v>3</v>
      </c>
      <c r="N7" s="140">
        <v>1</v>
      </c>
      <c r="O7" s="140">
        <v>0.75</v>
      </c>
      <c r="P7" s="140">
        <v>0.75</v>
      </c>
      <c r="Q7" s="173">
        <f t="shared" si="0"/>
        <v>0.75</v>
      </c>
      <c r="R7" s="140">
        <v>15.3</v>
      </c>
      <c r="S7" s="140">
        <v>141</v>
      </c>
      <c r="T7" s="149">
        <f t="shared" si="1"/>
        <v>22</v>
      </c>
      <c r="U7" s="140">
        <v>84</v>
      </c>
      <c r="V7" s="149">
        <f t="shared" si="2"/>
        <v>1848</v>
      </c>
      <c r="W7" s="140">
        <v>4</v>
      </c>
      <c r="X7" s="55" t="s">
        <v>46</v>
      </c>
      <c r="Y7" s="55" t="s">
        <v>84</v>
      </c>
      <c r="Z7" s="148" t="s">
        <v>90</v>
      </c>
      <c r="AA7" s="55" t="s">
        <v>55</v>
      </c>
      <c r="AB7" s="148" t="s">
        <v>474</v>
      </c>
      <c r="AE7" s="155" t="s">
        <v>61</v>
      </c>
      <c r="AG7" s="163" t="s">
        <v>282</v>
      </c>
      <c r="AH7" s="87" t="s">
        <v>165</v>
      </c>
      <c r="AL7" s="88" t="s">
        <v>283</v>
      </c>
      <c r="AP7" s="156" t="s">
        <v>58</v>
      </c>
      <c r="AR7" s="163" t="s">
        <v>122</v>
      </c>
      <c r="AV7" s="156" t="s">
        <v>64</v>
      </c>
      <c r="AX7" s="157">
        <v>109</v>
      </c>
      <c r="AY7" s="158">
        <v>33</v>
      </c>
      <c r="AZ7" s="158">
        <v>113</v>
      </c>
      <c r="BA7" s="159">
        <v>30</v>
      </c>
    </row>
    <row r="8" spans="1:53" x14ac:dyDescent="0.15">
      <c r="A8" s="55" t="s">
        <v>56</v>
      </c>
      <c r="B8" s="55" t="s">
        <v>284</v>
      </c>
      <c r="C8" s="148">
        <v>2018</v>
      </c>
      <c r="D8" s="86" t="s">
        <v>285</v>
      </c>
      <c r="E8" s="148" t="s">
        <v>275</v>
      </c>
      <c r="F8" s="148" t="s">
        <v>163</v>
      </c>
      <c r="G8" s="55" t="s">
        <v>42</v>
      </c>
      <c r="H8" s="148" t="s">
        <v>155</v>
      </c>
      <c r="I8" s="55" t="s">
        <v>153</v>
      </c>
      <c r="J8" s="148" t="s">
        <v>38</v>
      </c>
      <c r="K8" s="148" t="s">
        <v>154</v>
      </c>
      <c r="L8" s="140">
        <v>1</v>
      </c>
      <c r="N8" s="140">
        <v>1</v>
      </c>
      <c r="O8" s="140">
        <v>0.75</v>
      </c>
      <c r="P8" s="140">
        <v>0.95</v>
      </c>
      <c r="Q8" s="173">
        <f t="shared" si="0"/>
        <v>0.85</v>
      </c>
      <c r="R8" s="140">
        <v>14.8</v>
      </c>
      <c r="S8" s="140">
        <v>135</v>
      </c>
      <c r="T8" s="149">
        <f t="shared" si="1"/>
        <v>25</v>
      </c>
      <c r="U8" s="140">
        <v>84</v>
      </c>
      <c r="V8" s="149">
        <f t="shared" si="2"/>
        <v>2100</v>
      </c>
      <c r="W8" s="140">
        <v>4</v>
      </c>
      <c r="X8" s="55" t="s">
        <v>46</v>
      </c>
      <c r="Y8" s="55" t="s">
        <v>84</v>
      </c>
      <c r="Z8" s="148" t="s">
        <v>50</v>
      </c>
      <c r="AA8" s="55" t="s">
        <v>90</v>
      </c>
      <c r="AB8" s="148" t="s">
        <v>474</v>
      </c>
      <c r="AE8" s="155" t="s">
        <v>59</v>
      </c>
      <c r="AG8" s="163" t="s">
        <v>286</v>
      </c>
      <c r="AH8" s="87" t="s">
        <v>165</v>
      </c>
      <c r="AL8" s="88" t="s">
        <v>270</v>
      </c>
      <c r="AP8" s="156" t="s">
        <v>62</v>
      </c>
      <c r="AR8" s="166" t="s">
        <v>81</v>
      </c>
      <c r="AV8" s="156" t="s">
        <v>97</v>
      </c>
      <c r="AX8" s="157">
        <v>119</v>
      </c>
      <c r="AY8" s="158">
        <v>30</v>
      </c>
      <c r="AZ8" s="158">
        <v>121</v>
      </c>
      <c r="BA8" s="159">
        <v>27</v>
      </c>
    </row>
    <row r="9" spans="1:53" x14ac:dyDescent="0.15">
      <c r="A9" s="55" t="s">
        <v>56</v>
      </c>
      <c r="B9" s="55" t="s">
        <v>284</v>
      </c>
      <c r="C9" s="148">
        <v>2018</v>
      </c>
      <c r="D9" s="86" t="s">
        <v>285</v>
      </c>
      <c r="E9" s="148" t="s">
        <v>275</v>
      </c>
      <c r="F9" s="148" t="s">
        <v>163</v>
      </c>
      <c r="G9" s="55" t="s">
        <v>42</v>
      </c>
      <c r="H9" s="148" t="s">
        <v>155</v>
      </c>
      <c r="I9" s="55" t="s">
        <v>153</v>
      </c>
      <c r="J9" s="148" t="s">
        <v>38</v>
      </c>
      <c r="K9" s="148" t="s">
        <v>154</v>
      </c>
      <c r="L9" s="140">
        <v>2</v>
      </c>
      <c r="N9" s="140">
        <v>1</v>
      </c>
      <c r="O9" s="140">
        <v>0.75</v>
      </c>
      <c r="P9" s="140">
        <v>0.75</v>
      </c>
      <c r="Q9" s="173">
        <f t="shared" si="0"/>
        <v>0.75</v>
      </c>
      <c r="R9" s="140">
        <v>14.3</v>
      </c>
      <c r="S9" s="140">
        <v>138</v>
      </c>
      <c r="T9" s="149">
        <f t="shared" si="1"/>
        <v>22</v>
      </c>
      <c r="U9" s="140">
        <v>84</v>
      </c>
      <c r="V9" s="149">
        <f t="shared" si="2"/>
        <v>1848</v>
      </c>
      <c r="W9" s="140">
        <v>4</v>
      </c>
      <c r="X9" s="55" t="s">
        <v>46</v>
      </c>
      <c r="Y9" s="55" t="s">
        <v>84</v>
      </c>
      <c r="Z9" s="148" t="s">
        <v>50</v>
      </c>
      <c r="AA9" s="55" t="s">
        <v>90</v>
      </c>
      <c r="AB9" s="148" t="s">
        <v>474</v>
      </c>
      <c r="AE9" s="155" t="s">
        <v>98</v>
      </c>
      <c r="AG9" s="163" t="s">
        <v>166</v>
      </c>
      <c r="AH9" s="163" t="s">
        <v>163</v>
      </c>
      <c r="AL9" s="162"/>
      <c r="AP9" s="156" t="s">
        <v>95</v>
      </c>
      <c r="AR9" s="163" t="s">
        <v>89</v>
      </c>
      <c r="AV9" s="156" t="s">
        <v>102</v>
      </c>
      <c r="AX9" s="157">
        <v>128</v>
      </c>
      <c r="AY9" s="158">
        <v>27</v>
      </c>
      <c r="AZ9" s="158">
        <v>129</v>
      </c>
      <c r="BA9" s="159">
        <v>25</v>
      </c>
    </row>
    <row r="10" spans="1:53" x14ac:dyDescent="0.15">
      <c r="A10" s="55" t="s">
        <v>56</v>
      </c>
      <c r="B10" s="55" t="s">
        <v>287</v>
      </c>
      <c r="C10" s="148">
        <v>2018</v>
      </c>
      <c r="D10" s="86" t="s">
        <v>288</v>
      </c>
      <c r="E10" s="148" t="s">
        <v>275</v>
      </c>
      <c r="F10" s="148" t="s">
        <v>163</v>
      </c>
      <c r="G10" s="55" t="s">
        <v>42</v>
      </c>
      <c r="H10" s="148" t="s">
        <v>155</v>
      </c>
      <c r="I10" s="55" t="s">
        <v>153</v>
      </c>
      <c r="J10" s="148" t="s">
        <v>38</v>
      </c>
      <c r="K10" s="148" t="s">
        <v>154</v>
      </c>
      <c r="L10" s="140">
        <v>3</v>
      </c>
      <c r="N10" s="140">
        <v>1</v>
      </c>
      <c r="O10" s="140">
        <v>0.75</v>
      </c>
      <c r="P10" s="140">
        <v>0.75</v>
      </c>
      <c r="Q10" s="173">
        <f t="shared" si="0"/>
        <v>0.75</v>
      </c>
      <c r="R10" s="165">
        <v>14.3</v>
      </c>
      <c r="S10" s="140">
        <v>133</v>
      </c>
      <c r="T10" s="149">
        <f t="shared" si="1"/>
        <v>25</v>
      </c>
      <c r="U10" s="140">
        <v>84</v>
      </c>
      <c r="V10" s="149">
        <f t="shared" si="2"/>
        <v>2100</v>
      </c>
      <c r="W10" s="140">
        <v>4</v>
      </c>
      <c r="X10" s="55" t="s">
        <v>46</v>
      </c>
      <c r="Y10" s="55" t="s">
        <v>84</v>
      </c>
      <c r="Z10" s="148" t="s">
        <v>50</v>
      </c>
      <c r="AA10" s="55" t="s">
        <v>90</v>
      </c>
      <c r="AB10" s="148" t="s">
        <v>474</v>
      </c>
      <c r="AE10" s="155" t="s">
        <v>103</v>
      </c>
      <c r="AG10" s="163" t="s">
        <v>289</v>
      </c>
      <c r="AH10" s="87" t="s">
        <v>290</v>
      </c>
      <c r="AL10" s="88"/>
      <c r="AP10" s="156" t="s">
        <v>100</v>
      </c>
      <c r="AR10" s="163" t="s">
        <v>123</v>
      </c>
      <c r="AV10" s="156" t="s">
        <v>106</v>
      </c>
      <c r="AX10" s="157">
        <v>138</v>
      </c>
      <c r="AY10" s="158">
        <v>25</v>
      </c>
      <c r="AZ10" s="158">
        <v>138</v>
      </c>
      <c r="BA10" s="159">
        <v>22</v>
      </c>
    </row>
    <row r="11" spans="1:53" x14ac:dyDescent="0.15">
      <c r="A11" s="55" t="s">
        <v>56</v>
      </c>
      <c r="B11" s="55" t="s">
        <v>287</v>
      </c>
      <c r="C11" s="148">
        <v>2018</v>
      </c>
      <c r="D11" s="86" t="s">
        <v>288</v>
      </c>
      <c r="E11" s="148" t="s">
        <v>275</v>
      </c>
      <c r="F11" s="148" t="s">
        <v>163</v>
      </c>
      <c r="G11" s="55" t="s">
        <v>42</v>
      </c>
      <c r="H11" s="148" t="s">
        <v>158</v>
      </c>
      <c r="I11" s="55" t="s">
        <v>153</v>
      </c>
      <c r="J11" s="148" t="s">
        <v>38</v>
      </c>
      <c r="K11" s="148" t="s">
        <v>154</v>
      </c>
      <c r="L11" s="140">
        <v>1</v>
      </c>
      <c r="N11" s="140">
        <v>1</v>
      </c>
      <c r="O11" s="140">
        <v>0.7</v>
      </c>
      <c r="P11" s="140">
        <v>0.75</v>
      </c>
      <c r="Q11" s="173">
        <f t="shared" si="0"/>
        <v>0.72499999999999998</v>
      </c>
      <c r="R11" s="140">
        <v>13.9</v>
      </c>
      <c r="S11" s="140">
        <v>142</v>
      </c>
      <c r="T11" s="149">
        <f t="shared" si="1"/>
        <v>22</v>
      </c>
      <c r="U11" s="140">
        <v>84</v>
      </c>
      <c r="V11" s="149">
        <f t="shared" si="2"/>
        <v>1848</v>
      </c>
      <c r="W11" s="140">
        <v>8</v>
      </c>
      <c r="X11" s="55" t="s">
        <v>46</v>
      </c>
      <c r="Y11" s="55" t="s">
        <v>84</v>
      </c>
      <c r="Z11" s="148" t="s">
        <v>50</v>
      </c>
      <c r="AA11" s="55" t="s">
        <v>90</v>
      </c>
      <c r="AB11" s="148" t="s">
        <v>474</v>
      </c>
      <c r="AE11" s="155" t="s">
        <v>65</v>
      </c>
      <c r="AG11" s="163" t="s">
        <v>291</v>
      </c>
      <c r="AH11" s="87" t="s">
        <v>290</v>
      </c>
      <c r="AJ11" s="88"/>
      <c r="AP11" s="156" t="s">
        <v>104</v>
      </c>
      <c r="AR11" s="163" t="s">
        <v>87</v>
      </c>
      <c r="AV11" s="156" t="s">
        <v>69</v>
      </c>
    </row>
    <row r="12" spans="1:53" x14ac:dyDescent="0.15">
      <c r="A12" s="55" t="s">
        <v>56</v>
      </c>
      <c r="B12" s="55" t="s">
        <v>292</v>
      </c>
      <c r="C12" s="148">
        <v>2018</v>
      </c>
      <c r="D12" s="86" t="s">
        <v>293</v>
      </c>
      <c r="E12" s="148" t="s">
        <v>275</v>
      </c>
      <c r="F12" s="148" t="s">
        <v>163</v>
      </c>
      <c r="G12" s="55" t="s">
        <v>42</v>
      </c>
      <c r="H12" s="148" t="s">
        <v>158</v>
      </c>
      <c r="I12" s="55" t="s">
        <v>153</v>
      </c>
      <c r="J12" s="148" t="s">
        <v>38</v>
      </c>
      <c r="K12" s="148" t="s">
        <v>154</v>
      </c>
      <c r="L12" s="140">
        <v>2</v>
      </c>
      <c r="N12" s="140">
        <v>1</v>
      </c>
      <c r="O12" s="140">
        <v>0.65</v>
      </c>
      <c r="P12" s="140">
        <v>0.7</v>
      </c>
      <c r="Q12" s="173">
        <f t="shared" si="0"/>
        <v>0.67500000000000004</v>
      </c>
      <c r="R12" s="140">
        <v>14.9</v>
      </c>
      <c r="S12" s="140">
        <v>136</v>
      </c>
      <c r="T12" s="149">
        <f t="shared" si="1"/>
        <v>25</v>
      </c>
      <c r="U12" s="140">
        <v>84</v>
      </c>
      <c r="V12" s="149">
        <f t="shared" si="2"/>
        <v>2100</v>
      </c>
      <c r="W12" s="140">
        <v>8</v>
      </c>
      <c r="X12" s="55" t="s">
        <v>46</v>
      </c>
      <c r="Y12" s="55" t="s">
        <v>84</v>
      </c>
      <c r="Z12" s="148" t="s">
        <v>50</v>
      </c>
      <c r="AA12" s="55" t="s">
        <v>90</v>
      </c>
      <c r="AB12" s="148" t="s">
        <v>474</v>
      </c>
      <c r="AE12" s="155" t="s">
        <v>70</v>
      </c>
      <c r="AG12" s="163" t="s">
        <v>294</v>
      </c>
      <c r="AH12" s="87" t="s">
        <v>295</v>
      </c>
      <c r="AJ12" s="88"/>
      <c r="AP12" s="156" t="s">
        <v>67</v>
      </c>
      <c r="AR12" s="163" t="s">
        <v>124</v>
      </c>
      <c r="AV12" s="156" t="s">
        <v>72</v>
      </c>
    </row>
    <row r="13" spans="1:53" x14ac:dyDescent="0.15">
      <c r="A13" s="55" t="s">
        <v>56</v>
      </c>
      <c r="B13" s="55" t="s">
        <v>296</v>
      </c>
      <c r="C13" s="148">
        <v>2018</v>
      </c>
      <c r="D13" s="86" t="s">
        <v>297</v>
      </c>
      <c r="E13" s="148" t="s">
        <v>275</v>
      </c>
      <c r="F13" s="148" t="s">
        <v>163</v>
      </c>
      <c r="G13" s="55" t="s">
        <v>42</v>
      </c>
      <c r="H13" s="148" t="s">
        <v>158</v>
      </c>
      <c r="I13" s="55" t="s">
        <v>153</v>
      </c>
      <c r="J13" s="148" t="s">
        <v>38</v>
      </c>
      <c r="K13" s="148" t="s">
        <v>154</v>
      </c>
      <c r="L13" s="140">
        <v>3</v>
      </c>
      <c r="N13" s="140">
        <v>1</v>
      </c>
      <c r="O13" s="140">
        <v>0.6</v>
      </c>
      <c r="P13" s="140">
        <v>0.65</v>
      </c>
      <c r="Q13" s="173">
        <f t="shared" si="0"/>
        <v>0.625</v>
      </c>
      <c r="R13" s="165">
        <v>14.4</v>
      </c>
      <c r="S13" s="140">
        <v>134</v>
      </c>
      <c r="T13" s="149">
        <f t="shared" si="1"/>
        <v>25</v>
      </c>
      <c r="U13" s="140">
        <v>84</v>
      </c>
      <c r="V13" s="149">
        <f t="shared" si="2"/>
        <v>2100</v>
      </c>
      <c r="W13" s="140">
        <v>8</v>
      </c>
      <c r="X13" s="55" t="s">
        <v>46</v>
      </c>
      <c r="Y13" s="55" t="s">
        <v>84</v>
      </c>
      <c r="Z13" s="148" t="s">
        <v>50</v>
      </c>
      <c r="AA13" s="55" t="s">
        <v>90</v>
      </c>
      <c r="AB13" s="148" t="s">
        <v>474</v>
      </c>
      <c r="AE13" s="155" t="s">
        <v>73</v>
      </c>
      <c r="AP13" s="156" t="s">
        <v>71</v>
      </c>
      <c r="AR13" s="163" t="s">
        <v>103</v>
      </c>
      <c r="AV13" s="156" t="s">
        <v>75</v>
      </c>
    </row>
    <row r="14" spans="1:53" x14ac:dyDescent="0.15">
      <c r="A14" s="55" t="s">
        <v>56</v>
      </c>
      <c r="B14" s="55" t="s">
        <v>298</v>
      </c>
      <c r="C14" s="148">
        <v>2018</v>
      </c>
      <c r="D14" s="86" t="s">
        <v>299</v>
      </c>
      <c r="E14" s="148" t="s">
        <v>300</v>
      </c>
      <c r="F14" s="148" t="s">
        <v>301</v>
      </c>
      <c r="G14" s="55" t="s">
        <v>42</v>
      </c>
      <c r="H14" s="148" t="s">
        <v>155</v>
      </c>
      <c r="I14" s="55" t="s">
        <v>153</v>
      </c>
      <c r="J14" s="148" t="s">
        <v>38</v>
      </c>
      <c r="K14" s="148" t="s">
        <v>154</v>
      </c>
      <c r="L14" s="140">
        <v>1</v>
      </c>
      <c r="N14" s="140">
        <v>1</v>
      </c>
      <c r="O14" s="140">
        <v>0.6</v>
      </c>
      <c r="P14" s="140">
        <v>0.55000000000000004</v>
      </c>
      <c r="Q14" s="173">
        <f t="shared" si="0"/>
        <v>0.57499999999999996</v>
      </c>
      <c r="R14" s="140">
        <v>15.1</v>
      </c>
      <c r="S14" s="140">
        <v>127</v>
      </c>
      <c r="T14" s="149">
        <f t="shared" si="1"/>
        <v>27</v>
      </c>
      <c r="U14" s="140">
        <v>106</v>
      </c>
      <c r="V14" s="149">
        <f t="shared" si="2"/>
        <v>2862</v>
      </c>
      <c r="W14" s="140">
        <v>4</v>
      </c>
      <c r="X14" s="55" t="s">
        <v>46</v>
      </c>
      <c r="Y14" s="55" t="s">
        <v>84</v>
      </c>
      <c r="Z14" s="148" t="s">
        <v>90</v>
      </c>
      <c r="AA14" s="55" t="s">
        <v>69</v>
      </c>
      <c r="AB14" s="148" t="s">
        <v>474</v>
      </c>
      <c r="AE14" s="155" t="s">
        <v>76</v>
      </c>
      <c r="AP14" s="156" t="s">
        <v>74</v>
      </c>
      <c r="AR14" s="163" t="s">
        <v>125</v>
      </c>
      <c r="AV14" s="156" t="s">
        <v>78</v>
      </c>
    </row>
    <row r="15" spans="1:53" x14ac:dyDescent="0.15">
      <c r="A15" s="55" t="s">
        <v>56</v>
      </c>
      <c r="B15" s="55" t="s">
        <v>298</v>
      </c>
      <c r="C15" s="148">
        <v>2018</v>
      </c>
      <c r="D15" s="86" t="s">
        <v>299</v>
      </c>
      <c r="E15" s="148" t="s">
        <v>300</v>
      </c>
      <c r="F15" s="148" t="s">
        <v>301</v>
      </c>
      <c r="G15" s="55" t="s">
        <v>42</v>
      </c>
      <c r="H15" s="148" t="s">
        <v>155</v>
      </c>
      <c r="I15" s="55" t="s">
        <v>153</v>
      </c>
      <c r="J15" s="148" t="s">
        <v>38</v>
      </c>
      <c r="K15" s="148" t="s">
        <v>154</v>
      </c>
      <c r="L15" s="140">
        <v>2</v>
      </c>
      <c r="N15" s="140">
        <v>1</v>
      </c>
      <c r="O15" s="140">
        <v>0.6</v>
      </c>
      <c r="P15" s="140">
        <v>0.6</v>
      </c>
      <c r="Q15" s="173">
        <f t="shared" si="0"/>
        <v>0.6</v>
      </c>
      <c r="R15" s="140">
        <v>14.4</v>
      </c>
      <c r="S15" s="140">
        <v>132</v>
      </c>
      <c r="T15" s="149">
        <f t="shared" si="1"/>
        <v>25</v>
      </c>
      <c r="U15" s="140">
        <v>106</v>
      </c>
      <c r="V15" s="149">
        <f t="shared" si="2"/>
        <v>2650</v>
      </c>
      <c r="W15" s="140">
        <v>4</v>
      </c>
      <c r="X15" s="55" t="s">
        <v>46</v>
      </c>
      <c r="Y15" s="55" t="s">
        <v>84</v>
      </c>
      <c r="Z15" s="148" t="s">
        <v>90</v>
      </c>
      <c r="AA15" s="55" t="s">
        <v>69</v>
      </c>
      <c r="AB15" s="148" t="s">
        <v>474</v>
      </c>
      <c r="AE15" s="155" t="s">
        <v>79</v>
      </c>
      <c r="AP15" s="156" t="s">
        <v>77</v>
      </c>
      <c r="AR15" s="163" t="s">
        <v>94</v>
      </c>
      <c r="AV15" s="156" t="s">
        <v>107</v>
      </c>
    </row>
    <row r="16" spans="1:53" x14ac:dyDescent="0.15">
      <c r="A16" s="55" t="s">
        <v>56</v>
      </c>
      <c r="B16" s="55" t="s">
        <v>302</v>
      </c>
      <c r="C16" s="148">
        <v>2018</v>
      </c>
      <c r="D16" s="86" t="s">
        <v>303</v>
      </c>
      <c r="E16" s="148" t="s">
        <v>300</v>
      </c>
      <c r="F16" s="148" t="s">
        <v>301</v>
      </c>
      <c r="G16" s="55" t="s">
        <v>42</v>
      </c>
      <c r="H16" s="148" t="s">
        <v>155</v>
      </c>
      <c r="I16" s="55" t="s">
        <v>153</v>
      </c>
      <c r="J16" s="148" t="s">
        <v>38</v>
      </c>
      <c r="K16" s="148" t="s">
        <v>154</v>
      </c>
      <c r="L16" s="140">
        <v>3</v>
      </c>
      <c r="N16" s="140">
        <v>1</v>
      </c>
      <c r="O16" s="140">
        <v>0.6</v>
      </c>
      <c r="P16" s="140">
        <v>0.6</v>
      </c>
      <c r="Q16" s="173">
        <f t="shared" si="0"/>
        <v>0.6</v>
      </c>
      <c r="R16" s="165">
        <v>14.4</v>
      </c>
      <c r="S16" s="140">
        <v>131</v>
      </c>
      <c r="T16" s="149">
        <f t="shared" si="1"/>
        <v>25</v>
      </c>
      <c r="U16" s="140">
        <v>106</v>
      </c>
      <c r="V16" s="149">
        <f t="shared" si="2"/>
        <v>2650</v>
      </c>
      <c r="W16" s="140">
        <v>4</v>
      </c>
      <c r="X16" s="55" t="s">
        <v>46</v>
      </c>
      <c r="Y16" s="55" t="s">
        <v>84</v>
      </c>
      <c r="Z16" s="148" t="s">
        <v>90</v>
      </c>
      <c r="AA16" s="55" t="s">
        <v>69</v>
      </c>
      <c r="AB16" s="148" t="s">
        <v>474</v>
      </c>
      <c r="AE16" s="155" t="s">
        <v>82</v>
      </c>
      <c r="AP16" s="156" t="s">
        <v>80</v>
      </c>
      <c r="AR16" s="166" t="s">
        <v>63</v>
      </c>
      <c r="AV16" s="156" t="s">
        <v>84</v>
      </c>
    </row>
    <row r="17" spans="1:48" x14ac:dyDescent="0.15">
      <c r="A17" s="55" t="s">
        <v>56</v>
      </c>
      <c r="B17" s="55" t="s">
        <v>302</v>
      </c>
      <c r="C17" s="148">
        <v>2018</v>
      </c>
      <c r="D17" s="86" t="s">
        <v>303</v>
      </c>
      <c r="E17" s="148" t="s">
        <v>300</v>
      </c>
      <c r="F17" s="148" t="s">
        <v>301</v>
      </c>
      <c r="G17" s="55" t="s">
        <v>42</v>
      </c>
      <c r="H17" s="148" t="s">
        <v>158</v>
      </c>
      <c r="I17" s="55" t="s">
        <v>153</v>
      </c>
      <c r="J17" s="148" t="s">
        <v>38</v>
      </c>
      <c r="K17" s="148" t="s">
        <v>154</v>
      </c>
      <c r="L17" s="140">
        <v>1</v>
      </c>
      <c r="N17" s="140">
        <v>1</v>
      </c>
      <c r="O17" s="140">
        <v>0.5</v>
      </c>
      <c r="P17" s="140">
        <v>0.5</v>
      </c>
      <c r="Q17" s="173">
        <f t="shared" si="0"/>
        <v>0.5</v>
      </c>
      <c r="R17" s="140">
        <v>16.2</v>
      </c>
      <c r="S17" s="140">
        <v>142</v>
      </c>
      <c r="T17" s="149">
        <f t="shared" si="1"/>
        <v>22</v>
      </c>
      <c r="U17" s="140">
        <v>138</v>
      </c>
      <c r="V17" s="149">
        <f t="shared" si="2"/>
        <v>3036</v>
      </c>
      <c r="W17" s="140">
        <v>2</v>
      </c>
      <c r="X17" s="55" t="s">
        <v>46</v>
      </c>
      <c r="Y17" s="55" t="s">
        <v>84</v>
      </c>
      <c r="Z17" s="148" t="s">
        <v>90</v>
      </c>
      <c r="AA17" s="55" t="s">
        <v>69</v>
      </c>
      <c r="AB17" s="148" t="s">
        <v>474</v>
      </c>
      <c r="AE17" s="155" t="s">
        <v>85</v>
      </c>
      <c r="AP17" s="167" t="s">
        <v>110</v>
      </c>
      <c r="AR17" s="166" t="s">
        <v>96</v>
      </c>
      <c r="AV17" s="156" t="s">
        <v>86</v>
      </c>
    </row>
    <row r="18" spans="1:48" x14ac:dyDescent="0.15">
      <c r="A18" s="55" t="s">
        <v>56</v>
      </c>
      <c r="B18" s="55" t="s">
        <v>302</v>
      </c>
      <c r="C18" s="148">
        <v>2018</v>
      </c>
      <c r="D18" s="86" t="s">
        <v>303</v>
      </c>
      <c r="E18" s="148" t="s">
        <v>300</v>
      </c>
      <c r="F18" s="148" t="s">
        <v>301</v>
      </c>
      <c r="G18" s="55" t="s">
        <v>42</v>
      </c>
      <c r="H18" s="148" t="s">
        <v>158</v>
      </c>
      <c r="I18" s="55" t="s">
        <v>153</v>
      </c>
      <c r="J18" s="148" t="s">
        <v>38</v>
      </c>
      <c r="K18" s="148" t="s">
        <v>154</v>
      </c>
      <c r="L18" s="140">
        <v>2</v>
      </c>
      <c r="N18" s="140">
        <v>1</v>
      </c>
      <c r="O18" s="140">
        <v>0.55000000000000004</v>
      </c>
      <c r="P18" s="140">
        <v>0.5</v>
      </c>
      <c r="Q18" s="173">
        <f t="shared" si="0"/>
        <v>0.52500000000000002</v>
      </c>
      <c r="R18" s="140">
        <v>15.2</v>
      </c>
      <c r="S18" s="140">
        <v>141</v>
      </c>
      <c r="T18" s="149">
        <f t="shared" si="1"/>
        <v>22</v>
      </c>
      <c r="U18" s="140">
        <v>138</v>
      </c>
      <c r="V18" s="149">
        <f t="shared" si="2"/>
        <v>3036</v>
      </c>
      <c r="W18" s="140">
        <v>2</v>
      </c>
      <c r="X18" s="55" t="s">
        <v>46</v>
      </c>
      <c r="Y18" s="55" t="s">
        <v>84</v>
      </c>
      <c r="Z18" s="148" t="s">
        <v>90</v>
      </c>
      <c r="AA18" s="55" t="s">
        <v>69</v>
      </c>
      <c r="AB18" s="148" t="s">
        <v>474</v>
      </c>
      <c r="AE18" s="155" t="s">
        <v>87</v>
      </c>
      <c r="AP18" s="167" t="s">
        <v>111</v>
      </c>
      <c r="AR18" s="166" t="s">
        <v>101</v>
      </c>
      <c r="AV18" s="156" t="s">
        <v>88</v>
      </c>
    </row>
    <row r="19" spans="1:48" x14ac:dyDescent="0.15">
      <c r="A19" s="55" t="s">
        <v>56</v>
      </c>
      <c r="B19" s="55" t="s">
        <v>292</v>
      </c>
      <c r="C19" s="148">
        <v>2018</v>
      </c>
      <c r="D19" s="86" t="s">
        <v>293</v>
      </c>
      <c r="E19" s="148" t="s">
        <v>300</v>
      </c>
      <c r="F19" s="148" t="s">
        <v>301</v>
      </c>
      <c r="G19" s="55" t="s">
        <v>42</v>
      </c>
      <c r="H19" s="148" t="s">
        <v>158</v>
      </c>
      <c r="I19" s="55" t="s">
        <v>153</v>
      </c>
      <c r="J19" s="148" t="s">
        <v>38</v>
      </c>
      <c r="K19" s="148" t="s">
        <v>154</v>
      </c>
      <c r="L19" s="140">
        <v>3</v>
      </c>
      <c r="N19" s="140">
        <v>1</v>
      </c>
      <c r="O19" s="140">
        <v>0.5</v>
      </c>
      <c r="P19" s="140">
        <v>0.5</v>
      </c>
      <c r="Q19" s="173">
        <f t="shared" si="0"/>
        <v>0.5</v>
      </c>
      <c r="R19" s="165">
        <v>15.4</v>
      </c>
      <c r="S19" s="140">
        <v>139</v>
      </c>
      <c r="T19" s="149">
        <f t="shared" si="1"/>
        <v>22</v>
      </c>
      <c r="U19" s="140">
        <v>138</v>
      </c>
      <c r="V19" s="149">
        <f t="shared" si="2"/>
        <v>3036</v>
      </c>
      <c r="W19" s="140">
        <v>2</v>
      </c>
      <c r="X19" s="55" t="s">
        <v>46</v>
      </c>
      <c r="Y19" s="55" t="s">
        <v>84</v>
      </c>
      <c r="Z19" s="148" t="s">
        <v>90</v>
      </c>
      <c r="AA19" s="55" t="s">
        <v>69</v>
      </c>
      <c r="AB19" s="148" t="s">
        <v>474</v>
      </c>
      <c r="AE19" s="164" t="s">
        <v>89</v>
      </c>
      <c r="AP19" s="167" t="s">
        <v>112</v>
      </c>
      <c r="AR19" s="163" t="s">
        <v>126</v>
      </c>
      <c r="AV19" s="156" t="s">
        <v>90</v>
      </c>
    </row>
    <row r="20" spans="1:48" x14ac:dyDescent="0.15">
      <c r="A20" s="55" t="s">
        <v>56</v>
      </c>
      <c r="B20" s="55" t="s">
        <v>292</v>
      </c>
      <c r="C20" s="148">
        <v>2018</v>
      </c>
      <c r="D20" s="86" t="s">
        <v>293</v>
      </c>
      <c r="E20" s="148" t="s">
        <v>304</v>
      </c>
      <c r="F20" s="148" t="s">
        <v>305</v>
      </c>
      <c r="G20" s="55" t="s">
        <v>42</v>
      </c>
      <c r="H20" s="148" t="s">
        <v>155</v>
      </c>
      <c r="I20" s="55" t="s">
        <v>153</v>
      </c>
      <c r="J20" s="148" t="s">
        <v>38</v>
      </c>
      <c r="K20" s="148" t="s">
        <v>154</v>
      </c>
      <c r="L20" s="140">
        <v>1</v>
      </c>
      <c r="N20" s="140">
        <v>4</v>
      </c>
      <c r="O20" s="140">
        <v>0.6</v>
      </c>
      <c r="P20" s="140">
        <v>0.6</v>
      </c>
      <c r="Q20" s="173">
        <f t="shared" si="0"/>
        <v>0.6</v>
      </c>
      <c r="R20" s="140">
        <v>14.7</v>
      </c>
      <c r="S20" s="140">
        <v>113</v>
      </c>
      <c r="T20" s="149">
        <f t="shared" si="1"/>
        <v>30</v>
      </c>
      <c r="U20" s="140">
        <v>388</v>
      </c>
      <c r="V20" s="149">
        <f t="shared" si="2"/>
        <v>2910</v>
      </c>
      <c r="W20" s="140">
        <v>2</v>
      </c>
      <c r="X20" s="55" t="s">
        <v>46</v>
      </c>
      <c r="Y20" s="55" t="s">
        <v>90</v>
      </c>
      <c r="Z20" s="148" t="s">
        <v>78</v>
      </c>
      <c r="AA20" s="55" t="s">
        <v>84</v>
      </c>
      <c r="AB20" s="148" t="s">
        <v>474</v>
      </c>
      <c r="AP20" s="167" t="s">
        <v>113</v>
      </c>
      <c r="AR20" s="166" t="s">
        <v>105</v>
      </c>
      <c r="AV20" s="160" t="s">
        <v>271</v>
      </c>
    </row>
    <row r="21" spans="1:48" x14ac:dyDescent="0.15">
      <c r="A21" s="55" t="s">
        <v>56</v>
      </c>
      <c r="B21" s="55" t="s">
        <v>292</v>
      </c>
      <c r="C21" s="148">
        <v>2018</v>
      </c>
      <c r="D21" s="86" t="s">
        <v>293</v>
      </c>
      <c r="E21" s="148" t="s">
        <v>304</v>
      </c>
      <c r="F21" s="148" t="s">
        <v>305</v>
      </c>
      <c r="G21" s="55" t="s">
        <v>42</v>
      </c>
      <c r="H21" s="148" t="s">
        <v>155</v>
      </c>
      <c r="I21" s="55" t="s">
        <v>153</v>
      </c>
      <c r="J21" s="148" t="s">
        <v>38</v>
      </c>
      <c r="K21" s="148" t="s">
        <v>154</v>
      </c>
      <c r="L21" s="140">
        <v>2</v>
      </c>
      <c r="N21" s="140">
        <v>4</v>
      </c>
      <c r="O21" s="140">
        <v>0.55000000000000004</v>
      </c>
      <c r="P21" s="140">
        <v>0.55000000000000004</v>
      </c>
      <c r="Q21" s="173">
        <f t="shared" si="0"/>
        <v>0.55000000000000004</v>
      </c>
      <c r="R21" s="140">
        <v>14.4</v>
      </c>
      <c r="S21" s="140">
        <v>106</v>
      </c>
      <c r="T21" s="149">
        <f t="shared" si="1"/>
        <v>33</v>
      </c>
      <c r="U21" s="140">
        <v>388</v>
      </c>
      <c r="V21" s="149">
        <f t="shared" si="2"/>
        <v>3201</v>
      </c>
      <c r="W21" s="140">
        <v>2</v>
      </c>
      <c r="X21" s="55" t="s">
        <v>46</v>
      </c>
      <c r="Y21" s="55" t="s">
        <v>90</v>
      </c>
      <c r="Z21" s="148" t="s">
        <v>78</v>
      </c>
      <c r="AA21" s="55" t="s">
        <v>84</v>
      </c>
      <c r="AB21" s="148" t="s">
        <v>474</v>
      </c>
      <c r="AP21" s="167" t="s">
        <v>114</v>
      </c>
      <c r="AR21" s="166" t="s">
        <v>68</v>
      </c>
      <c r="AV21" s="161" t="s">
        <v>306</v>
      </c>
    </row>
    <row r="22" spans="1:48" x14ac:dyDescent="0.15">
      <c r="A22" s="55" t="s">
        <v>56</v>
      </c>
      <c r="B22" s="55" t="s">
        <v>292</v>
      </c>
      <c r="C22" s="148">
        <v>2018</v>
      </c>
      <c r="D22" s="86" t="s">
        <v>293</v>
      </c>
      <c r="E22" s="148" t="s">
        <v>304</v>
      </c>
      <c r="F22" s="148" t="s">
        <v>305</v>
      </c>
      <c r="G22" s="55" t="s">
        <v>42</v>
      </c>
      <c r="H22" s="148" t="s">
        <v>155</v>
      </c>
      <c r="I22" s="55" t="s">
        <v>153</v>
      </c>
      <c r="J22" s="148" t="s">
        <v>38</v>
      </c>
      <c r="K22" s="148" t="s">
        <v>154</v>
      </c>
      <c r="L22" s="140">
        <v>3</v>
      </c>
      <c r="N22" s="140">
        <v>4</v>
      </c>
      <c r="O22" s="140">
        <v>0.6</v>
      </c>
      <c r="P22" s="140">
        <v>0.6</v>
      </c>
      <c r="Q22" s="173">
        <f t="shared" si="0"/>
        <v>0.6</v>
      </c>
      <c r="R22" s="165">
        <v>13.6</v>
      </c>
      <c r="S22" s="140">
        <v>108</v>
      </c>
      <c r="T22" s="149">
        <f t="shared" si="1"/>
        <v>33</v>
      </c>
      <c r="U22" s="140">
        <v>388</v>
      </c>
      <c r="V22" s="149">
        <f t="shared" si="2"/>
        <v>3201</v>
      </c>
      <c r="W22" s="140">
        <v>2</v>
      </c>
      <c r="X22" s="55" t="s">
        <v>46</v>
      </c>
      <c r="Y22" s="55" t="s">
        <v>90</v>
      </c>
      <c r="Z22" s="148" t="s">
        <v>78</v>
      </c>
      <c r="AA22" s="55" t="s">
        <v>84</v>
      </c>
      <c r="AB22" s="148" t="s">
        <v>474</v>
      </c>
      <c r="AP22" s="167" t="s">
        <v>115</v>
      </c>
      <c r="AR22" s="166" t="s">
        <v>83</v>
      </c>
    </row>
    <row r="23" spans="1:48" x14ac:dyDescent="0.15">
      <c r="A23" s="55" t="s">
        <v>56</v>
      </c>
      <c r="B23" s="55" t="s">
        <v>292</v>
      </c>
      <c r="C23" s="148">
        <v>2018</v>
      </c>
      <c r="D23" s="86" t="s">
        <v>293</v>
      </c>
      <c r="E23" s="148" t="s">
        <v>304</v>
      </c>
      <c r="F23" s="148" t="s">
        <v>305</v>
      </c>
      <c r="G23" s="55" t="s">
        <v>42</v>
      </c>
      <c r="H23" s="148" t="s">
        <v>158</v>
      </c>
      <c r="I23" s="55" t="s">
        <v>153</v>
      </c>
      <c r="J23" s="148" t="s">
        <v>38</v>
      </c>
      <c r="K23" s="148" t="s">
        <v>154</v>
      </c>
      <c r="L23" s="140">
        <v>1</v>
      </c>
      <c r="N23" s="140">
        <v>4</v>
      </c>
      <c r="O23" s="140">
        <v>0.6</v>
      </c>
      <c r="P23" s="140">
        <v>0.55000000000000004</v>
      </c>
      <c r="Q23" s="173">
        <f t="shared" si="0"/>
        <v>0.57499999999999996</v>
      </c>
      <c r="R23" s="140">
        <v>15.2</v>
      </c>
      <c r="S23" s="140">
        <v>113</v>
      </c>
      <c r="T23" s="149">
        <f t="shared" si="1"/>
        <v>30</v>
      </c>
      <c r="U23" s="140">
        <v>409</v>
      </c>
      <c r="V23" s="149">
        <f t="shared" si="2"/>
        <v>3067.5</v>
      </c>
      <c r="W23" s="140">
        <v>2</v>
      </c>
      <c r="X23" s="55" t="s">
        <v>46</v>
      </c>
      <c r="Y23" s="55" t="s">
        <v>90</v>
      </c>
      <c r="Z23" s="148" t="s">
        <v>78</v>
      </c>
      <c r="AA23" s="55" t="s">
        <v>84</v>
      </c>
      <c r="AB23" s="148" t="s">
        <v>474</v>
      </c>
      <c r="AP23" s="167" t="s">
        <v>307</v>
      </c>
      <c r="AR23" s="166" t="s">
        <v>61</v>
      </c>
    </row>
    <row r="24" spans="1:48" x14ac:dyDescent="0.15">
      <c r="A24" s="55" t="s">
        <v>56</v>
      </c>
      <c r="B24" s="55" t="s">
        <v>292</v>
      </c>
      <c r="C24" s="148">
        <v>2018</v>
      </c>
      <c r="D24" s="86" t="s">
        <v>293</v>
      </c>
      <c r="E24" s="148" t="s">
        <v>304</v>
      </c>
      <c r="F24" s="148" t="s">
        <v>305</v>
      </c>
      <c r="G24" s="55" t="s">
        <v>42</v>
      </c>
      <c r="H24" s="148" t="s">
        <v>158</v>
      </c>
      <c r="I24" s="55" t="s">
        <v>153</v>
      </c>
      <c r="J24" s="148" t="s">
        <v>38</v>
      </c>
      <c r="K24" s="148" t="s">
        <v>154</v>
      </c>
      <c r="L24" s="140">
        <v>2</v>
      </c>
      <c r="N24" s="140">
        <v>4</v>
      </c>
      <c r="O24" s="140">
        <v>0.65</v>
      </c>
      <c r="P24" s="140">
        <v>0.6</v>
      </c>
      <c r="Q24" s="173">
        <f t="shared" si="0"/>
        <v>0.625</v>
      </c>
      <c r="R24" s="140">
        <v>14.7</v>
      </c>
      <c r="S24" s="140">
        <v>111</v>
      </c>
      <c r="T24" s="149">
        <f t="shared" si="1"/>
        <v>33</v>
      </c>
      <c r="U24" s="140">
        <v>409</v>
      </c>
      <c r="V24" s="149">
        <f t="shared" si="2"/>
        <v>3374.25</v>
      </c>
      <c r="W24" s="140">
        <v>2</v>
      </c>
      <c r="X24" s="55" t="s">
        <v>46</v>
      </c>
      <c r="Y24" s="55" t="s">
        <v>90</v>
      </c>
      <c r="Z24" s="148" t="s">
        <v>78</v>
      </c>
      <c r="AA24" s="55" t="s">
        <v>84</v>
      </c>
      <c r="AB24" s="148" t="s">
        <v>474</v>
      </c>
      <c r="AP24" s="167" t="s">
        <v>308</v>
      </c>
      <c r="AR24" s="166" t="s">
        <v>91</v>
      </c>
    </row>
    <row r="25" spans="1:48" x14ac:dyDescent="0.15">
      <c r="A25" s="55" t="s">
        <v>56</v>
      </c>
      <c r="B25" s="55" t="s">
        <v>292</v>
      </c>
      <c r="C25" s="148">
        <v>2018</v>
      </c>
      <c r="D25" s="86" t="s">
        <v>293</v>
      </c>
      <c r="E25" s="148" t="s">
        <v>304</v>
      </c>
      <c r="F25" s="148" t="s">
        <v>305</v>
      </c>
      <c r="G25" s="55" t="s">
        <v>42</v>
      </c>
      <c r="H25" s="148" t="s">
        <v>158</v>
      </c>
      <c r="I25" s="55" t="s">
        <v>153</v>
      </c>
      <c r="J25" s="148" t="s">
        <v>38</v>
      </c>
      <c r="K25" s="148" t="s">
        <v>154</v>
      </c>
      <c r="L25" s="140">
        <v>3</v>
      </c>
      <c r="N25" s="140">
        <v>4</v>
      </c>
      <c r="O25" s="140">
        <v>0.6</v>
      </c>
      <c r="P25" s="140">
        <v>0.65</v>
      </c>
      <c r="Q25" s="173">
        <f t="shared" si="0"/>
        <v>0.625</v>
      </c>
      <c r="R25" s="165">
        <v>14.6</v>
      </c>
      <c r="S25" s="140">
        <v>107</v>
      </c>
      <c r="T25" s="149">
        <f t="shared" si="1"/>
        <v>33</v>
      </c>
      <c r="U25" s="140">
        <v>409</v>
      </c>
      <c r="V25" s="149">
        <f t="shared" si="2"/>
        <v>3374.25</v>
      </c>
      <c r="W25" s="140">
        <v>2</v>
      </c>
      <c r="X25" s="55" t="s">
        <v>46</v>
      </c>
      <c r="Y25" s="55" t="s">
        <v>90</v>
      </c>
      <c r="Z25" s="148" t="s">
        <v>78</v>
      </c>
      <c r="AA25" s="55" t="s">
        <v>84</v>
      </c>
      <c r="AB25" s="148" t="s">
        <v>474</v>
      </c>
      <c r="AP25" s="167" t="s">
        <v>116</v>
      </c>
      <c r="AR25" s="42" t="s">
        <v>92</v>
      </c>
    </row>
    <row r="26" spans="1:48" x14ac:dyDescent="0.15">
      <c r="A26" s="55" t="s">
        <v>56</v>
      </c>
      <c r="B26" s="55" t="s">
        <v>292</v>
      </c>
      <c r="C26" s="148">
        <v>2018</v>
      </c>
      <c r="D26" s="86" t="s">
        <v>293</v>
      </c>
      <c r="E26" s="148" t="s">
        <v>251</v>
      </c>
      <c r="F26" s="148" t="s">
        <v>165</v>
      </c>
      <c r="G26" s="55" t="s">
        <v>42</v>
      </c>
      <c r="H26" s="148" t="s">
        <v>155</v>
      </c>
      <c r="I26" s="55" t="s">
        <v>153</v>
      </c>
      <c r="J26" s="148" t="s">
        <v>38</v>
      </c>
      <c r="K26" s="148" t="s">
        <v>154</v>
      </c>
      <c r="L26" s="140">
        <v>1</v>
      </c>
      <c r="N26" s="140">
        <v>1</v>
      </c>
      <c r="O26" s="140">
        <v>0.5</v>
      </c>
      <c r="P26" s="140">
        <v>0.7</v>
      </c>
      <c r="Q26" s="173">
        <f t="shared" si="0"/>
        <v>0.6</v>
      </c>
      <c r="R26" s="140">
        <v>13.3</v>
      </c>
      <c r="S26" s="140">
        <v>132</v>
      </c>
      <c r="T26" s="149">
        <f t="shared" si="1"/>
        <v>25</v>
      </c>
      <c r="U26" s="140">
        <v>105</v>
      </c>
      <c r="V26" s="149">
        <f t="shared" si="2"/>
        <v>2625</v>
      </c>
      <c r="W26" s="140">
        <v>2</v>
      </c>
      <c r="X26" s="55" t="s">
        <v>46</v>
      </c>
      <c r="Y26" s="55" t="s">
        <v>84</v>
      </c>
      <c r="Z26" s="148" t="s">
        <v>90</v>
      </c>
      <c r="AA26" s="55" t="s">
        <v>50</v>
      </c>
      <c r="AB26" s="148" t="s">
        <v>474</v>
      </c>
      <c r="AP26" s="167" t="s">
        <v>117</v>
      </c>
      <c r="AR26" s="140" t="s">
        <v>238</v>
      </c>
    </row>
    <row r="27" spans="1:48" x14ac:dyDescent="0.15">
      <c r="A27" s="55" t="s">
        <v>56</v>
      </c>
      <c r="B27" s="55" t="s">
        <v>292</v>
      </c>
      <c r="C27" s="148">
        <v>2018</v>
      </c>
      <c r="D27" s="86" t="s">
        <v>293</v>
      </c>
      <c r="E27" s="148" t="s">
        <v>251</v>
      </c>
      <c r="F27" s="148" t="s">
        <v>165</v>
      </c>
      <c r="G27" s="55" t="s">
        <v>42</v>
      </c>
      <c r="H27" s="148" t="s">
        <v>155</v>
      </c>
      <c r="I27" s="55" t="s">
        <v>153</v>
      </c>
      <c r="J27" s="148" t="s">
        <v>38</v>
      </c>
      <c r="K27" s="148" t="s">
        <v>154</v>
      </c>
      <c r="L27" s="140">
        <v>2</v>
      </c>
      <c r="N27" s="140">
        <v>1</v>
      </c>
      <c r="O27" s="140">
        <v>0.95</v>
      </c>
      <c r="P27" s="140">
        <v>1</v>
      </c>
      <c r="Q27" s="173">
        <f t="shared" si="0"/>
        <v>0.97499999999999998</v>
      </c>
      <c r="R27" s="140">
        <v>12.2</v>
      </c>
      <c r="S27" s="140">
        <v>133</v>
      </c>
      <c r="T27" s="149">
        <f t="shared" si="1"/>
        <v>25</v>
      </c>
      <c r="U27" s="140">
        <v>105</v>
      </c>
      <c r="V27" s="149">
        <f t="shared" si="2"/>
        <v>2625</v>
      </c>
      <c r="W27" s="140">
        <v>2</v>
      </c>
      <c r="X27" s="55" t="s">
        <v>46</v>
      </c>
      <c r="Y27" s="55" t="s">
        <v>84</v>
      </c>
      <c r="Z27" s="148" t="s">
        <v>90</v>
      </c>
      <c r="AA27" s="55" t="s">
        <v>50</v>
      </c>
      <c r="AB27" s="148" t="s">
        <v>474</v>
      </c>
      <c r="AP27" s="167" t="s">
        <v>118</v>
      </c>
    </row>
    <row r="28" spans="1:48" x14ac:dyDescent="0.15">
      <c r="A28" s="55" t="s">
        <v>56</v>
      </c>
      <c r="B28" s="55" t="s">
        <v>292</v>
      </c>
      <c r="C28" s="148">
        <v>2018</v>
      </c>
      <c r="D28" s="86" t="s">
        <v>293</v>
      </c>
      <c r="E28" s="148" t="s">
        <v>251</v>
      </c>
      <c r="F28" s="148" t="s">
        <v>165</v>
      </c>
      <c r="G28" s="55" t="s">
        <v>42</v>
      </c>
      <c r="H28" s="148" t="s">
        <v>155</v>
      </c>
      <c r="I28" s="55" t="s">
        <v>153</v>
      </c>
      <c r="J28" s="148" t="s">
        <v>38</v>
      </c>
      <c r="K28" s="148" t="s">
        <v>154</v>
      </c>
      <c r="L28" s="140">
        <v>3</v>
      </c>
      <c r="N28" s="140">
        <v>1</v>
      </c>
      <c r="O28" s="140">
        <v>0.7</v>
      </c>
      <c r="P28" s="140">
        <v>0.7</v>
      </c>
      <c r="Q28" s="173">
        <f t="shared" si="0"/>
        <v>0.7</v>
      </c>
      <c r="R28" s="140">
        <v>12.3</v>
      </c>
      <c r="S28" s="140">
        <v>128</v>
      </c>
      <c r="T28" s="149">
        <f t="shared" si="1"/>
        <v>27</v>
      </c>
      <c r="U28" s="140">
        <v>105</v>
      </c>
      <c r="V28" s="149">
        <f t="shared" si="2"/>
        <v>2835</v>
      </c>
      <c r="W28" s="140">
        <v>2</v>
      </c>
      <c r="X28" s="55" t="s">
        <v>46</v>
      </c>
      <c r="Y28" s="55" t="s">
        <v>84</v>
      </c>
      <c r="Z28" s="148" t="s">
        <v>90</v>
      </c>
      <c r="AA28" s="55" t="s">
        <v>50</v>
      </c>
      <c r="AB28" s="148" t="s">
        <v>474</v>
      </c>
    </row>
    <row r="29" spans="1:48" x14ac:dyDescent="0.15">
      <c r="A29" s="55" t="s">
        <v>56</v>
      </c>
      <c r="B29" s="55" t="s">
        <v>292</v>
      </c>
      <c r="C29" s="148">
        <v>2018</v>
      </c>
      <c r="D29" s="86" t="s">
        <v>293</v>
      </c>
      <c r="E29" s="148" t="s">
        <v>309</v>
      </c>
      <c r="F29" s="148" t="s">
        <v>165</v>
      </c>
      <c r="G29" s="55" t="s">
        <v>42</v>
      </c>
      <c r="H29" s="148" t="s">
        <v>155</v>
      </c>
      <c r="I29" s="55" t="s">
        <v>153</v>
      </c>
      <c r="J29" s="148" t="s">
        <v>38</v>
      </c>
      <c r="K29" s="148" t="s">
        <v>154</v>
      </c>
      <c r="L29" s="140">
        <v>1</v>
      </c>
      <c r="N29" s="140">
        <v>1</v>
      </c>
      <c r="O29" s="140">
        <v>1</v>
      </c>
      <c r="P29" s="140">
        <v>1.1000000000000001</v>
      </c>
      <c r="Q29" s="149">
        <f t="shared" si="0"/>
        <v>1.05</v>
      </c>
      <c r="R29" s="140">
        <v>14</v>
      </c>
      <c r="S29" s="140">
        <v>132</v>
      </c>
      <c r="T29" s="149">
        <f t="shared" si="1"/>
        <v>25</v>
      </c>
      <c r="U29" s="140">
        <v>138</v>
      </c>
      <c r="V29" s="149">
        <f t="shared" si="2"/>
        <v>3450</v>
      </c>
      <c r="W29" s="140">
        <v>1</v>
      </c>
      <c r="X29" s="55" t="s">
        <v>39</v>
      </c>
      <c r="Y29" s="55" t="s">
        <v>84</v>
      </c>
      <c r="Z29" s="148" t="s">
        <v>90</v>
      </c>
      <c r="AA29" s="55" t="s">
        <v>78</v>
      </c>
      <c r="AB29" s="148" t="s">
        <v>474</v>
      </c>
    </row>
    <row r="30" spans="1:48" x14ac:dyDescent="0.15">
      <c r="A30" s="55" t="s">
        <v>56</v>
      </c>
      <c r="B30" s="55" t="s">
        <v>292</v>
      </c>
      <c r="C30" s="148">
        <v>2018</v>
      </c>
      <c r="D30" s="86" t="s">
        <v>293</v>
      </c>
      <c r="E30" s="148" t="s">
        <v>309</v>
      </c>
      <c r="F30" s="148" t="s">
        <v>165</v>
      </c>
      <c r="G30" s="55" t="s">
        <v>42</v>
      </c>
      <c r="H30" s="148" t="s">
        <v>155</v>
      </c>
      <c r="I30" s="55" t="s">
        <v>153</v>
      </c>
      <c r="J30" s="148" t="s">
        <v>38</v>
      </c>
      <c r="K30" s="148" t="s">
        <v>154</v>
      </c>
      <c r="L30" s="140">
        <v>2</v>
      </c>
      <c r="N30" s="140">
        <v>1</v>
      </c>
      <c r="O30" s="140">
        <v>1</v>
      </c>
      <c r="P30" s="140">
        <v>1.2</v>
      </c>
      <c r="Q30" s="149">
        <f t="shared" si="0"/>
        <v>1.1000000000000001</v>
      </c>
      <c r="R30" s="140">
        <v>13.5</v>
      </c>
      <c r="S30" s="140">
        <v>132</v>
      </c>
      <c r="T30" s="149">
        <f t="shared" si="1"/>
        <v>25</v>
      </c>
      <c r="U30" s="140">
        <v>138</v>
      </c>
      <c r="V30" s="149">
        <f t="shared" si="2"/>
        <v>3450</v>
      </c>
      <c r="W30" s="140">
        <v>1</v>
      </c>
      <c r="X30" s="55" t="s">
        <v>39</v>
      </c>
      <c r="Y30" s="55" t="s">
        <v>84</v>
      </c>
      <c r="Z30" s="148" t="s">
        <v>90</v>
      </c>
      <c r="AA30" s="55" t="s">
        <v>78</v>
      </c>
      <c r="AB30" s="148" t="s">
        <v>474</v>
      </c>
    </row>
    <row r="31" spans="1:48" x14ac:dyDescent="0.15">
      <c r="A31" s="55" t="s">
        <v>56</v>
      </c>
      <c r="B31" s="55" t="s">
        <v>292</v>
      </c>
      <c r="C31" s="148">
        <v>2018</v>
      </c>
      <c r="D31" s="86" t="s">
        <v>293</v>
      </c>
      <c r="E31" s="148" t="s">
        <v>309</v>
      </c>
      <c r="F31" s="148" t="s">
        <v>165</v>
      </c>
      <c r="G31" s="55" t="s">
        <v>42</v>
      </c>
      <c r="H31" s="148" t="s">
        <v>155</v>
      </c>
      <c r="I31" s="55" t="s">
        <v>153</v>
      </c>
      <c r="J31" s="148" t="s">
        <v>38</v>
      </c>
      <c r="K31" s="148" t="s">
        <v>154</v>
      </c>
      <c r="L31" s="140">
        <v>3</v>
      </c>
      <c r="N31" s="140">
        <v>1</v>
      </c>
      <c r="O31" s="140">
        <v>0.85</v>
      </c>
      <c r="P31" s="140">
        <v>0.95</v>
      </c>
      <c r="Q31" s="149">
        <f t="shared" si="0"/>
        <v>0.89999999999999991</v>
      </c>
      <c r="R31" s="140">
        <v>12.3</v>
      </c>
      <c r="S31" s="140">
        <v>128</v>
      </c>
      <c r="T31" s="149">
        <f t="shared" si="1"/>
        <v>27</v>
      </c>
      <c r="U31" s="140">
        <v>138</v>
      </c>
      <c r="V31" s="149">
        <f t="shared" si="2"/>
        <v>3726</v>
      </c>
      <c r="W31" s="140">
        <v>1</v>
      </c>
      <c r="X31" s="55" t="s">
        <v>39</v>
      </c>
      <c r="Y31" s="55" t="s">
        <v>84</v>
      </c>
      <c r="Z31" s="148" t="s">
        <v>90</v>
      </c>
      <c r="AA31" s="55" t="s">
        <v>78</v>
      </c>
      <c r="AB31" s="148" t="s">
        <v>474</v>
      </c>
    </row>
    <row r="32" spans="1:48" x14ac:dyDescent="0.15">
      <c r="A32" s="55" t="s">
        <v>56</v>
      </c>
      <c r="B32" s="55" t="s">
        <v>292</v>
      </c>
      <c r="C32" s="148">
        <v>2018</v>
      </c>
      <c r="D32" s="86" t="s">
        <v>293</v>
      </c>
      <c r="E32" s="148" t="s">
        <v>309</v>
      </c>
      <c r="F32" s="148" t="s">
        <v>165</v>
      </c>
      <c r="G32" s="55" t="s">
        <v>42</v>
      </c>
      <c r="H32" s="148" t="s">
        <v>158</v>
      </c>
      <c r="I32" s="55" t="s">
        <v>153</v>
      </c>
      <c r="J32" s="148" t="s">
        <v>38</v>
      </c>
      <c r="K32" s="148" t="s">
        <v>154</v>
      </c>
      <c r="L32" s="140">
        <v>1</v>
      </c>
      <c r="N32" s="140">
        <v>1</v>
      </c>
      <c r="O32" s="140">
        <v>0.7</v>
      </c>
      <c r="P32" s="140">
        <v>0.65</v>
      </c>
      <c r="Q32" s="149">
        <f t="shared" si="0"/>
        <v>0.67500000000000004</v>
      </c>
      <c r="R32" s="140">
        <v>14.5</v>
      </c>
      <c r="S32" s="140">
        <v>125</v>
      </c>
      <c r="T32" s="149">
        <f t="shared" si="1"/>
        <v>27</v>
      </c>
      <c r="U32" s="140">
        <v>177</v>
      </c>
      <c r="V32" s="149">
        <f t="shared" si="2"/>
        <v>4779</v>
      </c>
      <c r="W32" s="140">
        <v>1</v>
      </c>
      <c r="X32" s="55" t="s">
        <v>39</v>
      </c>
      <c r="Y32" s="55" t="s">
        <v>84</v>
      </c>
      <c r="Z32" s="148" t="s">
        <v>90</v>
      </c>
      <c r="AA32" s="55" t="s">
        <v>78</v>
      </c>
      <c r="AB32" s="148" t="s">
        <v>474</v>
      </c>
    </row>
    <row r="33" spans="1:28" x14ac:dyDescent="0.15">
      <c r="A33" s="55" t="s">
        <v>56</v>
      </c>
      <c r="B33" s="55" t="s">
        <v>292</v>
      </c>
      <c r="C33" s="148">
        <v>2018</v>
      </c>
      <c r="D33" s="86" t="s">
        <v>293</v>
      </c>
      <c r="E33" s="148" t="s">
        <v>309</v>
      </c>
      <c r="F33" s="148" t="s">
        <v>165</v>
      </c>
      <c r="G33" s="55" t="s">
        <v>42</v>
      </c>
      <c r="H33" s="148" t="s">
        <v>158</v>
      </c>
      <c r="I33" s="55" t="s">
        <v>153</v>
      </c>
      <c r="J33" s="148" t="s">
        <v>38</v>
      </c>
      <c r="K33" s="148" t="s">
        <v>154</v>
      </c>
      <c r="L33" s="140">
        <v>2</v>
      </c>
      <c r="N33" s="140">
        <v>1</v>
      </c>
      <c r="O33" s="140">
        <v>0.6</v>
      </c>
      <c r="P33" s="140">
        <v>0.65</v>
      </c>
      <c r="Q33" s="149">
        <f t="shared" si="0"/>
        <v>0.625</v>
      </c>
      <c r="R33" s="140">
        <v>14.5</v>
      </c>
      <c r="S33" s="140">
        <v>133</v>
      </c>
      <c r="T33" s="149">
        <f t="shared" si="1"/>
        <v>25</v>
      </c>
      <c r="U33" s="140">
        <v>177</v>
      </c>
      <c r="V33" s="149">
        <f t="shared" si="2"/>
        <v>4425</v>
      </c>
      <c r="W33" s="140">
        <v>1</v>
      </c>
      <c r="X33" s="55" t="s">
        <v>39</v>
      </c>
      <c r="Y33" s="55" t="s">
        <v>84</v>
      </c>
      <c r="Z33" s="148" t="s">
        <v>90</v>
      </c>
      <c r="AA33" s="55" t="s">
        <v>78</v>
      </c>
      <c r="AB33" s="148" t="s">
        <v>474</v>
      </c>
    </row>
    <row r="34" spans="1:28" x14ac:dyDescent="0.15">
      <c r="A34" s="55" t="s">
        <v>56</v>
      </c>
      <c r="B34" s="55" t="s">
        <v>292</v>
      </c>
      <c r="C34" s="148">
        <v>2018</v>
      </c>
      <c r="D34" s="86" t="s">
        <v>293</v>
      </c>
      <c r="E34" s="148" t="s">
        <v>309</v>
      </c>
      <c r="F34" s="148" t="s">
        <v>165</v>
      </c>
      <c r="G34" s="55" t="s">
        <v>42</v>
      </c>
      <c r="H34" s="148" t="s">
        <v>158</v>
      </c>
      <c r="I34" s="55" t="s">
        <v>153</v>
      </c>
      <c r="J34" s="148" t="s">
        <v>38</v>
      </c>
      <c r="K34" s="148" t="s">
        <v>154</v>
      </c>
      <c r="L34" s="140">
        <v>3</v>
      </c>
      <c r="N34" s="140">
        <v>1</v>
      </c>
      <c r="O34" s="140">
        <v>0.7</v>
      </c>
      <c r="P34" s="140">
        <v>0.6</v>
      </c>
      <c r="Q34" s="149">
        <f t="shared" si="0"/>
        <v>0.64999999999999991</v>
      </c>
      <c r="R34" s="140">
        <v>15.2</v>
      </c>
      <c r="S34" s="140">
        <v>134</v>
      </c>
      <c r="T34" s="149">
        <f t="shared" si="1"/>
        <v>25</v>
      </c>
      <c r="U34" s="140">
        <v>177</v>
      </c>
      <c r="V34" s="149">
        <f t="shared" si="2"/>
        <v>4425</v>
      </c>
      <c r="W34" s="140">
        <v>1</v>
      </c>
      <c r="X34" s="55" t="s">
        <v>39</v>
      </c>
      <c r="Y34" s="55" t="s">
        <v>84</v>
      </c>
      <c r="Z34" s="148" t="s">
        <v>90</v>
      </c>
      <c r="AA34" s="55" t="s">
        <v>78</v>
      </c>
      <c r="AB34" s="148" t="s">
        <v>474</v>
      </c>
    </row>
    <row r="35" spans="1:28" x14ac:dyDescent="0.15">
      <c r="A35" s="55" t="s">
        <v>56</v>
      </c>
      <c r="B35" s="55" t="s">
        <v>292</v>
      </c>
      <c r="C35" s="148">
        <v>2018</v>
      </c>
      <c r="D35" s="86" t="s">
        <v>293</v>
      </c>
      <c r="E35" s="148" t="s">
        <v>166</v>
      </c>
      <c r="F35" s="148" t="s">
        <v>305</v>
      </c>
      <c r="G35" s="55" t="s">
        <v>42</v>
      </c>
      <c r="H35" s="148" t="s">
        <v>155</v>
      </c>
      <c r="I35" s="55" t="s">
        <v>156</v>
      </c>
      <c r="J35" s="148" t="s">
        <v>38</v>
      </c>
      <c r="K35" s="148" t="s">
        <v>154</v>
      </c>
      <c r="L35" s="140">
        <v>1</v>
      </c>
      <c r="N35" s="140">
        <v>4</v>
      </c>
      <c r="O35" s="140">
        <v>0.65</v>
      </c>
      <c r="P35" s="140">
        <v>0.7</v>
      </c>
      <c r="Q35" s="149">
        <f t="shared" si="0"/>
        <v>0.67500000000000004</v>
      </c>
      <c r="R35" s="140">
        <v>15.3</v>
      </c>
      <c r="S35" s="140">
        <v>107</v>
      </c>
      <c r="T35" s="149">
        <f t="shared" si="1"/>
        <v>33</v>
      </c>
      <c r="U35" s="140">
        <v>539</v>
      </c>
      <c r="V35" s="149">
        <f t="shared" si="2"/>
        <v>4446.75</v>
      </c>
      <c r="W35" s="140">
        <v>8</v>
      </c>
      <c r="X35" s="55" t="s">
        <v>39</v>
      </c>
      <c r="Y35" s="55" t="s">
        <v>84</v>
      </c>
      <c r="Z35" s="148" t="s">
        <v>90</v>
      </c>
      <c r="AA35" s="55" t="s">
        <v>55</v>
      </c>
      <c r="AB35" s="148" t="s">
        <v>474</v>
      </c>
    </row>
    <row r="36" spans="1:28" x14ac:dyDescent="0.15">
      <c r="A36" s="55" t="s">
        <v>56</v>
      </c>
      <c r="B36" s="55" t="s">
        <v>292</v>
      </c>
      <c r="C36" s="148">
        <v>2018</v>
      </c>
      <c r="D36" s="86" t="s">
        <v>293</v>
      </c>
      <c r="E36" s="148" t="s">
        <v>166</v>
      </c>
      <c r="F36" s="148" t="s">
        <v>305</v>
      </c>
      <c r="G36" s="55" t="s">
        <v>42</v>
      </c>
      <c r="H36" s="148" t="s">
        <v>155</v>
      </c>
      <c r="I36" s="55" t="s">
        <v>156</v>
      </c>
      <c r="J36" s="148" t="s">
        <v>38</v>
      </c>
      <c r="K36" s="148" t="s">
        <v>154</v>
      </c>
      <c r="L36" s="140">
        <v>2</v>
      </c>
      <c r="N36" s="140">
        <v>4</v>
      </c>
      <c r="O36" s="140">
        <v>0.7</v>
      </c>
      <c r="P36" s="140">
        <v>0.65</v>
      </c>
      <c r="Q36" s="149">
        <f t="shared" si="0"/>
        <v>0.67500000000000004</v>
      </c>
      <c r="R36" s="140">
        <v>12.3</v>
      </c>
      <c r="S36" s="140">
        <v>112</v>
      </c>
      <c r="T36" s="149">
        <f t="shared" si="1"/>
        <v>33</v>
      </c>
      <c r="U36" s="140">
        <v>539</v>
      </c>
      <c r="V36" s="149">
        <f t="shared" si="2"/>
        <v>4446.75</v>
      </c>
      <c r="W36" s="140">
        <v>8</v>
      </c>
      <c r="X36" s="55" t="s">
        <v>39</v>
      </c>
      <c r="Y36" s="55" t="s">
        <v>84</v>
      </c>
      <c r="Z36" s="148" t="s">
        <v>90</v>
      </c>
      <c r="AA36" s="55" t="s">
        <v>55</v>
      </c>
      <c r="AB36" s="148" t="s">
        <v>474</v>
      </c>
    </row>
    <row r="37" spans="1:28" x14ac:dyDescent="0.15">
      <c r="A37" s="55" t="s">
        <v>56</v>
      </c>
      <c r="B37" s="55" t="s">
        <v>292</v>
      </c>
      <c r="C37" s="148">
        <v>2018</v>
      </c>
      <c r="D37" s="86" t="s">
        <v>293</v>
      </c>
      <c r="E37" s="148" t="s">
        <v>166</v>
      </c>
      <c r="F37" s="148" t="s">
        <v>305</v>
      </c>
      <c r="G37" s="55" t="s">
        <v>42</v>
      </c>
      <c r="H37" s="148" t="s">
        <v>155</v>
      </c>
      <c r="I37" s="55" t="s">
        <v>156</v>
      </c>
      <c r="J37" s="148" t="s">
        <v>38</v>
      </c>
      <c r="K37" s="148" t="s">
        <v>154</v>
      </c>
      <c r="L37" s="140">
        <v>3</v>
      </c>
      <c r="N37" s="140">
        <v>4</v>
      </c>
      <c r="O37" s="140">
        <v>0.75</v>
      </c>
      <c r="P37" s="140">
        <v>0.75</v>
      </c>
      <c r="Q37" s="149">
        <f t="shared" si="0"/>
        <v>0.75</v>
      </c>
      <c r="R37" s="140">
        <v>14.2</v>
      </c>
      <c r="S37" s="140">
        <v>102</v>
      </c>
      <c r="T37" s="149">
        <f t="shared" si="1"/>
        <v>33</v>
      </c>
      <c r="U37" s="140">
        <v>539</v>
      </c>
      <c r="V37" s="149">
        <f t="shared" si="2"/>
        <v>4446.75</v>
      </c>
      <c r="W37" s="140">
        <v>8</v>
      </c>
      <c r="X37" s="55" t="s">
        <v>39</v>
      </c>
      <c r="Y37" s="55" t="s">
        <v>84</v>
      </c>
      <c r="Z37" s="148" t="s">
        <v>90</v>
      </c>
      <c r="AA37" s="55" t="s">
        <v>55</v>
      </c>
      <c r="AB37" s="148" t="s">
        <v>474</v>
      </c>
    </row>
    <row r="38" spans="1:28" x14ac:dyDescent="0.15">
      <c r="A38" s="55" t="s">
        <v>56</v>
      </c>
      <c r="B38" s="55" t="s">
        <v>292</v>
      </c>
      <c r="C38" s="148">
        <v>2018</v>
      </c>
      <c r="D38" s="86" t="s">
        <v>293</v>
      </c>
      <c r="E38" s="148" t="s">
        <v>251</v>
      </c>
      <c r="F38" s="148" t="s">
        <v>305</v>
      </c>
      <c r="G38" s="55" t="s">
        <v>42</v>
      </c>
      <c r="H38" s="148" t="s">
        <v>155</v>
      </c>
      <c r="I38" s="55" t="s">
        <v>153</v>
      </c>
      <c r="J38" s="148" t="s">
        <v>38</v>
      </c>
      <c r="K38" s="148" t="s">
        <v>154</v>
      </c>
      <c r="L38" s="140">
        <v>1</v>
      </c>
      <c r="N38" s="140">
        <v>5</v>
      </c>
      <c r="O38" s="140">
        <v>0.7</v>
      </c>
      <c r="P38" s="140">
        <v>0.7</v>
      </c>
      <c r="Q38" s="149">
        <f t="shared" si="0"/>
        <v>0.7</v>
      </c>
      <c r="R38" s="140">
        <v>15.2</v>
      </c>
      <c r="S38" s="140">
        <v>104</v>
      </c>
      <c r="T38" s="149">
        <f t="shared" si="1"/>
        <v>33</v>
      </c>
      <c r="U38" s="140">
        <v>321</v>
      </c>
      <c r="V38" s="149">
        <f t="shared" si="2"/>
        <v>2118.6</v>
      </c>
      <c r="W38" s="140">
        <v>2</v>
      </c>
      <c r="X38" s="55" t="s">
        <v>46</v>
      </c>
      <c r="Y38" s="55" t="s">
        <v>84</v>
      </c>
      <c r="Z38" s="140" t="s">
        <v>90</v>
      </c>
      <c r="AA38" s="55" t="s">
        <v>50</v>
      </c>
      <c r="AB38" s="148" t="s">
        <v>474</v>
      </c>
    </row>
    <row r="39" spans="1:28" x14ac:dyDescent="0.15">
      <c r="A39" s="55" t="s">
        <v>56</v>
      </c>
      <c r="B39" s="55" t="s">
        <v>292</v>
      </c>
      <c r="C39" s="148">
        <v>2018</v>
      </c>
      <c r="D39" s="86" t="s">
        <v>293</v>
      </c>
      <c r="E39" s="148" t="s">
        <v>251</v>
      </c>
      <c r="F39" s="148" t="s">
        <v>305</v>
      </c>
      <c r="G39" s="55" t="s">
        <v>42</v>
      </c>
      <c r="H39" s="148" t="s">
        <v>155</v>
      </c>
      <c r="I39" s="55" t="s">
        <v>153</v>
      </c>
      <c r="J39" s="148" t="s">
        <v>38</v>
      </c>
      <c r="K39" s="148" t="s">
        <v>154</v>
      </c>
      <c r="L39" s="140">
        <v>2</v>
      </c>
      <c r="N39" s="140">
        <v>5</v>
      </c>
      <c r="O39" s="140">
        <v>0.65</v>
      </c>
      <c r="P39" s="140">
        <v>0.65</v>
      </c>
      <c r="Q39" s="149">
        <f t="shared" si="0"/>
        <v>0.65</v>
      </c>
      <c r="R39" s="140">
        <v>14.7</v>
      </c>
      <c r="S39" s="140">
        <v>87</v>
      </c>
      <c r="T39" s="149">
        <f t="shared" si="1"/>
        <v>36</v>
      </c>
      <c r="U39" s="140">
        <v>321</v>
      </c>
      <c r="V39" s="149">
        <f t="shared" si="2"/>
        <v>2311.2000000000003</v>
      </c>
      <c r="W39" s="140">
        <v>2</v>
      </c>
      <c r="X39" s="55" t="s">
        <v>46</v>
      </c>
      <c r="Y39" s="55" t="s">
        <v>84</v>
      </c>
      <c r="Z39" s="140" t="s">
        <v>90</v>
      </c>
      <c r="AA39" s="55" t="s">
        <v>50</v>
      </c>
      <c r="AB39" s="148" t="s">
        <v>474</v>
      </c>
    </row>
    <row r="40" spans="1:28" x14ac:dyDescent="0.15">
      <c r="A40" s="55" t="s">
        <v>56</v>
      </c>
      <c r="B40" s="55" t="s">
        <v>292</v>
      </c>
      <c r="C40" s="148">
        <v>2018</v>
      </c>
      <c r="D40" s="86" t="s">
        <v>293</v>
      </c>
      <c r="E40" s="148" t="s">
        <v>251</v>
      </c>
      <c r="F40" s="148" t="s">
        <v>305</v>
      </c>
      <c r="G40" s="55" t="s">
        <v>42</v>
      </c>
      <c r="H40" s="148" t="s">
        <v>155</v>
      </c>
      <c r="I40" s="55" t="s">
        <v>153</v>
      </c>
      <c r="J40" s="148" t="s">
        <v>38</v>
      </c>
      <c r="K40" s="148" t="s">
        <v>154</v>
      </c>
      <c r="L40" s="140">
        <v>3</v>
      </c>
      <c r="N40" s="140">
        <v>5</v>
      </c>
      <c r="O40" s="140">
        <v>0.75</v>
      </c>
      <c r="P40" s="140">
        <v>0.7</v>
      </c>
      <c r="Q40" s="149">
        <f t="shared" si="0"/>
        <v>0.72499999999999998</v>
      </c>
      <c r="R40" s="140">
        <v>12.6</v>
      </c>
      <c r="S40" s="140">
        <v>82</v>
      </c>
      <c r="T40" s="149">
        <f t="shared" si="1"/>
        <v>39</v>
      </c>
      <c r="U40" s="140">
        <v>321</v>
      </c>
      <c r="V40" s="149">
        <f t="shared" si="2"/>
        <v>2503.8000000000002</v>
      </c>
      <c r="W40" s="140">
        <v>2</v>
      </c>
      <c r="X40" s="55" t="s">
        <v>46</v>
      </c>
      <c r="Y40" s="55" t="s">
        <v>84</v>
      </c>
      <c r="Z40" s="140" t="s">
        <v>90</v>
      </c>
      <c r="AA40" s="55" t="s">
        <v>50</v>
      </c>
      <c r="AB40" s="148" t="s">
        <v>474</v>
      </c>
    </row>
    <row r="41" spans="1:28" x14ac:dyDescent="0.15">
      <c r="A41" s="55" t="s">
        <v>56</v>
      </c>
      <c r="B41" s="55" t="s">
        <v>292</v>
      </c>
      <c r="C41" s="148">
        <v>2018</v>
      </c>
      <c r="D41" s="86" t="s">
        <v>293</v>
      </c>
      <c r="E41" s="148" t="s">
        <v>251</v>
      </c>
      <c r="F41" s="148" t="s">
        <v>305</v>
      </c>
      <c r="G41" s="55" t="s">
        <v>42</v>
      </c>
      <c r="H41" s="148" t="s">
        <v>158</v>
      </c>
      <c r="I41" s="55" t="s">
        <v>153</v>
      </c>
      <c r="J41" s="148" t="s">
        <v>38</v>
      </c>
      <c r="K41" s="148" t="s">
        <v>154</v>
      </c>
      <c r="L41" s="140">
        <v>1</v>
      </c>
      <c r="N41" s="140">
        <v>4</v>
      </c>
      <c r="O41" s="140">
        <v>0.6</v>
      </c>
      <c r="P41" s="140">
        <v>0.6</v>
      </c>
      <c r="Q41" s="149">
        <f t="shared" si="0"/>
        <v>0.6</v>
      </c>
      <c r="R41" s="140">
        <v>16</v>
      </c>
      <c r="S41" s="140">
        <v>117</v>
      </c>
      <c r="T41" s="149">
        <f t="shared" si="1"/>
        <v>30</v>
      </c>
      <c r="U41" s="140">
        <v>537</v>
      </c>
      <c r="V41" s="149">
        <f t="shared" si="2"/>
        <v>4027.5</v>
      </c>
      <c r="W41" s="140">
        <v>2</v>
      </c>
      <c r="X41" s="55" t="s">
        <v>46</v>
      </c>
      <c r="Y41" s="55" t="s">
        <v>84</v>
      </c>
      <c r="Z41" s="140" t="s">
        <v>90</v>
      </c>
      <c r="AA41" s="55" t="s">
        <v>50</v>
      </c>
      <c r="AB41" s="148" t="s">
        <v>474</v>
      </c>
    </row>
    <row r="42" spans="1:28" x14ac:dyDescent="0.15">
      <c r="A42" s="55" t="s">
        <v>56</v>
      </c>
      <c r="B42" s="55" t="s">
        <v>292</v>
      </c>
      <c r="C42" s="148">
        <v>2018</v>
      </c>
      <c r="D42" s="86" t="s">
        <v>293</v>
      </c>
      <c r="E42" s="148" t="s">
        <v>251</v>
      </c>
      <c r="F42" s="148" t="s">
        <v>305</v>
      </c>
      <c r="G42" s="55" t="s">
        <v>42</v>
      </c>
      <c r="H42" s="148" t="s">
        <v>158</v>
      </c>
      <c r="I42" s="55" t="s">
        <v>153</v>
      </c>
      <c r="J42" s="148" t="s">
        <v>38</v>
      </c>
      <c r="K42" s="148" t="s">
        <v>154</v>
      </c>
      <c r="L42" s="140">
        <v>2</v>
      </c>
      <c r="N42" s="140">
        <v>4</v>
      </c>
      <c r="O42" s="140">
        <v>0.65</v>
      </c>
      <c r="P42" s="140">
        <v>0.6</v>
      </c>
      <c r="Q42" s="149">
        <f t="shared" si="0"/>
        <v>0.625</v>
      </c>
      <c r="R42" s="140">
        <v>16.399999999999999</v>
      </c>
      <c r="S42" s="140">
        <v>118</v>
      </c>
      <c r="T42" s="149">
        <f t="shared" si="1"/>
        <v>30</v>
      </c>
      <c r="U42" s="140">
        <v>537</v>
      </c>
      <c r="V42" s="149">
        <f t="shared" si="2"/>
        <v>4027.5</v>
      </c>
      <c r="W42" s="140">
        <v>2</v>
      </c>
      <c r="X42" s="55" t="s">
        <v>46</v>
      </c>
      <c r="Y42" s="55" t="s">
        <v>84</v>
      </c>
      <c r="Z42" s="140" t="s">
        <v>90</v>
      </c>
      <c r="AA42" s="55" t="s">
        <v>50</v>
      </c>
      <c r="AB42" s="148" t="s">
        <v>474</v>
      </c>
    </row>
    <row r="43" spans="1:28" x14ac:dyDescent="0.15">
      <c r="A43" s="55" t="s">
        <v>56</v>
      </c>
      <c r="B43" s="55" t="s">
        <v>292</v>
      </c>
      <c r="C43" s="148">
        <v>2018</v>
      </c>
      <c r="D43" s="86" t="s">
        <v>293</v>
      </c>
      <c r="E43" s="148" t="s">
        <v>251</v>
      </c>
      <c r="F43" s="148" t="s">
        <v>305</v>
      </c>
      <c r="G43" s="55" t="s">
        <v>42</v>
      </c>
      <c r="H43" s="148" t="s">
        <v>158</v>
      </c>
      <c r="I43" s="55" t="s">
        <v>153</v>
      </c>
      <c r="J43" s="148" t="s">
        <v>38</v>
      </c>
      <c r="K43" s="148" t="s">
        <v>154</v>
      </c>
      <c r="L43" s="140">
        <v>3</v>
      </c>
      <c r="N43" s="140">
        <v>4</v>
      </c>
      <c r="O43" s="140">
        <v>0.55000000000000004</v>
      </c>
      <c r="P43" s="140">
        <v>0.6</v>
      </c>
      <c r="Q43" s="149">
        <f t="shared" si="0"/>
        <v>0.57499999999999996</v>
      </c>
      <c r="R43" s="140">
        <v>16.3</v>
      </c>
      <c r="S43" s="140">
        <v>112</v>
      </c>
      <c r="T43" s="149">
        <f t="shared" si="1"/>
        <v>33</v>
      </c>
      <c r="U43" s="140">
        <v>537</v>
      </c>
      <c r="V43" s="149">
        <f t="shared" si="2"/>
        <v>4430.25</v>
      </c>
      <c r="W43" s="140">
        <v>2</v>
      </c>
      <c r="X43" s="55" t="s">
        <v>46</v>
      </c>
      <c r="Y43" s="55" t="s">
        <v>84</v>
      </c>
      <c r="Z43" s="140" t="s">
        <v>90</v>
      </c>
      <c r="AA43" s="55" t="s">
        <v>50</v>
      </c>
      <c r="AB43" s="148" t="s">
        <v>474</v>
      </c>
    </row>
    <row r="44" spans="1:28" x14ac:dyDescent="0.15">
      <c r="A44" s="55" t="s">
        <v>56</v>
      </c>
      <c r="B44" s="55" t="s">
        <v>292</v>
      </c>
      <c r="C44" s="148">
        <v>2018</v>
      </c>
      <c r="D44" s="86" t="s">
        <v>293</v>
      </c>
      <c r="E44" s="148" t="s">
        <v>275</v>
      </c>
      <c r="F44" s="148" t="s">
        <v>305</v>
      </c>
      <c r="G44" s="55" t="s">
        <v>42</v>
      </c>
      <c r="H44" s="148" t="s">
        <v>155</v>
      </c>
      <c r="I44" s="55" t="s">
        <v>153</v>
      </c>
      <c r="J44" s="148" t="s">
        <v>38</v>
      </c>
      <c r="K44" s="148" t="s">
        <v>154</v>
      </c>
      <c r="L44" s="140">
        <v>1</v>
      </c>
      <c r="N44" s="140">
        <v>1</v>
      </c>
      <c r="O44" s="140">
        <v>0.7</v>
      </c>
      <c r="P44" s="140">
        <v>0.75</v>
      </c>
      <c r="Q44" s="149">
        <f t="shared" si="0"/>
        <v>0.72499999999999998</v>
      </c>
      <c r="R44" s="140">
        <v>15.5</v>
      </c>
      <c r="S44" s="140">
        <v>145</v>
      </c>
      <c r="T44" s="149">
        <f t="shared" si="1"/>
        <v>22</v>
      </c>
      <c r="U44" s="140">
        <v>84</v>
      </c>
      <c r="V44" s="149">
        <f t="shared" si="2"/>
        <v>1848</v>
      </c>
      <c r="W44" s="140">
        <v>2</v>
      </c>
      <c r="X44" s="55" t="s">
        <v>46</v>
      </c>
      <c r="Y44" s="55" t="s">
        <v>84</v>
      </c>
      <c r="Z44" s="140" t="s">
        <v>90</v>
      </c>
      <c r="AA44" s="55" t="s">
        <v>78</v>
      </c>
      <c r="AB44" s="148" t="s">
        <v>474</v>
      </c>
    </row>
    <row r="45" spans="1:28" x14ac:dyDescent="0.15">
      <c r="A45" s="55" t="s">
        <v>56</v>
      </c>
      <c r="B45" s="55" t="s">
        <v>292</v>
      </c>
      <c r="C45" s="148">
        <v>2018</v>
      </c>
      <c r="D45" s="86" t="s">
        <v>293</v>
      </c>
      <c r="E45" s="148" t="s">
        <v>275</v>
      </c>
      <c r="F45" s="148" t="s">
        <v>305</v>
      </c>
      <c r="G45" s="55" t="s">
        <v>42</v>
      </c>
      <c r="H45" s="148" t="s">
        <v>155</v>
      </c>
      <c r="I45" s="55" t="s">
        <v>153</v>
      </c>
      <c r="J45" s="148" t="s">
        <v>38</v>
      </c>
      <c r="K45" s="148" t="s">
        <v>154</v>
      </c>
      <c r="L45" s="140">
        <v>2</v>
      </c>
      <c r="N45" s="140">
        <v>1</v>
      </c>
      <c r="O45" s="140">
        <v>0.9</v>
      </c>
      <c r="P45" s="140">
        <v>1</v>
      </c>
      <c r="Q45" s="149">
        <f t="shared" si="0"/>
        <v>0.95</v>
      </c>
      <c r="R45" s="140">
        <v>14.8</v>
      </c>
      <c r="S45" s="140">
        <v>142</v>
      </c>
      <c r="T45" s="149">
        <f t="shared" si="1"/>
        <v>22</v>
      </c>
      <c r="U45" s="140">
        <v>84</v>
      </c>
      <c r="V45" s="149">
        <f t="shared" si="2"/>
        <v>1848</v>
      </c>
      <c r="W45" s="140">
        <v>2</v>
      </c>
      <c r="X45" s="55" t="s">
        <v>46</v>
      </c>
      <c r="Y45" s="55" t="s">
        <v>84</v>
      </c>
      <c r="Z45" s="140" t="s">
        <v>90</v>
      </c>
      <c r="AA45" s="55" t="s">
        <v>78</v>
      </c>
      <c r="AB45" s="148" t="s">
        <v>474</v>
      </c>
    </row>
    <row r="46" spans="1:28" x14ac:dyDescent="0.15">
      <c r="A46" s="55" t="s">
        <v>56</v>
      </c>
      <c r="B46" s="55" t="s">
        <v>292</v>
      </c>
      <c r="C46" s="148">
        <v>2018</v>
      </c>
      <c r="D46" s="86" t="s">
        <v>293</v>
      </c>
      <c r="E46" s="148" t="s">
        <v>275</v>
      </c>
      <c r="F46" s="148" t="s">
        <v>305</v>
      </c>
      <c r="G46" s="55" t="s">
        <v>42</v>
      </c>
      <c r="H46" s="148" t="s">
        <v>155</v>
      </c>
      <c r="I46" s="55" t="s">
        <v>153</v>
      </c>
      <c r="J46" s="148" t="s">
        <v>38</v>
      </c>
      <c r="K46" s="148" t="s">
        <v>154</v>
      </c>
      <c r="L46" s="140">
        <v>3</v>
      </c>
      <c r="N46" s="140">
        <v>1</v>
      </c>
      <c r="O46" s="140">
        <v>0.75</v>
      </c>
      <c r="P46" s="140">
        <v>0.75</v>
      </c>
      <c r="Q46" s="149">
        <f t="shared" si="0"/>
        <v>0.75</v>
      </c>
      <c r="R46" s="140">
        <v>12.7</v>
      </c>
      <c r="S46" s="140">
        <v>144</v>
      </c>
      <c r="T46" s="149">
        <f t="shared" si="1"/>
        <v>22</v>
      </c>
      <c r="U46" s="140">
        <v>84</v>
      </c>
      <c r="V46" s="149">
        <f t="shared" si="2"/>
        <v>1848</v>
      </c>
      <c r="W46" s="140">
        <v>2</v>
      </c>
      <c r="X46" s="55" t="s">
        <v>46</v>
      </c>
      <c r="Y46" s="55" t="s">
        <v>84</v>
      </c>
      <c r="Z46" s="140" t="s">
        <v>90</v>
      </c>
      <c r="AA46" s="55" t="s">
        <v>78</v>
      </c>
      <c r="AB46" s="148" t="s">
        <v>474</v>
      </c>
    </row>
    <row r="47" spans="1:28" x14ac:dyDescent="0.15">
      <c r="A47" s="55" t="s">
        <v>56</v>
      </c>
      <c r="B47" s="55" t="s">
        <v>292</v>
      </c>
      <c r="C47" s="148">
        <v>2018</v>
      </c>
      <c r="D47" s="86" t="s">
        <v>293</v>
      </c>
      <c r="E47" s="148" t="s">
        <v>275</v>
      </c>
      <c r="F47" s="148" t="s">
        <v>305</v>
      </c>
      <c r="G47" s="55" t="s">
        <v>42</v>
      </c>
      <c r="H47" s="148" t="s">
        <v>158</v>
      </c>
      <c r="I47" s="55" t="s">
        <v>153</v>
      </c>
      <c r="J47" s="148" t="s">
        <v>38</v>
      </c>
      <c r="K47" s="148" t="s">
        <v>154</v>
      </c>
      <c r="L47" s="140">
        <v>1</v>
      </c>
      <c r="N47" s="140">
        <v>1</v>
      </c>
      <c r="O47" s="140">
        <v>0.65</v>
      </c>
      <c r="P47" s="140">
        <v>0.65</v>
      </c>
      <c r="Q47" s="149">
        <f t="shared" si="0"/>
        <v>0.65</v>
      </c>
      <c r="R47" s="140">
        <v>14.5</v>
      </c>
      <c r="S47" s="140">
        <v>144</v>
      </c>
      <c r="T47" s="149">
        <f t="shared" si="1"/>
        <v>22</v>
      </c>
      <c r="U47" s="140">
        <v>84</v>
      </c>
      <c r="V47" s="149">
        <f t="shared" si="2"/>
        <v>1848</v>
      </c>
      <c r="W47" s="140">
        <v>2</v>
      </c>
      <c r="X47" s="55" t="s">
        <v>46</v>
      </c>
      <c r="Y47" s="55" t="s">
        <v>84</v>
      </c>
      <c r="Z47" s="140" t="s">
        <v>90</v>
      </c>
      <c r="AA47" s="55" t="s">
        <v>78</v>
      </c>
      <c r="AB47" s="148" t="s">
        <v>474</v>
      </c>
    </row>
    <row r="48" spans="1:28" x14ac:dyDescent="0.15">
      <c r="A48" s="55" t="s">
        <v>56</v>
      </c>
      <c r="B48" s="55" t="s">
        <v>292</v>
      </c>
      <c r="C48" s="148">
        <v>2018</v>
      </c>
      <c r="D48" s="86" t="s">
        <v>293</v>
      </c>
      <c r="E48" s="148" t="s">
        <v>275</v>
      </c>
      <c r="F48" s="148" t="s">
        <v>305</v>
      </c>
      <c r="G48" s="55" t="s">
        <v>42</v>
      </c>
      <c r="H48" s="148" t="s">
        <v>158</v>
      </c>
      <c r="I48" s="55" t="s">
        <v>153</v>
      </c>
      <c r="J48" s="148" t="s">
        <v>38</v>
      </c>
      <c r="K48" s="148" t="s">
        <v>154</v>
      </c>
      <c r="L48" s="140">
        <v>2</v>
      </c>
      <c r="N48" s="140">
        <v>1</v>
      </c>
      <c r="O48" s="140">
        <v>0.7</v>
      </c>
      <c r="P48" s="140">
        <v>0.65</v>
      </c>
      <c r="Q48" s="149">
        <f t="shared" si="0"/>
        <v>0.67500000000000004</v>
      </c>
      <c r="R48" s="140">
        <v>15.8</v>
      </c>
      <c r="S48" s="140">
        <v>148</v>
      </c>
      <c r="T48" s="149">
        <f t="shared" si="1"/>
        <v>22</v>
      </c>
      <c r="U48" s="140">
        <v>84</v>
      </c>
      <c r="V48" s="149">
        <f t="shared" si="2"/>
        <v>1848</v>
      </c>
      <c r="W48" s="140">
        <v>2</v>
      </c>
      <c r="X48" s="55" t="s">
        <v>46</v>
      </c>
      <c r="Y48" s="55" t="s">
        <v>84</v>
      </c>
      <c r="Z48" s="140" t="s">
        <v>90</v>
      </c>
      <c r="AA48" s="55" t="s">
        <v>78</v>
      </c>
      <c r="AB48" s="148" t="s">
        <v>474</v>
      </c>
    </row>
    <row r="49" spans="1:28" x14ac:dyDescent="0.15">
      <c r="A49" s="55" t="s">
        <v>56</v>
      </c>
      <c r="B49" s="55" t="s">
        <v>292</v>
      </c>
      <c r="C49" s="148">
        <v>2018</v>
      </c>
      <c r="D49" s="86" t="s">
        <v>293</v>
      </c>
      <c r="E49" s="148" t="s">
        <v>275</v>
      </c>
      <c r="F49" s="148" t="s">
        <v>305</v>
      </c>
      <c r="G49" s="55" t="s">
        <v>42</v>
      </c>
      <c r="H49" s="148" t="s">
        <v>158</v>
      </c>
      <c r="I49" s="55" t="s">
        <v>153</v>
      </c>
      <c r="J49" s="148" t="s">
        <v>38</v>
      </c>
      <c r="K49" s="148" t="s">
        <v>154</v>
      </c>
      <c r="L49" s="140">
        <v>3</v>
      </c>
      <c r="N49" s="140">
        <v>1</v>
      </c>
      <c r="O49" s="140">
        <v>0.65</v>
      </c>
      <c r="P49" s="140">
        <v>0.65</v>
      </c>
      <c r="Q49" s="149">
        <f t="shared" si="0"/>
        <v>0.65</v>
      </c>
      <c r="R49" s="140">
        <v>15.6</v>
      </c>
      <c r="S49" s="140">
        <v>138</v>
      </c>
      <c r="T49" s="149">
        <f t="shared" si="1"/>
        <v>22</v>
      </c>
      <c r="U49" s="140">
        <v>84</v>
      </c>
      <c r="V49" s="149">
        <f t="shared" si="2"/>
        <v>1848</v>
      </c>
      <c r="W49" s="140">
        <v>2</v>
      </c>
      <c r="X49" s="55" t="s">
        <v>46</v>
      </c>
      <c r="Y49" s="55" t="s">
        <v>84</v>
      </c>
      <c r="Z49" s="140" t="s">
        <v>90</v>
      </c>
      <c r="AA49" s="55" t="s">
        <v>78</v>
      </c>
      <c r="AB49" s="148" t="s">
        <v>474</v>
      </c>
    </row>
    <row r="50" spans="1:28" x14ac:dyDescent="0.15">
      <c r="A50" s="55" t="s">
        <v>56</v>
      </c>
      <c r="B50" s="55" t="s">
        <v>292</v>
      </c>
      <c r="C50" s="148">
        <v>2018</v>
      </c>
      <c r="D50" s="86" t="s">
        <v>293</v>
      </c>
      <c r="E50" s="148" t="s">
        <v>310</v>
      </c>
      <c r="F50" s="148" t="s">
        <v>305</v>
      </c>
      <c r="G50" s="55" t="s">
        <v>42</v>
      </c>
      <c r="H50" s="148" t="s">
        <v>155</v>
      </c>
      <c r="I50" s="55" t="s">
        <v>153</v>
      </c>
      <c r="J50" s="148" t="s">
        <v>38</v>
      </c>
      <c r="K50" s="148" t="s">
        <v>154</v>
      </c>
      <c r="L50" s="140">
        <v>1</v>
      </c>
      <c r="N50" s="140">
        <v>5</v>
      </c>
      <c r="O50" s="140">
        <v>0.9</v>
      </c>
      <c r="P50" s="140">
        <v>0.8</v>
      </c>
      <c r="Q50" s="149">
        <f t="shared" si="0"/>
        <v>0.85000000000000009</v>
      </c>
      <c r="R50" s="140">
        <v>12.4</v>
      </c>
      <c r="S50" s="140">
        <v>86</v>
      </c>
      <c r="T50" s="149">
        <f t="shared" si="1"/>
        <v>36</v>
      </c>
      <c r="U50" s="140">
        <v>430</v>
      </c>
      <c r="V50" s="149">
        <f t="shared" si="2"/>
        <v>3096</v>
      </c>
      <c r="W50" s="140">
        <v>6</v>
      </c>
      <c r="X50" s="55" t="s">
        <v>46</v>
      </c>
      <c r="Y50" s="55" t="s">
        <v>84</v>
      </c>
      <c r="Z50" s="140" t="s">
        <v>90</v>
      </c>
      <c r="AA50" s="55" t="s">
        <v>78</v>
      </c>
      <c r="AB50" s="148" t="s">
        <v>474</v>
      </c>
    </row>
    <row r="51" spans="1:28" x14ac:dyDescent="0.15">
      <c r="A51" s="55" t="s">
        <v>56</v>
      </c>
      <c r="B51" s="55" t="s">
        <v>292</v>
      </c>
      <c r="C51" s="148">
        <v>2018</v>
      </c>
      <c r="D51" s="86" t="s">
        <v>293</v>
      </c>
      <c r="E51" s="148" t="s">
        <v>310</v>
      </c>
      <c r="F51" s="148" t="s">
        <v>305</v>
      </c>
      <c r="G51" s="55" t="s">
        <v>42</v>
      </c>
      <c r="H51" s="148" t="s">
        <v>155</v>
      </c>
      <c r="I51" s="55" t="s">
        <v>153</v>
      </c>
      <c r="J51" s="148" t="s">
        <v>38</v>
      </c>
      <c r="K51" s="148" t="s">
        <v>154</v>
      </c>
      <c r="L51" s="140">
        <v>2</v>
      </c>
      <c r="N51" s="140">
        <v>5</v>
      </c>
      <c r="O51" s="140">
        <v>0.75</v>
      </c>
      <c r="P51" s="140">
        <v>0.75</v>
      </c>
      <c r="Q51" s="149">
        <f t="shared" si="0"/>
        <v>0.75</v>
      </c>
      <c r="R51" s="140">
        <v>11.2</v>
      </c>
      <c r="S51" s="140">
        <v>91</v>
      </c>
      <c r="T51" s="149">
        <f t="shared" si="1"/>
        <v>36</v>
      </c>
      <c r="U51" s="140">
        <v>430</v>
      </c>
      <c r="V51" s="149">
        <f t="shared" si="2"/>
        <v>3096</v>
      </c>
      <c r="W51" s="140">
        <v>6</v>
      </c>
      <c r="X51" s="55" t="s">
        <v>46</v>
      </c>
      <c r="Y51" s="55" t="s">
        <v>84</v>
      </c>
      <c r="Z51" s="140" t="s">
        <v>90</v>
      </c>
      <c r="AA51" s="55" t="s">
        <v>78</v>
      </c>
      <c r="AB51" s="148" t="s">
        <v>474</v>
      </c>
    </row>
    <row r="52" spans="1:28" x14ac:dyDescent="0.15">
      <c r="A52" s="55" t="s">
        <v>56</v>
      </c>
      <c r="B52" s="55" t="s">
        <v>292</v>
      </c>
      <c r="C52" s="148">
        <v>2018</v>
      </c>
      <c r="D52" s="86" t="s">
        <v>293</v>
      </c>
      <c r="E52" s="148" t="s">
        <v>310</v>
      </c>
      <c r="F52" s="148" t="s">
        <v>305</v>
      </c>
      <c r="G52" s="55" t="s">
        <v>42</v>
      </c>
      <c r="H52" s="148" t="s">
        <v>155</v>
      </c>
      <c r="I52" s="55" t="s">
        <v>153</v>
      </c>
      <c r="J52" s="148" t="s">
        <v>38</v>
      </c>
      <c r="K52" s="148" t="s">
        <v>154</v>
      </c>
      <c r="L52" s="140">
        <v>3</v>
      </c>
      <c r="N52" s="140">
        <v>5</v>
      </c>
      <c r="O52" s="140">
        <v>0.8</v>
      </c>
      <c r="P52" s="140">
        <v>0.8</v>
      </c>
      <c r="Q52" s="149">
        <f t="shared" si="0"/>
        <v>0.8</v>
      </c>
      <c r="R52" s="140">
        <v>12.4</v>
      </c>
      <c r="S52" s="140">
        <v>82</v>
      </c>
      <c r="T52" s="149">
        <f t="shared" si="1"/>
        <v>39</v>
      </c>
      <c r="U52" s="140">
        <v>430</v>
      </c>
      <c r="V52" s="149">
        <f t="shared" si="2"/>
        <v>3354</v>
      </c>
      <c r="W52" s="140">
        <v>6</v>
      </c>
      <c r="X52" s="55" t="s">
        <v>46</v>
      </c>
      <c r="Y52" s="55" t="s">
        <v>84</v>
      </c>
      <c r="Z52" s="140" t="s">
        <v>90</v>
      </c>
      <c r="AA52" s="55" t="s">
        <v>78</v>
      </c>
      <c r="AB52" s="148" t="s">
        <v>474</v>
      </c>
    </row>
    <row r="53" spans="1:28" x14ac:dyDescent="0.15">
      <c r="A53" s="55" t="s">
        <v>56</v>
      </c>
      <c r="B53" s="55" t="s">
        <v>292</v>
      </c>
      <c r="C53" s="148">
        <v>2018</v>
      </c>
      <c r="D53" s="86" t="s">
        <v>293</v>
      </c>
      <c r="E53" s="148" t="s">
        <v>310</v>
      </c>
      <c r="F53" s="148" t="s">
        <v>305</v>
      </c>
      <c r="G53" s="55" t="s">
        <v>42</v>
      </c>
      <c r="H53" s="148" t="s">
        <v>158</v>
      </c>
      <c r="I53" s="55" t="s">
        <v>153</v>
      </c>
      <c r="J53" s="148" t="s">
        <v>38</v>
      </c>
      <c r="K53" s="148" t="s">
        <v>154</v>
      </c>
      <c r="L53" s="140">
        <v>1</v>
      </c>
      <c r="N53" s="140">
        <v>5</v>
      </c>
      <c r="O53" s="140">
        <v>0.65</v>
      </c>
      <c r="P53" s="140">
        <v>0.6</v>
      </c>
      <c r="Q53" s="149">
        <f t="shared" si="0"/>
        <v>0.625</v>
      </c>
      <c r="R53" s="140">
        <v>13.7</v>
      </c>
      <c r="S53" s="140">
        <v>122</v>
      </c>
      <c r="T53" s="149">
        <f t="shared" si="1"/>
        <v>27</v>
      </c>
      <c r="U53" s="140">
        <v>646</v>
      </c>
      <c r="V53" s="149">
        <f t="shared" si="2"/>
        <v>3488.3999999999996</v>
      </c>
      <c r="W53" s="140">
        <v>6</v>
      </c>
      <c r="X53" s="55" t="s">
        <v>46</v>
      </c>
      <c r="Y53" s="55" t="s">
        <v>84</v>
      </c>
      <c r="Z53" s="140" t="s">
        <v>90</v>
      </c>
      <c r="AA53" s="55" t="s">
        <v>78</v>
      </c>
      <c r="AB53" s="148" t="s">
        <v>474</v>
      </c>
    </row>
    <row r="54" spans="1:28" x14ac:dyDescent="0.15">
      <c r="A54" s="55" t="s">
        <v>56</v>
      </c>
      <c r="B54" s="55" t="s">
        <v>292</v>
      </c>
      <c r="C54" s="148">
        <v>2018</v>
      </c>
      <c r="D54" s="86" t="s">
        <v>293</v>
      </c>
      <c r="E54" s="148" t="s">
        <v>310</v>
      </c>
      <c r="F54" s="148" t="s">
        <v>305</v>
      </c>
      <c r="G54" s="55" t="s">
        <v>42</v>
      </c>
      <c r="H54" s="148" t="s">
        <v>158</v>
      </c>
      <c r="I54" s="55" t="s">
        <v>153</v>
      </c>
      <c r="J54" s="148" t="s">
        <v>38</v>
      </c>
      <c r="K54" s="148" t="s">
        <v>154</v>
      </c>
      <c r="L54" s="140">
        <v>2</v>
      </c>
      <c r="N54" s="140">
        <v>5</v>
      </c>
      <c r="O54" s="140">
        <v>0.55000000000000004</v>
      </c>
      <c r="P54" s="140">
        <v>0.55000000000000004</v>
      </c>
      <c r="Q54" s="149">
        <f t="shared" si="0"/>
        <v>0.55000000000000004</v>
      </c>
      <c r="R54" s="140">
        <v>14.9</v>
      </c>
      <c r="S54" s="140">
        <v>122</v>
      </c>
      <c r="T54" s="149">
        <f t="shared" si="1"/>
        <v>27</v>
      </c>
      <c r="U54" s="140">
        <v>646</v>
      </c>
      <c r="V54" s="149">
        <f t="shared" si="2"/>
        <v>3488.3999999999996</v>
      </c>
      <c r="W54" s="140">
        <v>6</v>
      </c>
      <c r="X54" s="55" t="s">
        <v>46</v>
      </c>
      <c r="Y54" s="55" t="s">
        <v>84</v>
      </c>
      <c r="Z54" s="140" t="s">
        <v>90</v>
      </c>
      <c r="AA54" s="55" t="s">
        <v>78</v>
      </c>
      <c r="AB54" s="148" t="s">
        <v>474</v>
      </c>
    </row>
    <row r="55" spans="1:28" x14ac:dyDescent="0.15">
      <c r="A55" s="55" t="s">
        <v>56</v>
      </c>
      <c r="B55" s="55" t="s">
        <v>292</v>
      </c>
      <c r="C55" s="148">
        <v>2018</v>
      </c>
      <c r="D55" s="86" t="s">
        <v>293</v>
      </c>
      <c r="E55" s="148" t="s">
        <v>310</v>
      </c>
      <c r="F55" s="148" t="s">
        <v>305</v>
      </c>
      <c r="G55" s="55" t="s">
        <v>42</v>
      </c>
      <c r="H55" s="148" t="s">
        <v>158</v>
      </c>
      <c r="I55" s="55" t="s">
        <v>153</v>
      </c>
      <c r="J55" s="148" t="s">
        <v>38</v>
      </c>
      <c r="K55" s="148" t="s">
        <v>154</v>
      </c>
      <c r="L55" s="140">
        <v>3</v>
      </c>
      <c r="N55" s="140">
        <v>5</v>
      </c>
      <c r="O55" s="140">
        <v>0.55000000000000004</v>
      </c>
      <c r="P55" s="140">
        <v>0.55000000000000004</v>
      </c>
      <c r="Q55" s="149">
        <f t="shared" si="0"/>
        <v>0.55000000000000004</v>
      </c>
      <c r="R55" s="140">
        <v>15.5</v>
      </c>
      <c r="S55" s="140">
        <v>125</v>
      </c>
      <c r="T55" s="149">
        <f t="shared" si="1"/>
        <v>27</v>
      </c>
      <c r="U55" s="140">
        <v>646</v>
      </c>
      <c r="V55" s="149">
        <f t="shared" si="2"/>
        <v>3488.3999999999996</v>
      </c>
      <c r="W55" s="140">
        <v>6</v>
      </c>
      <c r="X55" s="55" t="s">
        <v>46</v>
      </c>
      <c r="Y55" s="55" t="s">
        <v>84</v>
      </c>
      <c r="Z55" s="140" t="s">
        <v>90</v>
      </c>
      <c r="AA55" s="55" t="s">
        <v>78</v>
      </c>
      <c r="AB55" s="148" t="s">
        <v>474</v>
      </c>
    </row>
    <row r="56" spans="1:28" x14ac:dyDescent="0.15">
      <c r="A56" s="55"/>
      <c r="B56" s="55"/>
      <c r="C56" s="148"/>
      <c r="D56" s="86"/>
      <c r="E56" s="148"/>
      <c r="F56" s="148"/>
      <c r="G56" s="55"/>
      <c r="H56" s="148"/>
      <c r="I56" s="55"/>
      <c r="J56" s="148"/>
      <c r="K56" s="148"/>
      <c r="X56" s="55"/>
      <c r="Y56" s="55"/>
      <c r="AA56" s="55"/>
    </row>
    <row r="57" spans="1:28" x14ac:dyDescent="0.15">
      <c r="A57" s="55"/>
      <c r="B57" s="55"/>
      <c r="C57" s="148"/>
      <c r="D57" s="86"/>
      <c r="E57" s="148"/>
      <c r="F57" s="148"/>
      <c r="G57" s="55"/>
      <c r="H57" s="148"/>
      <c r="I57" s="55"/>
      <c r="J57" s="148"/>
      <c r="K57" s="148"/>
      <c r="X57" s="55"/>
      <c r="Y57" s="55"/>
      <c r="AA57" s="55"/>
    </row>
    <row r="58" spans="1:28" x14ac:dyDescent="0.15">
      <c r="A58" s="55"/>
      <c r="B58" s="55"/>
      <c r="C58" s="148"/>
      <c r="D58" s="86"/>
      <c r="E58" s="148"/>
      <c r="F58" s="148"/>
      <c r="G58" s="55"/>
      <c r="H58" s="148"/>
      <c r="I58" s="55"/>
      <c r="J58" s="148"/>
      <c r="K58" s="148"/>
      <c r="X58" s="55"/>
      <c r="Y58" s="55"/>
      <c r="AA58" s="55"/>
    </row>
    <row r="59" spans="1:28" x14ac:dyDescent="0.15">
      <c r="A59" s="55"/>
      <c r="B59" s="55"/>
      <c r="C59" s="148"/>
      <c r="D59" s="86"/>
      <c r="E59" s="148"/>
      <c r="F59" s="148"/>
      <c r="G59" s="55"/>
      <c r="H59" s="148"/>
      <c r="I59" s="55"/>
      <c r="J59" s="148"/>
      <c r="K59" s="148"/>
      <c r="X59" s="55"/>
      <c r="Y59" s="55"/>
      <c r="AA59" s="55"/>
    </row>
    <row r="60" spans="1:28" x14ac:dyDescent="0.15">
      <c r="A60" s="55"/>
      <c r="B60" s="55"/>
      <c r="C60" s="148"/>
      <c r="D60" s="86"/>
      <c r="E60" s="148"/>
      <c r="F60" s="148"/>
      <c r="G60" s="55"/>
      <c r="H60" s="148"/>
      <c r="I60" s="55"/>
      <c r="J60" s="148"/>
      <c r="K60" s="148"/>
      <c r="X60" s="55"/>
      <c r="Y60" s="55"/>
      <c r="AA60" s="55"/>
    </row>
    <row r="61" spans="1:28" x14ac:dyDescent="0.15">
      <c r="A61" s="55"/>
      <c r="B61" s="55"/>
      <c r="C61" s="148"/>
      <c r="D61" s="86"/>
      <c r="E61" s="148"/>
      <c r="F61" s="148"/>
      <c r="G61" s="55"/>
      <c r="H61" s="148"/>
      <c r="I61" s="55"/>
      <c r="J61" s="148"/>
      <c r="K61" s="148"/>
      <c r="X61" s="55"/>
      <c r="Y61" s="55"/>
      <c r="AA61" s="55"/>
    </row>
    <row r="62" spans="1:28" x14ac:dyDescent="0.15">
      <c r="A62" s="55"/>
      <c r="B62" s="55"/>
      <c r="C62" s="148"/>
      <c r="D62" s="86"/>
      <c r="E62" s="148"/>
      <c r="F62" s="148"/>
      <c r="G62" s="55"/>
      <c r="H62" s="148"/>
      <c r="I62" s="55"/>
      <c r="J62" s="148"/>
      <c r="K62" s="148"/>
      <c r="X62" s="55"/>
      <c r="Y62" s="55"/>
      <c r="AA62" s="55"/>
    </row>
    <row r="63" spans="1:28" x14ac:dyDescent="0.15">
      <c r="A63" s="55"/>
      <c r="B63" s="55"/>
      <c r="C63" s="148"/>
      <c r="D63" s="86"/>
      <c r="E63" s="148"/>
      <c r="F63" s="148"/>
      <c r="G63" s="55"/>
      <c r="H63" s="148"/>
      <c r="I63" s="55"/>
      <c r="J63" s="148"/>
      <c r="K63" s="148"/>
      <c r="X63" s="55"/>
      <c r="Y63" s="55"/>
      <c r="AA63" s="55"/>
    </row>
    <row r="64" spans="1:28" x14ac:dyDescent="0.15">
      <c r="A64" s="55"/>
      <c r="B64" s="55"/>
      <c r="C64" s="148"/>
      <c r="D64" s="86"/>
      <c r="E64" s="148"/>
      <c r="F64" s="148"/>
      <c r="G64" s="55"/>
      <c r="H64" s="148"/>
      <c r="I64" s="55"/>
      <c r="J64" s="148"/>
      <c r="K64" s="148"/>
      <c r="X64" s="55"/>
      <c r="Y64" s="55"/>
      <c r="AA64" s="55"/>
    </row>
    <row r="65" spans="1:27" x14ac:dyDescent="0.15">
      <c r="A65" s="55"/>
      <c r="B65" s="55"/>
      <c r="C65" s="148"/>
      <c r="D65" s="86"/>
      <c r="E65" s="148"/>
      <c r="F65" s="148"/>
      <c r="G65" s="55"/>
      <c r="H65" s="148"/>
      <c r="I65" s="55"/>
      <c r="J65" s="148"/>
      <c r="K65" s="148"/>
      <c r="X65" s="55"/>
      <c r="Y65" s="55"/>
      <c r="AA65" s="55"/>
    </row>
    <row r="66" spans="1:27" x14ac:dyDescent="0.15">
      <c r="A66" s="55"/>
      <c r="B66" s="55"/>
      <c r="C66" s="148"/>
      <c r="D66" s="86"/>
      <c r="E66" s="148"/>
      <c r="F66" s="148"/>
      <c r="G66" s="55"/>
      <c r="H66" s="148"/>
      <c r="I66" s="55"/>
      <c r="J66" s="148"/>
      <c r="K66" s="148"/>
      <c r="X66" s="55"/>
      <c r="Y66" s="55"/>
      <c r="AA66" s="55"/>
    </row>
    <row r="67" spans="1:27" x14ac:dyDescent="0.15">
      <c r="A67" s="55"/>
      <c r="B67" s="55"/>
      <c r="C67" s="148"/>
      <c r="D67" s="86"/>
      <c r="E67" s="148"/>
      <c r="F67" s="148"/>
      <c r="G67" s="55"/>
      <c r="H67" s="148"/>
      <c r="I67" s="55"/>
      <c r="J67" s="148"/>
      <c r="K67" s="148"/>
      <c r="X67" s="55"/>
      <c r="Y67" s="55"/>
      <c r="AA67" s="55"/>
    </row>
    <row r="68" spans="1:27" x14ac:dyDescent="0.15">
      <c r="A68" s="55"/>
      <c r="B68" s="55"/>
      <c r="C68" s="148"/>
      <c r="D68" s="86"/>
      <c r="E68" s="148"/>
      <c r="F68" s="148"/>
      <c r="G68" s="55"/>
      <c r="H68" s="148"/>
      <c r="I68" s="55"/>
      <c r="J68" s="148"/>
      <c r="K68" s="148"/>
      <c r="X68" s="55"/>
      <c r="Y68" s="55"/>
      <c r="AA68" s="55"/>
    </row>
    <row r="69" spans="1:27" x14ac:dyDescent="0.15">
      <c r="A69" s="55"/>
      <c r="B69" s="55"/>
      <c r="C69" s="148"/>
      <c r="D69" s="86"/>
      <c r="E69" s="148"/>
      <c r="F69" s="148"/>
      <c r="G69" s="55"/>
      <c r="H69" s="148"/>
      <c r="I69" s="55"/>
      <c r="J69" s="148"/>
      <c r="K69" s="148"/>
      <c r="X69" s="55"/>
      <c r="Y69" s="55"/>
      <c r="AA69" s="55"/>
    </row>
    <row r="70" spans="1:27" x14ac:dyDescent="0.15">
      <c r="A70" s="55"/>
      <c r="B70" s="55"/>
      <c r="C70" s="148"/>
      <c r="D70" s="86"/>
      <c r="E70" s="148"/>
      <c r="F70" s="148"/>
      <c r="G70" s="55"/>
      <c r="H70" s="148"/>
      <c r="I70" s="55"/>
      <c r="J70" s="148"/>
      <c r="K70" s="148"/>
      <c r="X70" s="55"/>
      <c r="Y70" s="55"/>
      <c r="AA70" s="55"/>
    </row>
    <row r="71" spans="1:27" x14ac:dyDescent="0.15">
      <c r="A71" s="55"/>
      <c r="B71" s="55"/>
      <c r="C71" s="148"/>
      <c r="D71" s="86"/>
      <c r="E71" s="148"/>
      <c r="F71" s="148"/>
      <c r="G71" s="55"/>
      <c r="H71" s="148"/>
      <c r="I71" s="55"/>
      <c r="J71" s="148"/>
      <c r="K71" s="148"/>
      <c r="X71" s="55"/>
      <c r="Y71" s="55"/>
      <c r="AA71" s="55"/>
    </row>
    <row r="72" spans="1:27" x14ac:dyDescent="0.15">
      <c r="A72" s="55"/>
      <c r="B72" s="55"/>
      <c r="C72" s="148"/>
      <c r="D72" s="86"/>
      <c r="E72" s="148"/>
      <c r="F72" s="148"/>
      <c r="G72" s="55"/>
      <c r="H72" s="148"/>
      <c r="I72" s="55"/>
      <c r="J72" s="148"/>
      <c r="K72" s="148"/>
      <c r="X72" s="55"/>
      <c r="Y72" s="55"/>
      <c r="AA72" s="55"/>
    </row>
    <row r="73" spans="1:27" x14ac:dyDescent="0.15">
      <c r="A73" s="55"/>
      <c r="B73" s="55"/>
      <c r="C73" s="148"/>
      <c r="D73" s="86"/>
      <c r="E73" s="148"/>
      <c r="F73" s="148"/>
      <c r="G73" s="55"/>
      <c r="H73" s="148"/>
      <c r="I73" s="55"/>
      <c r="J73" s="148"/>
      <c r="K73" s="148"/>
      <c r="X73" s="55"/>
      <c r="Y73" s="55"/>
      <c r="AA73" s="55"/>
    </row>
    <row r="74" spans="1:27" x14ac:dyDescent="0.15">
      <c r="A74" s="55"/>
      <c r="B74" s="55"/>
      <c r="C74" s="148"/>
      <c r="D74" s="86"/>
      <c r="E74" s="148"/>
      <c r="F74" s="148"/>
      <c r="G74" s="55"/>
      <c r="H74" s="148"/>
      <c r="I74" s="55"/>
      <c r="J74" s="148"/>
      <c r="K74" s="148"/>
      <c r="X74" s="55"/>
      <c r="Y74" s="55"/>
      <c r="AA74" s="55"/>
    </row>
    <row r="75" spans="1:27" x14ac:dyDescent="0.15">
      <c r="A75" s="55"/>
      <c r="B75" s="55"/>
      <c r="C75" s="148"/>
      <c r="D75" s="86"/>
      <c r="E75" s="148"/>
      <c r="F75" s="148"/>
      <c r="G75" s="55"/>
      <c r="H75" s="148"/>
      <c r="I75" s="55"/>
      <c r="J75" s="148"/>
      <c r="K75" s="148"/>
      <c r="X75" s="55"/>
      <c r="Y75" s="55"/>
      <c r="AA75" s="55"/>
    </row>
    <row r="76" spans="1:27" x14ac:dyDescent="0.15">
      <c r="A76" s="55"/>
      <c r="B76" s="55"/>
      <c r="C76" s="148"/>
      <c r="D76" s="86"/>
      <c r="E76" s="148"/>
      <c r="F76" s="148"/>
      <c r="G76" s="55"/>
      <c r="H76" s="148"/>
      <c r="I76" s="55"/>
      <c r="J76" s="148"/>
      <c r="K76" s="148"/>
      <c r="X76" s="55"/>
      <c r="Y76" s="55"/>
      <c r="AA76" s="55"/>
    </row>
    <row r="77" spans="1:27" x14ac:dyDescent="0.15">
      <c r="A77" s="55"/>
      <c r="B77" s="55"/>
      <c r="C77" s="148"/>
      <c r="D77" s="86"/>
      <c r="E77" s="148"/>
      <c r="F77" s="148"/>
      <c r="G77" s="55"/>
      <c r="H77" s="148"/>
      <c r="I77" s="55"/>
      <c r="J77" s="148"/>
      <c r="K77" s="148"/>
      <c r="X77" s="55"/>
      <c r="Y77" s="55"/>
      <c r="AA77" s="55"/>
    </row>
    <row r="78" spans="1:27" x14ac:dyDescent="0.15">
      <c r="A78" s="55"/>
      <c r="B78" s="55"/>
      <c r="C78" s="148"/>
      <c r="D78" s="86"/>
      <c r="E78" s="148"/>
      <c r="F78" s="148"/>
      <c r="G78" s="55"/>
      <c r="H78" s="148"/>
      <c r="I78" s="55"/>
      <c r="J78" s="148"/>
      <c r="K78" s="148"/>
      <c r="X78" s="55"/>
      <c r="Y78" s="55"/>
      <c r="AA78" s="55"/>
    </row>
    <row r="79" spans="1:27" x14ac:dyDescent="0.15">
      <c r="A79" s="55"/>
      <c r="B79" s="55"/>
      <c r="C79" s="148"/>
      <c r="D79" s="86"/>
      <c r="E79" s="148"/>
      <c r="F79" s="148"/>
      <c r="G79" s="55"/>
      <c r="H79" s="148"/>
      <c r="I79" s="55"/>
      <c r="J79" s="148"/>
      <c r="K79" s="148"/>
      <c r="X79" s="55"/>
      <c r="Y79" s="55"/>
      <c r="AA79" s="55"/>
    </row>
    <row r="80" spans="1:27" x14ac:dyDescent="0.15">
      <c r="A80" s="55"/>
      <c r="B80" s="55"/>
      <c r="C80" s="148"/>
      <c r="D80" s="86"/>
      <c r="E80" s="148"/>
      <c r="F80" s="148"/>
      <c r="G80" s="55"/>
      <c r="H80" s="148"/>
      <c r="I80" s="55"/>
      <c r="J80" s="148"/>
      <c r="K80" s="148"/>
      <c r="X80" s="55"/>
      <c r="Y80" s="55"/>
      <c r="AA80" s="55"/>
    </row>
    <row r="81" spans="1:27" x14ac:dyDescent="0.15">
      <c r="A81" s="55"/>
      <c r="B81" s="55"/>
      <c r="C81" s="148"/>
      <c r="D81" s="86"/>
      <c r="E81" s="148"/>
      <c r="F81" s="148"/>
      <c r="G81" s="55"/>
      <c r="H81" s="148"/>
      <c r="I81" s="55"/>
      <c r="J81" s="148"/>
      <c r="K81" s="148"/>
      <c r="X81" s="55"/>
      <c r="Y81" s="55"/>
      <c r="AA81" s="55"/>
    </row>
    <row r="82" spans="1:27" x14ac:dyDescent="0.15">
      <c r="A82" s="55"/>
      <c r="B82" s="55"/>
      <c r="C82" s="148"/>
      <c r="D82" s="86"/>
      <c r="E82" s="148"/>
      <c r="F82" s="148"/>
      <c r="G82" s="55"/>
      <c r="H82" s="148"/>
      <c r="I82" s="55"/>
      <c r="J82" s="148"/>
      <c r="K82" s="148"/>
      <c r="X82" s="55"/>
      <c r="Y82" s="55"/>
      <c r="AA82" s="55"/>
    </row>
    <row r="83" spans="1:27" x14ac:dyDescent="0.15">
      <c r="E83" s="148"/>
      <c r="F83" s="148"/>
      <c r="G83" s="55"/>
      <c r="H83" s="148"/>
      <c r="I83" s="55"/>
      <c r="J83" s="148"/>
      <c r="K83" s="148"/>
      <c r="X83" s="55"/>
      <c r="Y83" s="55"/>
      <c r="AA83" s="55"/>
    </row>
    <row r="84" spans="1:27" x14ac:dyDescent="0.15">
      <c r="E84" s="148"/>
      <c r="F84" s="148"/>
      <c r="G84" s="55"/>
      <c r="H84" s="148"/>
      <c r="I84" s="55"/>
      <c r="J84" s="148"/>
      <c r="K84" s="148"/>
      <c r="X84" s="55"/>
      <c r="Y84" s="55"/>
      <c r="AA84" s="55"/>
    </row>
    <row r="85" spans="1:27" x14ac:dyDescent="0.15">
      <c r="E85" s="148"/>
      <c r="F85" s="148"/>
      <c r="G85" s="55"/>
      <c r="H85" s="148"/>
      <c r="I85" s="55"/>
      <c r="J85" s="148"/>
      <c r="K85" s="148"/>
      <c r="X85" s="55"/>
      <c r="Y85" s="55"/>
      <c r="AA85" s="55"/>
    </row>
    <row r="86" spans="1:27" x14ac:dyDescent="0.15">
      <c r="J86" s="148"/>
      <c r="K86" s="148"/>
    </row>
    <row r="87" spans="1:27" x14ac:dyDescent="0.15">
      <c r="J87" s="148"/>
      <c r="K87" s="148"/>
    </row>
    <row r="88" spans="1:27" x14ac:dyDescent="0.15">
      <c r="J88" s="148"/>
      <c r="K88" s="148"/>
    </row>
    <row r="89" spans="1:27" x14ac:dyDescent="0.15">
      <c r="J89" s="148"/>
      <c r="K89" s="148"/>
    </row>
    <row r="90" spans="1:27" x14ac:dyDescent="0.15">
      <c r="J90" s="148"/>
      <c r="K90" s="148"/>
    </row>
    <row r="91" spans="1:27" x14ac:dyDescent="0.15">
      <c r="J91" s="148"/>
      <c r="K91" s="148"/>
    </row>
    <row r="92" spans="1:27" x14ac:dyDescent="0.15">
      <c r="J92" s="148"/>
      <c r="K92" s="148"/>
    </row>
    <row r="93" spans="1:27" x14ac:dyDescent="0.15">
      <c r="J93" s="148"/>
      <c r="K93" s="148"/>
    </row>
    <row r="94" spans="1:27" x14ac:dyDescent="0.15">
      <c r="J94" s="148"/>
      <c r="K94" s="148"/>
    </row>
    <row r="95" spans="1:27" x14ac:dyDescent="0.15">
      <c r="J95" s="148"/>
      <c r="K95" s="148"/>
    </row>
    <row r="96" spans="1:27" x14ac:dyDescent="0.15">
      <c r="J96" s="148"/>
      <c r="K96" s="148"/>
    </row>
    <row r="97" spans="10:11" x14ac:dyDescent="0.15">
      <c r="J97" s="148"/>
      <c r="K97" s="148"/>
    </row>
    <row r="98" spans="10:11" x14ac:dyDescent="0.15">
      <c r="J98" s="148"/>
      <c r="K98" s="148"/>
    </row>
    <row r="99" spans="10:11" x14ac:dyDescent="0.15">
      <c r="J99" s="148"/>
      <c r="K99" s="148"/>
    </row>
    <row r="100" spans="10:11" x14ac:dyDescent="0.15">
      <c r="J100" s="148"/>
      <c r="K100" s="148"/>
    </row>
    <row r="101" spans="10:11" x14ac:dyDescent="0.15">
      <c r="K101" s="148"/>
    </row>
    <row r="102" spans="10:11" x14ac:dyDescent="0.15">
      <c r="K102" s="148"/>
    </row>
    <row r="103" spans="10:11" x14ac:dyDescent="0.15">
      <c r="K103" s="148"/>
    </row>
    <row r="104" spans="10:11" x14ac:dyDescent="0.15">
      <c r="K104" s="148"/>
    </row>
    <row r="105" spans="10:11" x14ac:dyDescent="0.15">
      <c r="K105" s="148"/>
    </row>
    <row r="106" spans="10:11" x14ac:dyDescent="0.15">
      <c r="K106" s="148"/>
    </row>
    <row r="107" spans="10:11" x14ac:dyDescent="0.15">
      <c r="K107" s="148"/>
    </row>
    <row r="108" spans="10:11" x14ac:dyDescent="0.15">
      <c r="K108" s="148"/>
    </row>
    <row r="109" spans="10:11" x14ac:dyDescent="0.15">
      <c r="K109" s="148"/>
    </row>
    <row r="110" spans="10:11" x14ac:dyDescent="0.15">
      <c r="K110" s="148"/>
    </row>
    <row r="111" spans="10:11" x14ac:dyDescent="0.15">
      <c r="K111" s="148"/>
    </row>
    <row r="112" spans="10:11" x14ac:dyDescent="0.15">
      <c r="K112" s="148"/>
    </row>
    <row r="113" spans="11:11" x14ac:dyDescent="0.15">
      <c r="K113" s="148"/>
    </row>
    <row r="114" spans="11:11" x14ac:dyDescent="0.15">
      <c r="K114" s="148"/>
    </row>
    <row r="115" spans="11:11" x14ac:dyDescent="0.15">
      <c r="K115" s="148"/>
    </row>
    <row r="116" spans="11:11" x14ac:dyDescent="0.15">
      <c r="K116" s="148"/>
    </row>
    <row r="117" spans="11:11" x14ac:dyDescent="0.15">
      <c r="K117" s="148"/>
    </row>
    <row r="118" spans="11:11" x14ac:dyDescent="0.15">
      <c r="K118" s="148"/>
    </row>
    <row r="119" spans="11:11" x14ac:dyDescent="0.15">
      <c r="K119" s="148"/>
    </row>
    <row r="120" spans="11:11" x14ac:dyDescent="0.15">
      <c r="K120" s="148"/>
    </row>
    <row r="121" spans="11:11" x14ac:dyDescent="0.15">
      <c r="K121" s="148"/>
    </row>
    <row r="122" spans="11:11" x14ac:dyDescent="0.15">
      <c r="K122" s="148"/>
    </row>
    <row r="123" spans="11:11" x14ac:dyDescent="0.15">
      <c r="K123" s="148"/>
    </row>
    <row r="124" spans="11:11" x14ac:dyDescent="0.15">
      <c r="K124" s="148"/>
    </row>
    <row r="125" spans="11:11" x14ac:dyDescent="0.15">
      <c r="K125" s="148"/>
    </row>
    <row r="126" spans="11:11" x14ac:dyDescent="0.15">
      <c r="K126" s="148"/>
    </row>
    <row r="127" spans="11:11" x14ac:dyDescent="0.15">
      <c r="K127" s="148"/>
    </row>
    <row r="128" spans="11:11" x14ac:dyDescent="0.15">
      <c r="K128" s="148"/>
    </row>
    <row r="129" spans="11:11" x14ac:dyDescent="0.15">
      <c r="K129" s="148"/>
    </row>
    <row r="130" spans="11:11" x14ac:dyDescent="0.15">
      <c r="K130" s="148"/>
    </row>
    <row r="131" spans="11:11" x14ac:dyDescent="0.15">
      <c r="K131" s="148"/>
    </row>
    <row r="132" spans="11:11" x14ac:dyDescent="0.15">
      <c r="K132" s="148"/>
    </row>
    <row r="133" spans="11:11" x14ac:dyDescent="0.15">
      <c r="K133" s="148"/>
    </row>
    <row r="134" spans="11:11" x14ac:dyDescent="0.15">
      <c r="K134" s="148"/>
    </row>
    <row r="135" spans="11:11" x14ac:dyDescent="0.15">
      <c r="K135" s="148"/>
    </row>
    <row r="136" spans="11:11" x14ac:dyDescent="0.15">
      <c r="K136" s="148"/>
    </row>
    <row r="137" spans="11:11" x14ac:dyDescent="0.15">
      <c r="K137" s="148"/>
    </row>
    <row r="138" spans="11:11" x14ac:dyDescent="0.15">
      <c r="K138" s="148"/>
    </row>
    <row r="139" spans="11:11" x14ac:dyDescent="0.15">
      <c r="K139" s="148"/>
    </row>
    <row r="140" spans="11:11" x14ac:dyDescent="0.15">
      <c r="K140" s="148"/>
    </row>
    <row r="141" spans="11:11" x14ac:dyDescent="0.15">
      <c r="K141" s="148"/>
    </row>
    <row r="142" spans="11:11" x14ac:dyDescent="0.15">
      <c r="K142" s="148"/>
    </row>
    <row r="143" spans="11:11" x14ac:dyDescent="0.15">
      <c r="K143" s="148"/>
    </row>
    <row r="144" spans="11:11" x14ac:dyDescent="0.15">
      <c r="K144" s="148"/>
    </row>
    <row r="145" spans="11:11" x14ac:dyDescent="0.15">
      <c r="K145" s="148"/>
    </row>
    <row r="146" spans="11:11" x14ac:dyDescent="0.15">
      <c r="K146" s="148"/>
    </row>
    <row r="147" spans="11:11" x14ac:dyDescent="0.15">
      <c r="K147" s="148"/>
    </row>
    <row r="148" spans="11:11" x14ac:dyDescent="0.15">
      <c r="K148" s="148"/>
    </row>
    <row r="149" spans="11:11" x14ac:dyDescent="0.15">
      <c r="K149" s="148"/>
    </row>
    <row r="150" spans="11:11" x14ac:dyDescent="0.15">
      <c r="K150" s="148"/>
    </row>
    <row r="151" spans="11:11" x14ac:dyDescent="0.15">
      <c r="K151" s="148"/>
    </row>
    <row r="152" spans="11:11" x14ac:dyDescent="0.15">
      <c r="K152" s="148"/>
    </row>
    <row r="153" spans="11:11" x14ac:dyDescent="0.15">
      <c r="K153" s="148"/>
    </row>
    <row r="154" spans="11:11" x14ac:dyDescent="0.15">
      <c r="K154" s="148"/>
    </row>
    <row r="155" spans="11:11" x14ac:dyDescent="0.15">
      <c r="K155" s="148"/>
    </row>
    <row r="156" spans="11:11" x14ac:dyDescent="0.15">
      <c r="K156" s="148"/>
    </row>
    <row r="157" spans="11:11" x14ac:dyDescent="0.15">
      <c r="K157" s="148"/>
    </row>
    <row r="158" spans="11:11" x14ac:dyDescent="0.15">
      <c r="K158" s="148"/>
    </row>
    <row r="159" spans="11:11" x14ac:dyDescent="0.15">
      <c r="K159" s="148"/>
    </row>
    <row r="160" spans="11:11" x14ac:dyDescent="0.15">
      <c r="K160" s="148"/>
    </row>
    <row r="161" spans="11:11" x14ac:dyDescent="0.15">
      <c r="K161" s="148"/>
    </row>
    <row r="162" spans="11:11" x14ac:dyDescent="0.15">
      <c r="K162" s="148"/>
    </row>
    <row r="163" spans="11:11" x14ac:dyDescent="0.15">
      <c r="K163" s="148"/>
    </row>
    <row r="164" spans="11:11" x14ac:dyDescent="0.15">
      <c r="K164" s="148"/>
    </row>
    <row r="165" spans="11:11" x14ac:dyDescent="0.15">
      <c r="K165" s="148"/>
    </row>
    <row r="166" spans="11:11" x14ac:dyDescent="0.15">
      <c r="K166" s="148"/>
    </row>
    <row r="167" spans="11:11" x14ac:dyDescent="0.15">
      <c r="K167" s="148"/>
    </row>
    <row r="168" spans="11:11" x14ac:dyDescent="0.15">
      <c r="K168" s="148"/>
    </row>
    <row r="169" spans="11:11" x14ac:dyDescent="0.15">
      <c r="K169" s="148"/>
    </row>
    <row r="170" spans="11:11" x14ac:dyDescent="0.15">
      <c r="K170" s="148"/>
    </row>
    <row r="171" spans="11:11" x14ac:dyDescent="0.15">
      <c r="K171" s="148"/>
    </row>
    <row r="172" spans="11:11" x14ac:dyDescent="0.15">
      <c r="K172" s="148"/>
    </row>
    <row r="173" spans="11:11" x14ac:dyDescent="0.15">
      <c r="K173" s="148"/>
    </row>
    <row r="174" spans="11:11" x14ac:dyDescent="0.15">
      <c r="K174" s="148"/>
    </row>
    <row r="175" spans="11:11" x14ac:dyDescent="0.15">
      <c r="K175" s="148"/>
    </row>
    <row r="176" spans="11:11" x14ac:dyDescent="0.15">
      <c r="K176" s="148"/>
    </row>
    <row r="177" spans="11:11" x14ac:dyDescent="0.15">
      <c r="K177" s="148"/>
    </row>
    <row r="178" spans="11:11" x14ac:dyDescent="0.15">
      <c r="K178" s="148"/>
    </row>
    <row r="179" spans="11:11" x14ac:dyDescent="0.15">
      <c r="K179" s="148"/>
    </row>
    <row r="180" spans="11:11" x14ac:dyDescent="0.15">
      <c r="K180" s="148"/>
    </row>
    <row r="181" spans="11:11" x14ac:dyDescent="0.15">
      <c r="K181" s="148"/>
    </row>
    <row r="182" spans="11:11" x14ac:dyDescent="0.15">
      <c r="K182" s="148"/>
    </row>
    <row r="183" spans="11:11" x14ac:dyDescent="0.15">
      <c r="K183" s="148"/>
    </row>
    <row r="184" spans="11:11" x14ac:dyDescent="0.15">
      <c r="K184" s="148"/>
    </row>
    <row r="185" spans="11:11" x14ac:dyDescent="0.15">
      <c r="K185" s="148"/>
    </row>
    <row r="186" spans="11:11" x14ac:dyDescent="0.15">
      <c r="K186" s="148"/>
    </row>
    <row r="187" spans="11:11" x14ac:dyDescent="0.15">
      <c r="K187" s="148"/>
    </row>
    <row r="188" spans="11:11" x14ac:dyDescent="0.15">
      <c r="K188" s="148"/>
    </row>
    <row r="189" spans="11:11" x14ac:dyDescent="0.15">
      <c r="K189" s="148"/>
    </row>
    <row r="190" spans="11:11" x14ac:dyDescent="0.15">
      <c r="K190" s="148"/>
    </row>
    <row r="191" spans="11:11" x14ac:dyDescent="0.15">
      <c r="K191" s="148"/>
    </row>
    <row r="192" spans="11:11" x14ac:dyDescent="0.15">
      <c r="K192" s="148"/>
    </row>
    <row r="193" spans="11:11" x14ac:dyDescent="0.15">
      <c r="K193" s="148"/>
    </row>
    <row r="194" spans="11:11" x14ac:dyDescent="0.15">
      <c r="K194" s="148"/>
    </row>
    <row r="195" spans="11:11" x14ac:dyDescent="0.15">
      <c r="K195" s="148"/>
    </row>
    <row r="196" spans="11:11" x14ac:dyDescent="0.15">
      <c r="K196" s="148"/>
    </row>
    <row r="197" spans="11:11" x14ac:dyDescent="0.15">
      <c r="K197" s="148"/>
    </row>
    <row r="198" spans="11:11" x14ac:dyDescent="0.15">
      <c r="K198" s="148"/>
    </row>
    <row r="199" spans="11:11" x14ac:dyDescent="0.15">
      <c r="K199" s="148"/>
    </row>
    <row r="200" spans="11:11" x14ac:dyDescent="0.15">
      <c r="K200" s="148"/>
    </row>
    <row r="201" spans="11:11" x14ac:dyDescent="0.15">
      <c r="K201" s="148"/>
    </row>
    <row r="202" spans="11:11" x14ac:dyDescent="0.15">
      <c r="K202" s="148"/>
    </row>
    <row r="203" spans="11:11" x14ac:dyDescent="0.15">
      <c r="K203" s="148"/>
    </row>
    <row r="204" spans="11:11" x14ac:dyDescent="0.15">
      <c r="K204" s="148"/>
    </row>
    <row r="205" spans="11:11" x14ac:dyDescent="0.15">
      <c r="K205" s="148"/>
    </row>
    <row r="206" spans="11:11" x14ac:dyDescent="0.15">
      <c r="K206" s="148"/>
    </row>
    <row r="207" spans="11:11" x14ac:dyDescent="0.15">
      <c r="K207" s="148"/>
    </row>
    <row r="208" spans="11:11" x14ac:dyDescent="0.15">
      <c r="K208" s="148"/>
    </row>
    <row r="209" spans="11:11" x14ac:dyDescent="0.15">
      <c r="K209" s="148"/>
    </row>
    <row r="210" spans="11:11" x14ac:dyDescent="0.15">
      <c r="K210" s="148"/>
    </row>
    <row r="211" spans="11:11" x14ac:dyDescent="0.15">
      <c r="K211" s="148"/>
    </row>
    <row r="212" spans="11:11" x14ac:dyDescent="0.15">
      <c r="K212" s="148"/>
    </row>
    <row r="213" spans="11:11" x14ac:dyDescent="0.15">
      <c r="K213" s="148"/>
    </row>
    <row r="214" spans="11:11" x14ac:dyDescent="0.15">
      <c r="K214" s="148"/>
    </row>
    <row r="215" spans="11:11" x14ac:dyDescent="0.15">
      <c r="K215" s="148"/>
    </row>
    <row r="216" spans="11:11" x14ac:dyDescent="0.15">
      <c r="K216" s="148"/>
    </row>
    <row r="217" spans="11:11" x14ac:dyDescent="0.15">
      <c r="K217" s="148"/>
    </row>
    <row r="218" spans="11:11" x14ac:dyDescent="0.15">
      <c r="K218" s="148"/>
    </row>
    <row r="219" spans="11:11" x14ac:dyDescent="0.15">
      <c r="K219" s="148"/>
    </row>
    <row r="220" spans="11:11" x14ac:dyDescent="0.15">
      <c r="K220" s="148"/>
    </row>
    <row r="221" spans="11:11" x14ac:dyDescent="0.15">
      <c r="K221" s="148"/>
    </row>
    <row r="222" spans="11:11" x14ac:dyDescent="0.15">
      <c r="K222" s="148"/>
    </row>
    <row r="223" spans="11:11" x14ac:dyDescent="0.15">
      <c r="K223" s="148"/>
    </row>
    <row r="224" spans="11:11" x14ac:dyDescent="0.15">
      <c r="K224" s="148"/>
    </row>
    <row r="225" spans="11:11" x14ac:dyDescent="0.15">
      <c r="K225" s="148"/>
    </row>
    <row r="226" spans="11:11" x14ac:dyDescent="0.15">
      <c r="K226" s="148"/>
    </row>
    <row r="227" spans="11:11" x14ac:dyDescent="0.15">
      <c r="K227" s="148"/>
    </row>
    <row r="228" spans="11:11" x14ac:dyDescent="0.15">
      <c r="K228" s="148"/>
    </row>
    <row r="229" spans="11:11" x14ac:dyDescent="0.15">
      <c r="K229" s="148"/>
    </row>
    <row r="230" spans="11:11" x14ac:dyDescent="0.15">
      <c r="K230" s="148"/>
    </row>
    <row r="231" spans="11:11" x14ac:dyDescent="0.15">
      <c r="K231" s="148"/>
    </row>
    <row r="232" spans="11:11" x14ac:dyDescent="0.15">
      <c r="K232" s="148"/>
    </row>
    <row r="233" spans="11:11" x14ac:dyDescent="0.15">
      <c r="K233" s="148"/>
    </row>
    <row r="234" spans="11:11" x14ac:dyDescent="0.15">
      <c r="K234" s="148"/>
    </row>
    <row r="235" spans="11:11" x14ac:dyDescent="0.15">
      <c r="K235" s="148"/>
    </row>
    <row r="236" spans="11:11" x14ac:dyDescent="0.15">
      <c r="K236" s="148"/>
    </row>
    <row r="237" spans="11:11" x14ac:dyDescent="0.15">
      <c r="K237" s="148"/>
    </row>
    <row r="238" spans="11:11" x14ac:dyDescent="0.15">
      <c r="K238" s="148"/>
    </row>
    <row r="239" spans="11:11" x14ac:dyDescent="0.15">
      <c r="K239" s="148"/>
    </row>
    <row r="240" spans="11:11" x14ac:dyDescent="0.15">
      <c r="K240" s="148"/>
    </row>
    <row r="241" spans="11:11" x14ac:dyDescent="0.15">
      <c r="K241" s="148"/>
    </row>
    <row r="242" spans="11:11" x14ac:dyDescent="0.15">
      <c r="K242" s="148"/>
    </row>
    <row r="243" spans="11:11" x14ac:dyDescent="0.15">
      <c r="K243" s="148"/>
    </row>
    <row r="244" spans="11:11" x14ac:dyDescent="0.15">
      <c r="K244" s="148"/>
    </row>
    <row r="245" spans="11:11" x14ac:dyDescent="0.15">
      <c r="K245" s="148"/>
    </row>
    <row r="246" spans="11:11" x14ac:dyDescent="0.15">
      <c r="K246" s="148"/>
    </row>
    <row r="247" spans="11:11" x14ac:dyDescent="0.15">
      <c r="K247" s="148"/>
    </row>
    <row r="248" spans="11:11" x14ac:dyDescent="0.15">
      <c r="K248" s="148"/>
    </row>
    <row r="249" spans="11:11" x14ac:dyDescent="0.15">
      <c r="K249" s="148"/>
    </row>
    <row r="250" spans="11:11" x14ac:dyDescent="0.15">
      <c r="K250" s="148"/>
    </row>
    <row r="251" spans="11:11" x14ac:dyDescent="0.15">
      <c r="K251" s="148"/>
    </row>
    <row r="252" spans="11:11" x14ac:dyDescent="0.15">
      <c r="K252" s="148"/>
    </row>
    <row r="253" spans="11:11" x14ac:dyDescent="0.15">
      <c r="K253" s="148"/>
    </row>
    <row r="254" spans="11:11" x14ac:dyDescent="0.15">
      <c r="K254" s="148"/>
    </row>
    <row r="255" spans="11:11" x14ac:dyDescent="0.15">
      <c r="K255" s="148"/>
    </row>
    <row r="256" spans="11:11" x14ac:dyDescent="0.15">
      <c r="K256" s="148"/>
    </row>
    <row r="257" spans="11:11" x14ac:dyDescent="0.15">
      <c r="K257" s="148"/>
    </row>
    <row r="258" spans="11:11" x14ac:dyDescent="0.15">
      <c r="K258" s="148"/>
    </row>
    <row r="259" spans="11:11" x14ac:dyDescent="0.15">
      <c r="K259" s="148"/>
    </row>
    <row r="260" spans="11:11" x14ac:dyDescent="0.15">
      <c r="K260" s="148"/>
    </row>
    <row r="261" spans="11:11" x14ac:dyDescent="0.15">
      <c r="K261" s="148"/>
    </row>
    <row r="262" spans="11:11" x14ac:dyDescent="0.15">
      <c r="K262" s="148"/>
    </row>
    <row r="263" spans="11:11" x14ac:dyDescent="0.15">
      <c r="K263" s="148"/>
    </row>
    <row r="264" spans="11:11" x14ac:dyDescent="0.15">
      <c r="K264" s="148"/>
    </row>
    <row r="265" spans="11:11" x14ac:dyDescent="0.15">
      <c r="K265" s="148"/>
    </row>
    <row r="266" spans="11:11" x14ac:dyDescent="0.15">
      <c r="K266" s="148"/>
    </row>
    <row r="267" spans="11:11" x14ac:dyDescent="0.15">
      <c r="K267" s="148"/>
    </row>
    <row r="268" spans="11:11" x14ac:dyDescent="0.15">
      <c r="K268" s="148"/>
    </row>
    <row r="269" spans="11:11" x14ac:dyDescent="0.15">
      <c r="K269" s="148"/>
    </row>
    <row r="270" spans="11:11" x14ac:dyDescent="0.15">
      <c r="K270" s="148"/>
    </row>
    <row r="271" spans="11:11" x14ac:dyDescent="0.15">
      <c r="K271" s="148"/>
    </row>
    <row r="272" spans="11:11" x14ac:dyDescent="0.15">
      <c r="K272" s="148"/>
    </row>
    <row r="273" spans="11:11" x14ac:dyDescent="0.15">
      <c r="K273" s="148"/>
    </row>
    <row r="274" spans="11:11" x14ac:dyDescent="0.15">
      <c r="K274" s="148"/>
    </row>
    <row r="275" spans="11:11" x14ac:dyDescent="0.15">
      <c r="K275" s="148"/>
    </row>
    <row r="276" spans="11:11" x14ac:dyDescent="0.15">
      <c r="K276" s="148"/>
    </row>
    <row r="277" spans="11:11" x14ac:dyDescent="0.15">
      <c r="K277" s="148"/>
    </row>
    <row r="278" spans="11:11" x14ac:dyDescent="0.15">
      <c r="K278" s="148"/>
    </row>
    <row r="279" spans="11:11" x14ac:dyDescent="0.15">
      <c r="K279" s="148"/>
    </row>
    <row r="280" spans="11:11" x14ac:dyDescent="0.15">
      <c r="K280" s="148"/>
    </row>
    <row r="281" spans="11:11" x14ac:dyDescent="0.15">
      <c r="K281" s="148"/>
    </row>
    <row r="282" spans="11:11" x14ac:dyDescent="0.15">
      <c r="K282" s="148"/>
    </row>
    <row r="283" spans="11:11" x14ac:dyDescent="0.15">
      <c r="K283" s="148"/>
    </row>
    <row r="284" spans="11:11" x14ac:dyDescent="0.15">
      <c r="K284" s="148"/>
    </row>
    <row r="285" spans="11:11" x14ac:dyDescent="0.15">
      <c r="K285" s="148"/>
    </row>
    <row r="286" spans="11:11" x14ac:dyDescent="0.15">
      <c r="K286" s="148"/>
    </row>
    <row r="287" spans="11:11" x14ac:dyDescent="0.15">
      <c r="K287" s="148"/>
    </row>
    <row r="288" spans="11:11" x14ac:dyDescent="0.15">
      <c r="K288" s="148"/>
    </row>
    <row r="289" spans="11:11" x14ac:dyDescent="0.15">
      <c r="K289" s="148"/>
    </row>
    <row r="290" spans="11:11" x14ac:dyDescent="0.15">
      <c r="K290" s="148"/>
    </row>
    <row r="291" spans="11:11" x14ac:dyDescent="0.15">
      <c r="K291" s="148"/>
    </row>
    <row r="292" spans="11:11" x14ac:dyDescent="0.15">
      <c r="K292" s="148"/>
    </row>
    <row r="293" spans="11:11" x14ac:dyDescent="0.15">
      <c r="K293" s="148"/>
    </row>
    <row r="294" spans="11:11" x14ac:dyDescent="0.15">
      <c r="K294" s="148"/>
    </row>
    <row r="295" spans="11:11" x14ac:dyDescent="0.15">
      <c r="K295" s="148"/>
    </row>
    <row r="296" spans="11:11" x14ac:dyDescent="0.15">
      <c r="K296" s="148"/>
    </row>
    <row r="297" spans="11:11" x14ac:dyDescent="0.15">
      <c r="K297" s="148"/>
    </row>
    <row r="298" spans="11:11" x14ac:dyDescent="0.15">
      <c r="K298" s="148"/>
    </row>
    <row r="299" spans="11:11" x14ac:dyDescent="0.15">
      <c r="K299" s="148"/>
    </row>
    <row r="300" spans="11:11" x14ac:dyDescent="0.15">
      <c r="K300" s="148"/>
    </row>
    <row r="301" spans="11:11" x14ac:dyDescent="0.15">
      <c r="K301" s="148"/>
    </row>
    <row r="302" spans="11:11" x14ac:dyDescent="0.15">
      <c r="K302" s="148"/>
    </row>
    <row r="303" spans="11:11" x14ac:dyDescent="0.15">
      <c r="K303" s="148"/>
    </row>
    <row r="304" spans="11:11" x14ac:dyDescent="0.15">
      <c r="K304" s="148"/>
    </row>
    <row r="305" spans="11:11" x14ac:dyDescent="0.15">
      <c r="K305" s="148"/>
    </row>
    <row r="306" spans="11:11" x14ac:dyDescent="0.15">
      <c r="K306" s="148"/>
    </row>
    <row r="307" spans="11:11" x14ac:dyDescent="0.15">
      <c r="K307" s="148"/>
    </row>
    <row r="308" spans="11:11" x14ac:dyDescent="0.15">
      <c r="K308" s="148"/>
    </row>
    <row r="309" spans="11:11" x14ac:dyDescent="0.15">
      <c r="K309" s="148"/>
    </row>
    <row r="310" spans="11:11" x14ac:dyDescent="0.15">
      <c r="K310" s="148"/>
    </row>
    <row r="311" spans="11:11" x14ac:dyDescent="0.15">
      <c r="K311" s="148"/>
    </row>
    <row r="312" spans="11:11" x14ac:dyDescent="0.15">
      <c r="K312" s="148"/>
    </row>
    <row r="313" spans="11:11" x14ac:dyDescent="0.15">
      <c r="K313" s="148"/>
    </row>
    <row r="314" spans="11:11" x14ac:dyDescent="0.15">
      <c r="K314" s="148"/>
    </row>
    <row r="315" spans="11:11" x14ac:dyDescent="0.15">
      <c r="K315" s="148"/>
    </row>
    <row r="316" spans="11:11" x14ac:dyDescent="0.15">
      <c r="K316" s="148"/>
    </row>
    <row r="317" spans="11:11" x14ac:dyDescent="0.15">
      <c r="K317" s="148"/>
    </row>
    <row r="318" spans="11:11" x14ac:dyDescent="0.15">
      <c r="K318" s="148"/>
    </row>
    <row r="319" spans="11:11" x14ac:dyDescent="0.15">
      <c r="K319" s="148"/>
    </row>
    <row r="320" spans="11:11" x14ac:dyDescent="0.15">
      <c r="K320" s="148"/>
    </row>
    <row r="321" spans="11:11" x14ac:dyDescent="0.15">
      <c r="K321" s="148"/>
    </row>
    <row r="322" spans="11:11" x14ac:dyDescent="0.15">
      <c r="K322" s="148"/>
    </row>
    <row r="323" spans="11:11" x14ac:dyDescent="0.15">
      <c r="K323" s="148"/>
    </row>
    <row r="324" spans="11:11" x14ac:dyDescent="0.15">
      <c r="K324" s="148"/>
    </row>
    <row r="325" spans="11:11" x14ac:dyDescent="0.15">
      <c r="K325" s="148"/>
    </row>
    <row r="326" spans="11:11" x14ac:dyDescent="0.15">
      <c r="K326" s="148"/>
    </row>
    <row r="327" spans="11:11" x14ac:dyDescent="0.15">
      <c r="K327" s="148"/>
    </row>
    <row r="328" spans="11:11" x14ac:dyDescent="0.15">
      <c r="K328" s="148"/>
    </row>
    <row r="329" spans="11:11" x14ac:dyDescent="0.15">
      <c r="K329" s="148"/>
    </row>
    <row r="330" spans="11:11" x14ac:dyDescent="0.15">
      <c r="K330" s="148"/>
    </row>
    <row r="331" spans="11:11" x14ac:dyDescent="0.15">
      <c r="K331" s="148"/>
    </row>
    <row r="332" spans="11:11" x14ac:dyDescent="0.15">
      <c r="K332" s="148"/>
    </row>
    <row r="333" spans="11:11" x14ac:dyDescent="0.15">
      <c r="K333" s="148"/>
    </row>
    <row r="334" spans="11:11" x14ac:dyDescent="0.15">
      <c r="K334" s="148"/>
    </row>
    <row r="335" spans="11:11" x14ac:dyDescent="0.15">
      <c r="K335" s="148"/>
    </row>
    <row r="336" spans="11:11" x14ac:dyDescent="0.15">
      <c r="K336" s="148"/>
    </row>
    <row r="337" spans="11:11" x14ac:dyDescent="0.15">
      <c r="K337" s="148"/>
    </row>
    <row r="338" spans="11:11" x14ac:dyDescent="0.15">
      <c r="K338" s="148"/>
    </row>
    <row r="339" spans="11:11" x14ac:dyDescent="0.15">
      <c r="K339" s="148"/>
    </row>
    <row r="340" spans="11:11" x14ac:dyDescent="0.15">
      <c r="K340" s="148"/>
    </row>
    <row r="341" spans="11:11" x14ac:dyDescent="0.15">
      <c r="K341" s="148"/>
    </row>
    <row r="342" spans="11:11" x14ac:dyDescent="0.15">
      <c r="K342" s="148"/>
    </row>
    <row r="343" spans="11:11" x14ac:dyDescent="0.15">
      <c r="K343" s="148"/>
    </row>
    <row r="344" spans="11:11" x14ac:dyDescent="0.15">
      <c r="K344" s="148"/>
    </row>
    <row r="345" spans="11:11" x14ac:dyDescent="0.15">
      <c r="K345" s="148"/>
    </row>
    <row r="346" spans="11:11" x14ac:dyDescent="0.15">
      <c r="K346" s="148"/>
    </row>
    <row r="347" spans="11:11" x14ac:dyDescent="0.15">
      <c r="K347" s="148"/>
    </row>
    <row r="348" spans="11:11" x14ac:dyDescent="0.15">
      <c r="K348" s="148"/>
    </row>
    <row r="349" spans="11:11" x14ac:dyDescent="0.15">
      <c r="K349" s="148"/>
    </row>
    <row r="350" spans="11:11" x14ac:dyDescent="0.15">
      <c r="K350" s="148"/>
    </row>
    <row r="351" spans="11:11" x14ac:dyDescent="0.15">
      <c r="K351" s="148"/>
    </row>
    <row r="352" spans="11:11" x14ac:dyDescent="0.15">
      <c r="K352" s="148"/>
    </row>
    <row r="353" spans="11:11" x14ac:dyDescent="0.15">
      <c r="K353" s="148"/>
    </row>
    <row r="354" spans="11:11" x14ac:dyDescent="0.15">
      <c r="K354" s="148"/>
    </row>
    <row r="355" spans="11:11" x14ac:dyDescent="0.15">
      <c r="K355" s="148"/>
    </row>
    <row r="356" spans="11:11" x14ac:dyDescent="0.15">
      <c r="K356" s="148"/>
    </row>
    <row r="357" spans="11:11" x14ac:dyDescent="0.15">
      <c r="K357" s="148"/>
    </row>
    <row r="358" spans="11:11" x14ac:dyDescent="0.15">
      <c r="K358" s="148"/>
    </row>
    <row r="359" spans="11:11" x14ac:dyDescent="0.15">
      <c r="K359" s="148"/>
    </row>
    <row r="360" spans="11:11" x14ac:dyDescent="0.15">
      <c r="K360" s="148"/>
    </row>
    <row r="361" spans="11:11" x14ac:dyDescent="0.15">
      <c r="K361" s="148"/>
    </row>
    <row r="362" spans="11:11" x14ac:dyDescent="0.15">
      <c r="K362" s="148"/>
    </row>
    <row r="363" spans="11:11" x14ac:dyDescent="0.15">
      <c r="K363" s="148"/>
    </row>
    <row r="364" spans="11:11" x14ac:dyDescent="0.15">
      <c r="K364" s="148"/>
    </row>
    <row r="365" spans="11:11" x14ac:dyDescent="0.15">
      <c r="K365" s="148"/>
    </row>
    <row r="366" spans="11:11" x14ac:dyDescent="0.15">
      <c r="K366" s="148"/>
    </row>
    <row r="367" spans="11:11" x14ac:dyDescent="0.15">
      <c r="K367" s="148"/>
    </row>
    <row r="368" spans="11:11" x14ac:dyDescent="0.15">
      <c r="K368" s="148"/>
    </row>
    <row r="369" spans="11:11" x14ac:dyDescent="0.15">
      <c r="K369" s="148"/>
    </row>
    <row r="370" spans="11:11" x14ac:dyDescent="0.15">
      <c r="K370" s="148"/>
    </row>
    <row r="371" spans="11:11" x14ac:dyDescent="0.15">
      <c r="K371" s="148"/>
    </row>
    <row r="372" spans="11:11" x14ac:dyDescent="0.15">
      <c r="K372" s="148"/>
    </row>
    <row r="373" spans="11:11" x14ac:dyDescent="0.15">
      <c r="K373" s="148"/>
    </row>
    <row r="374" spans="11:11" x14ac:dyDescent="0.15">
      <c r="K374" s="148"/>
    </row>
    <row r="375" spans="11:11" x14ac:dyDescent="0.15">
      <c r="K375" s="148"/>
    </row>
    <row r="376" spans="11:11" x14ac:dyDescent="0.15">
      <c r="K376" s="148"/>
    </row>
    <row r="377" spans="11:11" x14ac:dyDescent="0.15">
      <c r="K377" s="148"/>
    </row>
    <row r="378" spans="11:11" x14ac:dyDescent="0.15">
      <c r="K378" s="148"/>
    </row>
    <row r="379" spans="11:11" x14ac:dyDescent="0.15">
      <c r="K379" s="148"/>
    </row>
    <row r="380" spans="11:11" x14ac:dyDescent="0.15">
      <c r="K380" s="148"/>
    </row>
    <row r="381" spans="11:11" x14ac:dyDescent="0.15">
      <c r="K381" s="148"/>
    </row>
    <row r="382" spans="11:11" x14ac:dyDescent="0.15">
      <c r="K382" s="148"/>
    </row>
    <row r="383" spans="11:11" x14ac:dyDescent="0.15">
      <c r="K383" s="148"/>
    </row>
    <row r="384" spans="11:11" x14ac:dyDescent="0.15">
      <c r="K384" s="148"/>
    </row>
    <row r="385" spans="11:11" x14ac:dyDescent="0.15">
      <c r="K385" s="148"/>
    </row>
    <row r="386" spans="11:11" x14ac:dyDescent="0.15">
      <c r="K386" s="148"/>
    </row>
    <row r="387" spans="11:11" x14ac:dyDescent="0.15">
      <c r="K387" s="148"/>
    </row>
    <row r="388" spans="11:11" x14ac:dyDescent="0.15">
      <c r="K388" s="148"/>
    </row>
    <row r="389" spans="11:11" x14ac:dyDescent="0.15">
      <c r="K389" s="148"/>
    </row>
    <row r="390" spans="11:11" x14ac:dyDescent="0.15">
      <c r="K390" s="148"/>
    </row>
    <row r="391" spans="11:11" x14ac:dyDescent="0.15">
      <c r="K391" s="148"/>
    </row>
    <row r="392" spans="11:11" x14ac:dyDescent="0.15">
      <c r="K392" s="148"/>
    </row>
    <row r="393" spans="11:11" x14ac:dyDescent="0.15">
      <c r="K393" s="148"/>
    </row>
    <row r="394" spans="11:11" x14ac:dyDescent="0.15">
      <c r="K394" s="148"/>
    </row>
    <row r="395" spans="11:11" x14ac:dyDescent="0.15">
      <c r="K395" s="148"/>
    </row>
    <row r="396" spans="11:11" x14ac:dyDescent="0.15">
      <c r="K396" s="148"/>
    </row>
    <row r="397" spans="11:11" x14ac:dyDescent="0.15">
      <c r="K397" s="148"/>
    </row>
    <row r="398" spans="11:11" x14ac:dyDescent="0.15">
      <c r="K398" s="148"/>
    </row>
    <row r="399" spans="11:11" x14ac:dyDescent="0.15">
      <c r="K399" s="148"/>
    </row>
    <row r="400" spans="11:11" x14ac:dyDescent="0.15">
      <c r="K400" s="148"/>
    </row>
    <row r="401" spans="11:11" x14ac:dyDescent="0.15">
      <c r="K401" s="148"/>
    </row>
    <row r="402" spans="11:11" x14ac:dyDescent="0.15">
      <c r="K402" s="148"/>
    </row>
    <row r="403" spans="11:11" x14ac:dyDescent="0.15">
      <c r="K403" s="148"/>
    </row>
    <row r="404" spans="11:11" x14ac:dyDescent="0.15">
      <c r="K404" s="148"/>
    </row>
    <row r="405" spans="11:11" x14ac:dyDescent="0.15">
      <c r="K405" s="148"/>
    </row>
    <row r="406" spans="11:11" x14ac:dyDescent="0.15">
      <c r="K406" s="148"/>
    </row>
    <row r="407" spans="11:11" x14ac:dyDescent="0.15">
      <c r="K407" s="148"/>
    </row>
    <row r="408" spans="11:11" x14ac:dyDescent="0.15">
      <c r="K408" s="148"/>
    </row>
    <row r="409" spans="11:11" x14ac:dyDescent="0.15">
      <c r="K409" s="148"/>
    </row>
    <row r="410" spans="11:11" x14ac:dyDescent="0.15">
      <c r="K410" s="148"/>
    </row>
    <row r="411" spans="11:11" x14ac:dyDescent="0.15">
      <c r="K411" s="148"/>
    </row>
    <row r="412" spans="11:11" x14ac:dyDescent="0.15">
      <c r="K412" s="148"/>
    </row>
    <row r="413" spans="11:11" x14ac:dyDescent="0.15">
      <c r="K413" s="148"/>
    </row>
    <row r="414" spans="11:11" x14ac:dyDescent="0.15">
      <c r="K414" s="148"/>
    </row>
    <row r="415" spans="11:11" x14ac:dyDescent="0.15">
      <c r="K415" s="148"/>
    </row>
    <row r="416" spans="11:11" x14ac:dyDescent="0.15">
      <c r="K416" s="148"/>
    </row>
    <row r="417" spans="11:11" x14ac:dyDescent="0.15">
      <c r="K417" s="148"/>
    </row>
    <row r="418" spans="11:11" x14ac:dyDescent="0.15">
      <c r="K418" s="148"/>
    </row>
    <row r="419" spans="11:11" x14ac:dyDescent="0.15">
      <c r="K419" s="148"/>
    </row>
    <row r="420" spans="11:11" x14ac:dyDescent="0.15">
      <c r="K420" s="148"/>
    </row>
    <row r="421" spans="11:11" x14ac:dyDescent="0.15">
      <c r="K421" s="148"/>
    </row>
    <row r="422" spans="11:11" x14ac:dyDescent="0.15">
      <c r="K422" s="148"/>
    </row>
    <row r="423" spans="11:11" x14ac:dyDescent="0.15">
      <c r="K423" s="148"/>
    </row>
    <row r="424" spans="11:11" x14ac:dyDescent="0.15">
      <c r="K424" s="148"/>
    </row>
    <row r="425" spans="11:11" x14ac:dyDescent="0.15">
      <c r="K425" s="148"/>
    </row>
    <row r="426" spans="11:11" x14ac:dyDescent="0.15">
      <c r="K426" s="148"/>
    </row>
    <row r="427" spans="11:11" x14ac:dyDescent="0.15">
      <c r="K427" s="148"/>
    </row>
    <row r="428" spans="11:11" x14ac:dyDescent="0.15">
      <c r="K428" s="148"/>
    </row>
    <row r="429" spans="11:11" x14ac:dyDescent="0.15">
      <c r="K429" s="148"/>
    </row>
    <row r="430" spans="11:11" x14ac:dyDescent="0.15">
      <c r="K430" s="148"/>
    </row>
    <row r="431" spans="11:11" x14ac:dyDescent="0.15">
      <c r="K431" s="148"/>
    </row>
    <row r="432" spans="11:11" x14ac:dyDescent="0.15">
      <c r="K432" s="148"/>
    </row>
    <row r="433" spans="11:11" x14ac:dyDescent="0.15">
      <c r="K433" s="148"/>
    </row>
    <row r="434" spans="11:11" x14ac:dyDescent="0.15">
      <c r="K434" s="148"/>
    </row>
    <row r="435" spans="11:11" x14ac:dyDescent="0.15">
      <c r="K435" s="148"/>
    </row>
    <row r="436" spans="11:11" x14ac:dyDescent="0.15">
      <c r="K436" s="148"/>
    </row>
    <row r="437" spans="11:11" x14ac:dyDescent="0.15">
      <c r="K437" s="148"/>
    </row>
    <row r="438" spans="11:11" x14ac:dyDescent="0.15">
      <c r="K438" s="148"/>
    </row>
    <row r="439" spans="11:11" x14ac:dyDescent="0.15">
      <c r="K439" s="148"/>
    </row>
    <row r="440" spans="11:11" x14ac:dyDescent="0.15">
      <c r="K440" s="148"/>
    </row>
    <row r="441" spans="11:11" x14ac:dyDescent="0.15">
      <c r="K441" s="148"/>
    </row>
    <row r="442" spans="11:11" x14ac:dyDescent="0.15">
      <c r="K442" s="148"/>
    </row>
    <row r="443" spans="11:11" x14ac:dyDescent="0.15">
      <c r="K443" s="148"/>
    </row>
    <row r="444" spans="11:11" x14ac:dyDescent="0.15">
      <c r="K444" s="148"/>
    </row>
    <row r="445" spans="11:11" x14ac:dyDescent="0.15">
      <c r="K445" s="148"/>
    </row>
    <row r="446" spans="11:11" x14ac:dyDescent="0.15">
      <c r="K446" s="148"/>
    </row>
    <row r="447" spans="11:11" x14ac:dyDescent="0.15">
      <c r="K447" s="148"/>
    </row>
    <row r="448" spans="11:11" x14ac:dyDescent="0.15">
      <c r="K448" s="148"/>
    </row>
    <row r="449" spans="11:11" x14ac:dyDescent="0.15">
      <c r="K449" s="148"/>
    </row>
    <row r="450" spans="11:11" x14ac:dyDescent="0.15">
      <c r="K450" s="148"/>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8"/>
  <sheetViews>
    <sheetView topLeftCell="A7" zoomScale="70" zoomScaleNormal="70" workbookViewId="0">
      <selection activeCell="A2" sqref="A2"/>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167</v>
      </c>
      <c r="C1" s="90" t="s">
        <v>168</v>
      </c>
      <c r="D1" s="91" t="s">
        <v>3</v>
      </c>
      <c r="E1" s="92" t="s">
        <v>4</v>
      </c>
      <c r="F1" s="92" t="s">
        <v>5</v>
      </c>
      <c r="G1" s="92" t="s">
        <v>6</v>
      </c>
      <c r="H1" s="92" t="s">
        <v>7</v>
      </c>
      <c r="I1" s="92" t="s">
        <v>8</v>
      </c>
      <c r="J1" s="92" t="s">
        <v>9</v>
      </c>
      <c r="K1" s="92" t="s">
        <v>10</v>
      </c>
      <c r="L1" s="91" t="s">
        <v>169</v>
      </c>
      <c r="M1" s="91" t="s">
        <v>170</v>
      </c>
      <c r="N1" s="91" t="s">
        <v>13</v>
      </c>
      <c r="O1" s="91" t="s">
        <v>171</v>
      </c>
      <c r="P1" s="91" t="s">
        <v>172</v>
      </c>
      <c r="Q1" s="93" t="s">
        <v>173</v>
      </c>
      <c r="R1" s="91" t="s">
        <v>174</v>
      </c>
      <c r="S1" s="91" t="s">
        <v>175</v>
      </c>
      <c r="T1" s="93" t="s">
        <v>19</v>
      </c>
      <c r="U1" s="94" t="s">
        <v>108</v>
      </c>
      <c r="V1" s="95" t="s">
        <v>20</v>
      </c>
      <c r="W1" s="91" t="s">
        <v>176</v>
      </c>
      <c r="X1" s="92" t="s">
        <v>22</v>
      </c>
      <c r="Y1" s="92" t="s">
        <v>23</v>
      </c>
      <c r="Z1" s="92" t="s">
        <v>24</v>
      </c>
      <c r="AA1" s="96" t="s">
        <v>25</v>
      </c>
      <c r="AB1" s="97" t="s">
        <v>177</v>
      </c>
      <c r="AE1" s="99" t="s">
        <v>0</v>
      </c>
      <c r="AF1" s="100"/>
      <c r="AG1" s="99" t="s">
        <v>4</v>
      </c>
      <c r="AH1" s="99" t="s">
        <v>5</v>
      </c>
      <c r="AI1" s="100"/>
      <c r="AJ1" s="99" t="s">
        <v>6</v>
      </c>
      <c r="AK1" s="100"/>
      <c r="AL1" s="101" t="s">
        <v>7</v>
      </c>
      <c r="AM1" s="100"/>
      <c r="AN1" s="101" t="s">
        <v>8</v>
      </c>
      <c r="AO1" s="100"/>
      <c r="AP1" s="101" t="s">
        <v>27</v>
      </c>
      <c r="AQ1" s="100"/>
      <c r="AR1" s="101" t="s">
        <v>10</v>
      </c>
      <c r="AS1" s="100"/>
      <c r="AT1" s="102" t="s">
        <v>178</v>
      </c>
      <c r="AU1" s="100"/>
      <c r="AV1" s="101" t="s">
        <v>29</v>
      </c>
      <c r="AX1" s="103" t="s">
        <v>179</v>
      </c>
      <c r="AY1" s="104" t="s">
        <v>180</v>
      </c>
      <c r="AZ1" s="104" t="s">
        <v>181</v>
      </c>
      <c r="BA1" s="105" t="s">
        <v>182</v>
      </c>
    </row>
    <row r="2" spans="1:53" s="174" customFormat="1" x14ac:dyDescent="0.15">
      <c r="A2" s="174" t="s">
        <v>51</v>
      </c>
      <c r="B2" s="174" t="s">
        <v>253</v>
      </c>
      <c r="C2" s="174">
        <v>2018</v>
      </c>
      <c r="D2" s="106" t="s">
        <v>311</v>
      </c>
      <c r="E2" s="174" t="s">
        <v>183</v>
      </c>
      <c r="F2" s="174" t="s">
        <v>184</v>
      </c>
      <c r="G2" s="174" t="s">
        <v>42</v>
      </c>
      <c r="H2" s="174" t="s">
        <v>155</v>
      </c>
      <c r="I2" s="174" t="s">
        <v>153</v>
      </c>
      <c r="J2" s="174" t="s">
        <v>38</v>
      </c>
      <c r="K2" s="174" t="s">
        <v>154</v>
      </c>
      <c r="L2" s="174">
        <v>1</v>
      </c>
      <c r="N2" s="174">
        <v>1</v>
      </c>
      <c r="O2" s="174">
        <v>1.2</v>
      </c>
      <c r="P2" s="174">
        <v>1</v>
      </c>
      <c r="Q2" s="107">
        <f t="shared" ref="Q2:Q65" si="0">IF(OR(O2="",P2=""),"",AVERAGE(O2,P2))</f>
        <v>1.1000000000000001</v>
      </c>
      <c r="R2" s="174">
        <v>14.6</v>
      </c>
      <c r="S2" s="174">
        <v>134</v>
      </c>
      <c r="T2" s="108">
        <f t="shared" ref="T2:T65" si="1">IF(H2="","",IF(OR(H2="GREEN",H2="GK"),IF(S2&gt;=$AX$2,VLOOKUP(S2,$AX$2:$AY$15,2,1),""),IF(S2&gt;=$AZ$2,VLOOKUP(S2,$AZ$2:$BA$15,2,1),"")))</f>
        <v>25</v>
      </c>
      <c r="U2" s="174">
        <v>78</v>
      </c>
      <c r="V2" s="109">
        <f t="shared" ref="V2:V43" si="2">IF(OR(N2="",U2="",T2=""),"",U2/N2*T2)</f>
        <v>1950</v>
      </c>
      <c r="W2" s="174">
        <v>6</v>
      </c>
      <c r="X2" s="174" t="s">
        <v>39</v>
      </c>
      <c r="Y2" s="174" t="s">
        <v>84</v>
      </c>
      <c r="Z2" s="174" t="s">
        <v>69</v>
      </c>
      <c r="AA2" s="174" t="s">
        <v>55</v>
      </c>
      <c r="AB2" s="174" t="s">
        <v>255</v>
      </c>
      <c r="AE2" s="110" t="s">
        <v>35</v>
      </c>
      <c r="AG2" s="111" t="s">
        <v>161</v>
      </c>
      <c r="AH2" s="111" t="s">
        <v>185</v>
      </c>
      <c r="AJ2" s="111" t="s">
        <v>36</v>
      </c>
      <c r="AL2" s="111" t="s">
        <v>186</v>
      </c>
      <c r="AN2" s="111" t="s">
        <v>37</v>
      </c>
      <c r="AP2" s="111" t="s">
        <v>38</v>
      </c>
      <c r="AR2" s="111" t="s">
        <v>154</v>
      </c>
      <c r="AT2" s="111" t="s">
        <v>39</v>
      </c>
      <c r="AV2" s="111" t="s">
        <v>40</v>
      </c>
      <c r="AX2" s="112">
        <v>1</v>
      </c>
      <c r="AY2" s="113">
        <v>50</v>
      </c>
      <c r="AZ2" s="113">
        <v>1</v>
      </c>
      <c r="BA2" s="114">
        <v>50</v>
      </c>
    </row>
    <row r="3" spans="1:53" s="115" customFormat="1" x14ac:dyDescent="0.15">
      <c r="A3" s="174" t="s">
        <v>51</v>
      </c>
      <c r="B3" s="174" t="s">
        <v>253</v>
      </c>
      <c r="C3" s="174">
        <v>2018</v>
      </c>
      <c r="D3" s="106" t="s">
        <v>311</v>
      </c>
      <c r="E3" s="174" t="s">
        <v>183</v>
      </c>
      <c r="F3" s="174" t="s">
        <v>184</v>
      </c>
      <c r="G3" s="174" t="s">
        <v>42</v>
      </c>
      <c r="H3" s="174" t="s">
        <v>155</v>
      </c>
      <c r="I3" s="174" t="s">
        <v>153</v>
      </c>
      <c r="J3" s="174" t="s">
        <v>38</v>
      </c>
      <c r="K3" s="174" t="s">
        <v>154</v>
      </c>
      <c r="L3" s="174">
        <v>2</v>
      </c>
      <c r="M3" s="174"/>
      <c r="N3" s="174">
        <v>1</v>
      </c>
      <c r="O3" s="174">
        <v>1.05</v>
      </c>
      <c r="P3" s="174">
        <v>1.1499999999999999</v>
      </c>
      <c r="Q3" s="107">
        <f t="shared" si="0"/>
        <v>1.1000000000000001</v>
      </c>
      <c r="R3" s="174">
        <v>15</v>
      </c>
      <c r="S3" s="174">
        <v>138</v>
      </c>
      <c r="T3" s="108">
        <f t="shared" si="1"/>
        <v>22</v>
      </c>
      <c r="U3" s="174">
        <v>78</v>
      </c>
      <c r="V3" s="109">
        <f t="shared" si="2"/>
        <v>1716</v>
      </c>
      <c r="W3" s="174">
        <v>6</v>
      </c>
      <c r="X3" s="174" t="s">
        <v>39</v>
      </c>
      <c r="Y3" s="174" t="s">
        <v>84</v>
      </c>
      <c r="Z3" s="174" t="s">
        <v>69</v>
      </c>
      <c r="AA3" s="174" t="s">
        <v>55</v>
      </c>
      <c r="AB3" s="174" t="s">
        <v>255</v>
      </c>
      <c r="AE3" s="116" t="s">
        <v>41</v>
      </c>
      <c r="AG3" s="111" t="s">
        <v>187</v>
      </c>
      <c r="AH3" s="111" t="s">
        <v>188</v>
      </c>
      <c r="AJ3" s="117" t="s">
        <v>42</v>
      </c>
      <c r="AL3" s="117" t="s">
        <v>189</v>
      </c>
      <c r="AN3" s="117" t="s">
        <v>43</v>
      </c>
      <c r="AP3" s="117" t="s">
        <v>44</v>
      </c>
      <c r="AR3" s="118" t="s">
        <v>45</v>
      </c>
      <c r="AT3" s="117" t="s">
        <v>46</v>
      </c>
      <c r="AV3" s="117" t="s">
        <v>47</v>
      </c>
      <c r="AX3" s="119">
        <v>72</v>
      </c>
      <c r="AY3" s="120">
        <v>46</v>
      </c>
      <c r="AZ3" s="120">
        <v>71</v>
      </c>
      <c r="BA3" s="121">
        <v>42</v>
      </c>
    </row>
    <row r="4" spans="1:53" s="115" customFormat="1" x14ac:dyDescent="0.15">
      <c r="A4" s="174" t="s">
        <v>51</v>
      </c>
      <c r="B4" s="174" t="s">
        <v>253</v>
      </c>
      <c r="C4" s="174">
        <v>2018</v>
      </c>
      <c r="D4" s="106" t="s">
        <v>311</v>
      </c>
      <c r="E4" s="174" t="s">
        <v>183</v>
      </c>
      <c r="F4" s="174" t="s">
        <v>184</v>
      </c>
      <c r="G4" s="174" t="s">
        <v>42</v>
      </c>
      <c r="H4" s="174" t="s">
        <v>155</v>
      </c>
      <c r="I4" s="174" t="s">
        <v>153</v>
      </c>
      <c r="J4" s="174" t="s">
        <v>38</v>
      </c>
      <c r="K4" s="174" t="s">
        <v>154</v>
      </c>
      <c r="L4" s="174">
        <v>3</v>
      </c>
      <c r="M4" s="174"/>
      <c r="N4" s="174">
        <v>1</v>
      </c>
      <c r="O4" s="174">
        <v>1.1499999999999999</v>
      </c>
      <c r="P4" s="174">
        <v>1.1000000000000001</v>
      </c>
      <c r="Q4" s="107">
        <f t="shared" si="0"/>
        <v>1.125</v>
      </c>
      <c r="R4" s="174">
        <v>14.3</v>
      </c>
      <c r="S4" s="174">
        <v>132</v>
      </c>
      <c r="T4" s="108">
        <f t="shared" si="1"/>
        <v>25</v>
      </c>
      <c r="U4" s="174">
        <v>78</v>
      </c>
      <c r="V4" s="109">
        <f t="shared" si="2"/>
        <v>1950</v>
      </c>
      <c r="W4" s="174">
        <v>6</v>
      </c>
      <c r="X4" s="174" t="s">
        <v>39</v>
      </c>
      <c r="Y4" s="174" t="s">
        <v>84</v>
      </c>
      <c r="Z4" s="174" t="s">
        <v>69</v>
      </c>
      <c r="AA4" s="174" t="s">
        <v>55</v>
      </c>
      <c r="AB4" s="174" t="s">
        <v>255</v>
      </c>
      <c r="AE4" s="116" t="s">
        <v>34</v>
      </c>
      <c r="AG4" s="111" t="s">
        <v>190</v>
      </c>
      <c r="AH4" s="111" t="s">
        <v>191</v>
      </c>
      <c r="AJ4" s="122" t="s">
        <v>48</v>
      </c>
      <c r="AL4" s="122" t="s">
        <v>192</v>
      </c>
      <c r="AN4" s="123" t="s">
        <v>193</v>
      </c>
      <c r="AP4" s="117" t="s">
        <v>194</v>
      </c>
      <c r="AR4" s="118" t="s">
        <v>195</v>
      </c>
      <c r="AT4" s="123"/>
      <c r="AV4" s="117" t="s">
        <v>50</v>
      </c>
      <c r="AX4" s="119">
        <v>75</v>
      </c>
      <c r="AY4" s="120">
        <v>42</v>
      </c>
      <c r="AZ4" s="120">
        <v>76</v>
      </c>
      <c r="BA4" s="121">
        <v>39</v>
      </c>
    </row>
    <row r="5" spans="1:53" s="115" customFormat="1" x14ac:dyDescent="0.15">
      <c r="A5" s="174" t="s">
        <v>51</v>
      </c>
      <c r="B5" s="174" t="s">
        <v>253</v>
      </c>
      <c r="C5" s="174">
        <v>2018</v>
      </c>
      <c r="D5" s="106" t="s">
        <v>311</v>
      </c>
      <c r="E5" s="174" t="s">
        <v>183</v>
      </c>
      <c r="F5" s="174" t="s">
        <v>184</v>
      </c>
      <c r="G5" s="174" t="s">
        <v>42</v>
      </c>
      <c r="H5" s="174" t="s">
        <v>186</v>
      </c>
      <c r="I5" s="174" t="s">
        <v>153</v>
      </c>
      <c r="J5" s="174" t="s">
        <v>53</v>
      </c>
      <c r="K5" s="174" t="s">
        <v>54</v>
      </c>
      <c r="L5" s="174">
        <v>1</v>
      </c>
      <c r="M5" s="174"/>
      <c r="N5" s="174">
        <v>6</v>
      </c>
      <c r="O5" s="174">
        <v>1.95</v>
      </c>
      <c r="P5" s="174">
        <v>2.75</v>
      </c>
      <c r="Q5" s="107">
        <f t="shared" si="0"/>
        <v>2.35</v>
      </c>
      <c r="R5" s="174">
        <v>11.6</v>
      </c>
      <c r="S5" s="174">
        <v>70</v>
      </c>
      <c r="T5" s="108">
        <f t="shared" si="1"/>
        <v>50</v>
      </c>
      <c r="U5" s="174">
        <v>258</v>
      </c>
      <c r="V5" s="109">
        <f t="shared" si="2"/>
        <v>2150</v>
      </c>
      <c r="W5" s="174">
        <v>6</v>
      </c>
      <c r="X5" s="174" t="s">
        <v>39</v>
      </c>
      <c r="Y5" s="174" t="s">
        <v>84</v>
      </c>
      <c r="Z5" s="174" t="s">
        <v>69</v>
      </c>
      <c r="AA5" s="174" t="s">
        <v>55</v>
      </c>
      <c r="AB5" s="174" t="s">
        <v>255</v>
      </c>
      <c r="AE5" s="116"/>
      <c r="AG5" s="111"/>
      <c r="AH5" s="111"/>
      <c r="AJ5" s="122"/>
      <c r="AL5" s="180"/>
      <c r="AN5" s="180"/>
      <c r="AP5" s="117"/>
      <c r="AR5" s="118"/>
      <c r="AV5" s="117"/>
      <c r="AX5" s="119"/>
      <c r="AY5" s="120"/>
      <c r="AZ5" s="120"/>
      <c r="BA5" s="121"/>
    </row>
    <row r="6" spans="1:53" s="115" customFormat="1" x14ac:dyDescent="0.15">
      <c r="A6" s="174" t="s">
        <v>51</v>
      </c>
      <c r="B6" s="174" t="s">
        <v>253</v>
      </c>
      <c r="C6" s="174">
        <v>2018</v>
      </c>
      <c r="D6" s="106" t="s">
        <v>311</v>
      </c>
      <c r="E6" s="174" t="s">
        <v>183</v>
      </c>
      <c r="F6" s="174" t="s">
        <v>184</v>
      </c>
      <c r="G6" s="174" t="s">
        <v>42</v>
      </c>
      <c r="H6" s="174" t="s">
        <v>186</v>
      </c>
      <c r="I6" s="174" t="s">
        <v>153</v>
      </c>
      <c r="J6" s="174" t="s">
        <v>53</v>
      </c>
      <c r="K6" s="174" t="s">
        <v>54</v>
      </c>
      <c r="L6" s="174">
        <v>2</v>
      </c>
      <c r="M6" s="174"/>
      <c r="N6" s="174">
        <v>6</v>
      </c>
      <c r="O6" s="174">
        <v>2.65</v>
      </c>
      <c r="P6" s="174">
        <v>2.6</v>
      </c>
      <c r="Q6" s="107">
        <f t="shared" si="0"/>
        <v>2.625</v>
      </c>
      <c r="R6" s="174">
        <v>6.5</v>
      </c>
      <c r="S6" s="174">
        <v>67</v>
      </c>
      <c r="T6" s="108">
        <f t="shared" si="1"/>
        <v>50</v>
      </c>
      <c r="U6" s="174">
        <v>258</v>
      </c>
      <c r="V6" s="109">
        <f t="shared" si="2"/>
        <v>2150</v>
      </c>
      <c r="W6" s="174">
        <v>6</v>
      </c>
      <c r="X6" s="174" t="s">
        <v>39</v>
      </c>
      <c r="Y6" s="174" t="s">
        <v>84</v>
      </c>
      <c r="Z6" s="174" t="s">
        <v>69</v>
      </c>
      <c r="AA6" s="174" t="s">
        <v>55</v>
      </c>
      <c r="AB6" s="174" t="s">
        <v>255</v>
      </c>
      <c r="AE6" s="116"/>
      <c r="AG6" s="111"/>
      <c r="AH6" s="111"/>
      <c r="AJ6" s="122"/>
      <c r="AL6" s="180"/>
      <c r="AN6" s="180"/>
      <c r="AP6" s="117"/>
      <c r="AR6" s="118"/>
      <c r="AV6" s="117"/>
      <c r="AX6" s="119"/>
      <c r="AY6" s="120"/>
      <c r="AZ6" s="120"/>
      <c r="BA6" s="121"/>
    </row>
    <row r="7" spans="1:53" s="115" customFormat="1" x14ac:dyDescent="0.15">
      <c r="A7" s="174" t="s">
        <v>51</v>
      </c>
      <c r="B7" s="174" t="s">
        <v>253</v>
      </c>
      <c r="C7" s="174">
        <v>2018</v>
      </c>
      <c r="D7" s="106" t="s">
        <v>311</v>
      </c>
      <c r="E7" s="174" t="s">
        <v>183</v>
      </c>
      <c r="F7" s="174" t="s">
        <v>184</v>
      </c>
      <c r="G7" s="174" t="s">
        <v>42</v>
      </c>
      <c r="H7" s="174" t="s">
        <v>186</v>
      </c>
      <c r="I7" s="174" t="s">
        <v>153</v>
      </c>
      <c r="J7" s="174" t="s">
        <v>53</v>
      </c>
      <c r="K7" s="174" t="s">
        <v>54</v>
      </c>
      <c r="L7" s="174">
        <v>3</v>
      </c>
      <c r="M7" s="174"/>
      <c r="N7" s="174">
        <v>6</v>
      </c>
      <c r="O7" s="174">
        <v>1.75</v>
      </c>
      <c r="P7" s="174">
        <v>1.75</v>
      </c>
      <c r="Q7" s="107">
        <f t="shared" si="0"/>
        <v>1.75</v>
      </c>
      <c r="R7" s="174">
        <v>8.6</v>
      </c>
      <c r="S7" s="174">
        <v>63</v>
      </c>
      <c r="T7" s="108">
        <f t="shared" si="1"/>
        <v>50</v>
      </c>
      <c r="U7" s="174">
        <v>258</v>
      </c>
      <c r="V7" s="109">
        <f t="shared" si="2"/>
        <v>2150</v>
      </c>
      <c r="W7" s="174">
        <v>6</v>
      </c>
      <c r="X7" s="174" t="s">
        <v>39</v>
      </c>
      <c r="Y7" s="174" t="s">
        <v>84</v>
      </c>
      <c r="Z7" s="174" t="s">
        <v>69</v>
      </c>
      <c r="AA7" s="174" t="s">
        <v>55</v>
      </c>
      <c r="AB7" s="174" t="s">
        <v>255</v>
      </c>
      <c r="AE7" s="116"/>
      <c r="AG7" s="111"/>
      <c r="AH7" s="111"/>
      <c r="AJ7" s="122"/>
      <c r="AL7" s="180"/>
      <c r="AN7" s="180"/>
      <c r="AP7" s="117"/>
      <c r="AR7" s="118"/>
      <c r="AV7" s="117"/>
      <c r="AX7" s="119"/>
      <c r="AY7" s="120"/>
      <c r="AZ7" s="120"/>
      <c r="BA7" s="121"/>
    </row>
    <row r="8" spans="1:53" s="115" customFormat="1" x14ac:dyDescent="0.15">
      <c r="A8" s="174" t="s">
        <v>51</v>
      </c>
      <c r="B8" s="174" t="s">
        <v>253</v>
      </c>
      <c r="C8" s="174">
        <v>2018</v>
      </c>
      <c r="D8" s="106" t="s">
        <v>311</v>
      </c>
      <c r="E8" s="174" t="s">
        <v>183</v>
      </c>
      <c r="F8" s="174" t="s">
        <v>184</v>
      </c>
      <c r="G8" s="174" t="s">
        <v>42</v>
      </c>
      <c r="H8" s="174" t="s">
        <v>158</v>
      </c>
      <c r="I8" s="174" t="s">
        <v>153</v>
      </c>
      <c r="J8" s="174" t="s">
        <v>38</v>
      </c>
      <c r="K8" s="174" t="s">
        <v>154</v>
      </c>
      <c r="L8" s="174">
        <v>1</v>
      </c>
      <c r="M8" s="174"/>
      <c r="N8" s="174">
        <v>1</v>
      </c>
      <c r="O8" s="174">
        <v>0.55000000000000004</v>
      </c>
      <c r="P8" s="174">
        <v>0.6</v>
      </c>
      <c r="Q8" s="107">
        <f t="shared" si="0"/>
        <v>0.57499999999999996</v>
      </c>
      <c r="R8" s="174">
        <v>16.5</v>
      </c>
      <c r="S8" s="174">
        <v>130</v>
      </c>
      <c r="T8" s="108">
        <f t="shared" si="1"/>
        <v>25</v>
      </c>
      <c r="U8" s="174">
        <v>128</v>
      </c>
      <c r="V8" s="109">
        <f t="shared" si="2"/>
        <v>3200</v>
      </c>
      <c r="W8" s="174">
        <v>6</v>
      </c>
      <c r="X8" s="174" t="s">
        <v>39</v>
      </c>
      <c r="Y8" s="174" t="s">
        <v>84</v>
      </c>
      <c r="Z8" s="174" t="s">
        <v>69</v>
      </c>
      <c r="AA8" s="174" t="s">
        <v>55</v>
      </c>
      <c r="AB8" s="174" t="s">
        <v>255</v>
      </c>
      <c r="AE8" s="116" t="s">
        <v>51</v>
      </c>
      <c r="AG8" s="111" t="s">
        <v>196</v>
      </c>
      <c r="AH8" s="111" t="s">
        <v>184</v>
      </c>
      <c r="AJ8" s="123"/>
      <c r="AL8" s="124" t="s">
        <v>155</v>
      </c>
      <c r="AN8" s="124" t="s">
        <v>153</v>
      </c>
      <c r="AP8" s="117" t="s">
        <v>197</v>
      </c>
      <c r="AR8" s="118" t="s">
        <v>54</v>
      </c>
      <c r="AV8" s="117" t="s">
        <v>55</v>
      </c>
      <c r="AX8" s="119">
        <v>84</v>
      </c>
      <c r="AY8" s="120">
        <v>39</v>
      </c>
      <c r="AZ8" s="120">
        <v>84</v>
      </c>
      <c r="BA8" s="121">
        <v>36</v>
      </c>
    </row>
    <row r="9" spans="1:53" s="115" customFormat="1" x14ac:dyDescent="0.15">
      <c r="A9" s="174" t="s">
        <v>51</v>
      </c>
      <c r="B9" s="174" t="s">
        <v>253</v>
      </c>
      <c r="C9" s="174">
        <v>2018</v>
      </c>
      <c r="D9" s="106" t="s">
        <v>311</v>
      </c>
      <c r="E9" s="174" t="s">
        <v>183</v>
      </c>
      <c r="F9" s="174" t="s">
        <v>184</v>
      </c>
      <c r="G9" s="174" t="s">
        <v>42</v>
      </c>
      <c r="H9" s="174" t="s">
        <v>158</v>
      </c>
      <c r="I9" s="174" t="s">
        <v>153</v>
      </c>
      <c r="J9" s="174" t="s">
        <v>38</v>
      </c>
      <c r="K9" s="174" t="s">
        <v>154</v>
      </c>
      <c r="L9" s="174">
        <v>2</v>
      </c>
      <c r="M9" s="174"/>
      <c r="N9" s="174">
        <v>1</v>
      </c>
      <c r="O9" s="174">
        <v>0.7</v>
      </c>
      <c r="P9" s="174">
        <v>0.6</v>
      </c>
      <c r="Q9" s="107">
        <f t="shared" si="0"/>
        <v>0.64999999999999991</v>
      </c>
      <c r="R9" s="174">
        <v>17.2</v>
      </c>
      <c r="S9" s="174">
        <v>136</v>
      </c>
      <c r="T9" s="108">
        <f t="shared" si="1"/>
        <v>25</v>
      </c>
      <c r="U9" s="174">
        <v>128</v>
      </c>
      <c r="V9" s="109">
        <f t="shared" si="2"/>
        <v>3200</v>
      </c>
      <c r="W9" s="174">
        <v>6</v>
      </c>
      <c r="X9" s="174" t="s">
        <v>39</v>
      </c>
      <c r="Y9" s="174" t="s">
        <v>84</v>
      </c>
      <c r="Z9" s="174" t="s">
        <v>69</v>
      </c>
      <c r="AA9" s="174" t="s">
        <v>55</v>
      </c>
      <c r="AB9" s="174" t="s">
        <v>255</v>
      </c>
      <c r="AE9" s="116" t="s">
        <v>56</v>
      </c>
      <c r="AG9" s="111" t="s">
        <v>198</v>
      </c>
      <c r="AH9" s="111" t="s">
        <v>199</v>
      </c>
      <c r="AL9" s="124" t="s">
        <v>200</v>
      </c>
      <c r="AN9" s="124" t="s">
        <v>156</v>
      </c>
      <c r="AP9" s="117" t="s">
        <v>53</v>
      </c>
      <c r="AR9" s="118" t="s">
        <v>59</v>
      </c>
      <c r="AV9" s="117" t="s">
        <v>60</v>
      </c>
      <c r="AX9" s="119">
        <v>97</v>
      </c>
      <c r="AY9" s="120">
        <v>36</v>
      </c>
      <c r="AZ9" s="120">
        <v>99</v>
      </c>
      <c r="BA9" s="121">
        <v>33</v>
      </c>
    </row>
    <row r="10" spans="1:53" s="115" customFormat="1" x14ac:dyDescent="0.15">
      <c r="A10" s="174" t="s">
        <v>51</v>
      </c>
      <c r="B10" s="174" t="s">
        <v>253</v>
      </c>
      <c r="C10" s="174">
        <v>2018</v>
      </c>
      <c r="D10" s="106" t="s">
        <v>311</v>
      </c>
      <c r="E10" s="174" t="s">
        <v>183</v>
      </c>
      <c r="F10" s="174" t="s">
        <v>184</v>
      </c>
      <c r="G10" s="174" t="s">
        <v>42</v>
      </c>
      <c r="H10" s="174" t="s">
        <v>158</v>
      </c>
      <c r="I10" s="174" t="s">
        <v>153</v>
      </c>
      <c r="J10" s="174" t="s">
        <v>38</v>
      </c>
      <c r="K10" s="174" t="s">
        <v>154</v>
      </c>
      <c r="L10" s="174">
        <v>3</v>
      </c>
      <c r="M10" s="174"/>
      <c r="N10" s="174">
        <v>1</v>
      </c>
      <c r="O10" s="174">
        <v>0.65</v>
      </c>
      <c r="P10" s="174">
        <v>0.7</v>
      </c>
      <c r="Q10" s="107">
        <f t="shared" si="0"/>
        <v>0.67500000000000004</v>
      </c>
      <c r="R10" s="174">
        <v>16.8</v>
      </c>
      <c r="S10" s="174">
        <v>132</v>
      </c>
      <c r="T10" s="108">
        <f t="shared" si="1"/>
        <v>25</v>
      </c>
      <c r="U10" s="174">
        <v>128</v>
      </c>
      <c r="V10" s="109">
        <f t="shared" si="2"/>
        <v>3200</v>
      </c>
      <c r="W10" s="174">
        <v>6</v>
      </c>
      <c r="X10" s="174" t="s">
        <v>39</v>
      </c>
      <c r="Y10" s="174" t="s">
        <v>84</v>
      </c>
      <c r="Z10" s="174" t="s">
        <v>69</v>
      </c>
      <c r="AA10" s="174" t="s">
        <v>55</v>
      </c>
      <c r="AB10" s="174" t="s">
        <v>255</v>
      </c>
      <c r="AE10" s="116" t="s">
        <v>61</v>
      </c>
      <c r="AG10" s="111" t="s">
        <v>201</v>
      </c>
      <c r="AH10" s="111" t="s">
        <v>185</v>
      </c>
      <c r="AL10" s="115" t="s">
        <v>202</v>
      </c>
      <c r="AP10" s="117" t="s">
        <v>58</v>
      </c>
      <c r="AR10" s="118" t="s">
        <v>203</v>
      </c>
      <c r="AV10" s="117" t="s">
        <v>64</v>
      </c>
      <c r="AX10" s="119">
        <v>109</v>
      </c>
      <c r="AY10" s="120">
        <v>33</v>
      </c>
      <c r="AZ10" s="120">
        <v>113</v>
      </c>
      <c r="BA10" s="121">
        <v>30</v>
      </c>
    </row>
    <row r="11" spans="1:53" s="115" customFormat="1" x14ac:dyDescent="0.15">
      <c r="A11" s="174" t="s">
        <v>51</v>
      </c>
      <c r="B11" s="174" t="s">
        <v>253</v>
      </c>
      <c r="C11" s="174">
        <v>2018</v>
      </c>
      <c r="D11" s="106" t="s">
        <v>311</v>
      </c>
      <c r="E11" s="174" t="s">
        <v>187</v>
      </c>
      <c r="F11" s="174" t="s">
        <v>188</v>
      </c>
      <c r="G11" s="174" t="s">
        <v>36</v>
      </c>
      <c r="H11" s="174" t="s">
        <v>155</v>
      </c>
      <c r="I11" s="174" t="s">
        <v>153</v>
      </c>
      <c r="J11" s="174" t="s">
        <v>38</v>
      </c>
      <c r="K11" s="174" t="s">
        <v>154</v>
      </c>
      <c r="L11" s="174">
        <v>1</v>
      </c>
      <c r="M11" s="174"/>
      <c r="N11" s="174">
        <v>3</v>
      </c>
      <c r="O11" s="174">
        <v>0.75</v>
      </c>
      <c r="P11" s="174">
        <v>0.8</v>
      </c>
      <c r="Q11" s="107">
        <f t="shared" si="0"/>
        <v>0.77500000000000002</v>
      </c>
      <c r="R11" s="174">
        <v>16.399999999999999</v>
      </c>
      <c r="S11" s="174">
        <v>162</v>
      </c>
      <c r="T11" s="108">
        <f t="shared" si="1"/>
        <v>18</v>
      </c>
      <c r="U11" s="174">
        <v>398</v>
      </c>
      <c r="V11" s="109">
        <f t="shared" si="2"/>
        <v>2388</v>
      </c>
      <c r="W11" s="174">
        <v>8</v>
      </c>
      <c r="X11" s="174" t="s">
        <v>46</v>
      </c>
      <c r="Y11" s="174" t="s">
        <v>90</v>
      </c>
      <c r="Z11" s="174" t="s">
        <v>84</v>
      </c>
      <c r="AA11" s="174" t="s">
        <v>69</v>
      </c>
      <c r="AB11" s="174" t="s">
        <v>255</v>
      </c>
      <c r="AE11" s="116" t="s">
        <v>59</v>
      </c>
      <c r="AG11" s="111" t="s">
        <v>204</v>
      </c>
      <c r="AH11" s="111" t="s">
        <v>205</v>
      </c>
      <c r="AL11" s="115" t="s">
        <v>158</v>
      </c>
      <c r="AP11" s="117" t="s">
        <v>62</v>
      </c>
      <c r="AR11" s="118" t="s">
        <v>81</v>
      </c>
      <c r="AV11" s="117" t="s">
        <v>97</v>
      </c>
      <c r="AX11" s="119">
        <v>119</v>
      </c>
      <c r="AY11" s="120">
        <v>30</v>
      </c>
      <c r="AZ11" s="120">
        <v>121</v>
      </c>
      <c r="BA11" s="121">
        <v>27</v>
      </c>
    </row>
    <row r="12" spans="1:53" s="115" customFormat="1" x14ac:dyDescent="0.15">
      <c r="A12" s="174" t="s">
        <v>51</v>
      </c>
      <c r="B12" s="174" t="s">
        <v>253</v>
      </c>
      <c r="C12" s="174">
        <v>2018</v>
      </c>
      <c r="D12" s="106" t="s">
        <v>311</v>
      </c>
      <c r="E12" s="174" t="s">
        <v>187</v>
      </c>
      <c r="F12" s="174" t="s">
        <v>188</v>
      </c>
      <c r="G12" s="174" t="s">
        <v>36</v>
      </c>
      <c r="H12" s="174" t="s">
        <v>155</v>
      </c>
      <c r="I12" s="174" t="s">
        <v>153</v>
      </c>
      <c r="J12" s="174" t="s">
        <v>38</v>
      </c>
      <c r="K12" s="174" t="s">
        <v>154</v>
      </c>
      <c r="L12" s="174">
        <v>2</v>
      </c>
      <c r="M12" s="174"/>
      <c r="N12" s="174">
        <v>3</v>
      </c>
      <c r="O12" s="174">
        <v>0.8</v>
      </c>
      <c r="P12" s="174">
        <v>0.85</v>
      </c>
      <c r="Q12" s="107">
        <f t="shared" si="0"/>
        <v>0.82499999999999996</v>
      </c>
      <c r="R12" s="174">
        <v>16.8</v>
      </c>
      <c r="S12" s="174">
        <v>172</v>
      </c>
      <c r="T12" s="108">
        <f t="shared" si="1"/>
        <v>18</v>
      </c>
      <c r="U12" s="174">
        <v>398</v>
      </c>
      <c r="V12" s="109">
        <f t="shared" si="2"/>
        <v>2388</v>
      </c>
      <c r="W12" s="174">
        <v>8</v>
      </c>
      <c r="X12" s="174" t="s">
        <v>46</v>
      </c>
      <c r="Y12" s="174" t="s">
        <v>90</v>
      </c>
      <c r="Z12" s="174" t="s">
        <v>84</v>
      </c>
      <c r="AA12" s="174" t="s">
        <v>69</v>
      </c>
      <c r="AB12" s="174" t="s">
        <v>255</v>
      </c>
      <c r="AE12" s="116" t="s">
        <v>206</v>
      </c>
      <c r="AG12" s="111" t="s">
        <v>207</v>
      </c>
      <c r="AH12" s="111" t="s">
        <v>184</v>
      </c>
      <c r="AL12" s="124"/>
      <c r="AP12" s="117" t="s">
        <v>95</v>
      </c>
      <c r="AR12" s="118" t="s">
        <v>208</v>
      </c>
      <c r="AV12" s="117" t="s">
        <v>102</v>
      </c>
      <c r="AX12" s="119">
        <v>128</v>
      </c>
      <c r="AY12" s="120">
        <v>27</v>
      </c>
      <c r="AZ12" s="120">
        <v>129</v>
      </c>
      <c r="BA12" s="121">
        <v>25</v>
      </c>
    </row>
    <row r="13" spans="1:53" s="115" customFormat="1" x14ac:dyDescent="0.15">
      <c r="A13" s="174" t="s">
        <v>51</v>
      </c>
      <c r="B13" s="174" t="s">
        <v>253</v>
      </c>
      <c r="C13" s="174">
        <v>2018</v>
      </c>
      <c r="D13" s="106" t="s">
        <v>311</v>
      </c>
      <c r="E13" s="174" t="s">
        <v>187</v>
      </c>
      <c r="F13" s="174" t="s">
        <v>188</v>
      </c>
      <c r="G13" s="174" t="s">
        <v>36</v>
      </c>
      <c r="H13" s="174" t="s">
        <v>155</v>
      </c>
      <c r="I13" s="174" t="s">
        <v>153</v>
      </c>
      <c r="J13" s="174" t="s">
        <v>38</v>
      </c>
      <c r="K13" s="174" t="s">
        <v>154</v>
      </c>
      <c r="L13" s="174">
        <v>3</v>
      </c>
      <c r="M13" s="174"/>
      <c r="N13" s="174">
        <v>3</v>
      </c>
      <c r="O13" s="174">
        <v>0.8</v>
      </c>
      <c r="P13" s="174">
        <v>0.7</v>
      </c>
      <c r="Q13" s="107">
        <f t="shared" si="0"/>
        <v>0.75</v>
      </c>
      <c r="R13" s="174">
        <v>16.5</v>
      </c>
      <c r="S13" s="174">
        <v>166</v>
      </c>
      <c r="T13" s="108">
        <f t="shared" si="1"/>
        <v>18</v>
      </c>
      <c r="U13" s="174">
        <v>398</v>
      </c>
      <c r="V13" s="109">
        <f t="shared" si="2"/>
        <v>2388</v>
      </c>
      <c r="W13" s="174">
        <v>8</v>
      </c>
      <c r="X13" s="174" t="s">
        <v>46</v>
      </c>
      <c r="Y13" s="174" t="s">
        <v>90</v>
      </c>
      <c r="Z13" s="174" t="s">
        <v>84</v>
      </c>
      <c r="AA13" s="174" t="s">
        <v>69</v>
      </c>
      <c r="AB13" s="174" t="s">
        <v>255</v>
      </c>
      <c r="AE13" s="116" t="s">
        <v>209</v>
      </c>
      <c r="AG13" s="111" t="s">
        <v>183</v>
      </c>
      <c r="AH13" s="117" t="s">
        <v>184</v>
      </c>
      <c r="AP13" s="117" t="s">
        <v>100</v>
      </c>
      <c r="AR13" s="118" t="s">
        <v>210</v>
      </c>
      <c r="AV13" s="117" t="s">
        <v>106</v>
      </c>
      <c r="AX13" s="119">
        <v>138</v>
      </c>
      <c r="AY13" s="120">
        <v>25</v>
      </c>
      <c r="AZ13" s="120">
        <v>138</v>
      </c>
      <c r="BA13" s="121">
        <v>22</v>
      </c>
    </row>
    <row r="14" spans="1:53" s="115" customFormat="1" x14ac:dyDescent="0.15">
      <c r="A14" s="174" t="s">
        <v>51</v>
      </c>
      <c r="B14" s="174" t="s">
        <v>253</v>
      </c>
      <c r="C14" s="174">
        <v>2018</v>
      </c>
      <c r="D14" s="106" t="s">
        <v>311</v>
      </c>
      <c r="E14" s="174" t="s">
        <v>187</v>
      </c>
      <c r="F14" s="174" t="s">
        <v>188</v>
      </c>
      <c r="G14" s="174" t="s">
        <v>36</v>
      </c>
      <c r="H14" s="174" t="s">
        <v>158</v>
      </c>
      <c r="I14" s="174" t="s">
        <v>153</v>
      </c>
      <c r="J14" s="174" t="s">
        <v>38</v>
      </c>
      <c r="K14" s="174" t="s">
        <v>154</v>
      </c>
      <c r="L14" s="174">
        <v>1</v>
      </c>
      <c r="M14" s="174"/>
      <c r="N14" s="174">
        <v>3</v>
      </c>
      <c r="O14" s="174">
        <v>0.65</v>
      </c>
      <c r="P14" s="174">
        <v>0.6</v>
      </c>
      <c r="Q14" s="107">
        <f t="shared" si="0"/>
        <v>0.625</v>
      </c>
      <c r="R14" s="174">
        <v>16.5</v>
      </c>
      <c r="S14" s="174">
        <v>162</v>
      </c>
      <c r="T14" s="108">
        <f t="shared" si="1"/>
        <v>18</v>
      </c>
      <c r="U14" s="174">
        <v>398</v>
      </c>
      <c r="V14" s="109">
        <f t="shared" si="2"/>
        <v>2388</v>
      </c>
      <c r="W14" s="174">
        <v>8</v>
      </c>
      <c r="X14" s="174" t="s">
        <v>46</v>
      </c>
      <c r="Y14" s="174" t="s">
        <v>90</v>
      </c>
      <c r="Z14" s="174" t="s">
        <v>84</v>
      </c>
      <c r="AA14" s="174" t="s">
        <v>69</v>
      </c>
      <c r="AB14" s="174" t="s">
        <v>255</v>
      </c>
      <c r="AE14" s="116" t="s">
        <v>68</v>
      </c>
      <c r="AG14" s="111" t="s">
        <v>139</v>
      </c>
      <c r="AH14" s="117" t="s">
        <v>312</v>
      </c>
      <c r="AP14" s="117" t="s">
        <v>104</v>
      </c>
      <c r="AR14" s="118" t="s">
        <v>211</v>
      </c>
      <c r="AV14" s="117" t="s">
        <v>69</v>
      </c>
      <c r="AX14" s="119">
        <v>151</v>
      </c>
      <c r="AY14" s="120">
        <v>22</v>
      </c>
      <c r="AZ14" s="120">
        <v>152</v>
      </c>
      <c r="BA14" s="121">
        <v>18</v>
      </c>
    </row>
    <row r="15" spans="1:53" s="115" customFormat="1" x14ac:dyDescent="0.15">
      <c r="A15" s="174" t="s">
        <v>51</v>
      </c>
      <c r="B15" s="174" t="s">
        <v>253</v>
      </c>
      <c r="C15" s="174">
        <v>2018</v>
      </c>
      <c r="D15" s="106" t="s">
        <v>311</v>
      </c>
      <c r="E15" s="174" t="s">
        <v>187</v>
      </c>
      <c r="F15" s="174" t="s">
        <v>188</v>
      </c>
      <c r="G15" s="174" t="s">
        <v>36</v>
      </c>
      <c r="H15" s="174" t="s">
        <v>158</v>
      </c>
      <c r="I15" s="174" t="s">
        <v>153</v>
      </c>
      <c r="J15" s="174" t="s">
        <v>38</v>
      </c>
      <c r="K15" s="174" t="s">
        <v>154</v>
      </c>
      <c r="L15" s="174">
        <v>2</v>
      </c>
      <c r="M15" s="174"/>
      <c r="N15" s="174">
        <v>3</v>
      </c>
      <c r="O15" s="174">
        <v>0.7</v>
      </c>
      <c r="P15" s="174">
        <v>0.65</v>
      </c>
      <c r="Q15" s="107">
        <f t="shared" si="0"/>
        <v>0.67500000000000004</v>
      </c>
      <c r="R15" s="174">
        <v>17.2</v>
      </c>
      <c r="S15" s="174">
        <v>176</v>
      </c>
      <c r="T15" s="108">
        <f t="shared" si="1"/>
        <v>18</v>
      </c>
      <c r="U15" s="174">
        <v>398</v>
      </c>
      <c r="V15" s="109">
        <f t="shared" si="2"/>
        <v>2388</v>
      </c>
      <c r="W15" s="174">
        <v>8</v>
      </c>
      <c r="X15" s="174" t="s">
        <v>46</v>
      </c>
      <c r="Y15" s="174" t="s">
        <v>90</v>
      </c>
      <c r="Z15" s="174" t="s">
        <v>84</v>
      </c>
      <c r="AA15" s="174" t="s">
        <v>69</v>
      </c>
      <c r="AB15" s="174" t="s">
        <v>255</v>
      </c>
      <c r="AE15" s="116" t="s">
        <v>212</v>
      </c>
      <c r="AG15" s="117"/>
      <c r="AH15" s="117"/>
      <c r="AP15" s="117" t="s">
        <v>67</v>
      </c>
      <c r="AR15" s="118" t="s">
        <v>213</v>
      </c>
      <c r="AV15" s="117" t="s">
        <v>72</v>
      </c>
      <c r="AX15" s="125">
        <v>180</v>
      </c>
      <c r="AY15" s="126">
        <v>18</v>
      </c>
      <c r="AZ15" s="126">
        <v>181</v>
      </c>
      <c r="BA15" s="127">
        <v>16</v>
      </c>
    </row>
    <row r="16" spans="1:53" s="115" customFormat="1" x14ac:dyDescent="0.15">
      <c r="A16" s="174" t="s">
        <v>51</v>
      </c>
      <c r="B16" s="174" t="s">
        <v>253</v>
      </c>
      <c r="C16" s="174">
        <v>2018</v>
      </c>
      <c r="D16" s="106" t="s">
        <v>311</v>
      </c>
      <c r="E16" s="174" t="s">
        <v>187</v>
      </c>
      <c r="F16" s="174" t="s">
        <v>188</v>
      </c>
      <c r="G16" s="174" t="s">
        <v>36</v>
      </c>
      <c r="H16" s="174" t="s">
        <v>158</v>
      </c>
      <c r="I16" s="174" t="s">
        <v>153</v>
      </c>
      <c r="J16" s="174" t="s">
        <v>38</v>
      </c>
      <c r="K16" s="174" t="s">
        <v>154</v>
      </c>
      <c r="L16" s="174">
        <v>3</v>
      </c>
      <c r="M16" s="174"/>
      <c r="N16" s="174">
        <v>3</v>
      </c>
      <c r="O16" s="174">
        <v>0.6</v>
      </c>
      <c r="P16" s="174">
        <v>0.6</v>
      </c>
      <c r="Q16" s="107">
        <f t="shared" si="0"/>
        <v>0.6</v>
      </c>
      <c r="R16" s="174">
        <v>16.7</v>
      </c>
      <c r="S16" s="174">
        <v>166</v>
      </c>
      <c r="T16" s="108">
        <f t="shared" si="1"/>
        <v>18</v>
      </c>
      <c r="U16" s="174">
        <v>398</v>
      </c>
      <c r="V16" s="109">
        <f t="shared" si="2"/>
        <v>2388</v>
      </c>
      <c r="W16" s="174">
        <v>8</v>
      </c>
      <c r="X16" s="174" t="s">
        <v>46</v>
      </c>
      <c r="Y16" s="174" t="s">
        <v>90</v>
      </c>
      <c r="Z16" s="174" t="s">
        <v>84</v>
      </c>
      <c r="AA16" s="174" t="s">
        <v>69</v>
      </c>
      <c r="AB16" s="174" t="s">
        <v>255</v>
      </c>
      <c r="AE16" s="116" t="s">
        <v>214</v>
      </c>
      <c r="AG16" s="117"/>
      <c r="AH16" s="117"/>
      <c r="AP16" s="117" t="s">
        <v>71</v>
      </c>
      <c r="AR16" s="118" t="s">
        <v>209</v>
      </c>
      <c r="AV16" s="117" t="s">
        <v>75</v>
      </c>
    </row>
    <row r="17" spans="1:48" s="115" customFormat="1" x14ac:dyDescent="0.15">
      <c r="A17" s="174" t="s">
        <v>51</v>
      </c>
      <c r="B17" s="174" t="s">
        <v>253</v>
      </c>
      <c r="C17" s="174">
        <v>2018</v>
      </c>
      <c r="D17" s="106" t="s">
        <v>311</v>
      </c>
      <c r="E17" s="174" t="s">
        <v>139</v>
      </c>
      <c r="F17" s="174" t="s">
        <v>312</v>
      </c>
      <c r="G17" s="174" t="s">
        <v>42</v>
      </c>
      <c r="H17" s="174" t="s">
        <v>155</v>
      </c>
      <c r="I17" s="174" t="s">
        <v>153</v>
      </c>
      <c r="J17" s="174" t="s">
        <v>38</v>
      </c>
      <c r="K17" s="174" t="s">
        <v>154</v>
      </c>
      <c r="L17" s="174">
        <v>1</v>
      </c>
      <c r="M17" s="174"/>
      <c r="N17" s="174">
        <v>1</v>
      </c>
      <c r="O17" s="174">
        <v>1</v>
      </c>
      <c r="P17" s="174">
        <v>0.9</v>
      </c>
      <c r="Q17" s="107">
        <f t="shared" si="0"/>
        <v>0.95</v>
      </c>
      <c r="R17" s="174">
        <v>15.9</v>
      </c>
      <c r="S17" s="174">
        <v>144</v>
      </c>
      <c r="T17" s="108">
        <f t="shared" si="1"/>
        <v>22</v>
      </c>
      <c r="U17" s="174">
        <v>98</v>
      </c>
      <c r="V17" s="109">
        <f t="shared" si="2"/>
        <v>2156</v>
      </c>
      <c r="W17" s="174">
        <v>9</v>
      </c>
      <c r="X17" s="174" t="s">
        <v>46</v>
      </c>
      <c r="Y17" s="174" t="s">
        <v>84</v>
      </c>
      <c r="Z17" s="174" t="s">
        <v>50</v>
      </c>
      <c r="AA17" s="174" t="s">
        <v>69</v>
      </c>
      <c r="AB17" s="174" t="s">
        <v>255</v>
      </c>
      <c r="AE17" s="116" t="s">
        <v>96</v>
      </c>
      <c r="AG17" s="117"/>
      <c r="AH17" s="117"/>
      <c r="AP17" s="117" t="s">
        <v>74</v>
      </c>
      <c r="AR17" s="118" t="s">
        <v>215</v>
      </c>
      <c r="AV17" s="117" t="s">
        <v>78</v>
      </c>
    </row>
    <row r="18" spans="1:48" s="115" customFormat="1" x14ac:dyDescent="0.15">
      <c r="A18" s="174" t="s">
        <v>51</v>
      </c>
      <c r="B18" s="174" t="s">
        <v>253</v>
      </c>
      <c r="C18" s="174">
        <v>2018</v>
      </c>
      <c r="D18" s="106" t="s">
        <v>311</v>
      </c>
      <c r="E18" s="174" t="s">
        <v>139</v>
      </c>
      <c r="F18" s="174" t="s">
        <v>312</v>
      </c>
      <c r="G18" s="174" t="s">
        <v>42</v>
      </c>
      <c r="H18" s="174" t="s">
        <v>155</v>
      </c>
      <c r="I18" s="174" t="s">
        <v>153</v>
      </c>
      <c r="J18" s="174" t="s">
        <v>38</v>
      </c>
      <c r="K18" s="174" t="s">
        <v>154</v>
      </c>
      <c r="L18" s="174">
        <v>2</v>
      </c>
      <c r="M18" s="174"/>
      <c r="N18" s="174">
        <v>1</v>
      </c>
      <c r="O18" s="174">
        <v>0.9</v>
      </c>
      <c r="P18" s="174">
        <v>0.85</v>
      </c>
      <c r="Q18" s="107">
        <f t="shared" si="0"/>
        <v>0.875</v>
      </c>
      <c r="R18" s="174">
        <v>16.600000000000001</v>
      </c>
      <c r="S18" s="174">
        <v>142</v>
      </c>
      <c r="T18" s="108">
        <f t="shared" si="1"/>
        <v>22</v>
      </c>
      <c r="U18" s="174">
        <v>98</v>
      </c>
      <c r="V18" s="109">
        <f t="shared" si="2"/>
        <v>2156</v>
      </c>
      <c r="W18" s="174">
        <v>9</v>
      </c>
      <c r="X18" s="174" t="s">
        <v>46</v>
      </c>
      <c r="Y18" s="174" t="s">
        <v>84</v>
      </c>
      <c r="Z18" s="174" t="s">
        <v>50</v>
      </c>
      <c r="AA18" s="174" t="s">
        <v>69</v>
      </c>
      <c r="AB18" s="174" t="s">
        <v>255</v>
      </c>
      <c r="AE18" s="116" t="s">
        <v>216</v>
      </c>
      <c r="AG18" s="117"/>
      <c r="AH18" s="117"/>
      <c r="AP18" s="117" t="s">
        <v>77</v>
      </c>
      <c r="AR18" s="118" t="s">
        <v>80</v>
      </c>
      <c r="AV18" s="117" t="s">
        <v>107</v>
      </c>
    </row>
    <row r="19" spans="1:48" s="115" customFormat="1" x14ac:dyDescent="0.15">
      <c r="A19" s="174" t="s">
        <v>51</v>
      </c>
      <c r="B19" s="174" t="s">
        <v>253</v>
      </c>
      <c r="C19" s="174">
        <v>2018</v>
      </c>
      <c r="D19" s="106" t="s">
        <v>311</v>
      </c>
      <c r="E19" s="174" t="s">
        <v>139</v>
      </c>
      <c r="F19" s="174" t="s">
        <v>312</v>
      </c>
      <c r="G19" s="174" t="s">
        <v>42</v>
      </c>
      <c r="H19" s="174" t="s">
        <v>155</v>
      </c>
      <c r="I19" s="174" t="s">
        <v>153</v>
      </c>
      <c r="J19" s="174" t="s">
        <v>38</v>
      </c>
      <c r="K19" s="174" t="s">
        <v>154</v>
      </c>
      <c r="L19" s="174">
        <v>3</v>
      </c>
      <c r="M19" s="174"/>
      <c r="N19" s="174">
        <v>1</v>
      </c>
      <c r="O19" s="174">
        <v>0.85</v>
      </c>
      <c r="P19" s="174">
        <v>1</v>
      </c>
      <c r="Q19" s="107">
        <f t="shared" si="0"/>
        <v>0.92500000000000004</v>
      </c>
      <c r="R19" s="174">
        <v>16.399999999999999</v>
      </c>
      <c r="S19" s="174">
        <v>140</v>
      </c>
      <c r="T19" s="108">
        <f t="shared" si="1"/>
        <v>22</v>
      </c>
      <c r="U19" s="174">
        <v>98</v>
      </c>
      <c r="V19" s="109">
        <f t="shared" si="2"/>
        <v>2156</v>
      </c>
      <c r="W19" s="174">
        <v>9</v>
      </c>
      <c r="X19" s="174" t="s">
        <v>46</v>
      </c>
      <c r="Y19" s="174" t="s">
        <v>84</v>
      </c>
      <c r="Z19" s="174" t="s">
        <v>50</v>
      </c>
      <c r="AA19" s="174" t="s">
        <v>69</v>
      </c>
      <c r="AB19" s="174" t="s">
        <v>255</v>
      </c>
      <c r="AE19" s="116" t="s">
        <v>217</v>
      </c>
      <c r="AG19" s="123"/>
      <c r="AH19" s="123"/>
      <c r="AP19" s="117" t="s">
        <v>80</v>
      </c>
      <c r="AR19" s="118" t="s">
        <v>63</v>
      </c>
      <c r="AV19" s="117" t="s">
        <v>84</v>
      </c>
    </row>
    <row r="20" spans="1:48" s="115" customFormat="1" x14ac:dyDescent="0.15">
      <c r="A20" s="174" t="s">
        <v>51</v>
      </c>
      <c r="B20" s="174" t="s">
        <v>253</v>
      </c>
      <c r="C20" s="174">
        <v>2018</v>
      </c>
      <c r="D20" s="106" t="s">
        <v>311</v>
      </c>
      <c r="E20" s="174" t="s">
        <v>139</v>
      </c>
      <c r="F20" s="174" t="s">
        <v>312</v>
      </c>
      <c r="G20" s="174" t="s">
        <v>42</v>
      </c>
      <c r="H20" s="174" t="s">
        <v>158</v>
      </c>
      <c r="I20" s="174" t="s">
        <v>153</v>
      </c>
      <c r="J20" s="174" t="s">
        <v>38</v>
      </c>
      <c r="K20" s="174" t="s">
        <v>154</v>
      </c>
      <c r="L20" s="174">
        <v>1</v>
      </c>
      <c r="M20" s="174"/>
      <c r="N20" s="174">
        <v>1</v>
      </c>
      <c r="O20" s="174">
        <v>0.65</v>
      </c>
      <c r="P20" s="174">
        <v>0.55000000000000004</v>
      </c>
      <c r="Q20" s="107">
        <f t="shared" si="0"/>
        <v>0.60000000000000009</v>
      </c>
      <c r="R20" s="174">
        <v>15.3</v>
      </c>
      <c r="S20" s="174">
        <v>144</v>
      </c>
      <c r="T20" s="108">
        <f t="shared" si="1"/>
        <v>22</v>
      </c>
      <c r="U20" s="174">
        <v>98</v>
      </c>
      <c r="V20" s="109">
        <f t="shared" si="2"/>
        <v>2156</v>
      </c>
      <c r="W20" s="174">
        <v>9</v>
      </c>
      <c r="X20" s="174" t="s">
        <v>46</v>
      </c>
      <c r="Y20" s="174" t="s">
        <v>84</v>
      </c>
      <c r="Z20" s="174" t="s">
        <v>50</v>
      </c>
      <c r="AA20" s="174" t="s">
        <v>69</v>
      </c>
      <c r="AB20" s="174" t="s">
        <v>255</v>
      </c>
      <c r="AE20" s="116" t="s">
        <v>218</v>
      </c>
      <c r="AP20" s="128" t="s">
        <v>219</v>
      </c>
      <c r="AR20" s="118" t="s">
        <v>96</v>
      </c>
      <c r="AV20" s="117" t="s">
        <v>86</v>
      </c>
    </row>
    <row r="21" spans="1:48" s="115" customFormat="1" x14ac:dyDescent="0.15">
      <c r="A21" s="174" t="s">
        <v>51</v>
      </c>
      <c r="B21" s="174" t="s">
        <v>253</v>
      </c>
      <c r="C21" s="174">
        <v>2018</v>
      </c>
      <c r="D21" s="106" t="s">
        <v>311</v>
      </c>
      <c r="E21" s="174" t="s">
        <v>139</v>
      </c>
      <c r="F21" s="174" t="s">
        <v>312</v>
      </c>
      <c r="G21" s="174" t="s">
        <v>42</v>
      </c>
      <c r="H21" s="174" t="s">
        <v>158</v>
      </c>
      <c r="I21" s="174" t="s">
        <v>153</v>
      </c>
      <c r="J21" s="174" t="s">
        <v>38</v>
      </c>
      <c r="K21" s="174" t="s">
        <v>154</v>
      </c>
      <c r="L21" s="174">
        <v>2</v>
      </c>
      <c r="M21" s="174"/>
      <c r="N21" s="174">
        <v>1</v>
      </c>
      <c r="O21" s="174">
        <v>0.7</v>
      </c>
      <c r="P21" s="174">
        <v>0.7</v>
      </c>
      <c r="Q21" s="107">
        <f t="shared" si="0"/>
        <v>0.7</v>
      </c>
      <c r="R21" s="174">
        <v>15.5</v>
      </c>
      <c r="S21" s="174">
        <v>144</v>
      </c>
      <c r="T21" s="108">
        <f t="shared" si="1"/>
        <v>22</v>
      </c>
      <c r="U21" s="174">
        <v>98</v>
      </c>
      <c r="V21" s="109">
        <f t="shared" si="2"/>
        <v>2156</v>
      </c>
      <c r="W21" s="174">
        <v>9</v>
      </c>
      <c r="X21" s="174" t="s">
        <v>46</v>
      </c>
      <c r="Y21" s="174" t="s">
        <v>84</v>
      </c>
      <c r="Z21" s="174" t="s">
        <v>50</v>
      </c>
      <c r="AA21" s="174" t="s">
        <v>69</v>
      </c>
      <c r="AB21" s="174" t="s">
        <v>255</v>
      </c>
      <c r="AE21" s="116" t="s">
        <v>211</v>
      </c>
      <c r="AP21" s="128" t="s">
        <v>220</v>
      </c>
      <c r="AR21" s="118" t="s">
        <v>101</v>
      </c>
      <c r="AV21" s="117" t="s">
        <v>88</v>
      </c>
    </row>
    <row r="22" spans="1:48" s="115" customFormat="1" x14ac:dyDescent="0.15">
      <c r="A22" s="174" t="s">
        <v>51</v>
      </c>
      <c r="B22" s="174" t="s">
        <v>253</v>
      </c>
      <c r="C22" s="174">
        <v>2018</v>
      </c>
      <c r="D22" s="106" t="s">
        <v>311</v>
      </c>
      <c r="E22" s="174" t="s">
        <v>139</v>
      </c>
      <c r="F22" s="174" t="s">
        <v>312</v>
      </c>
      <c r="G22" s="174" t="s">
        <v>42</v>
      </c>
      <c r="H22" s="174" t="s">
        <v>158</v>
      </c>
      <c r="I22" s="174" t="s">
        <v>153</v>
      </c>
      <c r="J22" s="174" t="s">
        <v>38</v>
      </c>
      <c r="K22" s="174" t="s">
        <v>154</v>
      </c>
      <c r="L22" s="174">
        <v>3</v>
      </c>
      <c r="M22" s="174"/>
      <c r="N22" s="174">
        <v>1</v>
      </c>
      <c r="O22" s="174">
        <v>0.6</v>
      </c>
      <c r="P22" s="174">
        <v>0.65</v>
      </c>
      <c r="Q22" s="107">
        <f t="shared" si="0"/>
        <v>0.625</v>
      </c>
      <c r="R22" s="174">
        <v>16.100000000000001</v>
      </c>
      <c r="S22" s="174">
        <v>146</v>
      </c>
      <c r="T22" s="108">
        <f t="shared" si="1"/>
        <v>22</v>
      </c>
      <c r="U22" s="174">
        <v>98</v>
      </c>
      <c r="V22" s="109">
        <f t="shared" si="2"/>
        <v>2156</v>
      </c>
      <c r="W22" s="174">
        <v>9</v>
      </c>
      <c r="X22" s="174" t="s">
        <v>46</v>
      </c>
      <c r="Y22" s="174" t="s">
        <v>84</v>
      </c>
      <c r="Z22" s="174" t="s">
        <v>50</v>
      </c>
      <c r="AA22" s="174" t="s">
        <v>69</v>
      </c>
      <c r="AB22" s="174" t="s">
        <v>255</v>
      </c>
      <c r="AE22" s="129" t="s">
        <v>208</v>
      </c>
      <c r="AP22" s="128" t="s">
        <v>221</v>
      </c>
      <c r="AR22" s="118" t="s">
        <v>222</v>
      </c>
      <c r="AV22" s="117" t="s">
        <v>90</v>
      </c>
    </row>
    <row r="23" spans="1:48" s="115" customFormat="1" x14ac:dyDescent="0.15">
      <c r="A23" s="174" t="s">
        <v>51</v>
      </c>
      <c r="B23" s="174" t="s">
        <v>253</v>
      </c>
      <c r="C23" s="174">
        <v>2018</v>
      </c>
      <c r="D23" s="106" t="s">
        <v>311</v>
      </c>
      <c r="E23" s="174" t="s">
        <v>198</v>
      </c>
      <c r="F23" s="174" t="s">
        <v>199</v>
      </c>
      <c r="G23" s="174" t="s">
        <v>36</v>
      </c>
      <c r="H23" s="174" t="s">
        <v>155</v>
      </c>
      <c r="I23" s="174" t="s">
        <v>153</v>
      </c>
      <c r="J23" s="174" t="s">
        <v>38</v>
      </c>
      <c r="K23" s="174" t="s">
        <v>154</v>
      </c>
      <c r="L23" s="174">
        <v>1</v>
      </c>
      <c r="M23" s="174"/>
      <c r="N23" s="174">
        <v>1</v>
      </c>
      <c r="O23" s="174">
        <v>0.7</v>
      </c>
      <c r="P23" s="174">
        <v>0.75</v>
      </c>
      <c r="Q23" s="107">
        <f t="shared" si="0"/>
        <v>0.72499999999999998</v>
      </c>
      <c r="R23" s="174">
        <v>16.899999999999999</v>
      </c>
      <c r="S23" s="174">
        <v>140</v>
      </c>
      <c r="T23" s="108">
        <f t="shared" si="1"/>
        <v>22</v>
      </c>
      <c r="U23" s="174">
        <v>128</v>
      </c>
      <c r="V23" s="109">
        <f t="shared" si="2"/>
        <v>2816</v>
      </c>
      <c r="W23" s="174">
        <v>8</v>
      </c>
      <c r="X23" s="174" t="s">
        <v>39</v>
      </c>
      <c r="Y23" s="174" t="s">
        <v>84</v>
      </c>
      <c r="Z23" s="174" t="s">
        <v>69</v>
      </c>
      <c r="AA23" s="174" t="s">
        <v>90</v>
      </c>
      <c r="AB23" s="174" t="s">
        <v>255</v>
      </c>
      <c r="AE23" s="129"/>
      <c r="AP23" s="128" t="s">
        <v>223</v>
      </c>
      <c r="AR23" s="118" t="s">
        <v>105</v>
      </c>
      <c r="AV23" s="122" t="s">
        <v>224</v>
      </c>
    </row>
    <row r="24" spans="1:48" s="115" customFormat="1" x14ac:dyDescent="0.15">
      <c r="A24" s="174" t="s">
        <v>51</v>
      </c>
      <c r="B24" s="174" t="s">
        <v>253</v>
      </c>
      <c r="C24" s="174">
        <v>2018</v>
      </c>
      <c r="D24" s="106" t="s">
        <v>311</v>
      </c>
      <c r="E24" s="174" t="s">
        <v>198</v>
      </c>
      <c r="F24" s="174" t="s">
        <v>199</v>
      </c>
      <c r="G24" s="174" t="s">
        <v>36</v>
      </c>
      <c r="H24" s="174" t="s">
        <v>155</v>
      </c>
      <c r="I24" s="174" t="s">
        <v>153</v>
      </c>
      <c r="J24" s="174" t="s">
        <v>38</v>
      </c>
      <c r="K24" s="174" t="s">
        <v>154</v>
      </c>
      <c r="L24" s="174">
        <v>2</v>
      </c>
      <c r="M24" s="174"/>
      <c r="N24" s="174">
        <v>1</v>
      </c>
      <c r="O24" s="174">
        <v>0.6</v>
      </c>
      <c r="P24" s="174">
        <v>0.65</v>
      </c>
      <c r="Q24" s="107">
        <f t="shared" si="0"/>
        <v>0.625</v>
      </c>
      <c r="R24" s="174">
        <v>16</v>
      </c>
      <c r="S24" s="174">
        <v>136</v>
      </c>
      <c r="T24" s="108">
        <f t="shared" si="1"/>
        <v>25</v>
      </c>
      <c r="U24" s="174">
        <v>128</v>
      </c>
      <c r="V24" s="109">
        <f t="shared" si="2"/>
        <v>3200</v>
      </c>
      <c r="W24" s="174">
        <v>8</v>
      </c>
      <c r="X24" s="174" t="s">
        <v>39</v>
      </c>
      <c r="Y24" s="174" t="s">
        <v>84</v>
      </c>
      <c r="Z24" s="174" t="s">
        <v>69</v>
      </c>
      <c r="AA24" s="174" t="s">
        <v>90</v>
      </c>
      <c r="AB24" s="174" t="s">
        <v>255</v>
      </c>
      <c r="AE24" s="123"/>
      <c r="AP24" s="128" t="s">
        <v>225</v>
      </c>
      <c r="AR24" s="118" t="s">
        <v>68</v>
      </c>
      <c r="AV24" s="122" t="s">
        <v>160</v>
      </c>
    </row>
    <row r="25" spans="1:48" s="115" customFormat="1" x14ac:dyDescent="0.15">
      <c r="A25" s="174" t="s">
        <v>51</v>
      </c>
      <c r="B25" s="174" t="s">
        <v>253</v>
      </c>
      <c r="C25" s="174">
        <v>2018</v>
      </c>
      <c r="D25" s="106" t="s">
        <v>311</v>
      </c>
      <c r="E25" s="174" t="s">
        <v>198</v>
      </c>
      <c r="F25" s="174" t="s">
        <v>199</v>
      </c>
      <c r="G25" s="174" t="s">
        <v>36</v>
      </c>
      <c r="H25" s="174" t="s">
        <v>155</v>
      </c>
      <c r="I25" s="174" t="s">
        <v>153</v>
      </c>
      <c r="J25" s="174" t="s">
        <v>38</v>
      </c>
      <c r="K25" s="174" t="s">
        <v>154</v>
      </c>
      <c r="L25" s="174">
        <v>3</v>
      </c>
      <c r="M25" s="174"/>
      <c r="N25" s="174">
        <v>1</v>
      </c>
      <c r="O25" s="174">
        <v>0.65</v>
      </c>
      <c r="P25" s="174">
        <v>0.55000000000000004</v>
      </c>
      <c r="Q25" s="107">
        <f t="shared" si="0"/>
        <v>0.60000000000000009</v>
      </c>
      <c r="R25" s="174">
        <v>16.5</v>
      </c>
      <c r="S25" s="174">
        <v>136</v>
      </c>
      <c r="T25" s="108">
        <f t="shared" si="1"/>
        <v>25</v>
      </c>
      <c r="U25" s="174">
        <v>128</v>
      </c>
      <c r="V25" s="109">
        <f t="shared" si="2"/>
        <v>3200</v>
      </c>
      <c r="W25" s="174">
        <v>8</v>
      </c>
      <c r="X25" s="174" t="s">
        <v>39</v>
      </c>
      <c r="Y25" s="174" t="s">
        <v>84</v>
      </c>
      <c r="Z25" s="174" t="s">
        <v>69</v>
      </c>
      <c r="AA25" s="174" t="s">
        <v>90</v>
      </c>
      <c r="AB25" s="174" t="s">
        <v>255</v>
      </c>
      <c r="AP25" s="128" t="s">
        <v>226</v>
      </c>
      <c r="AR25" s="118" t="s">
        <v>83</v>
      </c>
      <c r="AV25" s="122"/>
    </row>
    <row r="26" spans="1:48" s="115" customFormat="1" x14ac:dyDescent="0.15">
      <c r="A26" s="174" t="s">
        <v>51</v>
      </c>
      <c r="B26" s="174" t="s">
        <v>253</v>
      </c>
      <c r="C26" s="174">
        <v>2018</v>
      </c>
      <c r="D26" s="106" t="s">
        <v>311</v>
      </c>
      <c r="E26" s="174" t="s">
        <v>198</v>
      </c>
      <c r="F26" s="174" t="s">
        <v>199</v>
      </c>
      <c r="G26" s="174" t="s">
        <v>36</v>
      </c>
      <c r="H26" s="174" t="s">
        <v>158</v>
      </c>
      <c r="I26" s="174" t="s">
        <v>153</v>
      </c>
      <c r="J26" s="174" t="s">
        <v>38</v>
      </c>
      <c r="K26" s="174" t="s">
        <v>154</v>
      </c>
      <c r="L26" s="174">
        <v>1</v>
      </c>
      <c r="M26" s="174"/>
      <c r="N26" s="174">
        <v>3</v>
      </c>
      <c r="O26" s="174">
        <v>0.7</v>
      </c>
      <c r="P26" s="174">
        <v>0.6</v>
      </c>
      <c r="Q26" s="107">
        <f t="shared" si="0"/>
        <v>0.64999999999999991</v>
      </c>
      <c r="R26" s="174">
        <v>16.3</v>
      </c>
      <c r="S26" s="174">
        <v>152</v>
      </c>
      <c r="T26" s="108">
        <f t="shared" si="1"/>
        <v>18</v>
      </c>
      <c r="U26" s="174">
        <v>398</v>
      </c>
      <c r="V26" s="109">
        <f t="shared" si="2"/>
        <v>2388</v>
      </c>
      <c r="W26" s="174">
        <v>8</v>
      </c>
      <c r="X26" s="174" t="s">
        <v>39</v>
      </c>
      <c r="Y26" s="174" t="s">
        <v>84</v>
      </c>
      <c r="Z26" s="174" t="s">
        <v>69</v>
      </c>
      <c r="AA26" s="174" t="s">
        <v>90</v>
      </c>
      <c r="AB26" s="174" t="s">
        <v>255</v>
      </c>
      <c r="AP26" s="128" t="s">
        <v>227</v>
      </c>
      <c r="AR26" s="118" t="s">
        <v>61</v>
      </c>
    </row>
    <row r="27" spans="1:48" s="115" customFormat="1" x14ac:dyDescent="0.15">
      <c r="A27" s="174" t="s">
        <v>51</v>
      </c>
      <c r="B27" s="174" t="s">
        <v>253</v>
      </c>
      <c r="C27" s="174">
        <v>2018</v>
      </c>
      <c r="D27" s="106" t="s">
        <v>311</v>
      </c>
      <c r="E27" s="174" t="s">
        <v>198</v>
      </c>
      <c r="F27" s="174" t="s">
        <v>199</v>
      </c>
      <c r="G27" s="174" t="s">
        <v>36</v>
      </c>
      <c r="H27" s="174" t="s">
        <v>158</v>
      </c>
      <c r="I27" s="174" t="s">
        <v>153</v>
      </c>
      <c r="J27" s="174" t="s">
        <v>38</v>
      </c>
      <c r="K27" s="174" t="s">
        <v>154</v>
      </c>
      <c r="L27" s="174">
        <v>2</v>
      </c>
      <c r="M27" s="174"/>
      <c r="N27" s="174">
        <v>3</v>
      </c>
      <c r="O27" s="174">
        <v>0.65</v>
      </c>
      <c r="P27" s="174">
        <v>0.65</v>
      </c>
      <c r="Q27" s="107">
        <f t="shared" si="0"/>
        <v>0.65</v>
      </c>
      <c r="R27" s="174">
        <v>15.7</v>
      </c>
      <c r="S27" s="174">
        <v>140</v>
      </c>
      <c r="T27" s="108">
        <f t="shared" si="1"/>
        <v>22</v>
      </c>
      <c r="U27" s="174">
        <v>398</v>
      </c>
      <c r="V27" s="109">
        <f t="shared" si="2"/>
        <v>2918.6666666666665</v>
      </c>
      <c r="W27" s="174">
        <v>8</v>
      </c>
      <c r="X27" s="174" t="s">
        <v>39</v>
      </c>
      <c r="Y27" s="174" t="s">
        <v>84</v>
      </c>
      <c r="Z27" s="174" t="s">
        <v>69</v>
      </c>
      <c r="AA27" s="174" t="s">
        <v>90</v>
      </c>
      <c r="AB27" s="174" t="s">
        <v>255</v>
      </c>
      <c r="AP27" s="128" t="s">
        <v>228</v>
      </c>
      <c r="AR27" s="118" t="s">
        <v>91</v>
      </c>
    </row>
    <row r="28" spans="1:48" s="115" customFormat="1" x14ac:dyDescent="0.15">
      <c r="A28" s="174" t="s">
        <v>51</v>
      </c>
      <c r="B28" s="174" t="s">
        <v>253</v>
      </c>
      <c r="C28" s="174">
        <v>2018</v>
      </c>
      <c r="D28" s="106" t="s">
        <v>311</v>
      </c>
      <c r="E28" s="174" t="s">
        <v>198</v>
      </c>
      <c r="F28" s="174" t="s">
        <v>199</v>
      </c>
      <c r="G28" s="174" t="s">
        <v>36</v>
      </c>
      <c r="H28" s="174" t="s">
        <v>158</v>
      </c>
      <c r="I28" s="174" t="s">
        <v>153</v>
      </c>
      <c r="J28" s="174" t="s">
        <v>38</v>
      </c>
      <c r="K28" s="174" t="s">
        <v>154</v>
      </c>
      <c r="L28" s="174">
        <v>3</v>
      </c>
      <c r="M28" s="174"/>
      <c r="N28" s="174">
        <v>3</v>
      </c>
      <c r="O28" s="174">
        <v>0.5</v>
      </c>
      <c r="P28" s="174">
        <v>0.6</v>
      </c>
      <c r="Q28" s="107">
        <f t="shared" si="0"/>
        <v>0.55000000000000004</v>
      </c>
      <c r="R28" s="174">
        <v>15.2</v>
      </c>
      <c r="S28" s="174">
        <v>138</v>
      </c>
      <c r="T28" s="108">
        <f t="shared" si="1"/>
        <v>22</v>
      </c>
      <c r="U28" s="174">
        <v>398</v>
      </c>
      <c r="V28" s="109">
        <f t="shared" si="2"/>
        <v>2918.6666666666665</v>
      </c>
      <c r="W28" s="174">
        <v>8</v>
      </c>
      <c r="X28" s="174" t="s">
        <v>39</v>
      </c>
      <c r="Y28" s="174" t="s">
        <v>84</v>
      </c>
      <c r="Z28" s="174" t="s">
        <v>69</v>
      </c>
      <c r="AA28" s="174" t="s">
        <v>90</v>
      </c>
      <c r="AB28" s="174" t="s">
        <v>255</v>
      </c>
      <c r="AP28" s="128" t="s">
        <v>229</v>
      </c>
      <c r="AR28" s="128" t="s">
        <v>51</v>
      </c>
    </row>
    <row r="29" spans="1:48" s="115" customFormat="1" x14ac:dyDescent="0.15">
      <c r="A29" s="174" t="s">
        <v>51</v>
      </c>
      <c r="B29" s="174" t="s">
        <v>253</v>
      </c>
      <c r="C29" s="174">
        <v>2018</v>
      </c>
      <c r="D29" s="106" t="s">
        <v>311</v>
      </c>
      <c r="E29" s="174" t="s">
        <v>161</v>
      </c>
      <c r="F29" s="174" t="s">
        <v>185</v>
      </c>
      <c r="G29" s="174" t="s">
        <v>42</v>
      </c>
      <c r="H29" s="174" t="s">
        <v>155</v>
      </c>
      <c r="I29" s="174" t="s">
        <v>153</v>
      </c>
      <c r="J29" s="174" t="s">
        <v>38</v>
      </c>
      <c r="K29" s="174" t="s">
        <v>154</v>
      </c>
      <c r="L29" s="174">
        <v>1</v>
      </c>
      <c r="M29" s="174"/>
      <c r="N29" s="174">
        <v>1</v>
      </c>
      <c r="O29" s="174">
        <v>0.75</v>
      </c>
      <c r="P29" s="174">
        <v>0.85</v>
      </c>
      <c r="Q29" s="107">
        <f t="shared" si="0"/>
        <v>0.8</v>
      </c>
      <c r="R29" s="174">
        <v>16.8</v>
      </c>
      <c r="S29" s="174">
        <v>156</v>
      </c>
      <c r="T29" s="108">
        <f t="shared" si="1"/>
        <v>18</v>
      </c>
      <c r="U29" s="174">
        <v>127</v>
      </c>
      <c r="V29" s="109">
        <f t="shared" si="2"/>
        <v>2286</v>
      </c>
      <c r="W29" s="174">
        <v>11</v>
      </c>
      <c r="X29" s="174" t="s">
        <v>46</v>
      </c>
      <c r="Y29" s="174" t="s">
        <v>84</v>
      </c>
      <c r="Z29" s="174" t="s">
        <v>90</v>
      </c>
      <c r="AA29" s="174" t="s">
        <v>69</v>
      </c>
      <c r="AB29" s="174" t="s">
        <v>255</v>
      </c>
      <c r="AP29" s="128" t="s">
        <v>230</v>
      </c>
      <c r="AR29" s="115" t="s">
        <v>313</v>
      </c>
    </row>
    <row r="30" spans="1:48" s="115" customFormat="1" x14ac:dyDescent="0.15">
      <c r="A30" s="174" t="s">
        <v>51</v>
      </c>
      <c r="B30" s="174" t="s">
        <v>253</v>
      </c>
      <c r="C30" s="174">
        <v>2018</v>
      </c>
      <c r="D30" s="106" t="s">
        <v>311</v>
      </c>
      <c r="E30" s="174" t="s">
        <v>161</v>
      </c>
      <c r="F30" s="174" t="s">
        <v>185</v>
      </c>
      <c r="G30" s="174" t="s">
        <v>42</v>
      </c>
      <c r="H30" s="174" t="s">
        <v>155</v>
      </c>
      <c r="I30" s="174" t="s">
        <v>153</v>
      </c>
      <c r="J30" s="174" t="s">
        <v>38</v>
      </c>
      <c r="K30" s="174" t="s">
        <v>154</v>
      </c>
      <c r="L30" s="174">
        <v>2</v>
      </c>
      <c r="M30" s="174"/>
      <c r="N30" s="174">
        <v>1</v>
      </c>
      <c r="O30" s="174">
        <v>0.8</v>
      </c>
      <c r="P30" s="174">
        <v>0.8</v>
      </c>
      <c r="Q30" s="107">
        <f t="shared" si="0"/>
        <v>0.8</v>
      </c>
      <c r="R30" s="174">
        <v>16.100000000000001</v>
      </c>
      <c r="S30" s="174">
        <v>144</v>
      </c>
      <c r="T30" s="108">
        <f t="shared" si="1"/>
        <v>22</v>
      </c>
      <c r="U30" s="174">
        <v>127</v>
      </c>
      <c r="V30" s="109">
        <f t="shared" si="2"/>
        <v>2794</v>
      </c>
      <c r="W30" s="174">
        <v>11</v>
      </c>
      <c r="X30" s="174" t="s">
        <v>46</v>
      </c>
      <c r="Y30" s="174" t="s">
        <v>84</v>
      </c>
      <c r="Z30" s="174" t="s">
        <v>90</v>
      </c>
      <c r="AA30" s="174" t="s">
        <v>69</v>
      </c>
      <c r="AB30" s="174" t="s">
        <v>255</v>
      </c>
      <c r="AP30" s="128" t="s">
        <v>231</v>
      </c>
    </row>
    <row r="31" spans="1:48" s="115" customFormat="1" x14ac:dyDescent="0.15">
      <c r="A31" s="174" t="s">
        <v>51</v>
      </c>
      <c r="B31" s="174" t="s">
        <v>253</v>
      </c>
      <c r="C31" s="174">
        <v>2018</v>
      </c>
      <c r="D31" s="106" t="s">
        <v>311</v>
      </c>
      <c r="E31" s="174" t="s">
        <v>161</v>
      </c>
      <c r="F31" s="174" t="s">
        <v>185</v>
      </c>
      <c r="G31" s="174" t="s">
        <v>42</v>
      </c>
      <c r="H31" s="174" t="s">
        <v>155</v>
      </c>
      <c r="I31" s="174" t="s">
        <v>153</v>
      </c>
      <c r="J31" s="174" t="s">
        <v>38</v>
      </c>
      <c r="K31" s="174" t="s">
        <v>154</v>
      </c>
      <c r="L31" s="174">
        <v>3</v>
      </c>
      <c r="M31" s="174"/>
      <c r="N31" s="174">
        <v>1</v>
      </c>
      <c r="O31" s="174">
        <v>0.85</v>
      </c>
      <c r="P31" s="174">
        <v>0.7</v>
      </c>
      <c r="Q31" s="107">
        <f t="shared" si="0"/>
        <v>0.77499999999999991</v>
      </c>
      <c r="R31" s="174">
        <v>16.5</v>
      </c>
      <c r="S31" s="174">
        <v>146</v>
      </c>
      <c r="T31" s="108">
        <f t="shared" si="1"/>
        <v>22</v>
      </c>
      <c r="U31" s="174">
        <v>127</v>
      </c>
      <c r="V31" s="109">
        <f t="shared" si="2"/>
        <v>2794</v>
      </c>
      <c r="W31" s="174">
        <v>11</v>
      </c>
      <c r="X31" s="174" t="s">
        <v>46</v>
      </c>
      <c r="Y31" s="174" t="s">
        <v>84</v>
      </c>
      <c r="Z31" s="174" t="s">
        <v>90</v>
      </c>
      <c r="AA31" s="174" t="s">
        <v>69</v>
      </c>
      <c r="AB31" s="174" t="s">
        <v>255</v>
      </c>
    </row>
    <row r="32" spans="1:48" s="115" customFormat="1" x14ac:dyDescent="0.15">
      <c r="A32" s="174" t="s">
        <v>51</v>
      </c>
      <c r="B32" s="174" t="s">
        <v>253</v>
      </c>
      <c r="C32" s="174">
        <v>2018</v>
      </c>
      <c r="D32" s="106" t="s">
        <v>311</v>
      </c>
      <c r="E32" s="174" t="s">
        <v>161</v>
      </c>
      <c r="F32" s="174" t="s">
        <v>185</v>
      </c>
      <c r="G32" s="174" t="s">
        <v>42</v>
      </c>
      <c r="H32" s="174" t="s">
        <v>158</v>
      </c>
      <c r="I32" s="174" t="s">
        <v>153</v>
      </c>
      <c r="J32" s="174" t="s">
        <v>38</v>
      </c>
      <c r="K32" s="174" t="s">
        <v>154</v>
      </c>
      <c r="L32" s="174">
        <v>1</v>
      </c>
      <c r="M32" s="174"/>
      <c r="N32" s="174">
        <v>1</v>
      </c>
      <c r="O32" s="174">
        <v>0.55000000000000004</v>
      </c>
      <c r="P32" s="174">
        <v>0.6</v>
      </c>
      <c r="Q32" s="107">
        <f t="shared" si="0"/>
        <v>0.57499999999999996</v>
      </c>
      <c r="R32" s="174">
        <v>16.600000000000001</v>
      </c>
      <c r="S32" s="174">
        <v>160</v>
      </c>
      <c r="T32" s="108">
        <f t="shared" si="1"/>
        <v>18</v>
      </c>
      <c r="U32" s="174">
        <v>127</v>
      </c>
      <c r="V32" s="109">
        <f t="shared" si="2"/>
        <v>2286</v>
      </c>
      <c r="W32" s="174">
        <v>11</v>
      </c>
      <c r="X32" s="174" t="s">
        <v>46</v>
      </c>
      <c r="Y32" s="174" t="s">
        <v>84</v>
      </c>
      <c r="Z32" s="174" t="s">
        <v>90</v>
      </c>
      <c r="AA32" s="174" t="s">
        <v>69</v>
      </c>
      <c r="AB32" s="174" t="s">
        <v>255</v>
      </c>
    </row>
    <row r="33" spans="1:28" s="115" customFormat="1" x14ac:dyDescent="0.15">
      <c r="A33" s="174" t="s">
        <v>51</v>
      </c>
      <c r="B33" s="174" t="s">
        <v>253</v>
      </c>
      <c r="C33" s="174">
        <v>2018</v>
      </c>
      <c r="D33" s="106" t="s">
        <v>311</v>
      </c>
      <c r="E33" s="174" t="s">
        <v>161</v>
      </c>
      <c r="F33" s="174" t="s">
        <v>185</v>
      </c>
      <c r="G33" s="174" t="s">
        <v>42</v>
      </c>
      <c r="H33" s="174" t="s">
        <v>158</v>
      </c>
      <c r="I33" s="174" t="s">
        <v>153</v>
      </c>
      <c r="J33" s="174" t="s">
        <v>38</v>
      </c>
      <c r="K33" s="174" t="s">
        <v>154</v>
      </c>
      <c r="L33" s="174">
        <v>2</v>
      </c>
      <c r="M33" s="174"/>
      <c r="N33" s="174">
        <v>1</v>
      </c>
      <c r="O33" s="174">
        <v>0.7</v>
      </c>
      <c r="P33" s="174">
        <v>0.55000000000000004</v>
      </c>
      <c r="Q33" s="107">
        <f t="shared" si="0"/>
        <v>0.625</v>
      </c>
      <c r="R33" s="174">
        <v>17.8</v>
      </c>
      <c r="S33" s="174">
        <v>174</v>
      </c>
      <c r="T33" s="108">
        <f t="shared" si="1"/>
        <v>18</v>
      </c>
      <c r="U33" s="174">
        <v>127</v>
      </c>
      <c r="V33" s="109">
        <f t="shared" si="2"/>
        <v>2286</v>
      </c>
      <c r="W33" s="174">
        <v>11</v>
      </c>
      <c r="X33" s="174" t="s">
        <v>46</v>
      </c>
      <c r="Y33" s="174" t="s">
        <v>84</v>
      </c>
      <c r="Z33" s="174" t="s">
        <v>90</v>
      </c>
      <c r="AA33" s="174" t="s">
        <v>69</v>
      </c>
      <c r="AB33" s="174" t="s">
        <v>255</v>
      </c>
    </row>
    <row r="34" spans="1:28" s="115" customFormat="1" x14ac:dyDescent="0.15">
      <c r="A34" s="174" t="s">
        <v>51</v>
      </c>
      <c r="B34" s="174" t="s">
        <v>253</v>
      </c>
      <c r="C34" s="174">
        <v>2018</v>
      </c>
      <c r="D34" s="106" t="s">
        <v>311</v>
      </c>
      <c r="E34" s="174" t="s">
        <v>161</v>
      </c>
      <c r="F34" s="174" t="s">
        <v>185</v>
      </c>
      <c r="G34" s="174" t="s">
        <v>42</v>
      </c>
      <c r="H34" s="174" t="s">
        <v>158</v>
      </c>
      <c r="I34" s="174" t="s">
        <v>153</v>
      </c>
      <c r="J34" s="174" t="s">
        <v>38</v>
      </c>
      <c r="K34" s="174" t="s">
        <v>154</v>
      </c>
      <c r="L34" s="174">
        <v>3</v>
      </c>
      <c r="M34" s="174"/>
      <c r="N34" s="174">
        <v>1</v>
      </c>
      <c r="O34" s="174">
        <v>0.5</v>
      </c>
      <c r="P34" s="174">
        <v>0.5</v>
      </c>
      <c r="Q34" s="107">
        <f t="shared" si="0"/>
        <v>0.5</v>
      </c>
      <c r="R34" s="174">
        <v>16.2</v>
      </c>
      <c r="S34" s="174">
        <v>152</v>
      </c>
      <c r="T34" s="108">
        <f t="shared" si="1"/>
        <v>18</v>
      </c>
      <c r="U34" s="174">
        <v>127</v>
      </c>
      <c r="V34" s="109">
        <f t="shared" si="2"/>
        <v>2286</v>
      </c>
      <c r="W34" s="174">
        <v>11</v>
      </c>
      <c r="X34" s="174" t="s">
        <v>46</v>
      </c>
      <c r="Y34" s="174" t="s">
        <v>84</v>
      </c>
      <c r="Z34" s="174" t="s">
        <v>90</v>
      </c>
      <c r="AA34" s="174" t="s">
        <v>69</v>
      </c>
      <c r="AB34" s="174" t="s">
        <v>255</v>
      </c>
    </row>
    <row r="35" spans="1:28" s="115" customFormat="1" x14ac:dyDescent="0.15">
      <c r="A35" s="174" t="s">
        <v>51</v>
      </c>
      <c r="B35" s="174" t="s">
        <v>253</v>
      </c>
      <c r="C35" s="174">
        <v>2018</v>
      </c>
      <c r="D35" s="106" t="s">
        <v>311</v>
      </c>
      <c r="E35" s="174" t="s">
        <v>201</v>
      </c>
      <c r="F35" s="174" t="s">
        <v>185</v>
      </c>
      <c r="G35" s="174" t="s">
        <v>42</v>
      </c>
      <c r="H35" s="174" t="s">
        <v>155</v>
      </c>
      <c r="I35" s="174" t="s">
        <v>153</v>
      </c>
      <c r="J35" s="174" t="s">
        <v>38</v>
      </c>
      <c r="K35" s="174" t="s">
        <v>154</v>
      </c>
      <c r="L35" s="174">
        <v>1</v>
      </c>
      <c r="M35" s="174"/>
      <c r="N35" s="174">
        <v>1</v>
      </c>
      <c r="O35" s="174">
        <v>0.75</v>
      </c>
      <c r="P35" s="174">
        <v>0.8</v>
      </c>
      <c r="Q35" s="107">
        <f t="shared" si="0"/>
        <v>0.77500000000000002</v>
      </c>
      <c r="R35" s="174">
        <v>16.899999999999999</v>
      </c>
      <c r="S35" s="174">
        <v>122</v>
      </c>
      <c r="T35" s="108">
        <f t="shared" si="1"/>
        <v>27</v>
      </c>
      <c r="U35" s="174">
        <v>58</v>
      </c>
      <c r="V35" s="109">
        <f t="shared" si="2"/>
        <v>1566</v>
      </c>
      <c r="W35" s="174">
        <v>13</v>
      </c>
      <c r="X35" s="174" t="s">
        <v>46</v>
      </c>
      <c r="Y35" s="174" t="s">
        <v>90</v>
      </c>
      <c r="Z35" s="174" t="s">
        <v>84</v>
      </c>
      <c r="AA35" s="174" t="s">
        <v>69</v>
      </c>
      <c r="AB35" s="174" t="s">
        <v>255</v>
      </c>
    </row>
    <row r="36" spans="1:28" s="115" customFormat="1" x14ac:dyDescent="0.15">
      <c r="A36" s="174" t="s">
        <v>51</v>
      </c>
      <c r="B36" s="174" t="s">
        <v>253</v>
      </c>
      <c r="C36" s="174">
        <v>2018</v>
      </c>
      <c r="D36" s="106" t="s">
        <v>311</v>
      </c>
      <c r="E36" s="174" t="s">
        <v>201</v>
      </c>
      <c r="F36" s="174" t="s">
        <v>185</v>
      </c>
      <c r="G36" s="174" t="s">
        <v>42</v>
      </c>
      <c r="H36" s="174" t="s">
        <v>155</v>
      </c>
      <c r="I36" s="174" t="s">
        <v>153</v>
      </c>
      <c r="J36" s="174" t="s">
        <v>38</v>
      </c>
      <c r="K36" s="174" t="s">
        <v>154</v>
      </c>
      <c r="L36" s="174">
        <v>2</v>
      </c>
      <c r="M36" s="174"/>
      <c r="N36" s="174">
        <v>1</v>
      </c>
      <c r="O36" s="174">
        <v>0.7</v>
      </c>
      <c r="P36" s="174">
        <v>0.65</v>
      </c>
      <c r="Q36" s="107">
        <f t="shared" si="0"/>
        <v>0.67500000000000004</v>
      </c>
      <c r="R36" s="174">
        <v>16.8</v>
      </c>
      <c r="S36" s="174">
        <v>122</v>
      </c>
      <c r="T36" s="108">
        <f t="shared" si="1"/>
        <v>27</v>
      </c>
      <c r="U36" s="174">
        <v>58</v>
      </c>
      <c r="V36" s="109">
        <f t="shared" si="2"/>
        <v>1566</v>
      </c>
      <c r="W36" s="174">
        <v>13</v>
      </c>
      <c r="X36" s="174" t="s">
        <v>46</v>
      </c>
      <c r="Y36" s="174" t="s">
        <v>90</v>
      </c>
      <c r="Z36" s="174" t="s">
        <v>84</v>
      </c>
      <c r="AA36" s="174" t="s">
        <v>69</v>
      </c>
      <c r="AB36" s="174" t="s">
        <v>255</v>
      </c>
    </row>
    <row r="37" spans="1:28" s="115" customFormat="1" x14ac:dyDescent="0.15">
      <c r="A37" s="174" t="s">
        <v>51</v>
      </c>
      <c r="B37" s="174" t="s">
        <v>253</v>
      </c>
      <c r="C37" s="174">
        <v>2018</v>
      </c>
      <c r="D37" s="106" t="s">
        <v>311</v>
      </c>
      <c r="E37" s="174" t="s">
        <v>201</v>
      </c>
      <c r="F37" s="174" t="s">
        <v>185</v>
      </c>
      <c r="G37" s="174" t="s">
        <v>42</v>
      </c>
      <c r="H37" s="174" t="s">
        <v>155</v>
      </c>
      <c r="I37" s="174" t="s">
        <v>153</v>
      </c>
      <c r="J37" s="174" t="s">
        <v>38</v>
      </c>
      <c r="K37" s="174" t="s">
        <v>154</v>
      </c>
      <c r="L37" s="174">
        <v>3</v>
      </c>
      <c r="M37" s="174"/>
      <c r="N37" s="174">
        <v>1</v>
      </c>
      <c r="O37" s="174">
        <v>0.75</v>
      </c>
      <c r="P37" s="174">
        <v>0.75</v>
      </c>
      <c r="Q37" s="107">
        <f t="shared" si="0"/>
        <v>0.75</v>
      </c>
      <c r="R37" s="174">
        <v>17</v>
      </c>
      <c r="S37" s="174">
        <v>120</v>
      </c>
      <c r="T37" s="108">
        <f t="shared" si="1"/>
        <v>30</v>
      </c>
      <c r="U37" s="174">
        <v>58</v>
      </c>
      <c r="V37" s="109">
        <f t="shared" si="2"/>
        <v>1740</v>
      </c>
      <c r="W37" s="174">
        <v>13</v>
      </c>
      <c r="X37" s="174" t="s">
        <v>46</v>
      </c>
      <c r="Y37" s="174" t="s">
        <v>90</v>
      </c>
      <c r="Z37" s="174" t="s">
        <v>84</v>
      </c>
      <c r="AA37" s="174" t="s">
        <v>69</v>
      </c>
      <c r="AB37" s="174" t="s">
        <v>255</v>
      </c>
    </row>
    <row r="38" spans="1:28" s="115" customFormat="1" x14ac:dyDescent="0.15">
      <c r="A38" s="174" t="s">
        <v>51</v>
      </c>
      <c r="B38" s="174" t="s">
        <v>253</v>
      </c>
      <c r="C38" s="174">
        <v>2018</v>
      </c>
      <c r="D38" s="106" t="s">
        <v>311</v>
      </c>
      <c r="E38" s="174" t="s">
        <v>201</v>
      </c>
      <c r="F38" s="174" t="s">
        <v>185</v>
      </c>
      <c r="G38" s="174" t="s">
        <v>42</v>
      </c>
      <c r="H38" s="174" t="s">
        <v>158</v>
      </c>
      <c r="I38" s="174" t="s">
        <v>153</v>
      </c>
      <c r="J38" s="174" t="s">
        <v>38</v>
      </c>
      <c r="K38" s="174" t="s">
        <v>154</v>
      </c>
      <c r="L38" s="174">
        <v>1</v>
      </c>
      <c r="M38" s="174"/>
      <c r="N38" s="174">
        <v>4</v>
      </c>
      <c r="O38" s="174">
        <v>0.55000000000000004</v>
      </c>
      <c r="P38" s="174">
        <v>0.55000000000000004</v>
      </c>
      <c r="Q38" s="107">
        <f t="shared" si="0"/>
        <v>0.55000000000000004</v>
      </c>
      <c r="R38" s="174">
        <v>18.3</v>
      </c>
      <c r="S38" s="174">
        <v>142</v>
      </c>
      <c r="T38" s="108">
        <f t="shared" si="1"/>
        <v>22</v>
      </c>
      <c r="U38" s="174">
        <v>498</v>
      </c>
      <c r="V38" s="109">
        <f t="shared" si="2"/>
        <v>2739</v>
      </c>
      <c r="W38" s="174">
        <v>13</v>
      </c>
      <c r="X38" s="174" t="s">
        <v>46</v>
      </c>
      <c r="Y38" s="174" t="s">
        <v>90</v>
      </c>
      <c r="Z38" s="174" t="s">
        <v>84</v>
      </c>
      <c r="AA38" s="174" t="s">
        <v>69</v>
      </c>
      <c r="AB38" s="174" t="s">
        <v>255</v>
      </c>
    </row>
    <row r="39" spans="1:28" s="115" customFormat="1" x14ac:dyDescent="0.15">
      <c r="A39" s="174" t="s">
        <v>51</v>
      </c>
      <c r="B39" s="174" t="s">
        <v>253</v>
      </c>
      <c r="C39" s="174">
        <v>2018</v>
      </c>
      <c r="D39" s="106" t="s">
        <v>311</v>
      </c>
      <c r="E39" s="174" t="s">
        <v>201</v>
      </c>
      <c r="F39" s="174" t="s">
        <v>185</v>
      </c>
      <c r="G39" s="174" t="s">
        <v>42</v>
      </c>
      <c r="H39" s="174" t="s">
        <v>158</v>
      </c>
      <c r="I39" s="174" t="s">
        <v>153</v>
      </c>
      <c r="J39" s="174" t="s">
        <v>38</v>
      </c>
      <c r="K39" s="174" t="s">
        <v>154</v>
      </c>
      <c r="L39" s="174">
        <v>2</v>
      </c>
      <c r="M39" s="174"/>
      <c r="N39" s="174">
        <v>4</v>
      </c>
      <c r="O39" s="174">
        <v>0.65</v>
      </c>
      <c r="P39" s="174">
        <v>0.7</v>
      </c>
      <c r="Q39" s="107">
        <f t="shared" si="0"/>
        <v>0.67500000000000004</v>
      </c>
      <c r="R39" s="174">
        <v>17.600000000000001</v>
      </c>
      <c r="S39" s="174">
        <v>142</v>
      </c>
      <c r="T39" s="108">
        <f t="shared" si="1"/>
        <v>22</v>
      </c>
      <c r="U39" s="174">
        <v>498</v>
      </c>
      <c r="V39" s="109">
        <f t="shared" si="2"/>
        <v>2739</v>
      </c>
      <c r="W39" s="174">
        <v>13</v>
      </c>
      <c r="X39" s="174" t="s">
        <v>46</v>
      </c>
      <c r="Y39" s="174" t="s">
        <v>90</v>
      </c>
      <c r="Z39" s="174" t="s">
        <v>84</v>
      </c>
      <c r="AA39" s="174" t="s">
        <v>69</v>
      </c>
      <c r="AB39" s="174" t="s">
        <v>255</v>
      </c>
    </row>
    <row r="40" spans="1:28" s="115" customFormat="1" x14ac:dyDescent="0.15">
      <c r="A40" s="174" t="s">
        <v>51</v>
      </c>
      <c r="B40" s="174" t="s">
        <v>253</v>
      </c>
      <c r="C40" s="174">
        <v>2018</v>
      </c>
      <c r="D40" s="106" t="s">
        <v>311</v>
      </c>
      <c r="E40" s="174" t="s">
        <v>201</v>
      </c>
      <c r="F40" s="174" t="s">
        <v>185</v>
      </c>
      <c r="G40" s="174" t="s">
        <v>42</v>
      </c>
      <c r="H40" s="174" t="s">
        <v>158</v>
      </c>
      <c r="I40" s="174" t="s">
        <v>153</v>
      </c>
      <c r="J40" s="174" t="s">
        <v>38</v>
      </c>
      <c r="K40" s="174" t="s">
        <v>154</v>
      </c>
      <c r="L40" s="174">
        <v>3</v>
      </c>
      <c r="M40" s="174"/>
      <c r="N40" s="174">
        <v>4</v>
      </c>
      <c r="O40" s="174">
        <v>0.75</v>
      </c>
      <c r="P40" s="174">
        <v>0.8</v>
      </c>
      <c r="Q40" s="107">
        <f t="shared" si="0"/>
        <v>0.77500000000000002</v>
      </c>
      <c r="R40" s="174">
        <v>18.2</v>
      </c>
      <c r="S40" s="174">
        <v>148</v>
      </c>
      <c r="T40" s="108">
        <f t="shared" si="1"/>
        <v>22</v>
      </c>
      <c r="U40" s="174">
        <v>498</v>
      </c>
      <c r="V40" s="109">
        <f t="shared" si="2"/>
        <v>2739</v>
      </c>
      <c r="W40" s="174">
        <v>13</v>
      </c>
      <c r="X40" s="174" t="s">
        <v>46</v>
      </c>
      <c r="Y40" s="174" t="s">
        <v>90</v>
      </c>
      <c r="Z40" s="174" t="s">
        <v>84</v>
      </c>
      <c r="AA40" s="174" t="s">
        <v>69</v>
      </c>
      <c r="AB40" s="174" t="s">
        <v>255</v>
      </c>
    </row>
    <row r="41" spans="1:28" s="115" customFormat="1" x14ac:dyDescent="0.15">
      <c r="A41" s="174" t="s">
        <v>51</v>
      </c>
      <c r="B41" s="174" t="s">
        <v>253</v>
      </c>
      <c r="C41" s="174">
        <v>2018</v>
      </c>
      <c r="D41" s="106" t="s">
        <v>311</v>
      </c>
      <c r="E41" s="174" t="s">
        <v>190</v>
      </c>
      <c r="F41" s="174" t="s">
        <v>191</v>
      </c>
      <c r="G41" s="174" t="s">
        <v>42</v>
      </c>
      <c r="H41" s="174" t="s">
        <v>155</v>
      </c>
      <c r="I41" s="174" t="s">
        <v>153</v>
      </c>
      <c r="J41" s="174" t="s">
        <v>38</v>
      </c>
      <c r="K41" s="174" t="s">
        <v>154</v>
      </c>
      <c r="L41" s="174">
        <v>1</v>
      </c>
      <c r="M41" s="174"/>
      <c r="N41" s="174">
        <v>1</v>
      </c>
      <c r="O41" s="174">
        <v>0.85</v>
      </c>
      <c r="P41" s="174">
        <v>0.8</v>
      </c>
      <c r="Q41" s="107">
        <f t="shared" si="0"/>
        <v>0.82499999999999996</v>
      </c>
      <c r="R41" s="174">
        <v>16.5</v>
      </c>
      <c r="S41" s="174">
        <v>152</v>
      </c>
      <c r="T41" s="108">
        <f t="shared" si="1"/>
        <v>18</v>
      </c>
      <c r="U41" s="174">
        <v>88</v>
      </c>
      <c r="V41" s="109">
        <f t="shared" si="2"/>
        <v>1584</v>
      </c>
      <c r="W41" s="174">
        <v>4</v>
      </c>
      <c r="X41" s="174" t="s">
        <v>39</v>
      </c>
      <c r="Y41" s="174" t="s">
        <v>90</v>
      </c>
      <c r="Z41" s="174" t="s">
        <v>84</v>
      </c>
      <c r="AA41" s="174" t="s">
        <v>69</v>
      </c>
      <c r="AB41" s="174" t="s">
        <v>255</v>
      </c>
    </row>
    <row r="42" spans="1:28" s="115" customFormat="1" x14ac:dyDescent="0.15">
      <c r="A42" s="174" t="s">
        <v>51</v>
      </c>
      <c r="B42" s="174" t="s">
        <v>253</v>
      </c>
      <c r="C42" s="174">
        <v>2018</v>
      </c>
      <c r="D42" s="106" t="s">
        <v>311</v>
      </c>
      <c r="E42" s="174" t="s">
        <v>190</v>
      </c>
      <c r="F42" s="174" t="s">
        <v>191</v>
      </c>
      <c r="G42" s="174" t="s">
        <v>42</v>
      </c>
      <c r="H42" s="174" t="s">
        <v>155</v>
      </c>
      <c r="I42" s="174" t="s">
        <v>153</v>
      </c>
      <c r="J42" s="174" t="s">
        <v>38</v>
      </c>
      <c r="K42" s="174" t="s">
        <v>154</v>
      </c>
      <c r="L42" s="174">
        <v>2</v>
      </c>
      <c r="M42" s="174"/>
      <c r="N42" s="174">
        <v>1</v>
      </c>
      <c r="O42" s="174">
        <v>0.6</v>
      </c>
      <c r="P42" s="174">
        <v>0.7</v>
      </c>
      <c r="Q42" s="107">
        <f t="shared" si="0"/>
        <v>0.64999999999999991</v>
      </c>
      <c r="R42" s="174">
        <v>16.8</v>
      </c>
      <c r="S42" s="174">
        <v>138</v>
      </c>
      <c r="T42" s="108">
        <f t="shared" si="1"/>
        <v>22</v>
      </c>
      <c r="U42" s="174">
        <v>88</v>
      </c>
      <c r="V42" s="109">
        <f t="shared" si="2"/>
        <v>1936</v>
      </c>
      <c r="W42" s="174">
        <v>4</v>
      </c>
      <c r="X42" s="174" t="s">
        <v>39</v>
      </c>
      <c r="Y42" s="174" t="s">
        <v>90</v>
      </c>
      <c r="Z42" s="174" t="s">
        <v>84</v>
      </c>
      <c r="AA42" s="174" t="s">
        <v>69</v>
      </c>
      <c r="AB42" s="174" t="s">
        <v>255</v>
      </c>
    </row>
    <row r="43" spans="1:28" s="115" customFormat="1" x14ac:dyDescent="0.15">
      <c r="A43" s="174" t="s">
        <v>51</v>
      </c>
      <c r="B43" s="174" t="s">
        <v>253</v>
      </c>
      <c r="C43" s="174">
        <v>2018</v>
      </c>
      <c r="D43" s="106" t="s">
        <v>311</v>
      </c>
      <c r="E43" s="174" t="s">
        <v>190</v>
      </c>
      <c r="F43" s="174" t="s">
        <v>191</v>
      </c>
      <c r="G43" s="174" t="s">
        <v>42</v>
      </c>
      <c r="H43" s="174" t="s">
        <v>155</v>
      </c>
      <c r="I43" s="174" t="s">
        <v>153</v>
      </c>
      <c r="J43" s="174" t="s">
        <v>38</v>
      </c>
      <c r="K43" s="174" t="s">
        <v>154</v>
      </c>
      <c r="L43" s="174">
        <v>3</v>
      </c>
      <c r="M43" s="174"/>
      <c r="N43" s="174">
        <v>1</v>
      </c>
      <c r="O43" s="174">
        <v>0.7</v>
      </c>
      <c r="P43" s="174">
        <v>0.8</v>
      </c>
      <c r="Q43" s="107">
        <f t="shared" si="0"/>
        <v>0.75</v>
      </c>
      <c r="R43" s="174">
        <v>16.600000000000001</v>
      </c>
      <c r="S43" s="174">
        <v>150</v>
      </c>
      <c r="T43" s="108">
        <f t="shared" si="1"/>
        <v>22</v>
      </c>
      <c r="U43" s="174">
        <v>88</v>
      </c>
      <c r="V43" s="109">
        <f t="shared" si="2"/>
        <v>1936</v>
      </c>
      <c r="W43" s="174">
        <v>4</v>
      </c>
      <c r="X43" s="174" t="s">
        <v>39</v>
      </c>
      <c r="Y43" s="174" t="s">
        <v>90</v>
      </c>
      <c r="Z43" s="174" t="s">
        <v>84</v>
      </c>
      <c r="AA43" s="174" t="s">
        <v>69</v>
      </c>
      <c r="AB43" s="174" t="s">
        <v>255</v>
      </c>
    </row>
    <row r="44" spans="1:28" s="115" customFormat="1" x14ac:dyDescent="0.15">
      <c r="A44" s="174" t="s">
        <v>51</v>
      </c>
      <c r="B44" s="174" t="s">
        <v>253</v>
      </c>
      <c r="C44" s="174">
        <v>2018</v>
      </c>
      <c r="D44" s="106" t="s">
        <v>311</v>
      </c>
      <c r="E44" s="174" t="s">
        <v>190</v>
      </c>
      <c r="F44" s="174" t="s">
        <v>191</v>
      </c>
      <c r="G44" s="174" t="s">
        <v>42</v>
      </c>
      <c r="H44" s="174" t="s">
        <v>158</v>
      </c>
      <c r="I44" s="174" t="s">
        <v>153</v>
      </c>
      <c r="J44" s="174" t="s">
        <v>38</v>
      </c>
      <c r="K44" s="174" t="s">
        <v>154</v>
      </c>
      <c r="L44" s="174">
        <v>1</v>
      </c>
      <c r="M44" s="174"/>
      <c r="N44" s="174">
        <v>1</v>
      </c>
      <c r="O44" s="174">
        <v>0.25</v>
      </c>
      <c r="P44" s="174">
        <v>0.25</v>
      </c>
      <c r="Q44" s="107">
        <f t="shared" si="0"/>
        <v>0.25</v>
      </c>
      <c r="R44" s="174">
        <v>17.399999999999999</v>
      </c>
      <c r="S44" s="174">
        <v>148</v>
      </c>
      <c r="T44" s="108">
        <f t="shared" si="1"/>
        <v>22</v>
      </c>
      <c r="U44" s="174">
        <v>138</v>
      </c>
      <c r="V44" s="109">
        <f>IF(OR(N44="",U44="",T44=""),"",U44/N44*T44)</f>
        <v>3036</v>
      </c>
      <c r="W44" s="174">
        <v>4</v>
      </c>
      <c r="X44" s="174" t="s">
        <v>39</v>
      </c>
      <c r="Y44" s="174" t="s">
        <v>90</v>
      </c>
      <c r="Z44" s="174" t="s">
        <v>84</v>
      </c>
      <c r="AA44" s="174" t="s">
        <v>69</v>
      </c>
      <c r="AB44" s="174" t="s">
        <v>255</v>
      </c>
    </row>
    <row r="45" spans="1:28" s="115" customFormat="1" x14ac:dyDescent="0.15">
      <c r="A45" s="174" t="s">
        <v>51</v>
      </c>
      <c r="B45" s="174" t="s">
        <v>253</v>
      </c>
      <c r="C45" s="174">
        <v>2018</v>
      </c>
      <c r="D45" s="106" t="s">
        <v>311</v>
      </c>
      <c r="E45" s="174" t="s">
        <v>190</v>
      </c>
      <c r="F45" s="174" t="s">
        <v>191</v>
      </c>
      <c r="G45" s="174" t="s">
        <v>42</v>
      </c>
      <c r="H45" s="174" t="s">
        <v>158</v>
      </c>
      <c r="I45" s="174" t="s">
        <v>153</v>
      </c>
      <c r="J45" s="174" t="s">
        <v>38</v>
      </c>
      <c r="K45" s="174" t="s">
        <v>154</v>
      </c>
      <c r="L45" s="174">
        <v>2</v>
      </c>
      <c r="M45" s="174"/>
      <c r="N45" s="174">
        <v>1</v>
      </c>
      <c r="O45" s="174">
        <v>0.25</v>
      </c>
      <c r="P45" s="174">
        <v>0.5</v>
      </c>
      <c r="Q45" s="107">
        <f t="shared" si="0"/>
        <v>0.375</v>
      </c>
      <c r="R45" s="174">
        <v>17</v>
      </c>
      <c r="S45" s="174">
        <v>146</v>
      </c>
      <c r="T45" s="108">
        <f t="shared" si="1"/>
        <v>22</v>
      </c>
      <c r="U45" s="174">
        <v>138</v>
      </c>
      <c r="V45" s="109">
        <f>IF(OR(N45="",U45="",T45=""),"",U45/N45*T45)</f>
        <v>3036</v>
      </c>
      <c r="W45" s="174">
        <v>4</v>
      </c>
      <c r="X45" s="174" t="s">
        <v>39</v>
      </c>
      <c r="Y45" s="174" t="s">
        <v>90</v>
      </c>
      <c r="Z45" s="174" t="s">
        <v>84</v>
      </c>
      <c r="AA45" s="174" t="s">
        <v>69</v>
      </c>
      <c r="AB45" s="174" t="s">
        <v>255</v>
      </c>
    </row>
    <row r="46" spans="1:28" s="115" customFormat="1" x14ac:dyDescent="0.15">
      <c r="A46" s="174" t="s">
        <v>51</v>
      </c>
      <c r="B46" s="174" t="s">
        <v>253</v>
      </c>
      <c r="C46" s="174">
        <v>2018</v>
      </c>
      <c r="D46" s="106" t="s">
        <v>311</v>
      </c>
      <c r="E46" s="174" t="s">
        <v>190</v>
      </c>
      <c r="F46" s="174" t="s">
        <v>191</v>
      </c>
      <c r="G46" s="174" t="s">
        <v>42</v>
      </c>
      <c r="H46" s="174" t="s">
        <v>158</v>
      </c>
      <c r="I46" s="174" t="s">
        <v>153</v>
      </c>
      <c r="J46" s="174" t="s">
        <v>38</v>
      </c>
      <c r="K46" s="174" t="s">
        <v>154</v>
      </c>
      <c r="L46" s="174">
        <v>3</v>
      </c>
      <c r="M46" s="174"/>
      <c r="N46" s="174">
        <v>1</v>
      </c>
      <c r="O46" s="174">
        <v>0.5</v>
      </c>
      <c r="P46" s="174">
        <v>0.5</v>
      </c>
      <c r="Q46" s="107">
        <f t="shared" si="0"/>
        <v>0.5</v>
      </c>
      <c r="R46" s="174">
        <v>16.7</v>
      </c>
      <c r="S46" s="174">
        <v>146</v>
      </c>
      <c r="T46" s="108">
        <f t="shared" si="1"/>
        <v>22</v>
      </c>
      <c r="U46" s="174">
        <v>138</v>
      </c>
      <c r="V46" s="109">
        <f>IF(OR(N46="",U46="",T46=""),"",U46/N46*T46)</f>
        <v>3036</v>
      </c>
      <c r="W46" s="174">
        <v>4</v>
      </c>
      <c r="X46" s="174" t="s">
        <v>39</v>
      </c>
      <c r="Y46" s="174" t="s">
        <v>90</v>
      </c>
      <c r="Z46" s="174" t="s">
        <v>84</v>
      </c>
      <c r="AA46" s="174" t="s">
        <v>69</v>
      </c>
      <c r="AB46" s="174" t="s">
        <v>255</v>
      </c>
    </row>
    <row r="47" spans="1:28" s="115" customFormat="1" x14ac:dyDescent="0.15">
      <c r="A47" s="174" t="s">
        <v>51</v>
      </c>
      <c r="B47" s="174" t="s">
        <v>253</v>
      </c>
      <c r="C47" s="174">
        <v>2018</v>
      </c>
      <c r="D47" s="106" t="s">
        <v>311</v>
      </c>
      <c r="E47" s="174" t="s">
        <v>196</v>
      </c>
      <c r="F47" s="174" t="s">
        <v>184</v>
      </c>
      <c r="G47" s="174" t="s">
        <v>36</v>
      </c>
      <c r="H47" s="174" t="s">
        <v>155</v>
      </c>
      <c r="I47" s="174" t="s">
        <v>153</v>
      </c>
      <c r="J47" s="174" t="s">
        <v>38</v>
      </c>
      <c r="K47" s="174" t="s">
        <v>154</v>
      </c>
      <c r="L47" s="174">
        <v>1</v>
      </c>
      <c r="M47" s="174"/>
      <c r="N47" s="174">
        <v>4</v>
      </c>
      <c r="O47" s="174">
        <v>0.65</v>
      </c>
      <c r="P47" s="174">
        <v>0.55000000000000004</v>
      </c>
      <c r="Q47" s="107">
        <f t="shared" si="0"/>
        <v>0.60000000000000009</v>
      </c>
      <c r="R47" s="174">
        <v>16.2</v>
      </c>
      <c r="S47" s="174">
        <v>112</v>
      </c>
      <c r="T47" s="108">
        <f t="shared" si="1"/>
        <v>33</v>
      </c>
      <c r="U47" s="174">
        <v>298</v>
      </c>
      <c r="V47" s="109">
        <f t="shared" ref="V47:V91" si="3">IF(OR(N47="",U47="",T47=""),"",U47/N47*T47)</f>
        <v>2458.5</v>
      </c>
      <c r="W47" s="174">
        <v>6</v>
      </c>
      <c r="X47" s="174" t="s">
        <v>46</v>
      </c>
      <c r="Y47" s="174" t="s">
        <v>84</v>
      </c>
      <c r="Z47" s="174" t="s">
        <v>90</v>
      </c>
      <c r="AA47" s="174" t="s">
        <v>69</v>
      </c>
      <c r="AB47" s="174" t="s">
        <v>255</v>
      </c>
    </row>
    <row r="48" spans="1:28" s="115" customFormat="1" x14ac:dyDescent="0.15">
      <c r="A48" s="174" t="s">
        <v>51</v>
      </c>
      <c r="B48" s="174" t="s">
        <v>253</v>
      </c>
      <c r="C48" s="174">
        <v>2018</v>
      </c>
      <c r="D48" s="106" t="s">
        <v>311</v>
      </c>
      <c r="E48" s="174" t="s">
        <v>196</v>
      </c>
      <c r="F48" s="174" t="s">
        <v>184</v>
      </c>
      <c r="G48" s="174" t="s">
        <v>36</v>
      </c>
      <c r="H48" s="174" t="s">
        <v>155</v>
      </c>
      <c r="I48" s="174" t="s">
        <v>153</v>
      </c>
      <c r="J48" s="174" t="s">
        <v>38</v>
      </c>
      <c r="K48" s="174" t="s">
        <v>154</v>
      </c>
      <c r="L48" s="174">
        <v>2</v>
      </c>
      <c r="M48" s="174"/>
      <c r="N48" s="174">
        <v>4</v>
      </c>
      <c r="O48" s="174">
        <v>0.6</v>
      </c>
      <c r="P48" s="174">
        <v>0.5</v>
      </c>
      <c r="Q48" s="107">
        <f t="shared" si="0"/>
        <v>0.55000000000000004</v>
      </c>
      <c r="R48" s="174">
        <v>15.7</v>
      </c>
      <c r="S48" s="174">
        <v>110</v>
      </c>
      <c r="T48" s="108">
        <f t="shared" si="1"/>
        <v>33</v>
      </c>
      <c r="U48" s="174">
        <v>298</v>
      </c>
      <c r="V48" s="109">
        <f t="shared" si="3"/>
        <v>2458.5</v>
      </c>
      <c r="W48" s="174">
        <v>6</v>
      </c>
      <c r="X48" s="174" t="s">
        <v>46</v>
      </c>
      <c r="Y48" s="174" t="s">
        <v>84</v>
      </c>
      <c r="Z48" s="174" t="s">
        <v>90</v>
      </c>
      <c r="AA48" s="174" t="s">
        <v>69</v>
      </c>
      <c r="AB48" s="174" t="s">
        <v>255</v>
      </c>
    </row>
    <row r="49" spans="1:28" s="115" customFormat="1" x14ac:dyDescent="0.15">
      <c r="A49" s="174" t="s">
        <v>51</v>
      </c>
      <c r="B49" s="174" t="s">
        <v>253</v>
      </c>
      <c r="C49" s="174">
        <v>2018</v>
      </c>
      <c r="D49" s="106" t="s">
        <v>311</v>
      </c>
      <c r="E49" s="174" t="s">
        <v>196</v>
      </c>
      <c r="F49" s="174" t="s">
        <v>184</v>
      </c>
      <c r="G49" s="174" t="s">
        <v>36</v>
      </c>
      <c r="H49" s="174" t="s">
        <v>155</v>
      </c>
      <c r="I49" s="174" t="s">
        <v>153</v>
      </c>
      <c r="J49" s="174" t="s">
        <v>38</v>
      </c>
      <c r="K49" s="174" t="s">
        <v>154</v>
      </c>
      <c r="L49" s="174">
        <v>3</v>
      </c>
      <c r="M49" s="174"/>
      <c r="N49" s="174">
        <v>4</v>
      </c>
      <c r="O49" s="174">
        <v>0.6</v>
      </c>
      <c r="P49" s="174">
        <v>0.7</v>
      </c>
      <c r="Q49" s="107">
        <f t="shared" si="0"/>
        <v>0.64999999999999991</v>
      </c>
      <c r="R49" s="174">
        <v>16.399999999999999</v>
      </c>
      <c r="S49" s="174">
        <v>118</v>
      </c>
      <c r="T49" s="108">
        <f t="shared" si="1"/>
        <v>30</v>
      </c>
      <c r="U49" s="174">
        <v>298</v>
      </c>
      <c r="V49" s="109">
        <f t="shared" si="3"/>
        <v>2235</v>
      </c>
      <c r="W49" s="174">
        <v>6</v>
      </c>
      <c r="X49" s="174" t="s">
        <v>46</v>
      </c>
      <c r="Y49" s="174" t="s">
        <v>84</v>
      </c>
      <c r="Z49" s="174" t="s">
        <v>90</v>
      </c>
      <c r="AA49" s="174" t="s">
        <v>69</v>
      </c>
      <c r="AB49" s="174" t="s">
        <v>255</v>
      </c>
    </row>
    <row r="50" spans="1:28" s="115" customFormat="1" x14ac:dyDescent="0.15">
      <c r="A50" s="174" t="s">
        <v>51</v>
      </c>
      <c r="B50" s="174" t="s">
        <v>253</v>
      </c>
      <c r="C50" s="174">
        <v>2018</v>
      </c>
      <c r="D50" s="106" t="s">
        <v>311</v>
      </c>
      <c r="E50" s="174" t="s">
        <v>196</v>
      </c>
      <c r="F50" s="174" t="s">
        <v>184</v>
      </c>
      <c r="G50" s="174" t="s">
        <v>36</v>
      </c>
      <c r="H50" s="174" t="s">
        <v>158</v>
      </c>
      <c r="I50" s="174" t="s">
        <v>153</v>
      </c>
      <c r="J50" s="174" t="s">
        <v>38</v>
      </c>
      <c r="K50" s="174" t="s">
        <v>154</v>
      </c>
      <c r="L50" s="174">
        <v>1</v>
      </c>
      <c r="M50" s="174"/>
      <c r="N50" s="174">
        <v>3</v>
      </c>
      <c r="O50" s="174">
        <v>0.55000000000000004</v>
      </c>
      <c r="P50" s="174">
        <v>0.55000000000000004</v>
      </c>
      <c r="Q50" s="107">
        <f t="shared" si="0"/>
        <v>0.55000000000000004</v>
      </c>
      <c r="R50" s="174">
        <v>16.2</v>
      </c>
      <c r="S50" s="174">
        <v>164</v>
      </c>
      <c r="T50" s="108">
        <f t="shared" si="1"/>
        <v>18</v>
      </c>
      <c r="U50" s="174">
        <v>498</v>
      </c>
      <c r="V50" s="109">
        <f t="shared" si="3"/>
        <v>2988</v>
      </c>
      <c r="W50" s="174">
        <v>6</v>
      </c>
      <c r="X50" s="174" t="s">
        <v>46</v>
      </c>
      <c r="Y50" s="174" t="s">
        <v>84</v>
      </c>
      <c r="Z50" s="174" t="s">
        <v>90</v>
      </c>
      <c r="AA50" s="174" t="s">
        <v>69</v>
      </c>
      <c r="AB50" s="174" t="s">
        <v>255</v>
      </c>
    </row>
    <row r="51" spans="1:28" s="115" customFormat="1" x14ac:dyDescent="0.15">
      <c r="A51" s="174" t="s">
        <v>51</v>
      </c>
      <c r="B51" s="174" t="s">
        <v>253</v>
      </c>
      <c r="C51" s="174">
        <v>2018</v>
      </c>
      <c r="D51" s="106" t="s">
        <v>311</v>
      </c>
      <c r="E51" s="174" t="s">
        <v>196</v>
      </c>
      <c r="F51" s="174" t="s">
        <v>184</v>
      </c>
      <c r="G51" s="174" t="s">
        <v>36</v>
      </c>
      <c r="H51" s="174" t="s">
        <v>158</v>
      </c>
      <c r="I51" s="174" t="s">
        <v>153</v>
      </c>
      <c r="J51" s="174" t="s">
        <v>38</v>
      </c>
      <c r="K51" s="174" t="s">
        <v>154</v>
      </c>
      <c r="L51" s="174">
        <v>2</v>
      </c>
      <c r="M51" s="174"/>
      <c r="N51" s="174">
        <v>3</v>
      </c>
      <c r="O51" s="174">
        <v>0.6</v>
      </c>
      <c r="P51" s="174">
        <v>0.65</v>
      </c>
      <c r="Q51" s="107">
        <f t="shared" si="0"/>
        <v>0.625</v>
      </c>
      <c r="R51" s="174">
        <v>16.8</v>
      </c>
      <c r="S51" s="174">
        <v>168</v>
      </c>
      <c r="T51" s="108">
        <f t="shared" si="1"/>
        <v>18</v>
      </c>
      <c r="U51" s="174">
        <v>498</v>
      </c>
      <c r="V51" s="109">
        <f t="shared" si="3"/>
        <v>2988</v>
      </c>
      <c r="W51" s="174">
        <v>6</v>
      </c>
      <c r="X51" s="174" t="s">
        <v>46</v>
      </c>
      <c r="Y51" s="174" t="s">
        <v>84</v>
      </c>
      <c r="Z51" s="174" t="s">
        <v>90</v>
      </c>
      <c r="AA51" s="174" t="s">
        <v>69</v>
      </c>
      <c r="AB51" s="174" t="s">
        <v>255</v>
      </c>
    </row>
    <row r="52" spans="1:28" s="115" customFormat="1" x14ac:dyDescent="0.15">
      <c r="A52" s="174" t="s">
        <v>51</v>
      </c>
      <c r="B52" s="174" t="s">
        <v>253</v>
      </c>
      <c r="C52" s="174">
        <v>2018</v>
      </c>
      <c r="D52" s="106" t="s">
        <v>311</v>
      </c>
      <c r="E52" s="174" t="s">
        <v>196</v>
      </c>
      <c r="F52" s="174" t="s">
        <v>184</v>
      </c>
      <c r="G52" s="174" t="s">
        <v>36</v>
      </c>
      <c r="H52" s="174" t="s">
        <v>158</v>
      </c>
      <c r="I52" s="174" t="s">
        <v>153</v>
      </c>
      <c r="J52" s="174" t="s">
        <v>38</v>
      </c>
      <c r="K52" s="174" t="s">
        <v>154</v>
      </c>
      <c r="L52" s="174">
        <v>3</v>
      </c>
      <c r="M52" s="174"/>
      <c r="N52" s="174">
        <v>3</v>
      </c>
      <c r="O52" s="174">
        <v>0.65</v>
      </c>
      <c r="P52" s="174">
        <v>0.7</v>
      </c>
      <c r="Q52" s="107">
        <f t="shared" si="0"/>
        <v>0.67500000000000004</v>
      </c>
      <c r="R52" s="174">
        <v>17.100000000000001</v>
      </c>
      <c r="S52" s="174">
        <v>172</v>
      </c>
      <c r="T52" s="108">
        <f t="shared" si="1"/>
        <v>18</v>
      </c>
      <c r="U52" s="174">
        <v>498</v>
      </c>
      <c r="V52" s="109">
        <f t="shared" si="3"/>
        <v>2988</v>
      </c>
      <c r="W52" s="174">
        <v>6</v>
      </c>
      <c r="X52" s="174" t="s">
        <v>46</v>
      </c>
      <c r="Y52" s="174" t="s">
        <v>84</v>
      </c>
      <c r="Z52" s="174" t="s">
        <v>90</v>
      </c>
      <c r="AA52" s="174" t="s">
        <v>69</v>
      </c>
      <c r="AB52" s="174" t="s">
        <v>255</v>
      </c>
    </row>
    <row r="53" spans="1:28" s="115" customFormat="1" x14ac:dyDescent="0.15">
      <c r="A53" s="174" t="s">
        <v>51</v>
      </c>
      <c r="B53" s="174" t="s">
        <v>253</v>
      </c>
      <c r="C53" s="174">
        <v>2018</v>
      </c>
      <c r="D53" s="106" t="s">
        <v>311</v>
      </c>
      <c r="E53" s="174" t="s">
        <v>196</v>
      </c>
      <c r="F53" s="174" t="s">
        <v>184</v>
      </c>
      <c r="G53" s="174" t="s">
        <v>36</v>
      </c>
      <c r="H53" s="174" t="s">
        <v>192</v>
      </c>
      <c r="I53" s="174" t="s">
        <v>153</v>
      </c>
      <c r="J53" s="174" t="s">
        <v>58</v>
      </c>
      <c r="K53" s="174" t="s">
        <v>59</v>
      </c>
      <c r="L53" s="174">
        <v>1</v>
      </c>
      <c r="M53" s="174"/>
      <c r="N53" s="174">
        <v>5</v>
      </c>
      <c r="O53" s="174">
        <v>0.65</v>
      </c>
      <c r="P53" s="174">
        <v>0.65</v>
      </c>
      <c r="Q53" s="107">
        <f t="shared" si="0"/>
        <v>0.65</v>
      </c>
      <c r="R53" s="174">
        <v>16.399999999999999</v>
      </c>
      <c r="S53" s="174">
        <v>80</v>
      </c>
      <c r="T53" s="108">
        <f t="shared" si="1"/>
        <v>39</v>
      </c>
      <c r="U53" s="174">
        <v>498</v>
      </c>
      <c r="V53" s="109">
        <f t="shared" si="3"/>
        <v>3884.3999999999996</v>
      </c>
      <c r="W53" s="174">
        <v>6</v>
      </c>
      <c r="X53" s="174" t="s">
        <v>46</v>
      </c>
      <c r="Y53" s="174" t="s">
        <v>84</v>
      </c>
      <c r="Z53" s="174" t="s">
        <v>90</v>
      </c>
      <c r="AA53" s="174" t="s">
        <v>69</v>
      </c>
      <c r="AB53" s="174" t="s">
        <v>255</v>
      </c>
    </row>
    <row r="54" spans="1:28" s="115" customFormat="1" x14ac:dyDescent="0.15">
      <c r="A54" s="174" t="s">
        <v>51</v>
      </c>
      <c r="B54" s="174" t="s">
        <v>253</v>
      </c>
      <c r="C54" s="174">
        <v>2018</v>
      </c>
      <c r="D54" s="106" t="s">
        <v>311</v>
      </c>
      <c r="E54" s="174" t="s">
        <v>196</v>
      </c>
      <c r="F54" s="174" t="s">
        <v>184</v>
      </c>
      <c r="G54" s="174" t="s">
        <v>36</v>
      </c>
      <c r="H54" s="174" t="s">
        <v>192</v>
      </c>
      <c r="I54" s="174" t="s">
        <v>153</v>
      </c>
      <c r="J54" s="174" t="s">
        <v>58</v>
      </c>
      <c r="K54" s="174" t="s">
        <v>59</v>
      </c>
      <c r="L54" s="174">
        <v>2</v>
      </c>
      <c r="M54" s="174"/>
      <c r="N54" s="174">
        <v>5</v>
      </c>
      <c r="O54" s="174">
        <v>0.7</v>
      </c>
      <c r="P54" s="174">
        <v>0.65</v>
      </c>
      <c r="Q54" s="107">
        <f t="shared" si="0"/>
        <v>0.67500000000000004</v>
      </c>
      <c r="R54" s="174">
        <v>16.600000000000001</v>
      </c>
      <c r="S54" s="174">
        <v>82</v>
      </c>
      <c r="T54" s="108">
        <f t="shared" si="1"/>
        <v>39</v>
      </c>
      <c r="U54" s="174">
        <v>498</v>
      </c>
      <c r="V54" s="109">
        <f t="shared" si="3"/>
        <v>3884.3999999999996</v>
      </c>
      <c r="W54" s="174">
        <v>6</v>
      </c>
      <c r="X54" s="174" t="s">
        <v>46</v>
      </c>
      <c r="Y54" s="174" t="s">
        <v>84</v>
      </c>
      <c r="Z54" s="174" t="s">
        <v>90</v>
      </c>
      <c r="AA54" s="174" t="s">
        <v>69</v>
      </c>
      <c r="AB54" s="174" t="s">
        <v>255</v>
      </c>
    </row>
    <row r="55" spans="1:28" s="115" customFormat="1" x14ac:dyDescent="0.15">
      <c r="A55" s="174" t="s">
        <v>51</v>
      </c>
      <c r="B55" s="174" t="s">
        <v>253</v>
      </c>
      <c r="C55" s="174">
        <v>2018</v>
      </c>
      <c r="D55" s="106" t="s">
        <v>311</v>
      </c>
      <c r="E55" s="174" t="s">
        <v>196</v>
      </c>
      <c r="F55" s="174" t="s">
        <v>184</v>
      </c>
      <c r="G55" s="174" t="s">
        <v>36</v>
      </c>
      <c r="H55" s="174" t="s">
        <v>192</v>
      </c>
      <c r="I55" s="174" t="s">
        <v>153</v>
      </c>
      <c r="J55" s="174" t="s">
        <v>58</v>
      </c>
      <c r="K55" s="174" t="s">
        <v>59</v>
      </c>
      <c r="L55" s="174">
        <v>3</v>
      </c>
      <c r="M55" s="174"/>
      <c r="N55" s="174">
        <v>5</v>
      </c>
      <c r="O55" s="174">
        <v>0.6</v>
      </c>
      <c r="P55" s="174">
        <v>0.8</v>
      </c>
      <c r="Q55" s="107">
        <f t="shared" si="0"/>
        <v>0.7</v>
      </c>
      <c r="R55" s="174">
        <v>14.5</v>
      </c>
      <c r="S55" s="174">
        <v>67</v>
      </c>
      <c r="T55" s="108">
        <f t="shared" si="1"/>
        <v>50</v>
      </c>
      <c r="U55" s="174">
        <v>498</v>
      </c>
      <c r="V55" s="109">
        <f t="shared" si="3"/>
        <v>4980</v>
      </c>
      <c r="W55" s="174">
        <v>6</v>
      </c>
      <c r="X55" s="174" t="s">
        <v>46</v>
      </c>
      <c r="Y55" s="174" t="s">
        <v>84</v>
      </c>
      <c r="Z55" s="174" t="s">
        <v>90</v>
      </c>
      <c r="AA55" s="174" t="s">
        <v>69</v>
      </c>
      <c r="AB55" s="174" t="s">
        <v>255</v>
      </c>
    </row>
    <row r="56" spans="1:28" s="115" customFormat="1" x14ac:dyDescent="0.15">
      <c r="A56" s="174" t="s">
        <v>51</v>
      </c>
      <c r="B56" s="174" t="s">
        <v>253</v>
      </c>
      <c r="C56" s="174">
        <v>2018</v>
      </c>
      <c r="D56" s="106" t="s">
        <v>311</v>
      </c>
      <c r="E56" s="174" t="s">
        <v>207</v>
      </c>
      <c r="F56" s="174" t="s">
        <v>184</v>
      </c>
      <c r="G56" s="174" t="s">
        <v>42</v>
      </c>
      <c r="H56" s="174" t="s">
        <v>155</v>
      </c>
      <c r="I56" s="174" t="s">
        <v>153</v>
      </c>
      <c r="J56" s="174" t="s">
        <v>38</v>
      </c>
      <c r="K56" s="174" t="s">
        <v>154</v>
      </c>
      <c r="L56" s="174">
        <v>1</v>
      </c>
      <c r="M56" s="174"/>
      <c r="N56" s="174">
        <v>1</v>
      </c>
      <c r="O56" s="174">
        <v>0.7</v>
      </c>
      <c r="P56" s="174">
        <v>0.7</v>
      </c>
      <c r="Q56" s="107">
        <f t="shared" si="0"/>
        <v>0.7</v>
      </c>
      <c r="R56" s="174">
        <v>14.2</v>
      </c>
      <c r="S56" s="174">
        <v>132</v>
      </c>
      <c r="T56" s="108">
        <f t="shared" si="1"/>
        <v>25</v>
      </c>
      <c r="U56" s="174">
        <v>78</v>
      </c>
      <c r="V56" s="109">
        <f t="shared" si="3"/>
        <v>1950</v>
      </c>
      <c r="W56" s="174">
        <v>6</v>
      </c>
      <c r="X56" s="174" t="s">
        <v>46</v>
      </c>
      <c r="Y56" s="174" t="s">
        <v>90</v>
      </c>
      <c r="Z56" s="174" t="s">
        <v>84</v>
      </c>
      <c r="AA56" s="174" t="s">
        <v>69</v>
      </c>
      <c r="AB56" s="174" t="s">
        <v>255</v>
      </c>
    </row>
    <row r="57" spans="1:28" s="115" customFormat="1" x14ac:dyDescent="0.15">
      <c r="A57" s="174" t="s">
        <v>51</v>
      </c>
      <c r="B57" s="174" t="s">
        <v>253</v>
      </c>
      <c r="C57" s="174">
        <v>2018</v>
      </c>
      <c r="D57" s="106" t="s">
        <v>311</v>
      </c>
      <c r="E57" s="174" t="s">
        <v>207</v>
      </c>
      <c r="F57" s="174" t="s">
        <v>184</v>
      </c>
      <c r="G57" s="174" t="s">
        <v>42</v>
      </c>
      <c r="H57" s="174" t="s">
        <v>155</v>
      </c>
      <c r="I57" s="174" t="s">
        <v>153</v>
      </c>
      <c r="J57" s="174" t="s">
        <v>38</v>
      </c>
      <c r="K57" s="174" t="s">
        <v>154</v>
      </c>
      <c r="L57" s="174">
        <v>2</v>
      </c>
      <c r="M57" s="174"/>
      <c r="N57" s="174">
        <v>1</v>
      </c>
      <c r="O57" s="174">
        <v>0.65</v>
      </c>
      <c r="P57" s="174">
        <v>0.8</v>
      </c>
      <c r="Q57" s="107">
        <f t="shared" si="0"/>
        <v>0.72500000000000009</v>
      </c>
      <c r="R57" s="174">
        <v>13.9</v>
      </c>
      <c r="S57" s="174">
        <v>126</v>
      </c>
      <c r="T57" s="108">
        <f t="shared" si="1"/>
        <v>27</v>
      </c>
      <c r="U57" s="174">
        <v>78</v>
      </c>
      <c r="V57" s="109">
        <f t="shared" si="3"/>
        <v>2106</v>
      </c>
      <c r="W57" s="174">
        <v>6</v>
      </c>
      <c r="X57" s="174" t="s">
        <v>46</v>
      </c>
      <c r="Y57" s="174" t="s">
        <v>90</v>
      </c>
      <c r="Z57" s="174" t="s">
        <v>84</v>
      </c>
      <c r="AA57" s="174" t="s">
        <v>69</v>
      </c>
      <c r="AB57" s="174" t="s">
        <v>255</v>
      </c>
    </row>
    <row r="58" spans="1:28" s="115" customFormat="1" x14ac:dyDescent="0.15">
      <c r="A58" s="174" t="s">
        <v>51</v>
      </c>
      <c r="B58" s="174" t="s">
        <v>253</v>
      </c>
      <c r="C58" s="174">
        <v>2018</v>
      </c>
      <c r="D58" s="106" t="s">
        <v>311</v>
      </c>
      <c r="E58" s="174" t="s">
        <v>207</v>
      </c>
      <c r="F58" s="174" t="s">
        <v>184</v>
      </c>
      <c r="G58" s="174" t="s">
        <v>42</v>
      </c>
      <c r="H58" s="174" t="s">
        <v>155</v>
      </c>
      <c r="I58" s="174" t="s">
        <v>153</v>
      </c>
      <c r="J58" s="174" t="s">
        <v>38</v>
      </c>
      <c r="K58" s="174" t="s">
        <v>154</v>
      </c>
      <c r="L58" s="174">
        <v>3</v>
      </c>
      <c r="M58" s="174"/>
      <c r="N58" s="174">
        <v>1</v>
      </c>
      <c r="O58" s="174">
        <v>0.7</v>
      </c>
      <c r="P58" s="174">
        <v>0.75</v>
      </c>
      <c r="Q58" s="107">
        <f t="shared" si="0"/>
        <v>0.72499999999999998</v>
      </c>
      <c r="R58" s="174">
        <v>13.6</v>
      </c>
      <c r="S58" s="174">
        <v>122</v>
      </c>
      <c r="T58" s="108">
        <f t="shared" si="1"/>
        <v>27</v>
      </c>
      <c r="U58" s="174">
        <v>78</v>
      </c>
      <c r="V58" s="109">
        <f t="shared" si="3"/>
        <v>2106</v>
      </c>
      <c r="W58" s="174">
        <v>6</v>
      </c>
      <c r="X58" s="174" t="s">
        <v>46</v>
      </c>
      <c r="Y58" s="174" t="s">
        <v>90</v>
      </c>
      <c r="Z58" s="174" t="s">
        <v>84</v>
      </c>
      <c r="AA58" s="174" t="s">
        <v>69</v>
      </c>
      <c r="AB58" s="174" t="s">
        <v>255</v>
      </c>
    </row>
    <row r="59" spans="1:28" s="115" customFormat="1" x14ac:dyDescent="0.15">
      <c r="A59" s="174" t="s">
        <v>51</v>
      </c>
      <c r="B59" s="174" t="s">
        <v>253</v>
      </c>
      <c r="C59" s="174">
        <v>2018</v>
      </c>
      <c r="D59" s="106" t="s">
        <v>311</v>
      </c>
      <c r="E59" s="174" t="s">
        <v>207</v>
      </c>
      <c r="F59" s="174" t="s">
        <v>184</v>
      </c>
      <c r="G59" s="174" t="s">
        <v>42</v>
      </c>
      <c r="H59" s="174" t="s">
        <v>158</v>
      </c>
      <c r="I59" s="174" t="s">
        <v>153</v>
      </c>
      <c r="J59" s="174" t="s">
        <v>38</v>
      </c>
      <c r="K59" s="174" t="s">
        <v>154</v>
      </c>
      <c r="L59" s="174">
        <v>1</v>
      </c>
      <c r="M59" s="174"/>
      <c r="N59" s="174">
        <v>1</v>
      </c>
      <c r="O59" s="174">
        <v>0.7</v>
      </c>
      <c r="P59" s="174">
        <v>0.7</v>
      </c>
      <c r="Q59" s="107">
        <f t="shared" si="0"/>
        <v>0.7</v>
      </c>
      <c r="R59" s="174">
        <v>16.100000000000001</v>
      </c>
      <c r="S59" s="174">
        <v>128</v>
      </c>
      <c r="T59" s="108">
        <f t="shared" si="1"/>
        <v>27</v>
      </c>
      <c r="U59" s="174">
        <v>128</v>
      </c>
      <c r="V59" s="109">
        <f t="shared" si="3"/>
        <v>3456</v>
      </c>
      <c r="W59" s="174">
        <v>6</v>
      </c>
      <c r="X59" s="174" t="s">
        <v>46</v>
      </c>
      <c r="Y59" s="174" t="s">
        <v>90</v>
      </c>
      <c r="Z59" s="174" t="s">
        <v>84</v>
      </c>
      <c r="AA59" s="174" t="s">
        <v>69</v>
      </c>
      <c r="AB59" s="174" t="s">
        <v>255</v>
      </c>
    </row>
    <row r="60" spans="1:28" s="115" customFormat="1" x14ac:dyDescent="0.15">
      <c r="A60" s="174" t="s">
        <v>51</v>
      </c>
      <c r="B60" s="174" t="s">
        <v>253</v>
      </c>
      <c r="C60" s="174">
        <v>2018</v>
      </c>
      <c r="D60" s="106" t="s">
        <v>311</v>
      </c>
      <c r="E60" s="174" t="s">
        <v>207</v>
      </c>
      <c r="F60" s="174" t="s">
        <v>184</v>
      </c>
      <c r="G60" s="174" t="s">
        <v>42</v>
      </c>
      <c r="H60" s="174" t="s">
        <v>158</v>
      </c>
      <c r="I60" s="174" t="s">
        <v>153</v>
      </c>
      <c r="J60" s="174" t="s">
        <v>38</v>
      </c>
      <c r="K60" s="174" t="s">
        <v>154</v>
      </c>
      <c r="L60" s="174">
        <v>2</v>
      </c>
      <c r="M60" s="174"/>
      <c r="N60" s="174">
        <v>1</v>
      </c>
      <c r="O60" s="174">
        <v>0.75</v>
      </c>
      <c r="P60" s="174">
        <v>0.7</v>
      </c>
      <c r="Q60" s="107">
        <f t="shared" si="0"/>
        <v>0.72499999999999998</v>
      </c>
      <c r="R60" s="174">
        <v>16.600000000000001</v>
      </c>
      <c r="S60" s="174">
        <v>132</v>
      </c>
      <c r="T60" s="108">
        <f t="shared" si="1"/>
        <v>25</v>
      </c>
      <c r="U60" s="174">
        <v>128</v>
      </c>
      <c r="V60" s="109">
        <f t="shared" si="3"/>
        <v>3200</v>
      </c>
      <c r="W60" s="174">
        <v>6</v>
      </c>
      <c r="X60" s="174" t="s">
        <v>46</v>
      </c>
      <c r="Y60" s="174" t="s">
        <v>90</v>
      </c>
      <c r="Z60" s="174" t="s">
        <v>84</v>
      </c>
      <c r="AA60" s="174" t="s">
        <v>69</v>
      </c>
      <c r="AB60" s="174" t="s">
        <v>255</v>
      </c>
    </row>
    <row r="61" spans="1:28" s="115" customFormat="1" x14ac:dyDescent="0.15">
      <c r="A61" s="174" t="s">
        <v>51</v>
      </c>
      <c r="B61" s="174" t="s">
        <v>253</v>
      </c>
      <c r="C61" s="174">
        <v>2018</v>
      </c>
      <c r="D61" s="106" t="s">
        <v>311</v>
      </c>
      <c r="E61" s="174" t="s">
        <v>207</v>
      </c>
      <c r="F61" s="174" t="s">
        <v>184</v>
      </c>
      <c r="G61" s="174" t="s">
        <v>42</v>
      </c>
      <c r="H61" s="174" t="s">
        <v>158</v>
      </c>
      <c r="I61" s="174" t="s">
        <v>153</v>
      </c>
      <c r="J61" s="174" t="s">
        <v>38</v>
      </c>
      <c r="K61" s="174" t="s">
        <v>154</v>
      </c>
      <c r="L61" s="174">
        <v>3</v>
      </c>
      <c r="M61" s="174"/>
      <c r="N61" s="174">
        <v>1</v>
      </c>
      <c r="O61" s="174">
        <v>0.8</v>
      </c>
      <c r="P61" s="174">
        <v>0.75</v>
      </c>
      <c r="Q61" s="107">
        <f t="shared" si="0"/>
        <v>0.77500000000000002</v>
      </c>
      <c r="R61" s="174">
        <v>16.5</v>
      </c>
      <c r="S61" s="174">
        <v>132</v>
      </c>
      <c r="T61" s="108">
        <f t="shared" si="1"/>
        <v>25</v>
      </c>
      <c r="U61" s="174">
        <v>128</v>
      </c>
      <c r="V61" s="109">
        <f t="shared" si="3"/>
        <v>3200</v>
      </c>
      <c r="W61" s="174">
        <v>6</v>
      </c>
      <c r="X61" s="174" t="s">
        <v>46</v>
      </c>
      <c r="Y61" s="174" t="s">
        <v>90</v>
      </c>
      <c r="Z61" s="174" t="s">
        <v>84</v>
      </c>
      <c r="AA61" s="174" t="s">
        <v>69</v>
      </c>
      <c r="AB61" s="174" t="s">
        <v>255</v>
      </c>
    </row>
    <row r="62" spans="1:28" s="115" customFormat="1" x14ac:dyDescent="0.15">
      <c r="A62" s="174" t="s">
        <v>51</v>
      </c>
      <c r="B62" s="174" t="s">
        <v>253</v>
      </c>
      <c r="C62" s="174">
        <v>2018</v>
      </c>
      <c r="D62" s="106" t="s">
        <v>311</v>
      </c>
      <c r="E62" s="174" t="s">
        <v>204</v>
      </c>
      <c r="F62" s="174" t="s">
        <v>205</v>
      </c>
      <c r="G62" s="174" t="s">
        <v>36</v>
      </c>
      <c r="H62" s="174" t="s">
        <v>155</v>
      </c>
      <c r="I62" s="174" t="s">
        <v>153</v>
      </c>
      <c r="J62" s="174" t="s">
        <v>38</v>
      </c>
      <c r="K62" s="174" t="s">
        <v>154</v>
      </c>
      <c r="L62" s="174">
        <v>1</v>
      </c>
      <c r="M62" s="174"/>
      <c r="N62" s="174">
        <v>3</v>
      </c>
      <c r="O62" s="174">
        <v>1</v>
      </c>
      <c r="P62" s="174">
        <v>1</v>
      </c>
      <c r="Q62" s="107">
        <f t="shared" si="0"/>
        <v>1</v>
      </c>
      <c r="R62" s="174">
        <v>15.4</v>
      </c>
      <c r="S62" s="174">
        <v>152</v>
      </c>
      <c r="T62" s="108">
        <f t="shared" si="1"/>
        <v>18</v>
      </c>
      <c r="U62" s="174">
        <v>398</v>
      </c>
      <c r="V62" s="109">
        <f t="shared" si="3"/>
        <v>2388</v>
      </c>
      <c r="W62" s="174">
        <v>3</v>
      </c>
      <c r="X62" s="174" t="s">
        <v>39</v>
      </c>
      <c r="Y62" s="174" t="s">
        <v>84</v>
      </c>
      <c r="Z62" s="174" t="s">
        <v>90</v>
      </c>
      <c r="AA62" s="174" t="s">
        <v>69</v>
      </c>
      <c r="AB62" s="174" t="s">
        <v>255</v>
      </c>
    </row>
    <row r="63" spans="1:28" s="115" customFormat="1" x14ac:dyDescent="0.15">
      <c r="A63" s="174" t="s">
        <v>51</v>
      </c>
      <c r="B63" s="174" t="s">
        <v>253</v>
      </c>
      <c r="C63" s="174">
        <v>2018</v>
      </c>
      <c r="D63" s="106" t="s">
        <v>311</v>
      </c>
      <c r="E63" s="174" t="s">
        <v>204</v>
      </c>
      <c r="F63" s="174" t="s">
        <v>205</v>
      </c>
      <c r="G63" s="174" t="s">
        <v>36</v>
      </c>
      <c r="H63" s="174" t="s">
        <v>155</v>
      </c>
      <c r="I63" s="174" t="s">
        <v>153</v>
      </c>
      <c r="J63" s="174" t="s">
        <v>38</v>
      </c>
      <c r="K63" s="174" t="s">
        <v>154</v>
      </c>
      <c r="L63" s="174">
        <v>2</v>
      </c>
      <c r="M63" s="174"/>
      <c r="N63" s="174">
        <v>3</v>
      </c>
      <c r="O63" s="174">
        <v>0.95</v>
      </c>
      <c r="P63" s="174">
        <v>1.05</v>
      </c>
      <c r="Q63" s="107">
        <f t="shared" si="0"/>
        <v>1</v>
      </c>
      <c r="R63" s="174">
        <v>15.6</v>
      </c>
      <c r="S63" s="174">
        <v>148</v>
      </c>
      <c r="T63" s="108">
        <f t="shared" si="1"/>
        <v>22</v>
      </c>
      <c r="U63" s="174">
        <v>398</v>
      </c>
      <c r="V63" s="109">
        <f t="shared" si="3"/>
        <v>2918.6666666666665</v>
      </c>
      <c r="W63" s="174">
        <v>3</v>
      </c>
      <c r="X63" s="174" t="s">
        <v>39</v>
      </c>
      <c r="Y63" s="174" t="s">
        <v>84</v>
      </c>
      <c r="Z63" s="174" t="s">
        <v>90</v>
      </c>
      <c r="AA63" s="174" t="s">
        <v>69</v>
      </c>
      <c r="AB63" s="174" t="s">
        <v>255</v>
      </c>
    </row>
    <row r="64" spans="1:28" s="115" customFormat="1" x14ac:dyDescent="0.15">
      <c r="A64" s="174" t="s">
        <v>51</v>
      </c>
      <c r="B64" s="174" t="s">
        <v>253</v>
      </c>
      <c r="C64" s="174">
        <v>2018</v>
      </c>
      <c r="D64" s="106" t="s">
        <v>311</v>
      </c>
      <c r="E64" s="174" t="s">
        <v>204</v>
      </c>
      <c r="F64" s="174" t="s">
        <v>205</v>
      </c>
      <c r="G64" s="174" t="s">
        <v>36</v>
      </c>
      <c r="H64" s="174" t="s">
        <v>155</v>
      </c>
      <c r="I64" s="174" t="s">
        <v>153</v>
      </c>
      <c r="J64" s="174" t="s">
        <v>38</v>
      </c>
      <c r="K64" s="174" t="s">
        <v>154</v>
      </c>
      <c r="L64" s="174">
        <v>3</v>
      </c>
      <c r="M64" s="174"/>
      <c r="N64" s="174">
        <v>3</v>
      </c>
      <c r="O64" s="174">
        <v>0.9</v>
      </c>
      <c r="P64" s="174">
        <v>0.95</v>
      </c>
      <c r="Q64" s="107">
        <f t="shared" si="0"/>
        <v>0.92500000000000004</v>
      </c>
      <c r="R64" s="174">
        <v>16.100000000000001</v>
      </c>
      <c r="S64" s="174">
        <v>154</v>
      </c>
      <c r="T64" s="108">
        <f t="shared" si="1"/>
        <v>18</v>
      </c>
      <c r="U64" s="174">
        <v>398</v>
      </c>
      <c r="V64" s="109">
        <f t="shared" si="3"/>
        <v>2388</v>
      </c>
      <c r="W64" s="174">
        <v>3</v>
      </c>
      <c r="X64" s="174" t="s">
        <v>39</v>
      </c>
      <c r="Y64" s="174" t="s">
        <v>84</v>
      </c>
      <c r="Z64" s="174" t="s">
        <v>90</v>
      </c>
      <c r="AA64" s="174" t="s">
        <v>69</v>
      </c>
      <c r="AB64" s="174" t="s">
        <v>255</v>
      </c>
    </row>
    <row r="65" spans="1:28" s="115" customFormat="1" x14ac:dyDescent="0.15">
      <c r="A65" s="174"/>
      <c r="B65" s="174"/>
      <c r="C65" s="174"/>
      <c r="D65" s="106"/>
      <c r="E65" s="174"/>
      <c r="F65" s="174"/>
      <c r="G65" s="174"/>
      <c r="H65" s="174"/>
      <c r="I65" s="174"/>
      <c r="J65" s="174"/>
      <c r="K65" s="174"/>
      <c r="N65" s="174"/>
      <c r="Q65" s="107" t="str">
        <f t="shared" si="0"/>
        <v/>
      </c>
      <c r="T65" s="108" t="str">
        <f t="shared" si="1"/>
        <v/>
      </c>
      <c r="U65" s="174"/>
      <c r="V65" s="109" t="str">
        <f t="shared" si="3"/>
        <v/>
      </c>
      <c r="W65" s="174"/>
      <c r="X65" s="174"/>
      <c r="Y65" s="174"/>
      <c r="Z65" s="174"/>
      <c r="AA65" s="174"/>
      <c r="AB65" s="174"/>
    </row>
    <row r="66" spans="1:28" s="115" customFormat="1" x14ac:dyDescent="0.15">
      <c r="A66" s="174"/>
      <c r="B66" s="174"/>
      <c r="C66" s="174"/>
      <c r="D66" s="106"/>
      <c r="E66" s="174"/>
      <c r="F66" s="174"/>
      <c r="G66" s="174"/>
      <c r="H66" s="174"/>
      <c r="I66" s="174"/>
      <c r="J66" s="174"/>
      <c r="K66" s="174"/>
      <c r="N66" s="174"/>
      <c r="Q66" s="107" t="str">
        <f t="shared" ref="Q66:Q91" si="4">IF(OR(O66="",P66=""),"",AVERAGE(O66,P66))</f>
        <v/>
      </c>
      <c r="T66" s="108" t="str">
        <f t="shared" ref="T66:T91" si="5">IF(H66="","",IF(OR(H66="GREEN",H66="GK"),IF(S66&gt;=$AX$2,VLOOKUP(S66,$AX$2:$AY$15,2,1),""),IF(S66&gt;=$AZ$2,VLOOKUP(S66,$AZ$2:$BA$15,2,1),"")))</f>
        <v/>
      </c>
      <c r="U66" s="174"/>
      <c r="V66" s="109" t="str">
        <f t="shared" si="3"/>
        <v/>
      </c>
      <c r="W66" s="174"/>
      <c r="X66" s="174"/>
      <c r="Y66" s="174"/>
      <c r="Z66" s="174"/>
      <c r="AA66" s="174"/>
      <c r="AB66" s="174"/>
    </row>
    <row r="67" spans="1:28" s="115" customFormat="1" x14ac:dyDescent="0.15">
      <c r="A67" s="174"/>
      <c r="B67" s="174"/>
      <c r="C67" s="174"/>
      <c r="D67" s="106"/>
      <c r="E67" s="174"/>
      <c r="F67" s="174"/>
      <c r="G67" s="174"/>
      <c r="H67" s="174"/>
      <c r="I67" s="174"/>
      <c r="J67" s="174"/>
      <c r="K67" s="174"/>
      <c r="N67" s="174"/>
      <c r="Q67" s="107" t="str">
        <f t="shared" si="4"/>
        <v/>
      </c>
      <c r="T67" s="108" t="str">
        <f t="shared" si="5"/>
        <v/>
      </c>
      <c r="U67" s="174"/>
      <c r="V67" s="109" t="str">
        <f t="shared" si="3"/>
        <v/>
      </c>
      <c r="W67" s="174"/>
      <c r="X67" s="174"/>
      <c r="Y67" s="174"/>
      <c r="Z67" s="174"/>
      <c r="AA67" s="174"/>
      <c r="AB67" s="174"/>
    </row>
    <row r="68" spans="1:28" s="115" customFormat="1" x14ac:dyDescent="0.15">
      <c r="A68" s="174"/>
      <c r="B68" s="174"/>
      <c r="C68" s="174"/>
      <c r="D68" s="106"/>
      <c r="E68" s="174"/>
      <c r="F68" s="174"/>
      <c r="G68" s="174"/>
      <c r="H68" s="174"/>
      <c r="I68" s="174"/>
      <c r="J68" s="174"/>
      <c r="K68" s="174"/>
      <c r="N68" s="174"/>
      <c r="Q68" s="107" t="str">
        <f t="shared" si="4"/>
        <v/>
      </c>
      <c r="T68" s="108" t="str">
        <f t="shared" si="5"/>
        <v/>
      </c>
      <c r="U68" s="174"/>
      <c r="V68" s="109" t="str">
        <f t="shared" si="3"/>
        <v/>
      </c>
      <c r="W68" s="174"/>
      <c r="X68" s="174"/>
      <c r="Y68" s="174"/>
      <c r="Z68" s="174"/>
      <c r="AA68" s="174"/>
      <c r="AB68" s="174"/>
    </row>
    <row r="69" spans="1:28" s="115" customFormat="1" x14ac:dyDescent="0.15">
      <c r="A69" s="174"/>
      <c r="B69" s="174"/>
      <c r="C69" s="174"/>
      <c r="D69" s="106"/>
      <c r="E69" s="174"/>
      <c r="F69" s="174"/>
      <c r="G69" s="174"/>
      <c r="H69" s="174"/>
      <c r="I69" s="174"/>
      <c r="J69" s="174"/>
      <c r="K69" s="174"/>
      <c r="N69" s="174"/>
      <c r="Q69" s="107" t="str">
        <f t="shared" si="4"/>
        <v/>
      </c>
      <c r="T69" s="108" t="str">
        <f t="shared" si="5"/>
        <v/>
      </c>
      <c r="U69" s="174"/>
      <c r="V69" s="109" t="str">
        <f t="shared" si="3"/>
        <v/>
      </c>
      <c r="W69" s="174"/>
      <c r="X69" s="174"/>
      <c r="Y69" s="174"/>
      <c r="Z69" s="174"/>
      <c r="AA69" s="174"/>
      <c r="AB69" s="174"/>
    </row>
    <row r="70" spans="1:28" s="115" customFormat="1" x14ac:dyDescent="0.15">
      <c r="A70" s="174"/>
      <c r="B70" s="174"/>
      <c r="C70" s="174"/>
      <c r="D70" s="106"/>
      <c r="E70" s="174"/>
      <c r="F70" s="174"/>
      <c r="G70" s="174"/>
      <c r="H70" s="174"/>
      <c r="I70" s="174"/>
      <c r="J70" s="174"/>
      <c r="K70" s="174"/>
      <c r="N70" s="174"/>
      <c r="Q70" s="107" t="str">
        <f t="shared" si="4"/>
        <v/>
      </c>
      <c r="T70" s="108" t="str">
        <f t="shared" si="5"/>
        <v/>
      </c>
      <c r="U70" s="174"/>
      <c r="V70" s="109" t="str">
        <f t="shared" si="3"/>
        <v/>
      </c>
      <c r="W70" s="174"/>
      <c r="X70" s="174"/>
      <c r="Y70" s="174"/>
      <c r="Z70" s="174"/>
      <c r="AA70" s="174"/>
      <c r="AB70" s="174"/>
    </row>
    <row r="71" spans="1:28" s="115" customFormat="1" x14ac:dyDescent="0.15">
      <c r="A71" s="174"/>
      <c r="B71" s="174"/>
      <c r="C71" s="174"/>
      <c r="D71" s="106"/>
      <c r="E71" s="174"/>
      <c r="F71" s="174"/>
      <c r="G71" s="174"/>
      <c r="H71" s="174"/>
      <c r="I71" s="174"/>
      <c r="J71" s="174"/>
      <c r="K71" s="174"/>
      <c r="N71" s="174"/>
      <c r="Q71" s="108" t="str">
        <f t="shared" si="4"/>
        <v/>
      </c>
      <c r="T71" s="108" t="str">
        <f t="shared" si="5"/>
        <v/>
      </c>
      <c r="U71" s="174"/>
      <c r="V71" s="108" t="str">
        <f t="shared" si="3"/>
        <v/>
      </c>
      <c r="W71" s="174"/>
      <c r="X71" s="174"/>
      <c r="Y71" s="174"/>
      <c r="Z71" s="174"/>
      <c r="AA71" s="174"/>
      <c r="AB71" s="174"/>
    </row>
    <row r="72" spans="1:28" x14ac:dyDescent="0.15">
      <c r="A72" s="174"/>
      <c r="B72" s="174"/>
      <c r="C72" s="130"/>
      <c r="D72" s="131"/>
      <c r="E72" s="174"/>
      <c r="F72" s="174"/>
      <c r="G72" s="130"/>
      <c r="H72" s="130"/>
      <c r="I72" s="130"/>
      <c r="J72" s="130"/>
      <c r="K72" s="174"/>
      <c r="N72" s="130"/>
      <c r="Q72" s="132" t="str">
        <f t="shared" si="4"/>
        <v/>
      </c>
      <c r="T72" s="132" t="str">
        <f t="shared" si="5"/>
        <v/>
      </c>
      <c r="U72" s="130"/>
      <c r="V72" s="132" t="str">
        <f t="shared" si="3"/>
        <v/>
      </c>
      <c r="W72" s="130"/>
      <c r="X72" s="130"/>
      <c r="Y72" s="130"/>
      <c r="Z72" s="130"/>
      <c r="AA72" s="130"/>
      <c r="AB72" s="174"/>
    </row>
    <row r="73" spans="1:28" x14ac:dyDescent="0.15">
      <c r="A73" s="174"/>
      <c r="B73" s="174"/>
      <c r="C73" s="130"/>
      <c r="D73" s="131"/>
      <c r="E73" s="174"/>
      <c r="F73" s="174"/>
      <c r="G73" s="130"/>
      <c r="H73" s="130"/>
      <c r="I73" s="130"/>
      <c r="J73" s="130"/>
      <c r="K73" s="174"/>
      <c r="N73" s="130"/>
      <c r="O73" s="115"/>
      <c r="Q73" s="132" t="str">
        <f t="shared" si="4"/>
        <v/>
      </c>
      <c r="T73" s="132" t="str">
        <f t="shared" si="5"/>
        <v/>
      </c>
      <c r="U73" s="130"/>
      <c r="V73" s="132" t="str">
        <f t="shared" si="3"/>
        <v/>
      </c>
      <c r="W73" s="130"/>
      <c r="X73" s="130"/>
      <c r="Y73" s="130"/>
      <c r="Z73" s="130"/>
      <c r="AA73" s="130"/>
      <c r="AB73" s="174"/>
    </row>
    <row r="74" spans="1:28" x14ac:dyDescent="0.15">
      <c r="A74" s="174"/>
      <c r="B74" s="174"/>
      <c r="C74" s="130"/>
      <c r="D74" s="131"/>
      <c r="E74" s="174"/>
      <c r="F74" s="174"/>
      <c r="G74" s="130"/>
      <c r="H74" s="130"/>
      <c r="I74" s="130"/>
      <c r="J74" s="130"/>
      <c r="K74" s="174"/>
      <c r="N74" s="130"/>
      <c r="Q74" s="132" t="str">
        <f t="shared" si="4"/>
        <v/>
      </c>
      <c r="T74" s="132" t="str">
        <f t="shared" si="5"/>
        <v/>
      </c>
      <c r="V74" s="132" t="str">
        <f t="shared" si="3"/>
        <v/>
      </c>
      <c r="W74" s="130"/>
      <c r="X74" s="130"/>
      <c r="Y74" s="130"/>
      <c r="Z74" s="130"/>
      <c r="AA74" s="130"/>
      <c r="AB74" s="174"/>
    </row>
    <row r="75" spans="1:28" x14ac:dyDescent="0.15">
      <c r="A75" s="174"/>
      <c r="B75" s="174"/>
      <c r="C75" s="130"/>
      <c r="D75" s="131"/>
      <c r="E75" s="174"/>
      <c r="F75" s="174"/>
      <c r="G75" s="130"/>
      <c r="H75" s="130"/>
      <c r="I75" s="130"/>
      <c r="J75" s="130"/>
      <c r="K75" s="174"/>
      <c r="N75" s="130"/>
      <c r="O75" s="115"/>
      <c r="Q75" s="132" t="str">
        <f t="shared" si="4"/>
        <v/>
      </c>
      <c r="T75" s="132" t="str">
        <f t="shared" si="5"/>
        <v/>
      </c>
      <c r="V75" s="132" t="str">
        <f t="shared" si="3"/>
        <v/>
      </c>
      <c r="W75" s="130"/>
      <c r="X75" s="130"/>
      <c r="Y75" s="130"/>
      <c r="Z75" s="130"/>
      <c r="AA75" s="130"/>
      <c r="AB75" s="174"/>
    </row>
    <row r="76" spans="1:28" x14ac:dyDescent="0.15">
      <c r="A76" s="174"/>
      <c r="B76" s="174"/>
      <c r="C76" s="130"/>
      <c r="D76" s="131"/>
      <c r="E76" s="174"/>
      <c r="F76" s="174"/>
      <c r="G76" s="130"/>
      <c r="H76" s="130"/>
      <c r="I76" s="130"/>
      <c r="J76" s="130"/>
      <c r="K76" s="174"/>
      <c r="N76" s="130"/>
      <c r="Q76" s="132" t="str">
        <f t="shared" si="4"/>
        <v/>
      </c>
      <c r="T76" s="132" t="str">
        <f t="shared" si="5"/>
        <v/>
      </c>
      <c r="V76" s="132" t="str">
        <f t="shared" si="3"/>
        <v/>
      </c>
      <c r="W76" s="130"/>
      <c r="X76" s="130"/>
      <c r="Y76" s="130"/>
      <c r="Z76" s="130"/>
      <c r="AA76" s="130"/>
      <c r="AB76" s="174"/>
    </row>
    <row r="77" spans="1:28" x14ac:dyDescent="0.15">
      <c r="A77" s="174"/>
      <c r="B77" s="174"/>
      <c r="C77" s="130"/>
      <c r="D77" s="131"/>
      <c r="E77" s="174"/>
      <c r="F77" s="174"/>
      <c r="G77" s="130"/>
      <c r="H77" s="130"/>
      <c r="I77" s="130"/>
      <c r="J77" s="130"/>
      <c r="K77" s="174"/>
      <c r="N77" s="130"/>
      <c r="Q77" s="132" t="str">
        <f t="shared" si="4"/>
        <v/>
      </c>
      <c r="T77" s="132" t="str">
        <f t="shared" si="5"/>
        <v/>
      </c>
      <c r="V77" s="132" t="str">
        <f t="shared" si="3"/>
        <v/>
      </c>
      <c r="W77" s="130"/>
      <c r="X77" s="130"/>
      <c r="Y77" s="130"/>
      <c r="Z77" s="130"/>
      <c r="AA77" s="130"/>
      <c r="AB77" s="174"/>
    </row>
    <row r="78" spans="1:28" x14ac:dyDescent="0.15">
      <c r="A78" s="174"/>
      <c r="B78" s="174"/>
      <c r="C78" s="130"/>
      <c r="D78" s="131"/>
      <c r="E78" s="174"/>
      <c r="F78" s="174"/>
      <c r="G78" s="130"/>
      <c r="H78" s="130"/>
      <c r="I78" s="130"/>
      <c r="J78" s="130"/>
      <c r="K78" s="174"/>
      <c r="N78" s="130"/>
      <c r="Q78" s="132" t="str">
        <f t="shared" si="4"/>
        <v/>
      </c>
      <c r="T78" s="132" t="str">
        <f t="shared" si="5"/>
        <v/>
      </c>
      <c r="V78" s="132" t="str">
        <f t="shared" si="3"/>
        <v/>
      </c>
      <c r="W78" s="130"/>
      <c r="X78" s="130"/>
      <c r="Y78" s="130"/>
      <c r="Z78" s="130"/>
      <c r="AA78" s="130"/>
      <c r="AB78" s="174"/>
    </row>
    <row r="79" spans="1:28" x14ac:dyDescent="0.15">
      <c r="A79" s="174"/>
      <c r="B79" s="174"/>
      <c r="C79" s="130"/>
      <c r="D79" s="131"/>
      <c r="E79" s="174"/>
      <c r="F79" s="174"/>
      <c r="G79" s="130"/>
      <c r="H79" s="130"/>
      <c r="I79" s="130"/>
      <c r="J79" s="130"/>
      <c r="K79" s="174"/>
      <c r="N79" s="130"/>
      <c r="P79" s="115"/>
      <c r="Q79" s="132" t="str">
        <f t="shared" si="4"/>
        <v/>
      </c>
      <c r="T79" s="132" t="str">
        <f t="shared" si="5"/>
        <v/>
      </c>
      <c r="V79" s="132" t="str">
        <f t="shared" si="3"/>
        <v/>
      </c>
      <c r="W79" s="130"/>
      <c r="X79" s="130"/>
      <c r="Y79" s="130"/>
      <c r="Z79" s="130"/>
      <c r="AA79" s="130"/>
      <c r="AB79" s="174"/>
    </row>
    <row r="80" spans="1:28" x14ac:dyDescent="0.15">
      <c r="A80" s="174"/>
      <c r="B80" s="174"/>
      <c r="C80" s="130"/>
      <c r="D80" s="131"/>
      <c r="E80" s="174"/>
      <c r="F80" s="174"/>
      <c r="G80" s="130"/>
      <c r="H80" s="130"/>
      <c r="I80" s="130"/>
      <c r="J80" s="130"/>
      <c r="K80" s="174"/>
      <c r="N80" s="130"/>
      <c r="Q80" s="132" t="str">
        <f t="shared" si="4"/>
        <v/>
      </c>
      <c r="T80" s="132" t="str">
        <f t="shared" si="5"/>
        <v/>
      </c>
      <c r="V80" s="132" t="str">
        <f t="shared" si="3"/>
        <v/>
      </c>
      <c r="W80" s="130"/>
      <c r="X80" s="130"/>
      <c r="Y80" s="130"/>
      <c r="Z80" s="130"/>
      <c r="AA80" s="130"/>
      <c r="AB80" s="174"/>
    </row>
    <row r="81" spans="1:28" x14ac:dyDescent="0.15">
      <c r="A81" s="174"/>
      <c r="B81" s="174"/>
      <c r="C81" s="130"/>
      <c r="D81" s="131"/>
      <c r="E81" s="174"/>
      <c r="F81" s="174"/>
      <c r="G81" s="130"/>
      <c r="H81" s="130"/>
      <c r="I81" s="130"/>
      <c r="J81" s="130"/>
      <c r="K81" s="174"/>
      <c r="N81" s="130"/>
      <c r="Q81" s="132" t="str">
        <f t="shared" si="4"/>
        <v/>
      </c>
      <c r="T81" s="132" t="str">
        <f t="shared" si="5"/>
        <v/>
      </c>
      <c r="V81" s="132" t="str">
        <f t="shared" si="3"/>
        <v/>
      </c>
      <c r="W81" s="130"/>
      <c r="X81" s="130"/>
      <c r="Y81" s="130"/>
      <c r="Z81" s="130"/>
      <c r="AA81" s="130"/>
      <c r="AB81" s="174"/>
    </row>
    <row r="82" spans="1:28" x14ac:dyDescent="0.15">
      <c r="A82" s="174"/>
      <c r="B82" s="174"/>
      <c r="C82" s="130"/>
      <c r="D82" s="131"/>
      <c r="E82" s="174"/>
      <c r="F82" s="174"/>
      <c r="G82" s="130"/>
      <c r="H82" s="130"/>
      <c r="I82" s="130"/>
      <c r="J82" s="130"/>
      <c r="K82" s="174"/>
      <c r="N82" s="130"/>
      <c r="Q82" s="132" t="str">
        <f t="shared" si="4"/>
        <v/>
      </c>
      <c r="T82" s="132" t="str">
        <f t="shared" si="5"/>
        <v/>
      </c>
      <c r="V82" s="132" t="str">
        <f t="shared" si="3"/>
        <v/>
      </c>
      <c r="W82" s="130"/>
      <c r="X82" s="130"/>
      <c r="Y82" s="130"/>
      <c r="Z82" s="130"/>
      <c r="AA82" s="130"/>
      <c r="AB82" s="174"/>
    </row>
    <row r="83" spans="1:28" x14ac:dyDescent="0.15">
      <c r="A83" s="174"/>
      <c r="B83" s="174"/>
      <c r="C83" s="130"/>
      <c r="D83" s="131"/>
      <c r="E83" s="174"/>
      <c r="F83" s="174"/>
      <c r="G83" s="130"/>
      <c r="H83" s="130"/>
      <c r="I83" s="130"/>
      <c r="J83" s="130"/>
      <c r="K83" s="174"/>
      <c r="N83" s="130"/>
      <c r="Q83" s="132" t="str">
        <f t="shared" si="4"/>
        <v/>
      </c>
      <c r="T83" s="132" t="str">
        <f t="shared" si="5"/>
        <v/>
      </c>
      <c r="V83" s="132" t="str">
        <f t="shared" si="3"/>
        <v/>
      </c>
      <c r="W83" s="130"/>
      <c r="X83" s="130"/>
      <c r="Y83" s="130"/>
      <c r="Z83" s="130"/>
      <c r="AA83" s="130"/>
      <c r="AB83" s="174"/>
    </row>
    <row r="84" spans="1:28" x14ac:dyDescent="0.15">
      <c r="A84" s="174"/>
      <c r="B84" s="174"/>
      <c r="C84" s="130"/>
      <c r="D84" s="131"/>
      <c r="E84" s="174"/>
      <c r="F84" s="174"/>
      <c r="G84" s="130"/>
      <c r="H84" s="130"/>
      <c r="I84" s="130"/>
      <c r="J84" s="130"/>
      <c r="K84" s="174"/>
      <c r="N84" s="130"/>
      <c r="Q84" s="132" t="str">
        <f t="shared" si="4"/>
        <v/>
      </c>
      <c r="T84" s="132" t="str">
        <f t="shared" si="5"/>
        <v/>
      </c>
      <c r="V84" s="132" t="str">
        <f t="shared" si="3"/>
        <v/>
      </c>
      <c r="W84" s="130"/>
      <c r="X84" s="130"/>
      <c r="Y84" s="130"/>
      <c r="Z84" s="130"/>
      <c r="AA84" s="130"/>
      <c r="AB84" s="174"/>
    </row>
    <row r="85" spans="1:28" x14ac:dyDescent="0.15">
      <c r="A85" s="174"/>
      <c r="B85" s="174"/>
      <c r="C85" s="130"/>
      <c r="D85" s="131"/>
      <c r="E85" s="174"/>
      <c r="F85" s="174"/>
      <c r="G85" s="130"/>
      <c r="H85" s="130"/>
      <c r="I85" s="130"/>
      <c r="J85" s="130"/>
      <c r="K85" s="174"/>
      <c r="N85" s="130"/>
      <c r="Q85" s="132" t="str">
        <f t="shared" si="4"/>
        <v/>
      </c>
      <c r="R85" s="115"/>
      <c r="T85" s="132" t="str">
        <f t="shared" si="5"/>
        <v/>
      </c>
      <c r="V85" s="132" t="str">
        <f t="shared" si="3"/>
        <v/>
      </c>
      <c r="W85" s="130"/>
      <c r="X85" s="130"/>
      <c r="Y85" s="130"/>
      <c r="Z85" s="130"/>
      <c r="AA85" s="130"/>
      <c r="AB85" s="174"/>
    </row>
    <row r="86" spans="1:28" x14ac:dyDescent="0.15">
      <c r="A86" s="174"/>
      <c r="B86" s="174"/>
      <c r="C86" s="130"/>
      <c r="D86" s="131"/>
      <c r="E86" s="174"/>
      <c r="F86" s="174"/>
      <c r="G86" s="130"/>
      <c r="H86" s="130"/>
      <c r="I86" s="130"/>
      <c r="J86" s="130"/>
      <c r="K86" s="174"/>
      <c r="N86" s="130"/>
      <c r="Q86" s="132" t="str">
        <f t="shared" si="4"/>
        <v/>
      </c>
      <c r="T86" s="132" t="str">
        <f t="shared" si="5"/>
        <v/>
      </c>
      <c r="V86" s="132" t="str">
        <f t="shared" si="3"/>
        <v/>
      </c>
      <c r="W86" s="130"/>
      <c r="X86" s="130"/>
      <c r="Y86" s="130"/>
      <c r="Z86" s="130"/>
      <c r="AA86" s="130"/>
      <c r="AB86" s="174"/>
    </row>
    <row r="87" spans="1:28" x14ac:dyDescent="0.15">
      <c r="A87" s="174"/>
      <c r="B87" s="174"/>
      <c r="C87" s="130"/>
      <c r="D87" s="131"/>
      <c r="E87" s="174"/>
      <c r="F87" s="174"/>
      <c r="G87" s="130"/>
      <c r="H87" s="130"/>
      <c r="I87" s="130"/>
      <c r="J87" s="130"/>
      <c r="K87" s="174"/>
      <c r="N87" s="130"/>
      <c r="Q87" s="132" t="str">
        <f t="shared" si="4"/>
        <v/>
      </c>
      <c r="T87" s="132" t="str">
        <f t="shared" si="5"/>
        <v/>
      </c>
      <c r="V87" s="132" t="str">
        <f t="shared" si="3"/>
        <v/>
      </c>
      <c r="W87" s="130"/>
      <c r="X87" s="130"/>
      <c r="Y87" s="130"/>
      <c r="Z87" s="130"/>
      <c r="AA87" s="130"/>
      <c r="AB87" s="174"/>
    </row>
    <row r="88" spans="1:28" x14ac:dyDescent="0.15">
      <c r="A88" s="174"/>
      <c r="B88" s="174"/>
      <c r="C88" s="130"/>
      <c r="D88" s="131"/>
      <c r="E88" s="174"/>
      <c r="F88" s="174"/>
      <c r="G88" s="130"/>
      <c r="H88" s="130"/>
      <c r="I88" s="130"/>
      <c r="J88" s="130"/>
      <c r="K88" s="174"/>
      <c r="N88" s="130"/>
      <c r="Q88" s="132" t="str">
        <f t="shared" si="4"/>
        <v/>
      </c>
      <c r="T88" s="132" t="str">
        <f t="shared" si="5"/>
        <v/>
      </c>
      <c r="V88" s="132" t="str">
        <f t="shared" si="3"/>
        <v/>
      </c>
      <c r="W88" s="130"/>
      <c r="X88" s="130"/>
      <c r="Y88" s="130"/>
      <c r="Z88" s="130"/>
      <c r="AA88" s="130"/>
      <c r="AB88" s="174"/>
    </row>
    <row r="89" spans="1:28" x14ac:dyDescent="0.15">
      <c r="A89" s="174"/>
      <c r="B89" s="174"/>
      <c r="C89" s="130"/>
      <c r="D89" s="131"/>
      <c r="E89" s="174"/>
      <c r="F89" s="174"/>
      <c r="G89" s="130"/>
      <c r="H89" s="130"/>
      <c r="I89" s="130"/>
      <c r="J89" s="130"/>
      <c r="K89" s="174"/>
      <c r="N89" s="130"/>
      <c r="Q89" s="132" t="str">
        <f t="shared" si="4"/>
        <v/>
      </c>
      <c r="T89" s="132" t="str">
        <f t="shared" si="5"/>
        <v/>
      </c>
      <c r="V89" s="132" t="str">
        <f t="shared" si="3"/>
        <v/>
      </c>
      <c r="W89" s="130"/>
      <c r="X89" s="130"/>
      <c r="Y89" s="130"/>
      <c r="Z89" s="130"/>
      <c r="AA89" s="130"/>
      <c r="AB89" s="174"/>
    </row>
    <row r="90" spans="1:28" x14ac:dyDescent="0.15">
      <c r="A90" s="174"/>
      <c r="B90" s="174"/>
      <c r="C90" s="130"/>
      <c r="D90" s="131"/>
      <c r="E90" s="174"/>
      <c r="F90" s="174"/>
      <c r="G90" s="130"/>
      <c r="H90" s="130"/>
      <c r="I90" s="130"/>
      <c r="J90" s="130"/>
      <c r="K90" s="174"/>
      <c r="N90" s="130"/>
      <c r="Q90" s="132" t="str">
        <f t="shared" si="4"/>
        <v/>
      </c>
      <c r="T90" s="132" t="str">
        <f t="shared" si="5"/>
        <v/>
      </c>
      <c r="V90" s="132" t="str">
        <f t="shared" si="3"/>
        <v/>
      </c>
      <c r="W90" s="130"/>
      <c r="X90" s="130"/>
      <c r="Y90" s="130"/>
      <c r="Z90" s="130"/>
      <c r="AA90" s="130"/>
      <c r="AB90" s="174"/>
    </row>
    <row r="91" spans="1:28" x14ac:dyDescent="0.15">
      <c r="A91" s="174"/>
      <c r="B91" s="174"/>
      <c r="C91" s="130"/>
      <c r="D91" s="131"/>
      <c r="E91" s="174"/>
      <c r="F91" s="174"/>
      <c r="G91" s="130"/>
      <c r="H91" s="130"/>
      <c r="I91" s="130"/>
      <c r="J91" s="130"/>
      <c r="K91" s="174"/>
      <c r="N91" s="130"/>
      <c r="Q91" s="132" t="str">
        <f t="shared" si="4"/>
        <v/>
      </c>
      <c r="T91" s="132" t="str">
        <f t="shared" si="5"/>
        <v/>
      </c>
      <c r="V91" s="132" t="str">
        <f t="shared" si="3"/>
        <v/>
      </c>
      <c r="W91" s="130"/>
      <c r="X91" s="130"/>
      <c r="Y91" s="130"/>
      <c r="Z91" s="130"/>
      <c r="AA91" s="130"/>
      <c r="AB91" s="174"/>
    </row>
    <row r="92" spans="1:28" x14ac:dyDescent="0.15">
      <c r="A92" s="174"/>
      <c r="B92" s="174"/>
      <c r="C92" s="130"/>
      <c r="D92" s="131"/>
      <c r="E92" s="174"/>
      <c r="F92" s="174"/>
      <c r="G92" s="130"/>
      <c r="H92" s="130"/>
      <c r="I92" s="130"/>
      <c r="J92" s="130"/>
      <c r="K92" s="174"/>
      <c r="N92" s="130"/>
      <c r="W92" s="130"/>
      <c r="X92" s="130"/>
      <c r="Y92" s="130"/>
      <c r="Z92" s="130"/>
      <c r="AA92" s="130"/>
      <c r="AB92" s="174"/>
    </row>
    <row r="93" spans="1:28" x14ac:dyDescent="0.15">
      <c r="A93" s="174"/>
      <c r="B93" s="174"/>
      <c r="C93" s="130"/>
      <c r="D93" s="131"/>
      <c r="E93" s="174"/>
      <c r="F93" s="174"/>
      <c r="G93" s="130"/>
      <c r="H93" s="130"/>
      <c r="I93" s="130"/>
      <c r="J93" s="130"/>
      <c r="K93" s="174"/>
      <c r="N93" s="130"/>
      <c r="W93" s="130"/>
      <c r="X93" s="130"/>
      <c r="Y93" s="130"/>
      <c r="Z93" s="130"/>
      <c r="AA93" s="130"/>
      <c r="AB93" s="174"/>
    </row>
    <row r="94" spans="1:28" x14ac:dyDescent="0.15">
      <c r="A94" s="174"/>
      <c r="B94" s="174"/>
      <c r="C94" s="130"/>
      <c r="D94" s="131"/>
      <c r="E94" s="174"/>
      <c r="F94" s="174"/>
      <c r="G94" s="130"/>
      <c r="H94" s="130"/>
      <c r="I94" s="130"/>
      <c r="J94" s="130"/>
      <c r="K94" s="174"/>
      <c r="N94" s="130"/>
      <c r="W94" s="130"/>
      <c r="X94" s="130"/>
      <c r="Y94" s="130"/>
      <c r="Z94" s="130"/>
      <c r="AA94" s="130"/>
      <c r="AB94" s="174"/>
    </row>
    <row r="95" spans="1:28" x14ac:dyDescent="0.15">
      <c r="A95" s="174"/>
      <c r="B95" s="174"/>
      <c r="C95" s="130"/>
      <c r="D95" s="131"/>
      <c r="E95" s="174"/>
      <c r="F95" s="174"/>
      <c r="G95" s="130"/>
      <c r="H95" s="130"/>
      <c r="I95" s="130"/>
      <c r="J95" s="130"/>
      <c r="K95" s="174"/>
      <c r="N95" s="130"/>
      <c r="W95" s="130"/>
      <c r="X95" s="130"/>
      <c r="Y95" s="130"/>
      <c r="Z95" s="130"/>
      <c r="AA95" s="130"/>
      <c r="AB95" s="174"/>
    </row>
    <row r="96" spans="1:28" x14ac:dyDescent="0.15">
      <c r="A96" s="174"/>
      <c r="B96" s="174"/>
      <c r="C96" s="130"/>
      <c r="D96" s="131"/>
      <c r="E96" s="174"/>
      <c r="F96" s="174"/>
      <c r="G96" s="130"/>
      <c r="H96" s="130"/>
      <c r="I96" s="130"/>
      <c r="J96" s="130"/>
      <c r="K96" s="130"/>
      <c r="N96" s="130"/>
      <c r="W96" s="130"/>
      <c r="X96" s="130"/>
      <c r="Y96" s="130"/>
      <c r="Z96" s="130"/>
      <c r="AA96" s="130"/>
      <c r="AB96" s="174"/>
    </row>
    <row r="97" spans="1:28" x14ac:dyDescent="0.15">
      <c r="A97" s="174"/>
      <c r="B97" s="174"/>
      <c r="C97" s="130"/>
      <c r="D97" s="131"/>
      <c r="E97" s="174"/>
      <c r="F97" s="174"/>
      <c r="G97" s="130"/>
      <c r="H97" s="130"/>
      <c r="I97" s="130"/>
      <c r="J97" s="130"/>
      <c r="K97" s="130"/>
      <c r="N97" s="130"/>
      <c r="W97" s="130"/>
      <c r="X97" s="130"/>
      <c r="Y97" s="130"/>
      <c r="Z97" s="130"/>
      <c r="AA97" s="130"/>
      <c r="AB97" s="174"/>
    </row>
    <row r="98" spans="1:28" x14ac:dyDescent="0.15">
      <c r="E98" s="174"/>
      <c r="F98" s="174"/>
    </row>
    <row r="99" spans="1:28" x14ac:dyDescent="0.15">
      <c r="E99" s="174"/>
      <c r="F99" s="174"/>
    </row>
    <row r="100" spans="1:28" x14ac:dyDescent="0.15">
      <c r="E100" s="174"/>
      <c r="F100" s="174"/>
    </row>
    <row r="101" spans="1:28" x14ac:dyDescent="0.15">
      <c r="E101" s="174"/>
      <c r="F101" s="174"/>
    </row>
    <row r="102" spans="1:28" x14ac:dyDescent="0.15">
      <c r="E102" s="174"/>
      <c r="F102" s="174"/>
    </row>
    <row r="103" spans="1:28" x14ac:dyDescent="0.15">
      <c r="E103" s="174"/>
      <c r="F103" s="174"/>
    </row>
    <row r="104" spans="1:28" x14ac:dyDescent="0.15">
      <c r="E104" s="174"/>
      <c r="F104" s="174"/>
    </row>
    <row r="105" spans="1:28" x14ac:dyDescent="0.15">
      <c r="E105" s="174"/>
      <c r="F105" s="174"/>
    </row>
    <row r="106" spans="1:28" x14ac:dyDescent="0.15">
      <c r="E106" s="174"/>
      <c r="F106" s="174"/>
    </row>
    <row r="107" spans="1:28" x14ac:dyDescent="0.15">
      <c r="E107" s="174"/>
      <c r="F107" s="174"/>
    </row>
    <row r="108" spans="1:28" x14ac:dyDescent="0.15">
      <c r="E108" s="174"/>
      <c r="F108" s="174"/>
    </row>
    <row r="109" spans="1:28" x14ac:dyDescent="0.15">
      <c r="E109" s="174"/>
      <c r="F109" s="174"/>
    </row>
    <row r="110" spans="1:28" x14ac:dyDescent="0.15">
      <c r="E110" s="174"/>
      <c r="F110" s="174"/>
    </row>
    <row r="111" spans="1:28" x14ac:dyDescent="0.15">
      <c r="E111" s="174"/>
      <c r="F111" s="174"/>
    </row>
    <row r="112" spans="1:28" x14ac:dyDescent="0.15">
      <c r="E112" s="174"/>
      <c r="F112" s="174"/>
    </row>
    <row r="113" spans="5:6" x14ac:dyDescent="0.15">
      <c r="E113" s="174"/>
      <c r="F113" s="174"/>
    </row>
    <row r="114" spans="5:6" x14ac:dyDescent="0.15">
      <c r="E114" s="174"/>
      <c r="F114" s="174"/>
    </row>
    <row r="115" spans="5:6" x14ac:dyDescent="0.15">
      <c r="E115" s="174"/>
      <c r="F115" s="174"/>
    </row>
    <row r="116" spans="5:6" x14ac:dyDescent="0.15">
      <c r="E116" s="174"/>
      <c r="F116" s="174"/>
    </row>
    <row r="117" spans="5:6" x14ac:dyDescent="0.15">
      <c r="E117" s="174"/>
      <c r="F117" s="174"/>
    </row>
    <row r="118" spans="5:6" x14ac:dyDescent="0.15">
      <c r="E118" s="174"/>
      <c r="F118" s="174"/>
    </row>
    <row r="119" spans="5:6" x14ac:dyDescent="0.15">
      <c r="E119" s="174"/>
      <c r="F119" s="174"/>
    </row>
    <row r="120" spans="5:6" x14ac:dyDescent="0.15">
      <c r="E120" s="174"/>
      <c r="F120" s="174"/>
    </row>
    <row r="121" spans="5:6" x14ac:dyDescent="0.15">
      <c r="E121" s="174"/>
      <c r="F121" s="174"/>
    </row>
    <row r="122" spans="5:6" x14ac:dyDescent="0.15">
      <c r="E122" s="174"/>
      <c r="F122" s="174"/>
    </row>
    <row r="123" spans="5:6" x14ac:dyDescent="0.15">
      <c r="E123" s="174"/>
      <c r="F123" s="174"/>
    </row>
    <row r="124" spans="5:6" x14ac:dyDescent="0.15">
      <c r="E124" s="174"/>
      <c r="F124" s="174"/>
    </row>
    <row r="125" spans="5:6" x14ac:dyDescent="0.15">
      <c r="E125" s="174"/>
      <c r="F125" s="174"/>
    </row>
    <row r="126" spans="5:6" x14ac:dyDescent="0.15">
      <c r="E126" s="174"/>
      <c r="F126" s="174"/>
    </row>
    <row r="127" spans="5:6" x14ac:dyDescent="0.15">
      <c r="E127" s="174"/>
      <c r="F127" s="174"/>
    </row>
    <row r="128" spans="5:6" x14ac:dyDescent="0.15">
      <c r="E128" s="174"/>
      <c r="F128" s="174"/>
    </row>
    <row r="129" spans="5:6" x14ac:dyDescent="0.15">
      <c r="E129" s="174"/>
      <c r="F129" s="174"/>
    </row>
    <row r="130" spans="5:6" x14ac:dyDescent="0.15">
      <c r="E130" s="174"/>
      <c r="F130" s="174"/>
    </row>
    <row r="131" spans="5:6" x14ac:dyDescent="0.15">
      <c r="E131" s="174"/>
      <c r="F131" s="174"/>
    </row>
    <row r="132" spans="5:6" x14ac:dyDescent="0.15">
      <c r="E132" s="174"/>
      <c r="F132" s="174"/>
    </row>
    <row r="133" spans="5:6" x14ac:dyDescent="0.15">
      <c r="E133" s="174"/>
      <c r="F133" s="174"/>
    </row>
    <row r="134" spans="5:6" x14ac:dyDescent="0.15">
      <c r="E134" s="174"/>
      <c r="F134" s="174"/>
    </row>
    <row r="135" spans="5:6" x14ac:dyDescent="0.15">
      <c r="E135" s="174"/>
      <c r="F135" s="174"/>
    </row>
    <row r="136" spans="5:6" x14ac:dyDescent="0.15">
      <c r="E136" s="174"/>
      <c r="F136" s="174"/>
    </row>
    <row r="137" spans="5:6" x14ac:dyDescent="0.15">
      <c r="E137" s="174"/>
      <c r="F137" s="174"/>
    </row>
    <row r="138" spans="5:6" x14ac:dyDescent="0.15">
      <c r="E138" s="174"/>
      <c r="F138" s="174"/>
    </row>
    <row r="139" spans="5:6" x14ac:dyDescent="0.15">
      <c r="E139" s="174"/>
      <c r="F139" s="174"/>
    </row>
    <row r="140" spans="5:6" x14ac:dyDescent="0.15">
      <c r="E140" s="174"/>
      <c r="F140" s="174"/>
    </row>
    <row r="141" spans="5:6" x14ac:dyDescent="0.15">
      <c r="E141" s="174"/>
      <c r="F141" s="174"/>
    </row>
    <row r="142" spans="5:6" x14ac:dyDescent="0.15">
      <c r="E142" s="174"/>
      <c r="F142" s="174"/>
    </row>
    <row r="143" spans="5:6" x14ac:dyDescent="0.15">
      <c r="E143" s="174"/>
      <c r="F143" s="174"/>
    </row>
    <row r="144" spans="5:6" x14ac:dyDescent="0.15">
      <c r="E144" s="174"/>
      <c r="F144" s="174"/>
    </row>
    <row r="145" spans="5:6" x14ac:dyDescent="0.15">
      <c r="E145" s="174"/>
      <c r="F145" s="174"/>
    </row>
    <row r="146" spans="5:6" x14ac:dyDescent="0.15">
      <c r="E146" s="174"/>
      <c r="F146" s="174"/>
    </row>
    <row r="147" spans="5:6" x14ac:dyDescent="0.15">
      <c r="E147" s="174"/>
      <c r="F147" s="174"/>
    </row>
    <row r="148" spans="5:6" x14ac:dyDescent="0.15">
      <c r="E148" s="174"/>
      <c r="F148" s="174"/>
    </row>
    <row r="149" spans="5:6" x14ac:dyDescent="0.15">
      <c r="E149" s="174"/>
      <c r="F149" s="174"/>
    </row>
    <row r="150" spans="5:6" x14ac:dyDescent="0.15">
      <c r="E150" s="174"/>
      <c r="F150" s="174"/>
    </row>
    <row r="151" spans="5:6" x14ac:dyDescent="0.15">
      <c r="E151" s="174"/>
      <c r="F151" s="174"/>
    </row>
    <row r="152" spans="5:6" x14ac:dyDescent="0.15">
      <c r="E152" s="174"/>
      <c r="F152" s="174"/>
    </row>
    <row r="153" spans="5:6" x14ac:dyDescent="0.15">
      <c r="E153" s="174"/>
      <c r="F153" s="174"/>
    </row>
    <row r="154" spans="5:6" x14ac:dyDescent="0.15">
      <c r="E154" s="174"/>
      <c r="F154" s="174"/>
    </row>
    <row r="155" spans="5:6" x14ac:dyDescent="0.15">
      <c r="E155" s="174"/>
      <c r="F155" s="174"/>
    </row>
    <row r="156" spans="5:6" x14ac:dyDescent="0.15">
      <c r="E156" s="174"/>
      <c r="F156" s="174"/>
    </row>
    <row r="157" spans="5:6" x14ac:dyDescent="0.15">
      <c r="E157" s="174"/>
      <c r="F157" s="174"/>
    </row>
    <row r="158" spans="5:6" x14ac:dyDescent="0.15">
      <c r="E158" s="174"/>
      <c r="F158" s="174"/>
    </row>
    <row r="159" spans="5:6" x14ac:dyDescent="0.15">
      <c r="E159" s="174"/>
      <c r="F159" s="174"/>
    </row>
    <row r="160" spans="5:6" x14ac:dyDescent="0.15">
      <c r="E160" s="174"/>
      <c r="F160" s="174"/>
    </row>
    <row r="161" spans="5:6" x14ac:dyDescent="0.15">
      <c r="E161" s="174"/>
      <c r="F161" s="174"/>
    </row>
    <row r="162" spans="5:6" x14ac:dyDescent="0.15">
      <c r="E162" s="174"/>
      <c r="F162" s="174"/>
    </row>
    <row r="163" spans="5:6" x14ac:dyDescent="0.15">
      <c r="E163" s="174"/>
      <c r="F163" s="174"/>
    </row>
    <row r="164" spans="5:6" x14ac:dyDescent="0.15">
      <c r="E164" s="174"/>
      <c r="F164" s="174"/>
    </row>
    <row r="165" spans="5:6" x14ac:dyDescent="0.15">
      <c r="E165" s="174"/>
      <c r="F165" s="174"/>
    </row>
    <row r="166" spans="5:6" x14ac:dyDescent="0.15">
      <c r="E166" s="174"/>
      <c r="F166" s="174"/>
    </row>
    <row r="167" spans="5:6" x14ac:dyDescent="0.15">
      <c r="E167" s="174"/>
      <c r="F167" s="174"/>
    </row>
    <row r="168" spans="5:6" x14ac:dyDescent="0.15">
      <c r="E168" s="174"/>
      <c r="F168" s="174"/>
    </row>
    <row r="169" spans="5:6" x14ac:dyDescent="0.15">
      <c r="E169" s="174"/>
      <c r="F169" s="174"/>
    </row>
    <row r="170" spans="5:6" x14ac:dyDescent="0.15">
      <c r="E170" s="174"/>
      <c r="F170" s="174"/>
    </row>
    <row r="171" spans="5:6" x14ac:dyDescent="0.15">
      <c r="E171" s="174"/>
      <c r="F171" s="174"/>
    </row>
    <row r="172" spans="5:6" x14ac:dyDescent="0.15">
      <c r="E172" s="174"/>
      <c r="F172" s="174"/>
    </row>
    <row r="173" spans="5:6" x14ac:dyDescent="0.15">
      <c r="E173" s="174"/>
      <c r="F173" s="174"/>
    </row>
    <row r="174" spans="5:6" x14ac:dyDescent="0.15">
      <c r="E174" s="174"/>
      <c r="F174" s="174"/>
    </row>
    <row r="175" spans="5:6" x14ac:dyDescent="0.15">
      <c r="E175" s="174"/>
      <c r="F175" s="174"/>
    </row>
    <row r="176" spans="5:6" x14ac:dyDescent="0.15">
      <c r="E176" s="174"/>
      <c r="F176" s="174"/>
    </row>
    <row r="177" spans="5:6" x14ac:dyDescent="0.15">
      <c r="E177" s="174"/>
      <c r="F177" s="174"/>
    </row>
    <row r="178" spans="5:6" x14ac:dyDescent="0.15">
      <c r="E178" s="174"/>
      <c r="F178" s="174"/>
    </row>
    <row r="179" spans="5:6" x14ac:dyDescent="0.15">
      <c r="E179" s="174"/>
      <c r="F179" s="174"/>
    </row>
    <row r="180" spans="5:6" x14ac:dyDescent="0.15">
      <c r="E180" s="174"/>
      <c r="F180" s="174"/>
    </row>
    <row r="181" spans="5:6" x14ac:dyDescent="0.15">
      <c r="E181" s="174"/>
      <c r="F181" s="174"/>
    </row>
    <row r="182" spans="5:6" x14ac:dyDescent="0.15">
      <c r="E182" s="174"/>
      <c r="F182" s="174"/>
    </row>
    <row r="183" spans="5:6" x14ac:dyDescent="0.15">
      <c r="E183" s="174"/>
      <c r="F183" s="174"/>
    </row>
    <row r="184" spans="5:6" x14ac:dyDescent="0.15">
      <c r="E184" s="174"/>
      <c r="F184" s="174"/>
    </row>
    <row r="185" spans="5:6" x14ac:dyDescent="0.15">
      <c r="E185" s="174"/>
      <c r="F185" s="174"/>
    </row>
    <row r="186" spans="5:6" x14ac:dyDescent="0.15">
      <c r="E186" s="174"/>
      <c r="F186" s="174"/>
    </row>
    <row r="187" spans="5:6" x14ac:dyDescent="0.15">
      <c r="E187" s="174"/>
      <c r="F187" s="174"/>
    </row>
    <row r="188" spans="5:6" x14ac:dyDescent="0.15">
      <c r="E188" s="174"/>
      <c r="F188" s="174"/>
    </row>
    <row r="189" spans="5:6" x14ac:dyDescent="0.15">
      <c r="E189" s="174"/>
      <c r="F189" s="174"/>
    </row>
    <row r="190" spans="5:6" x14ac:dyDescent="0.15">
      <c r="E190" s="174"/>
      <c r="F190" s="174"/>
    </row>
    <row r="191" spans="5:6" x14ac:dyDescent="0.15">
      <c r="E191" s="174"/>
      <c r="F191" s="174"/>
    </row>
    <row r="192" spans="5:6" x14ac:dyDescent="0.15">
      <c r="E192" s="174"/>
      <c r="F192" s="174"/>
    </row>
    <row r="193" spans="5:6" x14ac:dyDescent="0.15">
      <c r="E193" s="174"/>
      <c r="F193" s="174"/>
    </row>
    <row r="194" spans="5:6" x14ac:dyDescent="0.15">
      <c r="E194" s="174"/>
      <c r="F194" s="174"/>
    </row>
    <row r="195" spans="5:6" x14ac:dyDescent="0.15">
      <c r="E195" s="174"/>
      <c r="F195" s="174"/>
    </row>
    <row r="196" spans="5:6" x14ac:dyDescent="0.15">
      <c r="E196" s="174"/>
      <c r="F196" s="174"/>
    </row>
    <row r="197" spans="5:6" x14ac:dyDescent="0.15">
      <c r="E197" s="174"/>
      <c r="F197" s="174"/>
    </row>
    <row r="198" spans="5:6" x14ac:dyDescent="0.15">
      <c r="E198" s="174"/>
      <c r="F198" s="174"/>
    </row>
    <row r="199" spans="5:6" x14ac:dyDescent="0.15">
      <c r="E199" s="174"/>
      <c r="F199" s="174"/>
    </row>
    <row r="200" spans="5:6" x14ac:dyDescent="0.15">
      <c r="E200" s="174"/>
      <c r="F200" s="174"/>
    </row>
    <row r="201" spans="5:6" x14ac:dyDescent="0.15">
      <c r="E201" s="174"/>
      <c r="F201" s="174"/>
    </row>
    <row r="202" spans="5:6" x14ac:dyDescent="0.15">
      <c r="E202" s="174"/>
      <c r="F202" s="174"/>
    </row>
    <row r="203" spans="5:6" x14ac:dyDescent="0.15">
      <c r="E203" s="174"/>
      <c r="F203" s="174"/>
    </row>
    <row r="204" spans="5:6" x14ac:dyDescent="0.15">
      <c r="E204" s="174"/>
      <c r="F204" s="174"/>
    </row>
    <row r="205" spans="5:6" x14ac:dyDescent="0.15">
      <c r="E205" s="174"/>
      <c r="F205" s="174"/>
    </row>
    <row r="206" spans="5:6" x14ac:dyDescent="0.15">
      <c r="E206" s="174"/>
      <c r="F206" s="174"/>
    </row>
    <row r="207" spans="5:6" x14ac:dyDescent="0.15">
      <c r="E207" s="174"/>
      <c r="F207" s="174"/>
    </row>
    <row r="208" spans="5:6" x14ac:dyDescent="0.15">
      <c r="E208" s="174"/>
      <c r="F208" s="174"/>
    </row>
    <row r="209" spans="5:6" x14ac:dyDescent="0.15">
      <c r="E209" s="174"/>
      <c r="F209" s="174"/>
    </row>
    <row r="210" spans="5:6" x14ac:dyDescent="0.15">
      <c r="E210" s="174"/>
      <c r="F210" s="174"/>
    </row>
    <row r="211" spans="5:6" x14ac:dyDescent="0.15">
      <c r="E211" s="174"/>
      <c r="F211" s="174"/>
    </row>
    <row r="212" spans="5:6" x14ac:dyDescent="0.15">
      <c r="E212" s="174"/>
      <c r="F212" s="174"/>
    </row>
    <row r="213" spans="5:6" x14ac:dyDescent="0.15">
      <c r="E213" s="174"/>
      <c r="F213" s="174"/>
    </row>
    <row r="214" spans="5:6" x14ac:dyDescent="0.15">
      <c r="E214" s="174"/>
      <c r="F214" s="174"/>
    </row>
    <row r="215" spans="5:6" x14ac:dyDescent="0.15">
      <c r="E215" s="174"/>
      <c r="F215" s="174"/>
    </row>
    <row r="216" spans="5:6" x14ac:dyDescent="0.15">
      <c r="E216" s="174"/>
      <c r="F216" s="174"/>
    </row>
    <row r="217" spans="5:6" x14ac:dyDescent="0.15">
      <c r="E217" s="174"/>
      <c r="F217" s="174"/>
    </row>
    <row r="218" spans="5:6" x14ac:dyDescent="0.15">
      <c r="E218" s="174"/>
      <c r="F218" s="174"/>
    </row>
    <row r="219" spans="5:6" x14ac:dyDescent="0.15">
      <c r="E219" s="174"/>
      <c r="F219" s="174"/>
    </row>
    <row r="220" spans="5:6" x14ac:dyDescent="0.15">
      <c r="E220" s="174"/>
      <c r="F220" s="174"/>
    </row>
    <row r="221" spans="5:6" x14ac:dyDescent="0.15">
      <c r="E221" s="174"/>
      <c r="F221" s="174"/>
    </row>
    <row r="222" spans="5:6" x14ac:dyDescent="0.15">
      <c r="E222" s="174"/>
      <c r="F222" s="174"/>
    </row>
    <row r="223" spans="5:6" x14ac:dyDescent="0.15">
      <c r="E223" s="174"/>
      <c r="F223" s="174"/>
    </row>
    <row r="224" spans="5:6" x14ac:dyDescent="0.15">
      <c r="E224" s="174"/>
      <c r="F224" s="174"/>
    </row>
    <row r="225" spans="5:6" x14ac:dyDescent="0.15">
      <c r="E225" s="174"/>
      <c r="F225" s="174"/>
    </row>
    <row r="226" spans="5:6" x14ac:dyDescent="0.15">
      <c r="E226" s="174"/>
      <c r="F226" s="174"/>
    </row>
    <row r="227" spans="5:6" x14ac:dyDescent="0.15">
      <c r="E227" s="174"/>
      <c r="F227" s="174"/>
    </row>
    <row r="228" spans="5:6" x14ac:dyDescent="0.15">
      <c r="E228" s="174"/>
      <c r="F228" s="174"/>
    </row>
    <row r="229" spans="5:6" x14ac:dyDescent="0.15">
      <c r="E229" s="174"/>
      <c r="F229" s="174"/>
    </row>
    <row r="230" spans="5:6" x14ac:dyDescent="0.15">
      <c r="E230" s="174"/>
      <c r="F230" s="174"/>
    </row>
    <row r="231" spans="5:6" x14ac:dyDescent="0.15">
      <c r="E231" s="174"/>
      <c r="F231" s="174"/>
    </row>
    <row r="232" spans="5:6" x14ac:dyDescent="0.15">
      <c r="E232" s="174"/>
      <c r="F232" s="174"/>
    </row>
    <row r="233" spans="5:6" x14ac:dyDescent="0.15">
      <c r="E233" s="174"/>
      <c r="F233" s="174"/>
    </row>
    <row r="234" spans="5:6" x14ac:dyDescent="0.15">
      <c r="E234" s="174"/>
      <c r="F234" s="174"/>
    </row>
    <row r="235" spans="5:6" x14ac:dyDescent="0.15">
      <c r="E235" s="174"/>
      <c r="F235" s="174"/>
    </row>
    <row r="236" spans="5:6" x14ac:dyDescent="0.15">
      <c r="E236" s="174"/>
      <c r="F236" s="174"/>
    </row>
    <row r="237" spans="5:6" x14ac:dyDescent="0.15">
      <c r="E237" s="174"/>
      <c r="F237" s="174"/>
    </row>
    <row r="238" spans="5:6" x14ac:dyDescent="0.15">
      <c r="E238" s="174"/>
      <c r="F238" s="174"/>
    </row>
    <row r="239" spans="5:6" x14ac:dyDescent="0.15">
      <c r="E239" s="174"/>
      <c r="F239" s="174"/>
    </row>
    <row r="240" spans="5:6" x14ac:dyDescent="0.15">
      <c r="E240" s="174"/>
      <c r="F240" s="174"/>
    </row>
    <row r="241" spans="5:6" x14ac:dyDescent="0.15">
      <c r="E241" s="174"/>
      <c r="F241" s="174"/>
    </row>
    <row r="242" spans="5:6" x14ac:dyDescent="0.15">
      <c r="E242" s="174"/>
      <c r="F242" s="174"/>
    </row>
    <row r="243" spans="5:6" x14ac:dyDescent="0.15">
      <c r="E243" s="174"/>
      <c r="F243" s="174"/>
    </row>
    <row r="244" spans="5:6" x14ac:dyDescent="0.15">
      <c r="E244" s="174"/>
      <c r="F244" s="174"/>
    </row>
    <row r="245" spans="5:6" x14ac:dyDescent="0.15">
      <c r="E245" s="174"/>
      <c r="F245" s="174"/>
    </row>
    <row r="246" spans="5:6" x14ac:dyDescent="0.15">
      <c r="E246" s="174"/>
      <c r="F246" s="174"/>
    </row>
    <row r="247" spans="5:6" x14ac:dyDescent="0.15">
      <c r="E247" s="174"/>
      <c r="F247" s="174"/>
    </row>
    <row r="248" spans="5:6" x14ac:dyDescent="0.15">
      <c r="E248" s="174"/>
      <c r="F248" s="174"/>
    </row>
    <row r="249" spans="5:6" x14ac:dyDescent="0.15">
      <c r="E249" s="174"/>
      <c r="F249" s="174"/>
    </row>
    <row r="250" spans="5:6" x14ac:dyDescent="0.15">
      <c r="E250" s="174"/>
      <c r="F250" s="174"/>
    </row>
    <row r="251" spans="5:6" x14ac:dyDescent="0.15">
      <c r="E251" s="174"/>
      <c r="F251" s="174"/>
    </row>
    <row r="252" spans="5:6" x14ac:dyDescent="0.15">
      <c r="E252" s="174"/>
      <c r="F252" s="174"/>
    </row>
    <row r="253" spans="5:6" x14ac:dyDescent="0.15">
      <c r="E253" s="174"/>
      <c r="F253" s="174"/>
    </row>
    <row r="254" spans="5:6" x14ac:dyDescent="0.15">
      <c r="E254" s="174"/>
      <c r="F254" s="174"/>
    </row>
    <row r="255" spans="5:6" x14ac:dyDescent="0.15">
      <c r="E255" s="174"/>
      <c r="F255" s="174"/>
    </row>
    <row r="256" spans="5:6" x14ac:dyDescent="0.15">
      <c r="E256" s="174"/>
      <c r="F256" s="174"/>
    </row>
    <row r="257" spans="5:6" x14ac:dyDescent="0.15">
      <c r="E257" s="174"/>
      <c r="F257" s="174"/>
    </row>
    <row r="258" spans="5:6" x14ac:dyDescent="0.15">
      <c r="E258" s="174"/>
      <c r="F258" s="174"/>
    </row>
    <row r="259" spans="5:6" x14ac:dyDescent="0.15">
      <c r="E259" s="174"/>
      <c r="F259" s="174"/>
    </row>
    <row r="260" spans="5:6" x14ac:dyDescent="0.15">
      <c r="E260" s="174"/>
      <c r="F260" s="174"/>
    </row>
    <row r="261" spans="5:6" x14ac:dyDescent="0.15">
      <c r="E261" s="174"/>
      <c r="F261" s="174"/>
    </row>
    <row r="262" spans="5:6" x14ac:dyDescent="0.15">
      <c r="E262" s="174"/>
      <c r="F262" s="174"/>
    </row>
    <row r="263" spans="5:6" x14ac:dyDescent="0.15">
      <c r="E263" s="174"/>
      <c r="F263" s="174"/>
    </row>
    <row r="264" spans="5:6" x14ac:dyDescent="0.15">
      <c r="E264" s="174"/>
      <c r="F264" s="174"/>
    </row>
    <row r="265" spans="5:6" x14ac:dyDescent="0.15">
      <c r="E265" s="174"/>
      <c r="F265" s="174"/>
    </row>
    <row r="266" spans="5:6" x14ac:dyDescent="0.15">
      <c r="E266" s="174"/>
      <c r="F266" s="174"/>
    </row>
    <row r="267" spans="5:6" x14ac:dyDescent="0.15">
      <c r="E267" s="174"/>
      <c r="F267" s="174"/>
    </row>
    <row r="268" spans="5:6" x14ac:dyDescent="0.15">
      <c r="E268" s="174"/>
      <c r="F268" s="174"/>
    </row>
    <row r="269" spans="5:6" x14ac:dyDescent="0.15">
      <c r="E269" s="174"/>
      <c r="F269" s="174"/>
    </row>
    <row r="270" spans="5:6" x14ac:dyDescent="0.15">
      <c r="E270" s="174"/>
      <c r="F270" s="174"/>
    </row>
    <row r="271" spans="5:6" x14ac:dyDescent="0.15">
      <c r="E271" s="174"/>
      <c r="F271" s="174"/>
    </row>
    <row r="272" spans="5:6" x14ac:dyDescent="0.15">
      <c r="E272" s="174"/>
      <c r="F272" s="174"/>
    </row>
    <row r="273" spans="5:6" x14ac:dyDescent="0.15">
      <c r="E273" s="174"/>
      <c r="F273" s="174"/>
    </row>
    <row r="274" spans="5:6" x14ac:dyDescent="0.15">
      <c r="E274" s="174"/>
      <c r="F274" s="174"/>
    </row>
    <row r="275" spans="5:6" x14ac:dyDescent="0.15">
      <c r="E275" s="174"/>
      <c r="F275" s="174"/>
    </row>
    <row r="276" spans="5:6" x14ac:dyDescent="0.15">
      <c r="E276" s="174"/>
      <c r="F276" s="174"/>
    </row>
    <row r="277" spans="5:6" x14ac:dyDescent="0.15">
      <c r="E277" s="174"/>
      <c r="F277" s="174"/>
    </row>
    <row r="278" spans="5:6" x14ac:dyDescent="0.15">
      <c r="E278" s="174"/>
      <c r="F278" s="174"/>
    </row>
    <row r="279" spans="5:6" x14ac:dyDescent="0.15">
      <c r="E279" s="174"/>
      <c r="F279" s="174"/>
    </row>
    <row r="280" spans="5:6" x14ac:dyDescent="0.15">
      <c r="E280" s="174"/>
      <c r="F280" s="174"/>
    </row>
    <row r="281" spans="5:6" x14ac:dyDescent="0.15">
      <c r="E281" s="174"/>
      <c r="F281" s="174"/>
    </row>
    <row r="282" spans="5:6" x14ac:dyDescent="0.15">
      <c r="E282" s="174"/>
      <c r="F282" s="174"/>
    </row>
    <row r="283" spans="5:6" x14ac:dyDescent="0.15">
      <c r="E283" s="174"/>
      <c r="F283" s="174"/>
    </row>
    <row r="284" spans="5:6" x14ac:dyDescent="0.15">
      <c r="E284" s="174"/>
      <c r="F284" s="174"/>
    </row>
    <row r="285" spans="5:6" x14ac:dyDescent="0.15">
      <c r="E285" s="174"/>
      <c r="F285" s="174"/>
    </row>
    <row r="286" spans="5:6" x14ac:dyDescent="0.15">
      <c r="E286" s="174"/>
      <c r="F286" s="174"/>
    </row>
    <row r="287" spans="5:6" x14ac:dyDescent="0.15">
      <c r="E287" s="174"/>
      <c r="F287" s="174"/>
    </row>
    <row r="288" spans="5:6" x14ac:dyDescent="0.15">
      <c r="E288" s="174"/>
      <c r="F288" s="174"/>
    </row>
    <row r="289" spans="5:6" x14ac:dyDescent="0.15">
      <c r="E289" s="174"/>
      <c r="F289" s="174"/>
    </row>
    <row r="290" spans="5:6" x14ac:dyDescent="0.15">
      <c r="E290" s="174"/>
      <c r="F290" s="174"/>
    </row>
    <row r="291" spans="5:6" x14ac:dyDescent="0.15">
      <c r="E291" s="174"/>
      <c r="F291" s="174"/>
    </row>
    <row r="292" spans="5:6" x14ac:dyDescent="0.15">
      <c r="E292" s="174"/>
      <c r="F292" s="174"/>
    </row>
    <row r="293" spans="5:6" x14ac:dyDescent="0.15">
      <c r="E293" s="174"/>
      <c r="F293" s="174"/>
    </row>
    <row r="294" spans="5:6" x14ac:dyDescent="0.15">
      <c r="E294" s="174"/>
      <c r="F294" s="174"/>
    </row>
    <row r="295" spans="5:6" x14ac:dyDescent="0.15">
      <c r="E295" s="174"/>
      <c r="F295" s="174"/>
    </row>
    <row r="296" spans="5:6" x14ac:dyDescent="0.15">
      <c r="E296" s="174"/>
      <c r="F296" s="174"/>
    </row>
    <row r="297" spans="5:6" x14ac:dyDescent="0.15">
      <c r="E297" s="174"/>
      <c r="F297" s="174"/>
    </row>
    <row r="298" spans="5:6" x14ac:dyDescent="0.15">
      <c r="E298" s="174"/>
      <c r="F298" s="174"/>
    </row>
    <row r="299" spans="5:6" x14ac:dyDescent="0.15">
      <c r="E299" s="174"/>
      <c r="F299" s="174"/>
    </row>
    <row r="300" spans="5:6" x14ac:dyDescent="0.15">
      <c r="E300" s="174"/>
      <c r="F300" s="174"/>
    </row>
    <row r="301" spans="5:6" x14ac:dyDescent="0.15">
      <c r="E301" s="174"/>
      <c r="F301" s="174"/>
    </row>
    <row r="302" spans="5:6" x14ac:dyDescent="0.15">
      <c r="E302" s="174"/>
      <c r="F302" s="174"/>
    </row>
    <row r="303" spans="5:6" x14ac:dyDescent="0.15">
      <c r="E303" s="174"/>
      <c r="F303" s="174"/>
    </row>
    <row r="304" spans="5:6" x14ac:dyDescent="0.15">
      <c r="E304" s="174"/>
      <c r="F304" s="174"/>
    </row>
    <row r="305" spans="5:6" x14ac:dyDescent="0.15">
      <c r="E305" s="174"/>
      <c r="F305" s="174"/>
    </row>
    <row r="306" spans="5:6" x14ac:dyDescent="0.15">
      <c r="E306" s="174"/>
      <c r="F306" s="174"/>
    </row>
    <row r="307" spans="5:6" x14ac:dyDescent="0.15">
      <c r="E307" s="174"/>
      <c r="F307" s="174"/>
    </row>
    <row r="308" spans="5:6" x14ac:dyDescent="0.15">
      <c r="E308" s="174"/>
      <c r="F308" s="174"/>
    </row>
    <row r="309" spans="5:6" x14ac:dyDescent="0.15">
      <c r="E309" s="174"/>
      <c r="F309" s="174"/>
    </row>
    <row r="310" spans="5:6" x14ac:dyDescent="0.15">
      <c r="E310" s="174"/>
      <c r="F310" s="174"/>
    </row>
    <row r="311" spans="5:6" x14ac:dyDescent="0.15">
      <c r="E311" s="174"/>
      <c r="F311" s="174"/>
    </row>
    <row r="312" spans="5:6" x14ac:dyDescent="0.15">
      <c r="E312" s="174"/>
      <c r="F312" s="174"/>
    </row>
    <row r="313" spans="5:6" x14ac:dyDescent="0.15">
      <c r="E313" s="174"/>
      <c r="F313" s="174"/>
    </row>
    <row r="314" spans="5:6" x14ac:dyDescent="0.15">
      <c r="E314" s="174"/>
      <c r="F314" s="174"/>
    </row>
    <row r="315" spans="5:6" x14ac:dyDescent="0.15">
      <c r="E315" s="174"/>
      <c r="F315" s="174"/>
    </row>
    <row r="316" spans="5:6" x14ac:dyDescent="0.15">
      <c r="E316" s="174"/>
      <c r="F316" s="174"/>
    </row>
    <row r="317" spans="5:6" x14ac:dyDescent="0.15">
      <c r="E317" s="174"/>
      <c r="F317" s="174"/>
    </row>
    <row r="318" spans="5:6" x14ac:dyDescent="0.15">
      <c r="E318" s="174"/>
      <c r="F318" s="174"/>
    </row>
    <row r="319" spans="5:6" x14ac:dyDescent="0.15">
      <c r="E319" s="174"/>
      <c r="F319" s="174"/>
    </row>
    <row r="320" spans="5:6" x14ac:dyDescent="0.15">
      <c r="E320" s="174"/>
      <c r="F320" s="174"/>
    </row>
    <row r="321" spans="5:6" x14ac:dyDescent="0.15">
      <c r="E321" s="174"/>
      <c r="F321" s="174"/>
    </row>
    <row r="322" spans="5:6" x14ac:dyDescent="0.15">
      <c r="E322" s="174"/>
      <c r="F322" s="174"/>
    </row>
    <row r="323" spans="5:6" x14ac:dyDescent="0.15">
      <c r="E323" s="174"/>
      <c r="F323" s="174"/>
    </row>
    <row r="324" spans="5:6" x14ac:dyDescent="0.15">
      <c r="E324" s="174"/>
      <c r="F324" s="174"/>
    </row>
    <row r="325" spans="5:6" x14ac:dyDescent="0.15">
      <c r="E325" s="174"/>
      <c r="F325" s="174"/>
    </row>
    <row r="326" spans="5:6" x14ac:dyDescent="0.15">
      <c r="E326" s="174"/>
      <c r="F326" s="174"/>
    </row>
    <row r="327" spans="5:6" x14ac:dyDescent="0.15">
      <c r="E327" s="174"/>
      <c r="F327" s="174"/>
    </row>
    <row r="328" spans="5:6" x14ac:dyDescent="0.15">
      <c r="E328" s="174"/>
      <c r="F328" s="174"/>
    </row>
    <row r="329" spans="5:6" x14ac:dyDescent="0.15">
      <c r="E329" s="174"/>
      <c r="F329" s="174"/>
    </row>
    <row r="330" spans="5:6" x14ac:dyDescent="0.15">
      <c r="E330" s="174"/>
      <c r="F330" s="174"/>
    </row>
    <row r="331" spans="5:6" x14ac:dyDescent="0.15">
      <c r="E331" s="174"/>
      <c r="F331" s="174"/>
    </row>
    <row r="332" spans="5:6" x14ac:dyDescent="0.15">
      <c r="E332" s="174"/>
      <c r="F332" s="174"/>
    </row>
    <row r="333" spans="5:6" x14ac:dyDescent="0.15">
      <c r="E333" s="174"/>
      <c r="F333" s="174"/>
    </row>
    <row r="334" spans="5:6" x14ac:dyDescent="0.15">
      <c r="E334" s="174"/>
      <c r="F334" s="174"/>
    </row>
    <row r="335" spans="5:6" x14ac:dyDescent="0.15">
      <c r="E335" s="174"/>
      <c r="F335" s="174"/>
    </row>
    <row r="336" spans="5:6" x14ac:dyDescent="0.15">
      <c r="E336" s="174"/>
      <c r="F336" s="174"/>
    </row>
    <row r="337" spans="5:6" x14ac:dyDescent="0.15">
      <c r="E337" s="174"/>
      <c r="F337" s="174"/>
    </row>
    <row r="338" spans="5:6" x14ac:dyDescent="0.15">
      <c r="E338" s="174"/>
      <c r="F338" s="174"/>
    </row>
    <row r="339" spans="5:6" x14ac:dyDescent="0.15">
      <c r="E339" s="174"/>
      <c r="F339" s="174"/>
    </row>
    <row r="340" spans="5:6" x14ac:dyDescent="0.15">
      <c r="E340" s="174"/>
      <c r="F340" s="174"/>
    </row>
    <row r="341" spans="5:6" x14ac:dyDescent="0.15">
      <c r="E341" s="174"/>
      <c r="F341" s="174"/>
    </row>
    <row r="342" spans="5:6" x14ac:dyDescent="0.15">
      <c r="E342" s="174"/>
      <c r="F342" s="174"/>
    </row>
    <row r="343" spans="5:6" x14ac:dyDescent="0.15">
      <c r="E343" s="174"/>
      <c r="F343" s="174"/>
    </row>
    <row r="344" spans="5:6" x14ac:dyDescent="0.15">
      <c r="E344" s="174"/>
      <c r="F344" s="174"/>
    </row>
    <row r="345" spans="5:6" x14ac:dyDescent="0.15">
      <c r="E345" s="174"/>
      <c r="F345" s="174"/>
    </row>
    <row r="346" spans="5:6" x14ac:dyDescent="0.15">
      <c r="E346" s="174"/>
      <c r="F346" s="174"/>
    </row>
    <row r="347" spans="5:6" x14ac:dyDescent="0.15">
      <c r="E347" s="174"/>
      <c r="F347" s="174"/>
    </row>
    <row r="348" spans="5:6" x14ac:dyDescent="0.15">
      <c r="E348" s="174"/>
      <c r="F348" s="174"/>
    </row>
    <row r="349" spans="5:6" x14ac:dyDescent="0.15">
      <c r="E349" s="174"/>
      <c r="F349" s="174"/>
    </row>
    <row r="350" spans="5:6" x14ac:dyDescent="0.15">
      <c r="E350" s="174"/>
      <c r="F350" s="174"/>
    </row>
    <row r="351" spans="5:6" x14ac:dyDescent="0.15">
      <c r="E351" s="174"/>
      <c r="F351" s="174"/>
    </row>
    <row r="352" spans="5:6" x14ac:dyDescent="0.15">
      <c r="E352" s="174"/>
      <c r="F352" s="174"/>
    </row>
    <row r="353" spans="5:6" x14ac:dyDescent="0.15">
      <c r="E353" s="174"/>
      <c r="F353" s="174"/>
    </row>
    <row r="354" spans="5:6" x14ac:dyDescent="0.15">
      <c r="E354" s="174"/>
      <c r="F354" s="174"/>
    </row>
    <row r="355" spans="5:6" x14ac:dyDescent="0.15">
      <c r="E355" s="174"/>
      <c r="F355" s="174"/>
    </row>
    <row r="356" spans="5:6" x14ac:dyDescent="0.15">
      <c r="E356" s="174"/>
      <c r="F356" s="174"/>
    </row>
    <row r="357" spans="5:6" x14ac:dyDescent="0.15">
      <c r="E357" s="174"/>
      <c r="F357" s="174"/>
    </row>
    <row r="358" spans="5:6" x14ac:dyDescent="0.15">
      <c r="E358" s="174"/>
      <c r="F358" s="174"/>
    </row>
    <row r="359" spans="5:6" x14ac:dyDescent="0.15">
      <c r="E359" s="174"/>
      <c r="F359" s="174"/>
    </row>
    <row r="360" spans="5:6" x14ac:dyDescent="0.15">
      <c r="E360" s="174"/>
      <c r="F360" s="174"/>
    </row>
    <row r="361" spans="5:6" x14ac:dyDescent="0.15">
      <c r="E361" s="174"/>
      <c r="F361" s="174"/>
    </row>
    <row r="362" spans="5:6" x14ac:dyDescent="0.15">
      <c r="E362" s="174"/>
      <c r="F362" s="174"/>
    </row>
    <row r="363" spans="5:6" x14ac:dyDescent="0.15">
      <c r="E363" s="174"/>
      <c r="F363" s="174"/>
    </row>
    <row r="364" spans="5:6" x14ac:dyDescent="0.15">
      <c r="E364" s="174"/>
      <c r="F364" s="174"/>
    </row>
    <row r="365" spans="5:6" x14ac:dyDescent="0.15">
      <c r="E365" s="174"/>
      <c r="F365" s="174"/>
    </row>
    <row r="366" spans="5:6" x14ac:dyDescent="0.15">
      <c r="E366" s="174"/>
      <c r="F366" s="174"/>
    </row>
    <row r="367" spans="5:6" x14ac:dyDescent="0.15">
      <c r="E367" s="174"/>
      <c r="F367" s="174"/>
    </row>
    <row r="368" spans="5:6" x14ac:dyDescent="0.15">
      <c r="E368" s="174"/>
      <c r="F368" s="174"/>
    </row>
    <row r="369" spans="5:6" x14ac:dyDescent="0.15">
      <c r="E369" s="174"/>
      <c r="F369" s="174"/>
    </row>
    <row r="370" spans="5:6" x14ac:dyDescent="0.15">
      <c r="E370" s="174"/>
      <c r="F370" s="174"/>
    </row>
    <row r="371" spans="5:6" x14ac:dyDescent="0.15">
      <c r="E371" s="174"/>
      <c r="F371" s="174"/>
    </row>
    <row r="372" spans="5:6" x14ac:dyDescent="0.15">
      <c r="E372" s="174"/>
      <c r="F372" s="174"/>
    </row>
    <row r="373" spans="5:6" x14ac:dyDescent="0.15">
      <c r="E373" s="174"/>
      <c r="F373" s="174"/>
    </row>
    <row r="374" spans="5:6" x14ac:dyDescent="0.15">
      <c r="E374" s="174"/>
      <c r="F374" s="174"/>
    </row>
    <row r="375" spans="5:6" x14ac:dyDescent="0.15">
      <c r="E375" s="174"/>
      <c r="F375" s="174"/>
    </row>
    <row r="376" spans="5:6" x14ac:dyDescent="0.15">
      <c r="E376" s="174"/>
      <c r="F376" s="174"/>
    </row>
    <row r="377" spans="5:6" x14ac:dyDescent="0.15">
      <c r="E377" s="174"/>
      <c r="F377" s="174"/>
    </row>
    <row r="378" spans="5:6" x14ac:dyDescent="0.15">
      <c r="E378" s="174"/>
      <c r="F378" s="174"/>
    </row>
    <row r="379" spans="5:6" x14ac:dyDescent="0.15">
      <c r="E379" s="174"/>
      <c r="F379" s="174"/>
    </row>
    <row r="380" spans="5:6" x14ac:dyDescent="0.15">
      <c r="E380" s="174"/>
      <c r="F380" s="174"/>
    </row>
    <row r="381" spans="5:6" x14ac:dyDescent="0.15">
      <c r="E381" s="174"/>
      <c r="F381" s="174"/>
    </row>
    <row r="382" spans="5:6" x14ac:dyDescent="0.15">
      <c r="E382" s="174"/>
      <c r="F382" s="174"/>
    </row>
    <row r="383" spans="5:6" x14ac:dyDescent="0.15">
      <c r="E383" s="174"/>
      <c r="F383" s="174"/>
    </row>
    <row r="384" spans="5:6" x14ac:dyDescent="0.15">
      <c r="E384" s="174"/>
      <c r="F384" s="174"/>
    </row>
    <row r="385" spans="5:6" x14ac:dyDescent="0.15">
      <c r="E385" s="174"/>
      <c r="F385" s="174"/>
    </row>
    <row r="386" spans="5:6" x14ac:dyDescent="0.15">
      <c r="E386" s="174"/>
      <c r="F386" s="174"/>
    </row>
    <row r="387" spans="5:6" x14ac:dyDescent="0.15">
      <c r="E387" s="174"/>
      <c r="F387" s="174"/>
    </row>
    <row r="388" spans="5:6" x14ac:dyDescent="0.15">
      <c r="E388" s="174"/>
      <c r="F388" s="174"/>
    </row>
    <row r="389" spans="5:6" x14ac:dyDescent="0.15">
      <c r="E389" s="174"/>
      <c r="F389" s="174"/>
    </row>
    <row r="390" spans="5:6" x14ac:dyDescent="0.15">
      <c r="E390" s="174"/>
      <c r="F390" s="174"/>
    </row>
    <row r="391" spans="5:6" x14ac:dyDescent="0.15">
      <c r="E391" s="174"/>
      <c r="F391" s="174"/>
    </row>
    <row r="392" spans="5:6" x14ac:dyDescent="0.15">
      <c r="E392" s="174"/>
      <c r="F392" s="174"/>
    </row>
    <row r="393" spans="5:6" x14ac:dyDescent="0.15">
      <c r="E393" s="174"/>
      <c r="F393" s="174"/>
    </row>
    <row r="394" spans="5:6" x14ac:dyDescent="0.15">
      <c r="E394" s="174"/>
      <c r="F394" s="174"/>
    </row>
    <row r="395" spans="5:6" x14ac:dyDescent="0.15">
      <c r="E395" s="174"/>
      <c r="F395" s="174"/>
    </row>
    <row r="396" spans="5:6" x14ac:dyDescent="0.15">
      <c r="E396" s="174"/>
      <c r="F396" s="174"/>
    </row>
    <row r="397" spans="5:6" x14ac:dyDescent="0.15">
      <c r="E397" s="174"/>
      <c r="F397" s="174"/>
    </row>
    <row r="398" spans="5:6" x14ac:dyDescent="0.15">
      <c r="E398" s="174"/>
      <c r="F398" s="174"/>
    </row>
    <row r="399" spans="5:6" x14ac:dyDescent="0.15">
      <c r="E399" s="174"/>
      <c r="F399" s="174"/>
    </row>
    <row r="400" spans="5:6" x14ac:dyDescent="0.15">
      <c r="E400" s="174"/>
      <c r="F400" s="174"/>
    </row>
    <row r="401" spans="5:6" x14ac:dyDescent="0.15">
      <c r="E401" s="174"/>
      <c r="F401" s="174"/>
    </row>
    <row r="402" spans="5:6" x14ac:dyDescent="0.15">
      <c r="E402" s="174"/>
      <c r="F402" s="174"/>
    </row>
    <row r="403" spans="5:6" x14ac:dyDescent="0.15">
      <c r="E403" s="174"/>
      <c r="F403" s="174"/>
    </row>
    <row r="404" spans="5:6" x14ac:dyDescent="0.15">
      <c r="E404" s="174"/>
      <c r="F404" s="174"/>
    </row>
    <row r="405" spans="5:6" x14ac:dyDescent="0.15">
      <c r="E405" s="174"/>
      <c r="F405" s="174"/>
    </row>
    <row r="406" spans="5:6" x14ac:dyDescent="0.15">
      <c r="E406" s="174"/>
      <c r="F406" s="174"/>
    </row>
    <row r="407" spans="5:6" x14ac:dyDescent="0.15">
      <c r="E407" s="174"/>
      <c r="F407" s="174"/>
    </row>
    <row r="408" spans="5:6" x14ac:dyDescent="0.15">
      <c r="E408" s="174"/>
      <c r="F408" s="174"/>
    </row>
    <row r="409" spans="5:6" x14ac:dyDescent="0.15">
      <c r="E409" s="174"/>
      <c r="F409" s="174"/>
    </row>
    <row r="410" spans="5:6" x14ac:dyDescent="0.15">
      <c r="E410" s="174"/>
      <c r="F410" s="174"/>
    </row>
    <row r="411" spans="5:6" x14ac:dyDescent="0.15">
      <c r="E411" s="174"/>
      <c r="F411" s="174"/>
    </row>
    <row r="412" spans="5:6" x14ac:dyDescent="0.15">
      <c r="E412" s="174"/>
      <c r="F412" s="174"/>
    </row>
    <row r="413" spans="5:6" x14ac:dyDescent="0.15">
      <c r="E413" s="174"/>
      <c r="F413" s="174"/>
    </row>
    <row r="414" spans="5:6" x14ac:dyDescent="0.15">
      <c r="E414" s="174"/>
      <c r="F414" s="174"/>
    </row>
    <row r="415" spans="5:6" x14ac:dyDescent="0.15">
      <c r="E415" s="174"/>
      <c r="F415" s="174"/>
    </row>
    <row r="416" spans="5:6" x14ac:dyDescent="0.15">
      <c r="E416" s="174"/>
      <c r="F416" s="174"/>
    </row>
    <row r="417" spans="5:6" x14ac:dyDescent="0.15">
      <c r="E417" s="174"/>
      <c r="F417" s="174"/>
    </row>
    <row r="418" spans="5:6" x14ac:dyDescent="0.15">
      <c r="E418" s="174"/>
      <c r="F418" s="174"/>
    </row>
    <row r="419" spans="5:6" x14ac:dyDescent="0.15">
      <c r="E419" s="174"/>
      <c r="F419" s="174"/>
    </row>
    <row r="420" spans="5:6" x14ac:dyDescent="0.15">
      <c r="E420" s="174"/>
      <c r="F420" s="174"/>
    </row>
    <row r="421" spans="5:6" x14ac:dyDescent="0.15">
      <c r="E421" s="174"/>
      <c r="F421" s="174"/>
    </row>
    <row r="422" spans="5:6" x14ac:dyDescent="0.15">
      <c r="E422" s="174"/>
      <c r="F422" s="174"/>
    </row>
    <row r="423" spans="5:6" x14ac:dyDescent="0.15">
      <c r="E423" s="174"/>
      <c r="F423" s="174"/>
    </row>
    <row r="424" spans="5:6" x14ac:dyDescent="0.15">
      <c r="E424" s="174"/>
      <c r="F424" s="174"/>
    </row>
    <row r="425" spans="5:6" x14ac:dyDescent="0.15">
      <c r="E425" s="174"/>
      <c r="F425" s="174"/>
    </row>
    <row r="426" spans="5:6" x14ac:dyDescent="0.15">
      <c r="E426" s="174"/>
      <c r="F426" s="174"/>
    </row>
    <row r="427" spans="5:6" x14ac:dyDescent="0.15">
      <c r="E427" s="174"/>
      <c r="F427" s="174"/>
    </row>
    <row r="428" spans="5:6" x14ac:dyDescent="0.15">
      <c r="E428" s="174"/>
      <c r="F428" s="174"/>
    </row>
    <row r="429" spans="5:6" x14ac:dyDescent="0.15">
      <c r="E429" s="174"/>
      <c r="F429" s="174"/>
    </row>
    <row r="430" spans="5:6" x14ac:dyDescent="0.15">
      <c r="E430" s="174"/>
      <c r="F430" s="174"/>
    </row>
    <row r="431" spans="5:6" x14ac:dyDescent="0.15">
      <c r="E431" s="174"/>
      <c r="F431" s="174"/>
    </row>
    <row r="432" spans="5:6" x14ac:dyDescent="0.15">
      <c r="E432" s="174"/>
      <c r="F432" s="174"/>
    </row>
    <row r="433" spans="5:6" x14ac:dyDescent="0.15">
      <c r="E433" s="174"/>
      <c r="F433" s="174"/>
    </row>
    <row r="434" spans="5:6" x14ac:dyDescent="0.15">
      <c r="E434" s="174"/>
      <c r="F434" s="174"/>
    </row>
    <row r="435" spans="5:6" x14ac:dyDescent="0.15">
      <c r="E435" s="174"/>
      <c r="F435" s="174"/>
    </row>
    <row r="436" spans="5:6" x14ac:dyDescent="0.15">
      <c r="E436" s="174"/>
      <c r="F436" s="174"/>
    </row>
    <row r="437" spans="5:6" x14ac:dyDescent="0.15">
      <c r="E437" s="174"/>
      <c r="F437" s="174"/>
    </row>
    <row r="438" spans="5:6" x14ac:dyDescent="0.15">
      <c r="E438" s="174"/>
      <c r="F438" s="174"/>
    </row>
    <row r="439" spans="5:6" x14ac:dyDescent="0.15">
      <c r="E439" s="174"/>
      <c r="F439" s="174"/>
    </row>
    <row r="440" spans="5:6" x14ac:dyDescent="0.15">
      <c r="E440" s="174"/>
      <c r="F440" s="174"/>
    </row>
    <row r="441" spans="5:6" x14ac:dyDescent="0.15">
      <c r="E441" s="174"/>
      <c r="F441" s="174"/>
    </row>
    <row r="442" spans="5:6" x14ac:dyDescent="0.15">
      <c r="E442" s="174"/>
      <c r="F442" s="174"/>
    </row>
    <row r="443" spans="5:6" x14ac:dyDescent="0.15">
      <c r="E443" s="174"/>
      <c r="F443" s="174"/>
    </row>
    <row r="444" spans="5:6" x14ac:dyDescent="0.15">
      <c r="E444" s="174"/>
      <c r="F444" s="174"/>
    </row>
    <row r="445" spans="5:6" x14ac:dyDescent="0.15">
      <c r="E445" s="174"/>
      <c r="F445" s="174"/>
    </row>
    <row r="446" spans="5:6" x14ac:dyDescent="0.15">
      <c r="E446" s="174"/>
      <c r="F446" s="174"/>
    </row>
    <row r="447" spans="5:6" x14ac:dyDescent="0.15">
      <c r="E447" s="174"/>
      <c r="F447" s="174"/>
    </row>
    <row r="448" spans="5:6" x14ac:dyDescent="0.15">
      <c r="E448" s="174"/>
      <c r="F448" s="174"/>
    </row>
    <row r="449" spans="5:6" x14ac:dyDescent="0.15">
      <c r="E449" s="174"/>
      <c r="F449" s="174"/>
    </row>
    <row r="450" spans="5:6" x14ac:dyDescent="0.15">
      <c r="E450" s="174"/>
      <c r="F450" s="174"/>
    </row>
    <row r="451" spans="5:6" x14ac:dyDescent="0.15">
      <c r="E451" s="174"/>
      <c r="F451" s="174"/>
    </row>
    <row r="452" spans="5:6" x14ac:dyDescent="0.15">
      <c r="E452" s="174"/>
      <c r="F452" s="174"/>
    </row>
    <row r="453" spans="5:6" x14ac:dyDescent="0.15">
      <c r="E453" s="174"/>
      <c r="F453" s="174"/>
    </row>
    <row r="454" spans="5:6" x14ac:dyDescent="0.15">
      <c r="E454" s="174"/>
      <c r="F454" s="174"/>
    </row>
    <row r="455" spans="5:6" x14ac:dyDescent="0.15">
      <c r="E455" s="174"/>
      <c r="F455" s="174"/>
    </row>
    <row r="456" spans="5:6" x14ac:dyDescent="0.15">
      <c r="E456" s="174"/>
      <c r="F456" s="174"/>
    </row>
    <row r="457" spans="5:6" x14ac:dyDescent="0.15">
      <c r="E457" s="174"/>
      <c r="F457" s="174"/>
    </row>
    <row r="458" spans="5:6" x14ac:dyDescent="0.15">
      <c r="E458" s="174"/>
      <c r="F458" s="174"/>
    </row>
    <row r="459" spans="5:6" x14ac:dyDescent="0.15">
      <c r="E459" s="174"/>
      <c r="F459" s="174"/>
    </row>
    <row r="460" spans="5:6" x14ac:dyDescent="0.15">
      <c r="E460" s="174"/>
      <c r="F460" s="174"/>
    </row>
    <row r="461" spans="5:6" x14ac:dyDescent="0.15">
      <c r="E461" s="174"/>
      <c r="F461" s="174"/>
    </row>
    <row r="462" spans="5:6" x14ac:dyDescent="0.15">
      <c r="E462" s="174"/>
      <c r="F462" s="174"/>
    </row>
    <row r="463" spans="5:6" x14ac:dyDescent="0.15">
      <c r="E463" s="174"/>
      <c r="F463" s="174"/>
    </row>
    <row r="464" spans="5:6" x14ac:dyDescent="0.15">
      <c r="E464" s="174"/>
      <c r="F464" s="174"/>
    </row>
    <row r="465" spans="5:6" x14ac:dyDescent="0.15">
      <c r="E465" s="174"/>
      <c r="F465" s="174"/>
    </row>
    <row r="466" spans="5:6" x14ac:dyDescent="0.15">
      <c r="E466" s="174"/>
      <c r="F466" s="174"/>
    </row>
    <row r="467" spans="5:6" x14ac:dyDescent="0.15">
      <c r="E467" s="174"/>
      <c r="F467" s="174"/>
    </row>
    <row r="468" spans="5:6" x14ac:dyDescent="0.15">
      <c r="E468" s="174"/>
      <c r="F468" s="174"/>
    </row>
    <row r="469" spans="5:6" x14ac:dyDescent="0.15">
      <c r="E469" s="174"/>
      <c r="F469" s="174"/>
    </row>
    <row r="470" spans="5:6" x14ac:dyDescent="0.15">
      <c r="E470" s="174"/>
      <c r="F470" s="174"/>
    </row>
    <row r="471" spans="5:6" x14ac:dyDescent="0.15">
      <c r="E471" s="174"/>
      <c r="F471" s="174"/>
    </row>
    <row r="472" spans="5:6" x14ac:dyDescent="0.15">
      <c r="E472" s="174"/>
      <c r="F472" s="174"/>
    </row>
    <row r="473" spans="5:6" x14ac:dyDescent="0.15">
      <c r="E473" s="174"/>
      <c r="F473" s="174"/>
    </row>
    <row r="474" spans="5:6" x14ac:dyDescent="0.15">
      <c r="E474" s="174"/>
      <c r="F474" s="174"/>
    </row>
    <row r="475" spans="5:6" x14ac:dyDescent="0.15">
      <c r="E475" s="174"/>
      <c r="F475" s="174"/>
    </row>
    <row r="476" spans="5:6" x14ac:dyDescent="0.15">
      <c r="E476" s="174"/>
      <c r="F476" s="174"/>
    </row>
    <row r="477" spans="5:6" x14ac:dyDescent="0.15">
      <c r="E477" s="174"/>
      <c r="F477" s="174"/>
    </row>
    <row r="478" spans="5:6" x14ac:dyDescent="0.15">
      <c r="E478" s="174"/>
      <c r="F478" s="174"/>
    </row>
    <row r="479" spans="5:6" x14ac:dyDescent="0.15">
      <c r="E479" s="174"/>
      <c r="F479" s="174"/>
    </row>
    <row r="480" spans="5:6" x14ac:dyDescent="0.15">
      <c r="E480" s="174"/>
      <c r="F480" s="174"/>
    </row>
    <row r="481" spans="5:6" x14ac:dyDescent="0.15">
      <c r="E481" s="174"/>
      <c r="F481" s="174"/>
    </row>
    <row r="482" spans="5:6" x14ac:dyDescent="0.15">
      <c r="E482" s="174"/>
      <c r="F482" s="174"/>
    </row>
    <row r="483" spans="5:6" x14ac:dyDescent="0.15">
      <c r="E483" s="174"/>
      <c r="F483" s="174"/>
    </row>
    <row r="484" spans="5:6" x14ac:dyDescent="0.15">
      <c r="E484" s="174"/>
      <c r="F484" s="174"/>
    </row>
    <row r="485" spans="5:6" x14ac:dyDescent="0.15">
      <c r="E485" s="174"/>
      <c r="F485" s="174"/>
    </row>
    <row r="486" spans="5:6" x14ac:dyDescent="0.15">
      <c r="E486" s="174"/>
      <c r="F486" s="174"/>
    </row>
    <row r="487" spans="5:6" x14ac:dyDescent="0.15">
      <c r="E487" s="174"/>
      <c r="F487" s="174"/>
    </row>
    <row r="488" spans="5:6" x14ac:dyDescent="0.15">
      <c r="E488" s="174"/>
      <c r="F488" s="174"/>
    </row>
    <row r="489" spans="5:6" x14ac:dyDescent="0.15">
      <c r="E489" s="174"/>
      <c r="F489" s="174"/>
    </row>
    <row r="490" spans="5:6" x14ac:dyDescent="0.15">
      <c r="E490" s="174"/>
      <c r="F490" s="174"/>
    </row>
    <row r="491" spans="5:6" x14ac:dyDescent="0.15">
      <c r="E491" s="174"/>
      <c r="F491" s="174"/>
    </row>
    <row r="492" spans="5:6" x14ac:dyDescent="0.15">
      <c r="E492" s="174"/>
      <c r="F492" s="174"/>
    </row>
    <row r="493" spans="5:6" x14ac:dyDescent="0.15">
      <c r="E493" s="174"/>
      <c r="F493" s="174"/>
    </row>
    <row r="494" spans="5:6" x14ac:dyDescent="0.15">
      <c r="E494" s="174"/>
      <c r="F494" s="174"/>
    </row>
    <row r="495" spans="5:6" x14ac:dyDescent="0.15">
      <c r="E495" s="174"/>
      <c r="F495" s="174"/>
    </row>
    <row r="496" spans="5:6" x14ac:dyDescent="0.15">
      <c r="E496" s="174"/>
      <c r="F496" s="174"/>
    </row>
    <row r="497" spans="5:6" x14ac:dyDescent="0.15">
      <c r="E497" s="174"/>
      <c r="F497" s="174"/>
    </row>
    <row r="498" spans="5:6" x14ac:dyDescent="0.15">
      <c r="E498" s="174"/>
      <c r="F498" s="174"/>
    </row>
    <row r="499" spans="5:6" x14ac:dyDescent="0.15">
      <c r="E499" s="174"/>
      <c r="F499" s="174"/>
    </row>
    <row r="500" spans="5:6" x14ac:dyDescent="0.15">
      <c r="E500" s="174"/>
      <c r="F500" s="174"/>
    </row>
    <row r="501" spans="5:6" x14ac:dyDescent="0.15">
      <c r="E501" s="174"/>
      <c r="F501" s="174"/>
    </row>
    <row r="502" spans="5:6" x14ac:dyDescent="0.15">
      <c r="E502" s="174"/>
      <c r="F502" s="174"/>
    </row>
    <row r="503" spans="5:6" x14ac:dyDescent="0.15">
      <c r="E503" s="174"/>
      <c r="F503" s="174"/>
    </row>
    <row r="504" spans="5:6" x14ac:dyDescent="0.15">
      <c r="E504" s="174"/>
      <c r="F504" s="174"/>
    </row>
    <row r="505" spans="5:6" x14ac:dyDescent="0.15">
      <c r="E505" s="174"/>
      <c r="F505" s="174"/>
    </row>
    <row r="506" spans="5:6" x14ac:dyDescent="0.15">
      <c r="E506" s="174"/>
      <c r="F506" s="174"/>
    </row>
    <row r="507" spans="5:6" x14ac:dyDescent="0.15">
      <c r="E507" s="174"/>
      <c r="F507" s="174"/>
    </row>
    <row r="508" spans="5:6" x14ac:dyDescent="0.15">
      <c r="E508" s="174"/>
      <c r="F508" s="174"/>
    </row>
    <row r="509" spans="5:6" x14ac:dyDescent="0.15">
      <c r="E509" s="174"/>
      <c r="F509" s="174"/>
    </row>
    <row r="510" spans="5:6" x14ac:dyDescent="0.15">
      <c r="E510" s="174"/>
      <c r="F510" s="174"/>
    </row>
    <row r="511" spans="5:6" x14ac:dyDescent="0.15">
      <c r="E511" s="174"/>
      <c r="F511" s="174"/>
    </row>
    <row r="512" spans="5:6" x14ac:dyDescent="0.15">
      <c r="E512" s="174"/>
      <c r="F512" s="174"/>
    </row>
    <row r="513" spans="5:6" x14ac:dyDescent="0.15">
      <c r="E513" s="174"/>
      <c r="F513" s="174"/>
    </row>
    <row r="514" spans="5:6" x14ac:dyDescent="0.15">
      <c r="E514" s="174"/>
      <c r="F514" s="174"/>
    </row>
    <row r="515" spans="5:6" x14ac:dyDescent="0.15">
      <c r="E515" s="174"/>
      <c r="F515" s="174"/>
    </row>
    <row r="516" spans="5:6" x14ac:dyDescent="0.15">
      <c r="E516" s="174"/>
      <c r="F516" s="174"/>
    </row>
    <row r="517" spans="5:6" x14ac:dyDescent="0.15">
      <c r="E517" s="174"/>
      <c r="F517" s="174"/>
    </row>
    <row r="518" spans="5:6" x14ac:dyDescent="0.15">
      <c r="E518" s="174"/>
      <c r="F518" s="174"/>
    </row>
    <row r="519" spans="5:6" x14ac:dyDescent="0.15">
      <c r="E519" s="174"/>
      <c r="F519" s="174"/>
    </row>
    <row r="520" spans="5:6" x14ac:dyDescent="0.15">
      <c r="E520" s="174"/>
      <c r="F520" s="174"/>
    </row>
    <row r="521" spans="5:6" x14ac:dyDescent="0.15">
      <c r="E521" s="174"/>
      <c r="F521" s="174"/>
    </row>
    <row r="522" spans="5:6" x14ac:dyDescent="0.15">
      <c r="E522" s="174"/>
      <c r="F522" s="174"/>
    </row>
    <row r="523" spans="5:6" x14ac:dyDescent="0.15">
      <c r="E523" s="174"/>
      <c r="F523" s="174"/>
    </row>
    <row r="524" spans="5:6" x14ac:dyDescent="0.15">
      <c r="E524" s="174"/>
      <c r="F524" s="174"/>
    </row>
    <row r="525" spans="5:6" x14ac:dyDescent="0.15">
      <c r="E525" s="174"/>
      <c r="F525" s="174"/>
    </row>
    <row r="526" spans="5:6" x14ac:dyDescent="0.15">
      <c r="E526" s="174"/>
      <c r="F526" s="174"/>
    </row>
    <row r="527" spans="5:6" x14ac:dyDescent="0.15">
      <c r="E527" s="174"/>
      <c r="F527" s="174"/>
    </row>
    <row r="528" spans="5:6" x14ac:dyDescent="0.15">
      <c r="E528" s="174"/>
      <c r="F528" s="174"/>
    </row>
    <row r="529" spans="5:6" x14ac:dyDescent="0.15">
      <c r="E529" s="174"/>
      <c r="F529" s="174"/>
    </row>
    <row r="530" spans="5:6" x14ac:dyDescent="0.15">
      <c r="E530" s="174"/>
      <c r="F530" s="174"/>
    </row>
    <row r="531" spans="5:6" x14ac:dyDescent="0.15">
      <c r="E531" s="174"/>
      <c r="F531" s="174"/>
    </row>
    <row r="532" spans="5:6" x14ac:dyDescent="0.15">
      <c r="E532" s="174"/>
      <c r="F532" s="174"/>
    </row>
    <row r="533" spans="5:6" x14ac:dyDescent="0.15">
      <c r="E533" s="174"/>
      <c r="F533" s="174"/>
    </row>
    <row r="534" spans="5:6" x14ac:dyDescent="0.15">
      <c r="E534" s="174"/>
      <c r="F534" s="174"/>
    </row>
    <row r="535" spans="5:6" x14ac:dyDescent="0.15">
      <c r="E535" s="174"/>
      <c r="F535" s="174"/>
    </row>
    <row r="536" spans="5:6" x14ac:dyDescent="0.15">
      <c r="E536" s="174"/>
      <c r="F536" s="174"/>
    </row>
    <row r="537" spans="5:6" x14ac:dyDescent="0.15">
      <c r="E537" s="174"/>
      <c r="F537" s="174"/>
    </row>
    <row r="538" spans="5:6" x14ac:dyDescent="0.15">
      <c r="E538" s="174"/>
      <c r="F538" s="174"/>
    </row>
    <row r="539" spans="5:6" x14ac:dyDescent="0.15">
      <c r="E539" s="174"/>
      <c r="F539" s="174"/>
    </row>
    <row r="540" spans="5:6" x14ac:dyDescent="0.15">
      <c r="E540" s="174"/>
      <c r="F540" s="174"/>
    </row>
    <row r="541" spans="5:6" x14ac:dyDescent="0.15">
      <c r="E541" s="174"/>
      <c r="F541" s="174"/>
    </row>
    <row r="542" spans="5:6" x14ac:dyDescent="0.15">
      <c r="E542" s="174"/>
      <c r="F542" s="174"/>
    </row>
    <row r="543" spans="5:6" x14ac:dyDescent="0.15">
      <c r="E543" s="174"/>
      <c r="F543" s="174"/>
    </row>
    <row r="544" spans="5:6" x14ac:dyDescent="0.15">
      <c r="E544" s="174"/>
      <c r="F544" s="174"/>
    </row>
    <row r="545" spans="5:6" x14ac:dyDescent="0.15">
      <c r="E545" s="174"/>
      <c r="F545" s="174"/>
    </row>
    <row r="546" spans="5:6" x14ac:dyDescent="0.15">
      <c r="E546" s="174"/>
      <c r="F546" s="174"/>
    </row>
    <row r="547" spans="5:6" x14ac:dyDescent="0.15">
      <c r="E547" s="174"/>
      <c r="F547" s="174"/>
    </row>
    <row r="548" spans="5:6" x14ac:dyDescent="0.15">
      <c r="E548" s="174"/>
      <c r="F548" s="174"/>
    </row>
    <row r="549" spans="5:6" x14ac:dyDescent="0.15">
      <c r="E549" s="174"/>
      <c r="F549" s="174"/>
    </row>
    <row r="550" spans="5:6" x14ac:dyDescent="0.15">
      <c r="E550" s="174"/>
      <c r="F550" s="174"/>
    </row>
    <row r="551" spans="5:6" x14ac:dyDescent="0.15">
      <c r="E551" s="174"/>
      <c r="F551" s="174"/>
    </row>
    <row r="552" spans="5:6" x14ac:dyDescent="0.15">
      <c r="E552" s="174"/>
      <c r="F552" s="174"/>
    </row>
    <row r="553" spans="5:6" x14ac:dyDescent="0.15">
      <c r="E553" s="174"/>
      <c r="F553" s="174"/>
    </row>
    <row r="554" spans="5:6" x14ac:dyDescent="0.15">
      <c r="E554" s="174"/>
      <c r="F554" s="174"/>
    </row>
    <row r="555" spans="5:6" x14ac:dyDescent="0.15">
      <c r="E555" s="174"/>
      <c r="F555" s="174"/>
    </row>
    <row r="556" spans="5:6" x14ac:dyDescent="0.15">
      <c r="E556" s="174"/>
      <c r="F556" s="174"/>
    </row>
    <row r="557" spans="5:6" x14ac:dyDescent="0.15">
      <c r="E557" s="174"/>
      <c r="F557" s="174"/>
    </row>
    <row r="558" spans="5:6" x14ac:dyDescent="0.15">
      <c r="E558" s="174"/>
      <c r="F558" s="174"/>
    </row>
    <row r="559" spans="5:6" x14ac:dyDescent="0.15">
      <c r="E559" s="174"/>
      <c r="F559" s="174"/>
    </row>
    <row r="560" spans="5:6" x14ac:dyDescent="0.15">
      <c r="E560" s="174"/>
      <c r="F560" s="174"/>
    </row>
    <row r="561" spans="5:6" x14ac:dyDescent="0.15">
      <c r="E561" s="174"/>
      <c r="F561" s="174"/>
    </row>
    <row r="562" spans="5:6" x14ac:dyDescent="0.15">
      <c r="E562" s="174"/>
      <c r="F562" s="174"/>
    </row>
    <row r="563" spans="5:6" x14ac:dyDescent="0.15">
      <c r="E563" s="174"/>
      <c r="F563" s="174"/>
    </row>
    <row r="564" spans="5:6" x14ac:dyDescent="0.15">
      <c r="E564" s="174"/>
      <c r="F564" s="174"/>
    </row>
    <row r="565" spans="5:6" x14ac:dyDescent="0.15">
      <c r="E565" s="174"/>
      <c r="F565" s="174"/>
    </row>
    <row r="566" spans="5:6" x14ac:dyDescent="0.15">
      <c r="E566" s="174"/>
      <c r="F566" s="174"/>
    </row>
    <row r="567" spans="5:6" x14ac:dyDescent="0.15">
      <c r="E567" s="174"/>
      <c r="F567" s="174"/>
    </row>
    <row r="568" spans="5:6" x14ac:dyDescent="0.15">
      <c r="E568" s="174"/>
      <c r="F568" s="174"/>
    </row>
    <row r="569" spans="5:6" x14ac:dyDescent="0.15">
      <c r="E569" s="174"/>
      <c r="F569" s="174"/>
    </row>
    <row r="570" spans="5:6" x14ac:dyDescent="0.15">
      <c r="E570" s="174"/>
      <c r="F570" s="174"/>
    </row>
    <row r="571" spans="5:6" x14ac:dyDescent="0.15">
      <c r="E571" s="174"/>
      <c r="F571" s="174"/>
    </row>
    <row r="572" spans="5:6" x14ac:dyDescent="0.15">
      <c r="E572" s="174"/>
      <c r="F572" s="174"/>
    </row>
    <row r="573" spans="5:6" x14ac:dyDescent="0.15">
      <c r="E573" s="174"/>
      <c r="F573" s="174"/>
    </row>
    <row r="574" spans="5:6" x14ac:dyDescent="0.15">
      <c r="E574" s="174"/>
      <c r="F574" s="174"/>
    </row>
    <row r="575" spans="5:6" x14ac:dyDescent="0.15">
      <c r="E575" s="174"/>
      <c r="F575" s="174"/>
    </row>
    <row r="576" spans="5:6" x14ac:dyDescent="0.15">
      <c r="E576" s="174"/>
      <c r="F576" s="174"/>
    </row>
    <row r="577" spans="5:6" x14ac:dyDescent="0.15">
      <c r="E577" s="174"/>
      <c r="F577" s="174"/>
    </row>
    <row r="578" spans="5:6" x14ac:dyDescent="0.15">
      <c r="E578" s="174"/>
      <c r="F578" s="174"/>
    </row>
    <row r="579" spans="5:6" x14ac:dyDescent="0.15">
      <c r="E579" s="174"/>
      <c r="F579" s="174"/>
    </row>
    <row r="580" spans="5:6" x14ac:dyDescent="0.15">
      <c r="E580" s="174"/>
      <c r="F580" s="174"/>
    </row>
    <row r="581" spans="5:6" x14ac:dyDescent="0.15">
      <c r="E581" s="174"/>
      <c r="F581" s="174"/>
    </row>
    <row r="582" spans="5:6" x14ac:dyDescent="0.15">
      <c r="E582" s="174"/>
      <c r="F582" s="174"/>
    </row>
    <row r="583" spans="5:6" x14ac:dyDescent="0.15">
      <c r="E583" s="174"/>
      <c r="F583" s="174"/>
    </row>
    <row r="584" spans="5:6" x14ac:dyDescent="0.15">
      <c r="E584" s="174"/>
      <c r="F584" s="174"/>
    </row>
    <row r="585" spans="5:6" x14ac:dyDescent="0.15">
      <c r="E585" s="174"/>
      <c r="F585" s="174"/>
    </row>
    <row r="586" spans="5:6" x14ac:dyDescent="0.15">
      <c r="E586" s="174"/>
      <c r="F586" s="174"/>
    </row>
    <row r="587" spans="5:6" x14ac:dyDescent="0.15">
      <c r="E587" s="174"/>
      <c r="F587" s="174"/>
    </row>
    <row r="588" spans="5:6" x14ac:dyDescent="0.15">
      <c r="E588" s="174"/>
      <c r="F588" s="174"/>
    </row>
    <row r="589" spans="5:6" x14ac:dyDescent="0.15">
      <c r="E589" s="174"/>
      <c r="F589" s="174"/>
    </row>
    <row r="590" spans="5:6" x14ac:dyDescent="0.15">
      <c r="E590" s="174"/>
      <c r="F590" s="174"/>
    </row>
    <row r="591" spans="5:6" x14ac:dyDescent="0.15">
      <c r="E591" s="174"/>
      <c r="F591" s="174"/>
    </row>
    <row r="592" spans="5:6" x14ac:dyDescent="0.15">
      <c r="E592" s="174"/>
      <c r="F592" s="174"/>
    </row>
    <row r="593" spans="5:6" x14ac:dyDescent="0.15">
      <c r="E593" s="174"/>
      <c r="F593" s="174"/>
    </row>
    <row r="594" spans="5:6" x14ac:dyDescent="0.15">
      <c r="E594" s="174"/>
      <c r="F594" s="174"/>
    </row>
    <row r="595" spans="5:6" x14ac:dyDescent="0.15">
      <c r="E595" s="174"/>
      <c r="F595" s="174"/>
    </row>
    <row r="596" spans="5:6" x14ac:dyDescent="0.15">
      <c r="E596" s="174"/>
      <c r="F596" s="174"/>
    </row>
    <row r="597" spans="5:6" x14ac:dyDescent="0.15">
      <c r="E597" s="174"/>
      <c r="F597" s="174"/>
    </row>
    <row r="598" spans="5:6" x14ac:dyDescent="0.15">
      <c r="E598" s="174"/>
      <c r="F598" s="174"/>
    </row>
    <row r="599" spans="5:6" x14ac:dyDescent="0.15">
      <c r="E599" s="174"/>
      <c r="F599" s="174"/>
    </row>
    <row r="600" spans="5:6" x14ac:dyDescent="0.15">
      <c r="E600" s="174"/>
      <c r="F600" s="174"/>
    </row>
    <row r="601" spans="5:6" x14ac:dyDescent="0.15">
      <c r="E601" s="174"/>
      <c r="F601" s="174"/>
    </row>
    <row r="602" spans="5:6" x14ac:dyDescent="0.15">
      <c r="E602" s="174"/>
      <c r="F602" s="174"/>
    </row>
    <row r="603" spans="5:6" x14ac:dyDescent="0.15">
      <c r="E603" s="174"/>
      <c r="F603" s="174"/>
    </row>
    <row r="604" spans="5:6" x14ac:dyDescent="0.15">
      <c r="E604" s="174"/>
      <c r="F604" s="174"/>
    </row>
    <row r="605" spans="5:6" x14ac:dyDescent="0.15">
      <c r="E605" s="174"/>
      <c r="F605" s="174"/>
    </row>
    <row r="606" spans="5:6" x14ac:dyDescent="0.15">
      <c r="E606" s="174"/>
      <c r="F606" s="174"/>
    </row>
    <row r="607" spans="5:6" x14ac:dyDescent="0.15">
      <c r="E607" s="174"/>
      <c r="F607" s="174"/>
    </row>
    <row r="608" spans="5:6" x14ac:dyDescent="0.15">
      <c r="E608" s="174"/>
      <c r="F608" s="174"/>
    </row>
    <row r="609" spans="5:6" x14ac:dyDescent="0.15">
      <c r="E609" s="174"/>
      <c r="F609" s="174"/>
    </row>
    <row r="610" spans="5:6" x14ac:dyDescent="0.15">
      <c r="E610" s="174"/>
      <c r="F610" s="174"/>
    </row>
    <row r="611" spans="5:6" x14ac:dyDescent="0.15">
      <c r="E611" s="174"/>
      <c r="F611" s="174"/>
    </row>
    <row r="612" spans="5:6" x14ac:dyDescent="0.15">
      <c r="E612" s="174"/>
      <c r="F612" s="174"/>
    </row>
    <row r="613" spans="5:6" x14ac:dyDescent="0.15">
      <c r="E613" s="174"/>
      <c r="F613" s="174"/>
    </row>
    <row r="614" spans="5:6" x14ac:dyDescent="0.15">
      <c r="E614" s="174"/>
      <c r="F614" s="174"/>
    </row>
    <row r="615" spans="5:6" x14ac:dyDescent="0.15">
      <c r="E615" s="174"/>
      <c r="F615" s="174"/>
    </row>
    <row r="616" spans="5:6" x14ac:dyDescent="0.15">
      <c r="E616" s="174"/>
      <c r="F616" s="174"/>
    </row>
    <row r="617" spans="5:6" x14ac:dyDescent="0.15">
      <c r="E617" s="174"/>
      <c r="F617" s="174"/>
    </row>
    <row r="618" spans="5:6" x14ac:dyDescent="0.15">
      <c r="E618" s="174"/>
      <c r="F618" s="174"/>
    </row>
    <row r="619" spans="5:6" x14ac:dyDescent="0.15">
      <c r="E619" s="174"/>
      <c r="F619" s="174"/>
    </row>
    <row r="620" spans="5:6" x14ac:dyDescent="0.15">
      <c r="E620" s="174"/>
      <c r="F620" s="174"/>
    </row>
    <row r="621" spans="5:6" x14ac:dyDescent="0.15">
      <c r="E621" s="174"/>
      <c r="F621" s="174"/>
    </row>
    <row r="622" spans="5:6" x14ac:dyDescent="0.15">
      <c r="E622" s="174"/>
      <c r="F622" s="174"/>
    </row>
    <row r="623" spans="5:6" x14ac:dyDescent="0.15">
      <c r="E623" s="174"/>
      <c r="F623" s="174"/>
    </row>
    <row r="624" spans="5:6" x14ac:dyDescent="0.15">
      <c r="E624" s="174"/>
      <c r="F624" s="174"/>
    </row>
    <row r="625" spans="5:6" x14ac:dyDescent="0.15">
      <c r="E625" s="174"/>
      <c r="F625" s="174"/>
    </row>
    <row r="626" spans="5:6" x14ac:dyDescent="0.15">
      <c r="E626" s="174"/>
      <c r="F626" s="174"/>
    </row>
    <row r="627" spans="5:6" x14ac:dyDescent="0.15">
      <c r="E627" s="174"/>
      <c r="F627" s="174"/>
    </row>
    <row r="628" spans="5:6" x14ac:dyDescent="0.15">
      <c r="E628" s="174"/>
      <c r="F628" s="174"/>
    </row>
    <row r="629" spans="5:6" x14ac:dyDescent="0.15">
      <c r="E629" s="174"/>
      <c r="F629" s="174"/>
    </row>
    <row r="630" spans="5:6" x14ac:dyDescent="0.15">
      <c r="E630" s="174"/>
      <c r="F630" s="174"/>
    </row>
    <row r="631" spans="5:6" x14ac:dyDescent="0.15">
      <c r="E631" s="174"/>
      <c r="F631" s="174"/>
    </row>
    <row r="632" spans="5:6" x14ac:dyDescent="0.15">
      <c r="E632" s="174"/>
      <c r="F632" s="174"/>
    </row>
    <row r="633" spans="5:6" x14ac:dyDescent="0.15">
      <c r="E633" s="174"/>
      <c r="F633" s="174"/>
    </row>
    <row r="634" spans="5:6" x14ac:dyDescent="0.15">
      <c r="E634" s="174"/>
      <c r="F634" s="174"/>
    </row>
    <row r="635" spans="5:6" x14ac:dyDescent="0.15">
      <c r="E635" s="174"/>
      <c r="F635" s="174"/>
    </row>
    <row r="636" spans="5:6" x14ac:dyDescent="0.15">
      <c r="E636" s="174"/>
      <c r="F636" s="174"/>
    </row>
    <row r="637" spans="5:6" x14ac:dyDescent="0.15">
      <c r="E637" s="174"/>
      <c r="F637" s="174"/>
    </row>
    <row r="638" spans="5:6" x14ac:dyDescent="0.15">
      <c r="E638" s="174"/>
      <c r="F638" s="174"/>
    </row>
    <row r="639" spans="5:6" x14ac:dyDescent="0.15">
      <c r="E639" s="174"/>
      <c r="F639" s="174"/>
    </row>
    <row r="640" spans="5:6" x14ac:dyDescent="0.15">
      <c r="E640" s="174"/>
      <c r="F640" s="174"/>
    </row>
    <row r="641" spans="5:6" x14ac:dyDescent="0.15">
      <c r="E641" s="174"/>
      <c r="F641" s="174"/>
    </row>
    <row r="642" spans="5:6" x14ac:dyDescent="0.15">
      <c r="E642" s="174"/>
      <c r="F642" s="174"/>
    </row>
    <row r="643" spans="5:6" x14ac:dyDescent="0.15">
      <c r="E643" s="174"/>
      <c r="F643" s="174"/>
    </row>
    <row r="644" spans="5:6" x14ac:dyDescent="0.15">
      <c r="E644" s="174"/>
      <c r="F644" s="174"/>
    </row>
    <row r="645" spans="5:6" x14ac:dyDescent="0.15">
      <c r="E645" s="174"/>
      <c r="F645" s="174"/>
    </row>
    <row r="646" spans="5:6" x14ac:dyDescent="0.15">
      <c r="E646" s="174"/>
      <c r="F646" s="174"/>
    </row>
    <row r="647" spans="5:6" x14ac:dyDescent="0.15">
      <c r="E647" s="174"/>
      <c r="F647" s="174"/>
    </row>
    <row r="648" spans="5:6" x14ac:dyDescent="0.15">
      <c r="E648" s="174"/>
      <c r="F648" s="174"/>
    </row>
    <row r="649" spans="5:6" x14ac:dyDescent="0.15">
      <c r="E649" s="174"/>
      <c r="F649" s="174"/>
    </row>
    <row r="650" spans="5:6" x14ac:dyDescent="0.15">
      <c r="E650" s="174"/>
      <c r="F650" s="174"/>
    </row>
    <row r="651" spans="5:6" x14ac:dyDescent="0.15">
      <c r="E651" s="174"/>
      <c r="F651" s="174"/>
    </row>
    <row r="652" spans="5:6" x14ac:dyDescent="0.15">
      <c r="E652" s="174"/>
      <c r="F652" s="174"/>
    </row>
    <row r="653" spans="5:6" x14ac:dyDescent="0.15">
      <c r="E653" s="174"/>
      <c r="F653" s="174"/>
    </row>
    <row r="654" spans="5:6" x14ac:dyDescent="0.15">
      <c r="E654" s="174"/>
      <c r="F654" s="174"/>
    </row>
    <row r="655" spans="5:6" x14ac:dyDescent="0.15">
      <c r="E655" s="174"/>
      <c r="F655" s="174"/>
    </row>
    <row r="656" spans="5:6" x14ac:dyDescent="0.15">
      <c r="E656" s="174"/>
      <c r="F656" s="174"/>
    </row>
    <row r="657" spans="5:6" x14ac:dyDescent="0.15">
      <c r="E657" s="174"/>
      <c r="F657" s="174"/>
    </row>
    <row r="658" spans="5:6" x14ac:dyDescent="0.15">
      <c r="E658" s="174"/>
      <c r="F658" s="174"/>
    </row>
    <row r="659" spans="5:6" x14ac:dyDescent="0.15">
      <c r="E659" s="174"/>
      <c r="F659" s="174"/>
    </row>
    <row r="660" spans="5:6" x14ac:dyDescent="0.15">
      <c r="E660" s="174"/>
      <c r="F660" s="174"/>
    </row>
    <row r="661" spans="5:6" x14ac:dyDescent="0.15">
      <c r="E661" s="174"/>
      <c r="F661" s="174"/>
    </row>
    <row r="662" spans="5:6" x14ac:dyDescent="0.15">
      <c r="E662" s="174"/>
      <c r="F662" s="174"/>
    </row>
    <row r="663" spans="5:6" x14ac:dyDescent="0.15">
      <c r="E663" s="174"/>
      <c r="F663" s="174"/>
    </row>
    <row r="664" spans="5:6" x14ac:dyDescent="0.15">
      <c r="E664" s="174"/>
      <c r="F664" s="174"/>
    </row>
    <row r="665" spans="5:6" x14ac:dyDescent="0.15">
      <c r="E665" s="174"/>
      <c r="F665" s="174"/>
    </row>
    <row r="666" spans="5:6" x14ac:dyDescent="0.15">
      <c r="E666" s="174"/>
      <c r="F666" s="174"/>
    </row>
    <row r="667" spans="5:6" x14ac:dyDescent="0.15">
      <c r="E667" s="174"/>
      <c r="F667" s="174"/>
    </row>
    <row r="668" spans="5:6" x14ac:dyDescent="0.15">
      <c r="E668" s="174"/>
      <c r="F668" s="174"/>
    </row>
    <row r="669" spans="5:6" x14ac:dyDescent="0.15">
      <c r="E669" s="174"/>
      <c r="F669" s="174"/>
    </row>
    <row r="670" spans="5:6" x14ac:dyDescent="0.15">
      <c r="E670" s="174"/>
      <c r="F670" s="174"/>
    </row>
    <row r="671" spans="5:6" x14ac:dyDescent="0.15">
      <c r="E671" s="174"/>
      <c r="F671" s="174"/>
    </row>
    <row r="672" spans="5:6" x14ac:dyDescent="0.15">
      <c r="E672" s="174"/>
      <c r="F672" s="174"/>
    </row>
    <row r="673" spans="5:6" x14ac:dyDescent="0.15">
      <c r="E673" s="174"/>
      <c r="F673" s="174"/>
    </row>
    <row r="674" spans="5:6" x14ac:dyDescent="0.15">
      <c r="E674" s="174"/>
      <c r="F674" s="174"/>
    </row>
    <row r="675" spans="5:6" x14ac:dyDescent="0.15">
      <c r="E675" s="174"/>
      <c r="F675" s="174"/>
    </row>
    <row r="676" spans="5:6" x14ac:dyDescent="0.15">
      <c r="E676" s="174"/>
      <c r="F676" s="174"/>
    </row>
    <row r="677" spans="5:6" x14ac:dyDescent="0.15">
      <c r="E677" s="174"/>
      <c r="F677" s="174"/>
    </row>
    <row r="678" spans="5:6" x14ac:dyDescent="0.15">
      <c r="E678" s="174"/>
      <c r="F678" s="174"/>
    </row>
    <row r="679" spans="5:6" x14ac:dyDescent="0.15">
      <c r="E679" s="174"/>
      <c r="F679" s="174"/>
    </row>
    <row r="680" spans="5:6" x14ac:dyDescent="0.15">
      <c r="E680" s="174"/>
      <c r="F680" s="174"/>
    </row>
    <row r="681" spans="5:6" x14ac:dyDescent="0.15">
      <c r="E681" s="174"/>
      <c r="F681" s="174"/>
    </row>
    <row r="682" spans="5:6" x14ac:dyDescent="0.15">
      <c r="E682" s="174"/>
      <c r="F682" s="174"/>
    </row>
    <row r="683" spans="5:6" x14ac:dyDescent="0.15">
      <c r="E683" s="174"/>
      <c r="F683" s="174"/>
    </row>
    <row r="684" spans="5:6" x14ac:dyDescent="0.15">
      <c r="E684" s="174"/>
      <c r="F684" s="174"/>
    </row>
    <row r="685" spans="5:6" x14ac:dyDescent="0.15">
      <c r="E685" s="174"/>
      <c r="F685" s="174"/>
    </row>
    <row r="686" spans="5:6" x14ac:dyDescent="0.15">
      <c r="E686" s="174"/>
      <c r="F686" s="174"/>
    </row>
    <row r="687" spans="5:6" x14ac:dyDescent="0.15">
      <c r="E687" s="174"/>
      <c r="F687" s="174"/>
    </row>
    <row r="688" spans="5:6" x14ac:dyDescent="0.15">
      <c r="E688" s="174"/>
      <c r="F688" s="174"/>
    </row>
    <row r="689" spans="5:6" x14ac:dyDescent="0.15">
      <c r="E689" s="174"/>
      <c r="F689" s="174"/>
    </row>
    <row r="690" spans="5:6" x14ac:dyDescent="0.15">
      <c r="E690" s="174"/>
      <c r="F690" s="174"/>
    </row>
    <row r="691" spans="5:6" x14ac:dyDescent="0.15">
      <c r="E691" s="174"/>
      <c r="F691" s="174"/>
    </row>
    <row r="692" spans="5:6" x14ac:dyDescent="0.15">
      <c r="E692" s="174"/>
      <c r="F692" s="174"/>
    </row>
    <row r="693" spans="5:6" x14ac:dyDescent="0.15">
      <c r="E693" s="174"/>
      <c r="F693" s="174"/>
    </row>
    <row r="694" spans="5:6" x14ac:dyDescent="0.15">
      <c r="E694" s="174"/>
      <c r="F694" s="174"/>
    </row>
    <row r="695" spans="5:6" x14ac:dyDescent="0.15">
      <c r="E695" s="174"/>
      <c r="F695" s="174"/>
    </row>
    <row r="696" spans="5:6" x14ac:dyDescent="0.15">
      <c r="E696" s="174"/>
      <c r="F696" s="174"/>
    </row>
    <row r="697" spans="5:6" x14ac:dyDescent="0.15">
      <c r="E697" s="174"/>
      <c r="F697" s="174"/>
    </row>
    <row r="698" spans="5:6" x14ac:dyDescent="0.15">
      <c r="E698" s="174"/>
      <c r="F698" s="174"/>
    </row>
    <row r="699" spans="5:6" x14ac:dyDescent="0.15">
      <c r="E699" s="174"/>
      <c r="F699" s="174"/>
    </row>
    <row r="700" spans="5:6" x14ac:dyDescent="0.15">
      <c r="E700" s="174"/>
      <c r="F700" s="174"/>
    </row>
    <row r="701" spans="5:6" x14ac:dyDescent="0.15">
      <c r="E701" s="174"/>
      <c r="F701" s="174"/>
    </row>
    <row r="702" spans="5:6" x14ac:dyDescent="0.15">
      <c r="E702" s="174"/>
      <c r="F702" s="174"/>
    </row>
    <row r="703" spans="5:6" x14ac:dyDescent="0.15">
      <c r="E703" s="174"/>
      <c r="F703" s="174"/>
    </row>
    <row r="704" spans="5:6" x14ac:dyDescent="0.15">
      <c r="E704" s="174"/>
      <c r="F704" s="174"/>
    </row>
    <row r="705" spans="5:6" x14ac:dyDescent="0.15">
      <c r="E705" s="174"/>
      <c r="F705" s="174"/>
    </row>
    <row r="706" spans="5:6" x14ac:dyDescent="0.15">
      <c r="E706" s="174"/>
      <c r="F706" s="174"/>
    </row>
    <row r="707" spans="5:6" x14ac:dyDescent="0.15">
      <c r="E707" s="174"/>
      <c r="F707" s="174"/>
    </row>
    <row r="708" spans="5:6" x14ac:dyDescent="0.15">
      <c r="E708" s="174"/>
      <c r="F708" s="174"/>
    </row>
    <row r="709" spans="5:6" x14ac:dyDescent="0.15">
      <c r="E709" s="174"/>
      <c r="F709" s="174"/>
    </row>
    <row r="710" spans="5:6" x14ac:dyDescent="0.15">
      <c r="E710" s="174"/>
      <c r="F710" s="174"/>
    </row>
    <row r="711" spans="5:6" x14ac:dyDescent="0.15">
      <c r="E711" s="174"/>
      <c r="F711" s="174"/>
    </row>
    <row r="712" spans="5:6" x14ac:dyDescent="0.15">
      <c r="E712" s="174"/>
      <c r="F712" s="174"/>
    </row>
    <row r="713" spans="5:6" x14ac:dyDescent="0.15">
      <c r="E713" s="174"/>
      <c r="F713" s="174"/>
    </row>
    <row r="714" spans="5:6" x14ac:dyDescent="0.15">
      <c r="E714" s="174"/>
      <c r="F714" s="174"/>
    </row>
    <row r="715" spans="5:6" x14ac:dyDescent="0.15">
      <c r="E715" s="174"/>
      <c r="F715" s="174"/>
    </row>
    <row r="716" spans="5:6" x14ac:dyDescent="0.15">
      <c r="E716" s="174"/>
      <c r="F716" s="174"/>
    </row>
    <row r="717" spans="5:6" x14ac:dyDescent="0.15">
      <c r="E717" s="174"/>
      <c r="F717" s="174"/>
    </row>
    <row r="718" spans="5:6" x14ac:dyDescent="0.15">
      <c r="E718" s="174"/>
      <c r="F718" s="174"/>
    </row>
    <row r="719" spans="5:6" x14ac:dyDescent="0.15">
      <c r="E719" s="174"/>
      <c r="F719" s="174"/>
    </row>
    <row r="720" spans="5:6" x14ac:dyDescent="0.15">
      <c r="E720" s="174"/>
      <c r="F720" s="174"/>
    </row>
    <row r="721" spans="5:6" x14ac:dyDescent="0.15">
      <c r="E721" s="174"/>
      <c r="F721" s="174"/>
    </row>
    <row r="722" spans="5:6" x14ac:dyDescent="0.15">
      <c r="E722" s="174"/>
      <c r="F722" s="174"/>
    </row>
    <row r="723" spans="5:6" x14ac:dyDescent="0.15">
      <c r="E723" s="174"/>
      <c r="F723" s="174"/>
    </row>
    <row r="724" spans="5:6" x14ac:dyDescent="0.15">
      <c r="E724" s="174"/>
      <c r="F724" s="174"/>
    </row>
    <row r="725" spans="5:6" x14ac:dyDescent="0.15">
      <c r="E725" s="174"/>
      <c r="F725" s="174"/>
    </row>
    <row r="726" spans="5:6" x14ac:dyDescent="0.15">
      <c r="E726" s="174"/>
      <c r="F726" s="174"/>
    </row>
    <row r="727" spans="5:6" x14ac:dyDescent="0.15">
      <c r="E727" s="174"/>
      <c r="F727" s="174"/>
    </row>
    <row r="728" spans="5:6" x14ac:dyDescent="0.15">
      <c r="E728" s="174"/>
      <c r="F728" s="174"/>
    </row>
    <row r="729" spans="5:6" x14ac:dyDescent="0.15">
      <c r="E729" s="174"/>
      <c r="F729" s="174"/>
    </row>
    <row r="730" spans="5:6" x14ac:dyDescent="0.15">
      <c r="E730" s="174"/>
      <c r="F730" s="174"/>
    </row>
    <row r="731" spans="5:6" x14ac:dyDescent="0.15">
      <c r="E731" s="174"/>
      <c r="F731" s="174"/>
    </row>
    <row r="732" spans="5:6" x14ac:dyDescent="0.15">
      <c r="E732" s="174"/>
      <c r="F732" s="174"/>
    </row>
    <row r="733" spans="5:6" x14ac:dyDescent="0.15">
      <c r="E733" s="174"/>
      <c r="F733" s="174"/>
    </row>
    <row r="734" spans="5:6" x14ac:dyDescent="0.15">
      <c r="E734" s="174"/>
      <c r="F734" s="174"/>
    </row>
    <row r="735" spans="5:6" x14ac:dyDescent="0.15">
      <c r="E735" s="174"/>
      <c r="F735" s="174"/>
    </row>
    <row r="736" spans="5:6" x14ac:dyDescent="0.15">
      <c r="E736" s="174"/>
      <c r="F736" s="174"/>
    </row>
    <row r="737" spans="5:6" x14ac:dyDescent="0.15">
      <c r="E737" s="174"/>
      <c r="F737" s="174"/>
    </row>
    <row r="738" spans="5:6" x14ac:dyDescent="0.15">
      <c r="E738" s="174"/>
    </row>
  </sheetData>
  <autoFilter ref="A1:BA91"/>
  <phoneticPr fontId="3"/>
  <dataValidations count="15">
    <dataValidation type="list" allowBlank="1" showInputMessage="1" showErrorMessage="1" sqref="Y983048:AA983125 ADM983048:ADO983125 BHA983048:BHC983125 CKO983048:CKQ983125 DOC983048:DOE983125 ERQ983048:ERS983125 FVE983048:FVG983125 GYS983048:GYU983125 ICG983048:ICI983125 JFU983048:JFW983125 KJI983048:KJK983125 LMW983048:LMY983125 MQK983048:MQM983125 NTY983048:NUA983125 OXM983048:OXO983125 QBA983048:QBC983125 REO983048:REQ983125 SIC983048:SIE983125 TLQ983048:TLS983125 UPE983048:UPG983125 VSS983048:VSU983125 WWG983048:WWI983125 JU2:JW85 ANI2:ANK85 BQW2:BQY85 CUK2:CUM85 DXY2:DYA85 FBM2:FBO85 GFA2:GFC85 HIO2:HIQ85 IMC2:IME85 JPQ2:JPS85 KTE2:KTG85 LWS2:LWU85 NAG2:NAI85 ODU2:ODW85 PHI2:PHK85 QKW2:QKY85 ROK2:ROM85 SRY2:SSA85 TVM2:TVO85 UZA2:UZC85 WCO2:WCQ85 TQ2:TS85 AXE2:AXG85 CAS2:CAU85 DEG2:DEI85 EHU2:EHW85 FLI2:FLK85 GOW2:GOY85 HSK2:HSM85 IVY2:IWA85 JZM2:JZO85 LDA2:LDC85 MGO2:MGQ85 NKC2:NKE85 ONQ2:ONS85 PRE2:PRG85 QUS2:QUU85 RYG2:RYI85 TBU2:TBW85 UFI2:UFK85 VIW2:VIY85 WMK2:WMM85 ADM2:ADO85 BHA2:BHC85 CKO2:CKQ85 DOC2:DOE85 ERQ2:ERS85 FVE2:FVG85 GYS2:GYU85 ICG2:ICI85 JFU2:JFW85 KJI2:KJK85 LMW2:LMY85 MQK2:MQM85 NTY2:NUA85 OXM2:OXO85 QBA2:QBC85 REO2:REQ85 SIC2:SIE85 TLQ2:TLS85 UPE2:UPG85 VSS2:VSU85 WWG2:WWI85 Y65544:AA65621 ADM65544:ADO65621 BHA65544:BHC65621 CKO65544:CKQ65621 DOC65544:DOE65621 ERQ65544:ERS65621 FVE65544:FVG65621 GYS65544:GYU65621 ICG65544:ICI65621 JFU65544:JFW65621 KJI65544:KJK65621 LMW65544:LMY65621 MQK65544:MQM65621 NTY65544:NUA65621 OXM65544:OXO65621 QBA65544:QBC65621 REO65544:REQ65621 SIC65544:SIE65621 TLQ65544:TLS65621 UPE65544:UPG65621 VSS65544:VSU65621 WWG65544:WWI65621 JU65544:JW65621 ANI65544:ANK65621 BQW65544:BQY65621 CUK65544:CUM65621 DXY65544:DYA65621 FBM65544:FBO65621 GFA65544:GFC65621 HIO65544:HIQ65621 IMC65544:IME65621 JPQ65544:JPS65621 KTE65544:KTG65621 LWS65544:LWU65621 NAG65544:NAI65621 ODU65544:ODW65621 PHI65544:PHK65621 QKW65544:QKY65621 ROK65544:ROM65621 SRY65544:SSA65621 TVM65544:TVO65621 UZA65544:UZC65621 WCO65544:WCQ65621 TQ65544:TS65621 AXE65544:AXG65621 CAS65544:CAU65621 DEG65544:DEI65621 EHU65544:EHW65621 FLI65544:FLK65621 GOW65544:GOY65621 HSK65544:HSM65621 IVY65544:IWA65621 JZM65544:JZO65621 LDA65544:LDC65621 MGO65544:MGQ65621 NKC65544:NKE65621 ONQ65544:ONS65621 PRE65544:PRG65621 QUS65544:QUU65621 RYG65544:RYI65621 TBU65544:TBW65621 UFI65544:UFK65621 VIW65544:VIY65621 WMK65544:WMM65621 Y131080:AA131157 ADM131080:ADO131157 BHA131080:BHC131157 CKO131080:CKQ131157 DOC131080:DOE131157 ERQ131080:ERS131157 FVE131080:FVG131157 GYS131080:GYU131157 ICG131080:ICI131157 JFU131080:JFW131157 KJI131080:KJK131157 LMW131080:LMY131157 MQK131080:MQM131157 NTY131080:NUA131157 OXM131080:OXO131157 QBA131080:QBC131157 REO131080:REQ131157 SIC131080:SIE131157 TLQ131080:TLS131157 UPE131080:UPG131157 VSS131080:VSU131157 WWG131080:WWI131157 JU131080:JW131157 ANI131080:ANK131157 BQW131080:BQY131157 CUK131080:CUM131157 DXY131080:DYA131157 FBM131080:FBO131157 GFA131080:GFC131157 HIO131080:HIQ131157 IMC131080:IME131157 JPQ131080:JPS131157 KTE131080:KTG131157 LWS131080:LWU131157 NAG131080:NAI131157 ODU131080:ODW131157 PHI131080:PHK131157 QKW131080:QKY131157 ROK131080:ROM131157 SRY131080:SSA131157 TVM131080:TVO131157 UZA131080:UZC131157 WCO131080:WCQ131157 TQ131080:TS131157 AXE131080:AXG131157 CAS131080:CAU131157 DEG131080:DEI131157 EHU131080:EHW131157 FLI131080:FLK131157 GOW131080:GOY131157 HSK131080:HSM131157 IVY131080:IWA131157 JZM131080:JZO131157 LDA131080:LDC131157 MGO131080:MGQ131157 NKC131080:NKE131157 ONQ131080:ONS131157 PRE131080:PRG131157 QUS131080:QUU131157 RYG131080:RYI131157 TBU131080:TBW131157 UFI131080:UFK131157 VIW131080:VIY131157 WMK131080:WMM131157 Y196616:AA196693 ADM196616:ADO196693 BHA196616:BHC196693 CKO196616:CKQ196693 DOC196616:DOE196693 ERQ196616:ERS196693 FVE196616:FVG196693 GYS196616:GYU196693 ICG196616:ICI196693 JFU196616:JFW196693 KJI196616:KJK196693 LMW196616:LMY196693 MQK196616:MQM196693 NTY196616:NUA196693 OXM196616:OXO196693 QBA196616:QBC196693 REO196616:REQ196693 SIC196616:SIE196693 TLQ196616:TLS196693 UPE196616:UPG196693 VSS196616:VSU196693 WWG196616:WWI196693 JU196616:JW196693 ANI196616:ANK196693 BQW196616:BQY196693 CUK196616:CUM196693 DXY196616:DYA196693 FBM196616:FBO196693 GFA196616:GFC196693 HIO196616:HIQ196693 IMC196616:IME196693 JPQ196616:JPS196693 KTE196616:KTG196693 LWS196616:LWU196693 NAG196616:NAI196693 ODU196616:ODW196693 PHI196616:PHK196693 QKW196616:QKY196693 ROK196616:ROM196693 SRY196616:SSA196693 TVM196616:TVO196693 UZA196616:UZC196693 WCO196616:WCQ196693 TQ196616:TS196693 AXE196616:AXG196693 CAS196616:CAU196693 DEG196616:DEI196693 EHU196616:EHW196693 FLI196616:FLK196693 GOW196616:GOY196693 HSK196616:HSM196693 IVY196616:IWA196693 JZM196616:JZO196693 LDA196616:LDC196693 MGO196616:MGQ196693 NKC196616:NKE196693 ONQ196616:ONS196693 PRE196616:PRG196693 QUS196616:QUU196693 RYG196616:RYI196693 TBU196616:TBW196693 UFI196616:UFK196693 VIW196616:VIY196693 WMK196616:WMM196693 Y262152:AA262229 ADM262152:ADO262229 BHA262152:BHC262229 CKO262152:CKQ262229 DOC262152:DOE262229 ERQ262152:ERS262229 FVE262152:FVG262229 GYS262152:GYU262229 ICG262152:ICI262229 JFU262152:JFW262229 KJI262152:KJK262229 LMW262152:LMY262229 MQK262152:MQM262229 NTY262152:NUA262229 OXM262152:OXO262229 QBA262152:QBC262229 REO262152:REQ262229 SIC262152:SIE262229 TLQ262152:TLS262229 UPE262152:UPG262229 VSS262152:VSU262229 WWG262152:WWI262229 JU262152:JW262229 ANI262152:ANK262229 BQW262152:BQY262229 CUK262152:CUM262229 DXY262152:DYA262229 FBM262152:FBO262229 GFA262152:GFC262229 HIO262152:HIQ262229 IMC262152:IME262229 JPQ262152:JPS262229 KTE262152:KTG262229 LWS262152:LWU262229 NAG262152:NAI262229 ODU262152:ODW262229 PHI262152:PHK262229 QKW262152:QKY262229 ROK262152:ROM262229 SRY262152:SSA262229 TVM262152:TVO262229 UZA262152:UZC262229 WCO262152:WCQ262229 TQ262152:TS262229 AXE262152:AXG262229 CAS262152:CAU262229 DEG262152:DEI262229 EHU262152:EHW262229 FLI262152:FLK262229 GOW262152:GOY262229 HSK262152:HSM262229 IVY262152:IWA262229 JZM262152:JZO262229 LDA262152:LDC262229 MGO262152:MGQ262229 NKC262152:NKE262229 ONQ262152:ONS262229 PRE262152:PRG262229 QUS262152:QUU262229 RYG262152:RYI262229 TBU262152:TBW262229 UFI262152:UFK262229 VIW262152:VIY262229 WMK262152:WMM262229 Y327688:AA327765 ADM327688:ADO327765 BHA327688:BHC327765 CKO327688:CKQ327765 DOC327688:DOE327765 ERQ327688:ERS327765 FVE327688:FVG327765 GYS327688:GYU327765 ICG327688:ICI327765 JFU327688:JFW327765 KJI327688:KJK327765 LMW327688:LMY327765 MQK327688:MQM327765 NTY327688:NUA327765 OXM327688:OXO327765 QBA327688:QBC327765 REO327688:REQ327765 SIC327688:SIE327765 TLQ327688:TLS327765 UPE327688:UPG327765 VSS327688:VSU327765 WWG327688:WWI327765 JU327688:JW327765 ANI327688:ANK327765 BQW327688:BQY327765 CUK327688:CUM327765 DXY327688:DYA327765 FBM327688:FBO327765 GFA327688:GFC327765 HIO327688:HIQ327765 IMC327688:IME327765 JPQ327688:JPS327765 KTE327688:KTG327765 LWS327688:LWU327765 NAG327688:NAI327765 ODU327688:ODW327765 PHI327688:PHK327765 QKW327688:QKY327765 ROK327688:ROM327765 SRY327688:SSA327765 TVM327688:TVO327765 UZA327688:UZC327765 WCO327688:WCQ327765 TQ327688:TS327765 AXE327688:AXG327765 CAS327688:CAU327765 DEG327688:DEI327765 EHU327688:EHW327765 FLI327688:FLK327765 GOW327688:GOY327765 HSK327688:HSM327765 IVY327688:IWA327765 JZM327688:JZO327765 LDA327688:LDC327765 MGO327688:MGQ327765 NKC327688:NKE327765 ONQ327688:ONS327765 PRE327688:PRG327765 QUS327688:QUU327765 RYG327688:RYI327765 TBU327688:TBW327765 UFI327688:UFK327765 VIW327688:VIY327765 WMK327688:WMM327765 Y393224:AA393301 ADM393224:ADO393301 BHA393224:BHC393301 CKO393224:CKQ393301 DOC393224:DOE393301 ERQ393224:ERS393301 FVE393224:FVG393301 GYS393224:GYU393301 ICG393224:ICI393301 JFU393224:JFW393301 KJI393224:KJK393301 LMW393224:LMY393301 MQK393224:MQM393301 NTY393224:NUA393301 OXM393224:OXO393301 QBA393224:QBC393301 REO393224:REQ393301 SIC393224:SIE393301 TLQ393224:TLS393301 UPE393224:UPG393301 VSS393224:VSU393301 WWG393224:WWI393301 JU393224:JW393301 ANI393224:ANK393301 BQW393224:BQY393301 CUK393224:CUM393301 DXY393224:DYA393301 FBM393224:FBO393301 GFA393224:GFC393301 HIO393224:HIQ393301 IMC393224:IME393301 JPQ393224:JPS393301 KTE393224:KTG393301 LWS393224:LWU393301 NAG393224:NAI393301 ODU393224:ODW393301 PHI393224:PHK393301 QKW393224:QKY393301 ROK393224:ROM393301 SRY393224:SSA393301 TVM393224:TVO393301 UZA393224:UZC393301 WCO393224:WCQ393301 TQ393224:TS393301 AXE393224:AXG393301 CAS393224:CAU393301 DEG393224:DEI393301 EHU393224:EHW393301 FLI393224:FLK393301 GOW393224:GOY393301 HSK393224:HSM393301 IVY393224:IWA393301 JZM393224:JZO393301 LDA393224:LDC393301 MGO393224:MGQ393301 NKC393224:NKE393301 ONQ393224:ONS393301 PRE393224:PRG393301 QUS393224:QUU393301 RYG393224:RYI393301 TBU393224:TBW393301 UFI393224:UFK393301 VIW393224:VIY393301 WMK393224:WMM393301 Y458760:AA458837 ADM458760:ADO458837 BHA458760:BHC458837 CKO458760:CKQ458837 DOC458760:DOE458837 ERQ458760:ERS458837 FVE458760:FVG458837 GYS458760:GYU458837 ICG458760:ICI458837 JFU458760:JFW458837 KJI458760:KJK458837 LMW458760:LMY458837 MQK458760:MQM458837 NTY458760:NUA458837 OXM458760:OXO458837 QBA458760:QBC458837 REO458760:REQ458837 SIC458760:SIE458837 TLQ458760:TLS458837 UPE458760:UPG458837 VSS458760:VSU458837 WWG458760:WWI458837 JU458760:JW458837 ANI458760:ANK458837 BQW458760:BQY458837 CUK458760:CUM458837 DXY458760:DYA458837 FBM458760:FBO458837 GFA458760:GFC458837 HIO458760:HIQ458837 IMC458760:IME458837 JPQ458760:JPS458837 KTE458760:KTG458837 LWS458760:LWU458837 NAG458760:NAI458837 ODU458760:ODW458837 PHI458760:PHK458837 QKW458760:QKY458837 ROK458760:ROM458837 SRY458760:SSA458837 TVM458760:TVO458837 UZA458760:UZC458837 WCO458760:WCQ458837 TQ458760:TS458837 AXE458760:AXG458837 CAS458760:CAU458837 DEG458760:DEI458837 EHU458760:EHW458837 FLI458760:FLK458837 GOW458760:GOY458837 HSK458760:HSM458837 IVY458760:IWA458837 JZM458760:JZO458837 LDA458760:LDC458837 MGO458760:MGQ458837 NKC458760:NKE458837 ONQ458760:ONS458837 PRE458760:PRG458837 QUS458760:QUU458837 RYG458760:RYI458837 TBU458760:TBW458837 UFI458760:UFK458837 VIW458760:VIY458837 WMK458760:WMM458837 Y524296:AA524373 ADM524296:ADO524373 BHA524296:BHC524373 CKO524296:CKQ524373 DOC524296:DOE524373 ERQ524296:ERS524373 FVE524296:FVG524373 GYS524296:GYU524373 ICG524296:ICI524373 JFU524296:JFW524373 KJI524296:KJK524373 LMW524296:LMY524373 MQK524296:MQM524373 NTY524296:NUA524373 OXM524296:OXO524373 QBA524296:QBC524373 REO524296:REQ524373 SIC524296:SIE524373 TLQ524296:TLS524373 UPE524296:UPG524373 VSS524296:VSU524373 WWG524296:WWI524373 JU524296:JW524373 ANI524296:ANK524373 BQW524296:BQY524373 CUK524296:CUM524373 DXY524296:DYA524373 FBM524296:FBO524373 GFA524296:GFC524373 HIO524296:HIQ524373 IMC524296:IME524373 JPQ524296:JPS524373 KTE524296:KTG524373 LWS524296:LWU524373 NAG524296:NAI524373 ODU524296:ODW524373 PHI524296:PHK524373 QKW524296:QKY524373 ROK524296:ROM524373 SRY524296:SSA524373 TVM524296:TVO524373 UZA524296:UZC524373 WCO524296:WCQ524373 TQ524296:TS524373 AXE524296:AXG524373 CAS524296:CAU524373 DEG524296:DEI524373 EHU524296:EHW524373 FLI524296:FLK524373 GOW524296:GOY524373 HSK524296:HSM524373 IVY524296:IWA524373 JZM524296:JZO524373 LDA524296:LDC524373 MGO524296:MGQ524373 NKC524296:NKE524373 ONQ524296:ONS524373 PRE524296:PRG524373 QUS524296:QUU524373 RYG524296:RYI524373 TBU524296:TBW524373 UFI524296:UFK524373 VIW524296:VIY524373 WMK524296:WMM524373 Y589832:AA589909 ADM589832:ADO589909 BHA589832:BHC589909 CKO589832:CKQ589909 DOC589832:DOE589909 ERQ589832:ERS589909 FVE589832:FVG589909 GYS589832:GYU589909 ICG589832:ICI589909 JFU589832:JFW589909 KJI589832:KJK589909 LMW589832:LMY589909 MQK589832:MQM589909 NTY589832:NUA589909 OXM589832:OXO589909 QBA589832:QBC589909 REO589832:REQ589909 SIC589832:SIE589909 TLQ589832:TLS589909 UPE589832:UPG589909 VSS589832:VSU589909 WWG589832:WWI589909 JU589832:JW589909 ANI589832:ANK589909 BQW589832:BQY589909 CUK589832:CUM589909 DXY589832:DYA589909 FBM589832:FBO589909 GFA589832:GFC589909 HIO589832:HIQ589909 IMC589832:IME589909 JPQ589832:JPS589909 KTE589832:KTG589909 LWS589832:LWU589909 NAG589832:NAI589909 ODU589832:ODW589909 PHI589832:PHK589909 QKW589832:QKY589909 ROK589832:ROM589909 SRY589832:SSA589909 TVM589832:TVO589909 UZA589832:UZC589909 WCO589832:WCQ589909 TQ589832:TS589909 AXE589832:AXG589909 CAS589832:CAU589909 DEG589832:DEI589909 EHU589832:EHW589909 FLI589832:FLK589909 GOW589832:GOY589909 HSK589832:HSM589909 IVY589832:IWA589909 JZM589832:JZO589909 LDA589832:LDC589909 MGO589832:MGQ589909 NKC589832:NKE589909 ONQ589832:ONS589909 PRE589832:PRG589909 QUS589832:QUU589909 RYG589832:RYI589909 TBU589832:TBW589909 UFI589832:UFK589909 VIW589832:VIY589909 WMK589832:WMM589909 Y655368:AA655445 ADM655368:ADO655445 BHA655368:BHC655445 CKO655368:CKQ655445 DOC655368:DOE655445 ERQ655368:ERS655445 FVE655368:FVG655445 GYS655368:GYU655445 ICG655368:ICI655445 JFU655368:JFW655445 KJI655368:KJK655445 LMW655368:LMY655445 MQK655368:MQM655445 NTY655368:NUA655445 OXM655368:OXO655445 QBA655368:QBC655445 REO655368:REQ655445 SIC655368:SIE655445 TLQ655368:TLS655445 UPE655368:UPG655445 VSS655368:VSU655445 WWG655368:WWI655445 JU655368:JW655445 ANI655368:ANK655445 BQW655368:BQY655445 CUK655368:CUM655445 DXY655368:DYA655445 FBM655368:FBO655445 GFA655368:GFC655445 HIO655368:HIQ655445 IMC655368:IME655445 JPQ655368:JPS655445 KTE655368:KTG655445 LWS655368:LWU655445 NAG655368:NAI655445 ODU655368:ODW655445 PHI655368:PHK655445 QKW655368:QKY655445 ROK655368:ROM655445 SRY655368:SSA655445 TVM655368:TVO655445 UZA655368:UZC655445 WCO655368:WCQ655445 TQ655368:TS655445 AXE655368:AXG655445 CAS655368:CAU655445 DEG655368:DEI655445 EHU655368:EHW655445 FLI655368:FLK655445 GOW655368:GOY655445 HSK655368:HSM655445 IVY655368:IWA655445 JZM655368:JZO655445 LDA655368:LDC655445 MGO655368:MGQ655445 NKC655368:NKE655445 ONQ655368:ONS655445 PRE655368:PRG655445 QUS655368:QUU655445 RYG655368:RYI655445 TBU655368:TBW655445 UFI655368:UFK655445 VIW655368:VIY655445 WMK655368:WMM655445 Y720904:AA720981 ADM720904:ADO720981 BHA720904:BHC720981 CKO720904:CKQ720981 DOC720904:DOE720981 ERQ720904:ERS720981 FVE720904:FVG720981 GYS720904:GYU720981 ICG720904:ICI720981 JFU720904:JFW720981 KJI720904:KJK720981 LMW720904:LMY720981 MQK720904:MQM720981 NTY720904:NUA720981 OXM720904:OXO720981 QBA720904:QBC720981 REO720904:REQ720981 SIC720904:SIE720981 TLQ720904:TLS720981 UPE720904:UPG720981 VSS720904:VSU720981 WWG720904:WWI720981 JU720904:JW720981 ANI720904:ANK720981 BQW720904:BQY720981 CUK720904:CUM720981 DXY720904:DYA720981 FBM720904:FBO720981 GFA720904:GFC720981 HIO720904:HIQ720981 IMC720904:IME720981 JPQ720904:JPS720981 KTE720904:KTG720981 LWS720904:LWU720981 NAG720904:NAI720981 ODU720904:ODW720981 PHI720904:PHK720981 QKW720904:QKY720981 ROK720904:ROM720981 SRY720904:SSA720981 TVM720904:TVO720981 UZA720904:UZC720981 WCO720904:WCQ720981 TQ720904:TS720981 AXE720904:AXG720981 CAS720904:CAU720981 DEG720904:DEI720981 EHU720904:EHW720981 FLI720904:FLK720981 GOW720904:GOY720981 HSK720904:HSM720981 IVY720904:IWA720981 JZM720904:JZO720981 LDA720904:LDC720981 MGO720904:MGQ720981 NKC720904:NKE720981 ONQ720904:ONS720981 PRE720904:PRG720981 QUS720904:QUU720981 RYG720904:RYI720981 TBU720904:TBW720981 UFI720904:UFK720981 VIW720904:VIY720981 WMK720904:WMM720981 Y786440:AA786517 ADM786440:ADO786517 BHA786440:BHC786517 CKO786440:CKQ786517 DOC786440:DOE786517 ERQ786440:ERS786517 FVE786440:FVG786517 GYS786440:GYU786517 ICG786440:ICI786517 JFU786440:JFW786517 KJI786440:KJK786517 LMW786440:LMY786517 MQK786440:MQM786517 NTY786440:NUA786517 OXM786440:OXO786517 QBA786440:QBC786517 REO786440:REQ786517 SIC786440:SIE786517 TLQ786440:TLS786517 UPE786440:UPG786517 VSS786440:VSU786517 WWG786440:WWI786517 JU786440:JW786517 ANI786440:ANK786517 BQW786440:BQY786517 CUK786440:CUM786517 DXY786440:DYA786517 FBM786440:FBO786517 GFA786440:GFC786517 HIO786440:HIQ786517 IMC786440:IME786517 JPQ786440:JPS786517 KTE786440:KTG786517 LWS786440:LWU786517 NAG786440:NAI786517 ODU786440:ODW786517 PHI786440:PHK786517 QKW786440:QKY786517 ROK786440:ROM786517 SRY786440:SSA786517 TVM786440:TVO786517 UZA786440:UZC786517 WCO786440:WCQ786517 TQ786440:TS786517 AXE786440:AXG786517 CAS786440:CAU786517 DEG786440:DEI786517 EHU786440:EHW786517 FLI786440:FLK786517 GOW786440:GOY786517 HSK786440:HSM786517 IVY786440:IWA786517 JZM786440:JZO786517 LDA786440:LDC786517 MGO786440:MGQ786517 NKC786440:NKE786517 ONQ786440:ONS786517 PRE786440:PRG786517 QUS786440:QUU786517 RYG786440:RYI786517 TBU786440:TBW786517 UFI786440:UFK786517 VIW786440:VIY786517 WMK786440:WMM786517 Y851976:AA852053 ADM851976:ADO852053 BHA851976:BHC852053 CKO851976:CKQ852053 DOC851976:DOE852053 ERQ851976:ERS852053 FVE851976:FVG852053 GYS851976:GYU852053 ICG851976:ICI852053 JFU851976:JFW852053 KJI851976:KJK852053 LMW851976:LMY852053 MQK851976:MQM852053 NTY851976:NUA852053 OXM851976:OXO852053 QBA851976:QBC852053 REO851976:REQ852053 SIC851976:SIE852053 TLQ851976:TLS852053 UPE851976:UPG852053 VSS851976:VSU852053 WWG851976:WWI852053 JU851976:JW852053 ANI851976:ANK852053 BQW851976:BQY852053 CUK851976:CUM852053 DXY851976:DYA852053 FBM851976:FBO852053 GFA851976:GFC852053 HIO851976:HIQ852053 IMC851976:IME852053 JPQ851976:JPS852053 KTE851976:KTG852053 LWS851976:LWU852053 NAG851976:NAI852053 ODU851976:ODW852053 PHI851976:PHK852053 QKW851976:QKY852053 ROK851976:ROM852053 SRY851976:SSA852053 TVM851976:TVO852053 UZA851976:UZC852053 WCO851976:WCQ852053 TQ851976:TS852053 AXE851976:AXG852053 CAS851976:CAU852053 DEG851976:DEI852053 EHU851976:EHW852053 FLI851976:FLK852053 GOW851976:GOY852053 HSK851976:HSM852053 IVY851976:IWA852053 JZM851976:JZO852053 LDA851976:LDC852053 MGO851976:MGQ852053 NKC851976:NKE852053 ONQ851976:ONS852053 PRE851976:PRG852053 QUS851976:QUU852053 RYG851976:RYI852053 TBU851976:TBW852053 UFI851976:UFK852053 VIW851976:VIY852053 WMK851976:WMM852053 Y917512:AA917589 ADM917512:ADO917589 BHA917512:BHC917589 CKO917512:CKQ917589 DOC917512:DOE917589 ERQ917512:ERS917589 FVE917512:FVG917589 GYS917512:GYU917589 ICG917512:ICI917589 JFU917512:JFW917589 KJI917512:KJK917589 LMW917512:LMY917589 MQK917512:MQM917589 NTY917512:NUA917589 OXM917512:OXO917589 QBA917512:QBC917589 REO917512:REQ917589 SIC917512:SIE917589 TLQ917512:TLS917589 UPE917512:UPG917589 VSS917512:VSU917589 WWG917512:WWI917589 JU917512:JW917589 ANI917512:ANK917589 BQW917512:BQY917589 CUK917512:CUM917589 DXY917512:DYA917589 FBM917512:FBO917589 GFA917512:GFC917589 HIO917512:HIQ917589 IMC917512:IME917589 JPQ917512:JPS917589 KTE917512:KTG917589 LWS917512:LWU917589 NAG917512:NAI917589 ODU917512:ODW917589 PHI917512:PHK917589 QKW917512:QKY917589 ROK917512:ROM917589 SRY917512:SSA917589 TVM917512:TVO917589 UZA917512:UZC917589 WCO917512:WCQ917589 TQ917512:TS917589 AXE917512:AXG917589 CAS917512:CAU917589 DEG917512:DEI917589 EHU917512:EHW917589 FLI917512:FLK917589 GOW917512:GOY917589 HSK917512:HSM917589 IVY917512:IWA917589 JZM917512:JZO917589 LDA917512:LDC917589 MGO917512:MGQ917589 NKC917512:NKE917589 ONQ917512:ONS917589 PRE917512:PRG917589 QUS917512:QUU917589 RYG917512:RYI917589 TBU917512:TBW917589 UFI917512:UFK917589 VIW917512:VIY917589 WMK917512:WMM917589 JU983048:JW983125 ANI983048:ANK983125 BQW983048:BQY983125 CUK983048:CUM983125 DXY983048:DYA983125 FBM983048:FBO983125 GFA983048:GFC983125 HIO983048:HIQ983125 IMC983048:IME983125 JPQ983048:JPS983125 KTE983048:KTG983125 LWS983048:LWU983125 NAG983048:NAI983125 ODU983048:ODW983125 PHI983048:PHK983125 QKW983048:QKY983125 ROK983048:ROM983125 SRY983048:SSA983125 TVM983048:TVO983125 UZA983048:UZC983125 WCO983048:WCQ983125 TQ983048:TS983125 AXE983048:AXG983125 CAS983048:CAU983125 DEG983048:DEI983125 EHU983048:EHW983125 FLI983048:FLK983125 GOW983048:GOY983125 HSK983048:HSM983125 IVY983048:IWA983125 JZM983048:JZO983125 LDA983048:LDC983125 MGO983048:MGQ983125 NKC983048:NKE983125 ONQ983048:ONS983125 PRE983048:PRG983125 QUS983048:QUU983125 RYG983048:RYI983125 TBU983048:TBW983125 UFI983048:UFK983125 VIW983048:VIY983125 WMK983048:WMM983125">
      <formula1>$AV$2:$AV$23</formula1>
    </dataValidation>
    <dataValidation type="decimal" allowBlank="1" showInputMessage="1" showErrorMessage="1" error="硬度を正しく入力して下さい。" sqref="O2:P506">
      <formula1>0</formula1>
      <formula2>7</formula2>
    </dataValidation>
    <dataValidation type="list" allowBlank="1" showInputMessage="1" showErrorMessage="1" sqref="K96:K506 K65544:K65621 K131080:K131157 K196616:K196693 K262152:K262229 K327688:K327765 K393224:K393301 K458760:K458837 K524296:K524373 K589832:K589909 K655368:K655445 K720904:K720981 K786440:K786517 K851976:K852053 K917512:K917589 K983048:K983125 JG2:JG85 JG65544:JG65621 JG131080:JG131157 JG196616:JG196693 JG262152:JG262229 JG327688:JG327765 JG393224:JG393301 JG458760:JG458837 JG524296:JG524373 JG589832:JG589909 JG655368:JG655445 JG720904:JG720981 JG786440:JG786517 JG851976:JG852053 JG917512:JG917589 JG983048:JG983125 TC2:TC85 TC65544:TC65621 TC131080:TC131157 TC196616:TC196693 TC262152:TC262229 TC327688:TC327765 TC393224:TC393301 TC458760:TC458837 TC524296:TC524373 TC589832:TC589909 TC655368:TC655445 TC720904:TC720981 TC786440:TC786517 TC851976:TC852053 TC917512:TC917589 TC983048:TC983125 ACY2:ACY85 ACY65544:ACY65621 ACY131080:ACY131157 ACY196616:ACY196693 ACY262152:ACY262229 ACY327688:ACY327765 ACY393224:ACY393301 ACY458760:ACY458837 ACY524296:ACY524373 ACY589832:ACY589909 ACY655368:ACY655445 ACY720904:ACY720981 ACY786440:ACY786517 ACY851976:ACY852053 ACY917512:ACY917589 ACY983048:ACY983125 AMU2:AMU85 AMU65544:AMU65621 AMU131080:AMU131157 AMU196616:AMU196693 AMU262152:AMU262229 AMU327688:AMU327765 AMU393224:AMU393301 AMU458760:AMU458837 AMU524296:AMU524373 AMU589832:AMU589909 AMU655368:AMU655445 AMU720904:AMU720981 AMU786440:AMU786517 AMU851976:AMU852053 AMU917512:AMU917589 AMU983048:AMU983125 AWQ2:AWQ85 AWQ65544:AWQ65621 AWQ131080:AWQ131157 AWQ196616:AWQ196693 AWQ262152:AWQ262229 AWQ327688:AWQ327765 AWQ393224:AWQ393301 AWQ458760:AWQ458837 AWQ524296:AWQ524373 AWQ589832:AWQ589909 AWQ655368:AWQ655445 AWQ720904:AWQ720981 AWQ786440:AWQ786517 AWQ851976:AWQ852053 AWQ917512:AWQ917589 AWQ983048:AWQ983125 BGM2:BGM85 BGM65544:BGM65621 BGM131080:BGM131157 BGM196616:BGM196693 BGM262152:BGM262229 BGM327688:BGM327765 BGM393224:BGM393301 BGM458760:BGM458837 BGM524296:BGM524373 BGM589832:BGM589909 BGM655368:BGM655445 BGM720904:BGM720981 BGM786440:BGM786517 BGM851976:BGM852053 BGM917512:BGM917589 BGM983048:BGM983125 BQI2:BQI85 BQI65544:BQI65621 BQI131080:BQI131157 BQI196616:BQI196693 BQI262152:BQI262229 BQI327688:BQI327765 BQI393224:BQI393301 BQI458760:BQI458837 BQI524296:BQI524373 BQI589832:BQI589909 BQI655368:BQI655445 BQI720904:BQI720981 BQI786440:BQI786517 BQI851976:BQI852053 BQI917512:BQI917589 BQI983048:BQI983125 CAE2:CAE85 CAE65544:CAE65621 CAE131080:CAE131157 CAE196616:CAE196693 CAE262152:CAE262229 CAE327688:CAE327765 CAE393224:CAE393301 CAE458760:CAE458837 CAE524296:CAE524373 CAE589832:CAE589909 CAE655368:CAE655445 CAE720904:CAE720981 CAE786440:CAE786517 CAE851976:CAE852053 CAE917512:CAE917589 CAE983048:CAE983125 CKA2:CKA85 CKA65544:CKA65621 CKA131080:CKA131157 CKA196616:CKA196693 CKA262152:CKA262229 CKA327688:CKA327765 CKA393224:CKA393301 CKA458760:CKA458837 CKA524296:CKA524373 CKA589832:CKA589909 CKA655368:CKA655445 CKA720904:CKA720981 CKA786440:CKA786517 CKA851976:CKA852053 CKA917512:CKA917589 CKA983048:CKA983125 CTW2:CTW85 CTW65544:CTW65621 CTW131080:CTW131157 CTW196616:CTW196693 CTW262152:CTW262229 CTW327688:CTW327765 CTW393224:CTW393301 CTW458760:CTW458837 CTW524296:CTW524373 CTW589832:CTW589909 CTW655368:CTW655445 CTW720904:CTW720981 CTW786440:CTW786517 CTW851976:CTW852053 CTW917512:CTW917589 CTW983048:CTW983125 DDS2:DDS85 DDS65544:DDS65621 DDS131080:DDS131157 DDS196616:DDS196693 DDS262152:DDS262229 DDS327688:DDS327765 DDS393224:DDS393301 DDS458760:DDS458837 DDS524296:DDS524373 DDS589832:DDS589909 DDS655368:DDS655445 DDS720904:DDS720981 DDS786440:DDS786517 DDS851976:DDS852053 DDS917512:DDS917589 DDS983048:DDS983125 DNO2:DNO85 DNO65544:DNO65621 DNO131080:DNO131157 DNO196616:DNO196693 DNO262152:DNO262229 DNO327688:DNO327765 DNO393224:DNO393301 DNO458760:DNO458837 DNO524296:DNO524373 DNO589832:DNO589909 DNO655368:DNO655445 DNO720904:DNO720981 DNO786440:DNO786517 DNO851976:DNO852053 DNO917512:DNO917589 DNO983048:DNO983125 DXK2:DXK85 DXK65544:DXK65621 DXK131080:DXK131157 DXK196616:DXK196693 DXK262152:DXK262229 DXK327688:DXK327765 DXK393224:DXK393301 DXK458760:DXK458837 DXK524296:DXK524373 DXK589832:DXK589909 DXK655368:DXK655445 DXK720904:DXK720981 DXK786440:DXK786517 DXK851976:DXK852053 DXK917512:DXK917589 DXK983048:DXK983125 EHG2:EHG85 EHG65544:EHG65621 EHG131080:EHG131157 EHG196616:EHG196693 EHG262152:EHG262229 EHG327688:EHG327765 EHG393224:EHG393301 EHG458760:EHG458837 EHG524296:EHG524373 EHG589832:EHG589909 EHG655368:EHG655445 EHG720904:EHG720981 EHG786440:EHG786517 EHG851976:EHG852053 EHG917512:EHG917589 EHG983048:EHG983125 ERC2:ERC85 ERC65544:ERC65621 ERC131080:ERC131157 ERC196616:ERC196693 ERC262152:ERC262229 ERC327688:ERC327765 ERC393224:ERC393301 ERC458760:ERC458837 ERC524296:ERC524373 ERC589832:ERC589909 ERC655368:ERC655445 ERC720904:ERC720981 ERC786440:ERC786517 ERC851976:ERC852053 ERC917512:ERC917589 ERC983048:ERC983125 FAY2:FAY85 FAY65544:FAY65621 FAY131080:FAY131157 FAY196616:FAY196693 FAY262152:FAY262229 FAY327688:FAY327765 FAY393224:FAY393301 FAY458760:FAY458837 FAY524296:FAY524373 FAY589832:FAY589909 FAY655368:FAY655445 FAY720904:FAY720981 FAY786440:FAY786517 FAY851976:FAY852053 FAY917512:FAY917589 FAY983048:FAY983125 FKU2:FKU85 FKU65544:FKU65621 FKU131080:FKU131157 FKU196616:FKU196693 FKU262152:FKU262229 FKU327688:FKU327765 FKU393224:FKU393301 FKU458760:FKU458837 FKU524296:FKU524373 FKU589832:FKU589909 FKU655368:FKU655445 FKU720904:FKU720981 FKU786440:FKU786517 FKU851976:FKU852053 FKU917512:FKU917589 FKU983048:FKU983125 FUQ2:FUQ85 FUQ65544:FUQ65621 FUQ131080:FUQ131157 FUQ196616:FUQ196693 FUQ262152:FUQ262229 FUQ327688:FUQ327765 FUQ393224:FUQ393301 FUQ458760:FUQ458837 FUQ524296:FUQ524373 FUQ589832:FUQ589909 FUQ655368:FUQ655445 FUQ720904:FUQ720981 FUQ786440:FUQ786517 FUQ851976:FUQ852053 FUQ917512:FUQ917589 FUQ983048:FUQ983125 GEM2:GEM85 GEM65544:GEM65621 GEM131080:GEM131157 GEM196616:GEM196693 GEM262152:GEM262229 GEM327688:GEM327765 GEM393224:GEM393301 GEM458760:GEM458837 GEM524296:GEM524373 GEM589832:GEM589909 GEM655368:GEM655445 GEM720904:GEM720981 GEM786440:GEM786517 GEM851976:GEM852053 GEM917512:GEM917589 GEM983048:GEM983125 GOI2:GOI85 GOI65544:GOI65621 GOI131080:GOI131157 GOI196616:GOI196693 GOI262152:GOI262229 GOI327688:GOI327765 GOI393224:GOI393301 GOI458760:GOI458837 GOI524296:GOI524373 GOI589832:GOI589909 GOI655368:GOI655445 GOI720904:GOI720981 GOI786440:GOI786517 GOI851976:GOI852053 GOI917512:GOI917589 GOI983048:GOI983125 GYE2:GYE85 GYE65544:GYE65621 GYE131080:GYE131157 GYE196616:GYE196693 GYE262152:GYE262229 GYE327688:GYE327765 GYE393224:GYE393301 GYE458760:GYE458837 GYE524296:GYE524373 GYE589832:GYE589909 GYE655368:GYE655445 GYE720904:GYE720981 GYE786440:GYE786517 GYE851976:GYE852053 GYE917512:GYE917589 GYE983048:GYE983125 HIA2:HIA85 HIA65544:HIA65621 HIA131080:HIA131157 HIA196616:HIA196693 HIA262152:HIA262229 HIA327688:HIA327765 HIA393224:HIA393301 HIA458760:HIA458837 HIA524296:HIA524373 HIA589832:HIA589909 HIA655368:HIA655445 HIA720904:HIA720981 HIA786440:HIA786517 HIA851976:HIA852053 HIA917512:HIA917589 HIA983048:HIA983125 HRW2:HRW85 HRW65544:HRW65621 HRW131080:HRW131157 HRW196616:HRW196693 HRW262152:HRW262229 HRW327688:HRW327765 HRW393224:HRW393301 HRW458760:HRW458837 HRW524296:HRW524373 HRW589832:HRW589909 HRW655368:HRW655445 HRW720904:HRW720981 HRW786440:HRW786517 HRW851976:HRW852053 HRW917512:HRW917589 HRW983048:HRW983125 IBS2:IBS85 IBS65544:IBS65621 IBS131080:IBS131157 IBS196616:IBS196693 IBS262152:IBS262229 IBS327688:IBS327765 IBS393224:IBS393301 IBS458760:IBS458837 IBS524296:IBS524373 IBS589832:IBS589909 IBS655368:IBS655445 IBS720904:IBS720981 IBS786440:IBS786517 IBS851976:IBS852053 IBS917512:IBS917589 IBS983048:IBS983125 ILO2:ILO85 ILO65544:ILO65621 ILO131080:ILO131157 ILO196616:ILO196693 ILO262152:ILO262229 ILO327688:ILO327765 ILO393224:ILO393301 ILO458760:ILO458837 ILO524296:ILO524373 ILO589832:ILO589909 ILO655368:ILO655445 ILO720904:ILO720981 ILO786440:ILO786517 ILO851976:ILO852053 ILO917512:ILO917589 ILO983048:ILO983125 IVK2:IVK85 IVK65544:IVK65621 IVK131080:IVK131157 IVK196616:IVK196693 IVK262152:IVK262229 IVK327688:IVK327765 IVK393224:IVK393301 IVK458760:IVK458837 IVK524296:IVK524373 IVK589832:IVK589909 IVK655368:IVK655445 IVK720904:IVK720981 IVK786440:IVK786517 IVK851976:IVK852053 IVK917512:IVK917589 IVK983048:IVK983125 JFG2:JFG85 JFG65544:JFG65621 JFG131080:JFG131157 JFG196616:JFG196693 JFG262152:JFG262229 JFG327688:JFG327765 JFG393224:JFG393301 JFG458760:JFG458837 JFG524296:JFG524373 JFG589832:JFG589909 JFG655368:JFG655445 JFG720904:JFG720981 JFG786440:JFG786517 JFG851976:JFG852053 JFG917512:JFG917589 JFG983048:JFG983125 JPC2:JPC85 JPC65544:JPC65621 JPC131080:JPC131157 JPC196616:JPC196693 JPC262152:JPC262229 JPC327688:JPC327765 JPC393224:JPC393301 JPC458760:JPC458837 JPC524296:JPC524373 JPC589832:JPC589909 JPC655368:JPC655445 JPC720904:JPC720981 JPC786440:JPC786517 JPC851976:JPC852053 JPC917512:JPC917589 JPC983048:JPC983125 JYY2:JYY85 JYY65544:JYY65621 JYY131080:JYY131157 JYY196616:JYY196693 JYY262152:JYY262229 JYY327688:JYY327765 JYY393224:JYY393301 JYY458760:JYY458837 JYY524296:JYY524373 JYY589832:JYY589909 JYY655368:JYY655445 JYY720904:JYY720981 JYY786440:JYY786517 JYY851976:JYY852053 JYY917512:JYY917589 JYY983048:JYY983125 KIU2:KIU85 KIU65544:KIU65621 KIU131080:KIU131157 KIU196616:KIU196693 KIU262152:KIU262229 KIU327688:KIU327765 KIU393224:KIU393301 KIU458760:KIU458837 KIU524296:KIU524373 KIU589832:KIU589909 KIU655368:KIU655445 KIU720904:KIU720981 KIU786440:KIU786517 KIU851976:KIU852053 KIU917512:KIU917589 KIU983048:KIU983125 KSQ2:KSQ85 KSQ65544:KSQ65621 KSQ131080:KSQ131157 KSQ196616:KSQ196693 KSQ262152:KSQ262229 KSQ327688:KSQ327765 KSQ393224:KSQ393301 KSQ458760:KSQ458837 KSQ524296:KSQ524373 KSQ589832:KSQ589909 KSQ655368:KSQ655445 KSQ720904:KSQ720981 KSQ786440:KSQ786517 KSQ851976:KSQ852053 KSQ917512:KSQ917589 KSQ983048:KSQ983125 LCM2:LCM85 LCM65544:LCM65621 LCM131080:LCM131157 LCM196616:LCM196693 LCM262152:LCM262229 LCM327688:LCM327765 LCM393224:LCM393301 LCM458760:LCM458837 LCM524296:LCM524373 LCM589832:LCM589909 LCM655368:LCM655445 LCM720904:LCM720981 LCM786440:LCM786517 LCM851976:LCM852053 LCM917512:LCM917589 LCM983048:LCM983125 LMI2:LMI85 LMI65544:LMI65621 LMI131080:LMI131157 LMI196616:LMI196693 LMI262152:LMI262229 LMI327688:LMI327765 LMI393224:LMI393301 LMI458760:LMI458837 LMI524296:LMI524373 LMI589832:LMI589909 LMI655368:LMI655445 LMI720904:LMI720981 LMI786440:LMI786517 LMI851976:LMI852053 LMI917512:LMI917589 LMI983048:LMI983125 LWE2:LWE85 LWE65544:LWE65621 LWE131080:LWE131157 LWE196616:LWE196693 LWE262152:LWE262229 LWE327688:LWE327765 LWE393224:LWE393301 LWE458760:LWE458837 LWE524296:LWE524373 LWE589832:LWE589909 LWE655368:LWE655445 LWE720904:LWE720981 LWE786440:LWE786517 LWE851976:LWE852053 LWE917512:LWE917589 LWE983048:LWE983125 MGA2:MGA85 MGA65544:MGA65621 MGA131080:MGA131157 MGA196616:MGA196693 MGA262152:MGA262229 MGA327688:MGA327765 MGA393224:MGA393301 MGA458760:MGA458837 MGA524296:MGA524373 MGA589832:MGA589909 MGA655368:MGA655445 MGA720904:MGA720981 MGA786440:MGA786517 MGA851976:MGA852053 MGA917512:MGA917589 MGA983048:MGA983125 MPW2:MPW85 MPW65544:MPW65621 MPW131080:MPW131157 MPW196616:MPW196693 MPW262152:MPW262229 MPW327688:MPW327765 MPW393224:MPW393301 MPW458760:MPW458837 MPW524296:MPW524373 MPW589832:MPW589909 MPW655368:MPW655445 MPW720904:MPW720981 MPW786440:MPW786517 MPW851976:MPW852053 MPW917512:MPW917589 MPW983048:MPW983125 MZS2:MZS85 MZS65544:MZS65621 MZS131080:MZS131157 MZS196616:MZS196693 MZS262152:MZS262229 MZS327688:MZS327765 MZS393224:MZS393301 MZS458760:MZS458837 MZS524296:MZS524373 MZS589832:MZS589909 MZS655368:MZS655445 MZS720904:MZS720981 MZS786440:MZS786517 MZS851976:MZS852053 MZS917512:MZS917589 MZS983048:MZS983125 NJO2:NJO85 NJO65544:NJO65621 NJO131080:NJO131157 NJO196616:NJO196693 NJO262152:NJO262229 NJO327688:NJO327765 NJO393224:NJO393301 NJO458760:NJO458837 NJO524296:NJO524373 NJO589832:NJO589909 NJO655368:NJO655445 NJO720904:NJO720981 NJO786440:NJO786517 NJO851976:NJO852053 NJO917512:NJO917589 NJO983048:NJO983125 NTK2:NTK85 NTK65544:NTK65621 NTK131080:NTK131157 NTK196616:NTK196693 NTK262152:NTK262229 NTK327688:NTK327765 NTK393224:NTK393301 NTK458760:NTK458837 NTK524296:NTK524373 NTK589832:NTK589909 NTK655368:NTK655445 NTK720904:NTK720981 NTK786440:NTK786517 NTK851976:NTK852053 NTK917512:NTK917589 NTK983048:NTK983125 ODG2:ODG85 ODG65544:ODG65621 ODG131080:ODG131157 ODG196616:ODG196693 ODG262152:ODG262229 ODG327688:ODG327765 ODG393224:ODG393301 ODG458760:ODG458837 ODG524296:ODG524373 ODG589832:ODG589909 ODG655368:ODG655445 ODG720904:ODG720981 ODG786440:ODG786517 ODG851976:ODG852053 ODG917512:ODG917589 ODG983048:ODG983125 ONC2:ONC85 ONC65544:ONC65621 ONC131080:ONC131157 ONC196616:ONC196693 ONC262152:ONC262229 ONC327688:ONC327765 ONC393224:ONC393301 ONC458760:ONC458837 ONC524296:ONC524373 ONC589832:ONC589909 ONC655368:ONC655445 ONC720904:ONC720981 ONC786440:ONC786517 ONC851976:ONC852053 ONC917512:ONC917589 ONC983048:ONC983125 OWY2:OWY85 OWY65544:OWY65621 OWY131080:OWY131157 OWY196616:OWY196693 OWY262152:OWY262229 OWY327688:OWY327765 OWY393224:OWY393301 OWY458760:OWY458837 OWY524296:OWY524373 OWY589832:OWY589909 OWY655368:OWY655445 OWY720904:OWY720981 OWY786440:OWY786517 OWY851976:OWY852053 OWY917512:OWY917589 OWY983048:OWY983125 PGU2:PGU85 PGU65544:PGU65621 PGU131080:PGU131157 PGU196616:PGU196693 PGU262152:PGU262229 PGU327688:PGU327765 PGU393224:PGU393301 PGU458760:PGU458837 PGU524296:PGU524373 PGU589832:PGU589909 PGU655368:PGU655445 PGU720904:PGU720981 PGU786440:PGU786517 PGU851976:PGU852053 PGU917512:PGU917589 PGU983048:PGU983125 PQQ2:PQQ85 PQQ65544:PQQ65621 PQQ131080:PQQ131157 PQQ196616:PQQ196693 PQQ262152:PQQ262229 PQQ327688:PQQ327765 PQQ393224:PQQ393301 PQQ458760:PQQ458837 PQQ524296:PQQ524373 PQQ589832:PQQ589909 PQQ655368:PQQ655445 PQQ720904:PQQ720981 PQQ786440:PQQ786517 PQQ851976:PQQ852053 PQQ917512:PQQ917589 PQQ983048:PQQ983125 QAM2:QAM85 QAM65544:QAM65621 QAM131080:QAM131157 QAM196616:QAM196693 QAM262152:QAM262229 QAM327688:QAM327765 QAM393224:QAM393301 QAM458760:QAM458837 QAM524296:QAM524373 QAM589832:QAM589909 QAM655368:QAM655445 QAM720904:QAM720981 QAM786440:QAM786517 QAM851976:QAM852053 QAM917512:QAM917589 QAM983048:QAM983125 QKI2:QKI85 QKI65544:QKI65621 QKI131080:QKI131157 QKI196616:QKI196693 QKI262152:QKI262229 QKI327688:QKI327765 QKI393224:QKI393301 QKI458760:QKI458837 QKI524296:QKI524373 QKI589832:QKI589909 QKI655368:QKI655445 QKI720904:QKI720981 QKI786440:QKI786517 QKI851976:QKI852053 QKI917512:QKI917589 QKI983048:QKI983125 QUE2:QUE85 QUE65544:QUE65621 QUE131080:QUE131157 QUE196616:QUE196693 QUE262152:QUE262229 QUE327688:QUE327765 QUE393224:QUE393301 QUE458760:QUE458837 QUE524296:QUE524373 QUE589832:QUE589909 QUE655368:QUE655445 QUE720904:QUE720981 QUE786440:QUE786517 QUE851976:QUE852053 QUE917512:QUE917589 QUE983048:QUE983125 REA2:REA85 REA65544:REA65621 REA131080:REA131157 REA196616:REA196693 REA262152:REA262229 REA327688:REA327765 REA393224:REA393301 REA458760:REA458837 REA524296:REA524373 REA589832:REA589909 REA655368:REA655445 REA720904:REA720981 REA786440:REA786517 REA851976:REA852053 REA917512:REA917589 REA983048:REA983125 RNW2:RNW85 RNW65544:RNW65621 RNW131080:RNW131157 RNW196616:RNW196693 RNW262152:RNW262229 RNW327688:RNW327765 RNW393224:RNW393301 RNW458760:RNW458837 RNW524296:RNW524373 RNW589832:RNW589909 RNW655368:RNW655445 RNW720904:RNW720981 RNW786440:RNW786517 RNW851976:RNW852053 RNW917512:RNW917589 RNW983048:RNW983125 RXS2:RXS85 RXS65544:RXS65621 RXS131080:RXS131157 RXS196616:RXS196693 RXS262152:RXS262229 RXS327688:RXS327765 RXS393224:RXS393301 RXS458760:RXS458837 RXS524296:RXS524373 RXS589832:RXS589909 RXS655368:RXS655445 RXS720904:RXS720981 RXS786440:RXS786517 RXS851976:RXS852053 RXS917512:RXS917589 RXS983048:RXS983125 SHO2:SHO85 SHO65544:SHO65621 SHO131080:SHO131157 SHO196616:SHO196693 SHO262152:SHO262229 SHO327688:SHO327765 SHO393224:SHO393301 SHO458760:SHO458837 SHO524296:SHO524373 SHO589832:SHO589909 SHO655368:SHO655445 SHO720904:SHO720981 SHO786440:SHO786517 SHO851976:SHO852053 SHO917512:SHO917589 SHO983048:SHO983125 SRK2:SRK85 SRK65544:SRK65621 SRK131080:SRK131157 SRK196616:SRK196693 SRK262152:SRK262229 SRK327688:SRK327765 SRK393224:SRK393301 SRK458760:SRK458837 SRK524296:SRK524373 SRK589832:SRK589909 SRK655368:SRK655445 SRK720904:SRK720981 SRK786440:SRK786517 SRK851976:SRK852053 SRK917512:SRK917589 SRK983048:SRK983125 TBG2:TBG85 TBG65544:TBG65621 TBG131080:TBG131157 TBG196616:TBG196693 TBG262152:TBG262229 TBG327688:TBG327765 TBG393224:TBG393301 TBG458760:TBG458837 TBG524296:TBG524373 TBG589832:TBG589909 TBG655368:TBG655445 TBG720904:TBG720981 TBG786440:TBG786517 TBG851976:TBG852053 TBG917512:TBG917589 TBG983048:TBG983125 TLC2:TLC85 TLC65544:TLC65621 TLC131080:TLC131157 TLC196616:TLC196693 TLC262152:TLC262229 TLC327688:TLC327765 TLC393224:TLC393301 TLC458760:TLC458837 TLC524296:TLC524373 TLC589832:TLC589909 TLC655368:TLC655445 TLC720904:TLC720981 TLC786440:TLC786517 TLC851976:TLC852053 TLC917512:TLC917589 TLC983048:TLC983125 TUY2:TUY85 TUY65544:TUY65621 TUY131080:TUY131157 TUY196616:TUY196693 TUY262152:TUY262229 TUY327688:TUY327765 TUY393224:TUY393301 TUY458760:TUY458837 TUY524296:TUY524373 TUY589832:TUY589909 TUY655368:TUY655445 TUY720904:TUY720981 TUY786440:TUY786517 TUY851976:TUY852053 TUY917512:TUY917589 TUY983048:TUY983125 UEU2:UEU85 UEU65544:UEU65621 UEU131080:UEU131157 UEU196616:UEU196693 UEU262152:UEU262229 UEU327688:UEU327765 UEU393224:UEU393301 UEU458760:UEU458837 UEU524296:UEU524373 UEU589832:UEU589909 UEU655368:UEU655445 UEU720904:UEU720981 UEU786440:UEU786517 UEU851976:UEU852053 UEU917512:UEU917589 UEU983048:UEU983125 UOQ2:UOQ85 UOQ65544:UOQ65621 UOQ131080:UOQ131157 UOQ196616:UOQ196693 UOQ262152:UOQ262229 UOQ327688:UOQ327765 UOQ393224:UOQ393301 UOQ458760:UOQ458837 UOQ524296:UOQ524373 UOQ589832:UOQ589909 UOQ655368:UOQ655445 UOQ720904:UOQ720981 UOQ786440:UOQ786517 UOQ851976:UOQ852053 UOQ917512:UOQ917589 UOQ983048:UOQ983125 UYM2:UYM85 UYM65544:UYM65621 UYM131080:UYM131157 UYM196616:UYM196693 UYM262152:UYM262229 UYM327688:UYM327765 UYM393224:UYM393301 UYM458760:UYM458837 UYM524296:UYM524373 UYM589832:UYM589909 UYM655368:UYM655445 UYM720904:UYM720981 UYM786440:UYM786517 UYM851976:UYM852053 UYM917512:UYM917589 UYM983048:UYM983125 VII2:VII85 VII65544:VII65621 VII131080:VII131157 VII196616:VII196693 VII262152:VII262229 VII327688:VII327765 VII393224:VII393301 VII458760:VII458837 VII524296:VII524373 VII589832:VII589909 VII655368:VII655445 VII720904:VII720981 VII786440:VII786517 VII851976:VII852053 VII917512:VII917589 VII983048:VII983125 VSE2:VSE85 VSE65544:VSE65621 VSE131080:VSE131157 VSE196616:VSE196693 VSE262152:VSE262229 VSE327688:VSE327765 VSE393224:VSE393301 VSE458760:VSE458837 VSE524296:VSE524373 VSE589832:VSE589909 VSE655368:VSE655445 VSE720904:VSE720981 VSE786440:VSE786517 VSE851976:VSE852053 VSE917512:VSE917589 VSE983048:VSE983125 WCA2:WCA85 WCA65544:WCA65621 WCA131080:WCA131157 WCA196616:WCA196693 WCA262152:WCA262229 WCA327688:WCA327765 WCA393224:WCA393301 WCA458760:WCA458837 WCA524296:WCA524373 WCA589832:WCA589909 WCA655368:WCA655445 WCA720904:WCA720981 WCA786440:WCA786517 WCA851976:WCA852053 WCA917512:WCA917589 WCA983048:WCA983125 WLW2:WLW85 WLW65544:WLW65621 WLW131080:WLW131157 WLW196616:WLW196693 WLW262152:WLW262229 WLW327688:WLW327765 WLW393224:WLW393301 WLW458760:WLW458837 WLW524296:WLW524373 WLW589832:WLW589909 WLW655368:WLW655445 WLW720904:WLW720981 WLW786440:WLW786517 WLW851976:WLW852053 WLW917512:WLW917589 WLW983048:WLW983125 WVS2:WVS85 WVS65544:WVS65621 WVS131080:WVS131157 WVS196616:WVS196693 WVS262152:WVS262229 WVS327688:WVS327765 WVS393224:WVS393301 WVS458760:WVS458837 WVS524296:WVS524373 WVS589832:WVS589909 WVS655368:WVS655445 WVS720904:WVS720981 WVS786440:WVS786517 WVS851976:WVS852053 WVS917512:WVS917589 WVS983048:WVS983125">
      <formula1>$AR$2:$AR$28</formula1>
    </dataValidation>
    <dataValidation type="list" allowBlank="1" showInputMessage="1" showErrorMessage="1" sqref="H65544:H65621 H131080:H131157 H196616:H196693 H262152:H262229 H327688:H327765 H393224:H393301 H458760:H458837 H524296:H524373 H589832:H589909 H655368:H655445 H720904:H720981 H786440:H786517 H851976:H852053 H917512:H917589 H983048:H983125 JD2:JD85 JD65544:JD65621 JD131080:JD131157 JD196616:JD196693 JD262152:JD262229 JD327688:JD327765 JD393224:JD393301 JD458760:JD458837 JD524296:JD524373 JD589832:JD589909 JD655368:JD655445 JD720904:JD720981 JD786440:JD786517 JD851976:JD852053 JD917512:JD917589 JD983048:JD983125 SZ2:SZ85 SZ65544:SZ65621 SZ131080:SZ131157 SZ196616:SZ196693 SZ262152:SZ262229 SZ327688:SZ327765 SZ393224:SZ393301 SZ458760:SZ458837 SZ524296:SZ524373 SZ589832:SZ589909 SZ655368:SZ655445 SZ720904:SZ720981 SZ786440:SZ786517 SZ851976:SZ852053 SZ917512:SZ917589 SZ983048:SZ983125 ACV2:ACV85 ACV65544:ACV65621 ACV131080:ACV131157 ACV196616:ACV196693 ACV262152:ACV262229 ACV327688:ACV327765 ACV393224:ACV393301 ACV458760:ACV458837 ACV524296:ACV524373 ACV589832:ACV589909 ACV655368:ACV655445 ACV720904:ACV720981 ACV786440:ACV786517 ACV851976:ACV852053 ACV917512:ACV917589 ACV983048:ACV983125 AMR2:AMR85 AMR65544:AMR65621 AMR131080:AMR131157 AMR196616:AMR196693 AMR262152:AMR262229 AMR327688:AMR327765 AMR393224:AMR393301 AMR458760:AMR458837 AMR524296:AMR524373 AMR589832:AMR589909 AMR655368:AMR655445 AMR720904:AMR720981 AMR786440:AMR786517 AMR851976:AMR852053 AMR917512:AMR917589 AMR983048:AMR983125 AWN2:AWN85 AWN65544:AWN65621 AWN131080:AWN131157 AWN196616:AWN196693 AWN262152:AWN262229 AWN327688:AWN327765 AWN393224:AWN393301 AWN458760:AWN458837 AWN524296:AWN524373 AWN589832:AWN589909 AWN655368:AWN655445 AWN720904:AWN720981 AWN786440:AWN786517 AWN851976:AWN852053 AWN917512:AWN917589 AWN983048:AWN983125 BGJ2:BGJ85 BGJ65544:BGJ65621 BGJ131080:BGJ131157 BGJ196616:BGJ196693 BGJ262152:BGJ262229 BGJ327688:BGJ327765 BGJ393224:BGJ393301 BGJ458760:BGJ458837 BGJ524296:BGJ524373 BGJ589832:BGJ589909 BGJ655368:BGJ655445 BGJ720904:BGJ720981 BGJ786440:BGJ786517 BGJ851976:BGJ852053 BGJ917512:BGJ917589 BGJ983048:BGJ983125 BQF2:BQF85 BQF65544:BQF65621 BQF131080:BQF131157 BQF196616:BQF196693 BQF262152:BQF262229 BQF327688:BQF327765 BQF393224:BQF393301 BQF458760:BQF458837 BQF524296:BQF524373 BQF589832:BQF589909 BQF655368:BQF655445 BQF720904:BQF720981 BQF786440:BQF786517 BQF851976:BQF852053 BQF917512:BQF917589 BQF983048:BQF983125 CAB2:CAB85 CAB65544:CAB65621 CAB131080:CAB131157 CAB196616:CAB196693 CAB262152:CAB262229 CAB327688:CAB327765 CAB393224:CAB393301 CAB458760:CAB458837 CAB524296:CAB524373 CAB589832:CAB589909 CAB655368:CAB655445 CAB720904:CAB720981 CAB786440:CAB786517 CAB851976:CAB852053 CAB917512:CAB917589 CAB983048:CAB983125 CJX2:CJX85 CJX65544:CJX65621 CJX131080:CJX131157 CJX196616:CJX196693 CJX262152:CJX262229 CJX327688:CJX327765 CJX393224:CJX393301 CJX458760:CJX458837 CJX524296:CJX524373 CJX589832:CJX589909 CJX655368:CJX655445 CJX720904:CJX720981 CJX786440:CJX786517 CJX851976:CJX852053 CJX917512:CJX917589 CJX983048:CJX983125 CTT2:CTT85 CTT65544:CTT65621 CTT131080:CTT131157 CTT196616:CTT196693 CTT262152:CTT262229 CTT327688:CTT327765 CTT393224:CTT393301 CTT458760:CTT458837 CTT524296:CTT524373 CTT589832:CTT589909 CTT655368:CTT655445 CTT720904:CTT720981 CTT786440:CTT786517 CTT851976:CTT852053 CTT917512:CTT917589 CTT983048:CTT983125 DDP2:DDP85 DDP65544:DDP65621 DDP131080:DDP131157 DDP196616:DDP196693 DDP262152:DDP262229 DDP327688:DDP327765 DDP393224:DDP393301 DDP458760:DDP458837 DDP524296:DDP524373 DDP589832:DDP589909 DDP655368:DDP655445 DDP720904:DDP720981 DDP786440:DDP786517 DDP851976:DDP852053 DDP917512:DDP917589 DDP983048:DDP983125 DNL2:DNL85 DNL65544:DNL65621 DNL131080:DNL131157 DNL196616:DNL196693 DNL262152:DNL262229 DNL327688:DNL327765 DNL393224:DNL393301 DNL458760:DNL458837 DNL524296:DNL524373 DNL589832:DNL589909 DNL655368:DNL655445 DNL720904:DNL720981 DNL786440:DNL786517 DNL851976:DNL852053 DNL917512:DNL917589 DNL983048:DNL983125 DXH2:DXH85 DXH65544:DXH65621 DXH131080:DXH131157 DXH196616:DXH196693 DXH262152:DXH262229 DXH327688:DXH327765 DXH393224:DXH393301 DXH458760:DXH458837 DXH524296:DXH524373 DXH589832:DXH589909 DXH655368:DXH655445 DXH720904:DXH720981 DXH786440:DXH786517 DXH851976:DXH852053 DXH917512:DXH917589 DXH983048:DXH983125 EHD2:EHD85 EHD65544:EHD65621 EHD131080:EHD131157 EHD196616:EHD196693 EHD262152:EHD262229 EHD327688:EHD327765 EHD393224:EHD393301 EHD458760:EHD458837 EHD524296:EHD524373 EHD589832:EHD589909 EHD655368:EHD655445 EHD720904:EHD720981 EHD786440:EHD786517 EHD851976:EHD852053 EHD917512:EHD917589 EHD983048:EHD983125 EQZ2:EQZ85 EQZ65544:EQZ65621 EQZ131080:EQZ131157 EQZ196616:EQZ196693 EQZ262152:EQZ262229 EQZ327688:EQZ327765 EQZ393224:EQZ393301 EQZ458760:EQZ458837 EQZ524296:EQZ524373 EQZ589832:EQZ589909 EQZ655368:EQZ655445 EQZ720904:EQZ720981 EQZ786440:EQZ786517 EQZ851976:EQZ852053 EQZ917512:EQZ917589 EQZ983048:EQZ983125 FAV2:FAV85 FAV65544:FAV65621 FAV131080:FAV131157 FAV196616:FAV196693 FAV262152:FAV262229 FAV327688:FAV327765 FAV393224:FAV393301 FAV458760:FAV458837 FAV524296:FAV524373 FAV589832:FAV589909 FAV655368:FAV655445 FAV720904:FAV720981 FAV786440:FAV786517 FAV851976:FAV852053 FAV917512:FAV917589 FAV983048:FAV983125 FKR2:FKR85 FKR65544:FKR65621 FKR131080:FKR131157 FKR196616:FKR196693 FKR262152:FKR262229 FKR327688:FKR327765 FKR393224:FKR393301 FKR458760:FKR458837 FKR524296:FKR524373 FKR589832:FKR589909 FKR655368:FKR655445 FKR720904:FKR720981 FKR786440:FKR786517 FKR851976:FKR852053 FKR917512:FKR917589 FKR983048:FKR983125 FUN2:FUN85 FUN65544:FUN65621 FUN131080:FUN131157 FUN196616:FUN196693 FUN262152:FUN262229 FUN327688:FUN327765 FUN393224:FUN393301 FUN458760:FUN458837 FUN524296:FUN524373 FUN589832:FUN589909 FUN655368:FUN655445 FUN720904:FUN720981 FUN786440:FUN786517 FUN851976:FUN852053 FUN917512:FUN917589 FUN983048:FUN983125 GEJ2:GEJ85 GEJ65544:GEJ65621 GEJ131080:GEJ131157 GEJ196616:GEJ196693 GEJ262152:GEJ262229 GEJ327688:GEJ327765 GEJ393224:GEJ393301 GEJ458760:GEJ458837 GEJ524296:GEJ524373 GEJ589832:GEJ589909 GEJ655368:GEJ655445 GEJ720904:GEJ720981 GEJ786440:GEJ786517 GEJ851976:GEJ852053 GEJ917512:GEJ917589 GEJ983048:GEJ983125 GOF2:GOF85 GOF65544:GOF65621 GOF131080:GOF131157 GOF196616:GOF196693 GOF262152:GOF262229 GOF327688:GOF327765 GOF393224:GOF393301 GOF458760:GOF458837 GOF524296:GOF524373 GOF589832:GOF589909 GOF655368:GOF655445 GOF720904:GOF720981 GOF786440:GOF786517 GOF851976:GOF852053 GOF917512:GOF917589 GOF983048:GOF983125 GYB2:GYB85 GYB65544:GYB65621 GYB131080:GYB131157 GYB196616:GYB196693 GYB262152:GYB262229 GYB327688:GYB327765 GYB393224:GYB393301 GYB458760:GYB458837 GYB524296:GYB524373 GYB589832:GYB589909 GYB655368:GYB655445 GYB720904:GYB720981 GYB786440:GYB786517 GYB851976:GYB852053 GYB917512:GYB917589 GYB983048:GYB983125 HHX2:HHX85 HHX65544:HHX65621 HHX131080:HHX131157 HHX196616:HHX196693 HHX262152:HHX262229 HHX327688:HHX327765 HHX393224:HHX393301 HHX458760:HHX458837 HHX524296:HHX524373 HHX589832:HHX589909 HHX655368:HHX655445 HHX720904:HHX720981 HHX786440:HHX786517 HHX851976:HHX852053 HHX917512:HHX917589 HHX983048:HHX983125 HRT2:HRT85 HRT65544:HRT65621 HRT131080:HRT131157 HRT196616:HRT196693 HRT262152:HRT262229 HRT327688:HRT327765 HRT393224:HRT393301 HRT458760:HRT458837 HRT524296:HRT524373 HRT589832:HRT589909 HRT655368:HRT655445 HRT720904:HRT720981 HRT786440:HRT786517 HRT851976:HRT852053 HRT917512:HRT917589 HRT983048:HRT983125 IBP2:IBP85 IBP65544:IBP65621 IBP131080:IBP131157 IBP196616:IBP196693 IBP262152:IBP262229 IBP327688:IBP327765 IBP393224:IBP393301 IBP458760:IBP458837 IBP524296:IBP524373 IBP589832:IBP589909 IBP655368:IBP655445 IBP720904:IBP720981 IBP786440:IBP786517 IBP851976:IBP852053 IBP917512:IBP917589 IBP983048:IBP983125 ILL2:ILL85 ILL65544:ILL65621 ILL131080:ILL131157 ILL196616:ILL196693 ILL262152:ILL262229 ILL327688:ILL327765 ILL393224:ILL393301 ILL458760:ILL458837 ILL524296:ILL524373 ILL589832:ILL589909 ILL655368:ILL655445 ILL720904:ILL720981 ILL786440:ILL786517 ILL851976:ILL852053 ILL917512:ILL917589 ILL983048:ILL983125 IVH2:IVH85 IVH65544:IVH65621 IVH131080:IVH131157 IVH196616:IVH196693 IVH262152:IVH262229 IVH327688:IVH327765 IVH393224:IVH393301 IVH458760:IVH458837 IVH524296:IVH524373 IVH589832:IVH589909 IVH655368:IVH655445 IVH720904:IVH720981 IVH786440:IVH786517 IVH851976:IVH852053 IVH917512:IVH917589 IVH983048:IVH983125 JFD2:JFD85 JFD65544:JFD65621 JFD131080:JFD131157 JFD196616:JFD196693 JFD262152:JFD262229 JFD327688:JFD327765 JFD393224:JFD393301 JFD458760:JFD458837 JFD524296:JFD524373 JFD589832:JFD589909 JFD655368:JFD655445 JFD720904:JFD720981 JFD786440:JFD786517 JFD851976:JFD852053 JFD917512:JFD917589 JFD983048:JFD983125 JOZ2:JOZ85 JOZ65544:JOZ65621 JOZ131080:JOZ131157 JOZ196616:JOZ196693 JOZ262152:JOZ262229 JOZ327688:JOZ327765 JOZ393224:JOZ393301 JOZ458760:JOZ458837 JOZ524296:JOZ524373 JOZ589832:JOZ589909 JOZ655368:JOZ655445 JOZ720904:JOZ720981 JOZ786440:JOZ786517 JOZ851976:JOZ852053 JOZ917512:JOZ917589 JOZ983048:JOZ983125 JYV2:JYV85 JYV65544:JYV65621 JYV131080:JYV131157 JYV196616:JYV196693 JYV262152:JYV262229 JYV327688:JYV327765 JYV393224:JYV393301 JYV458760:JYV458837 JYV524296:JYV524373 JYV589832:JYV589909 JYV655368:JYV655445 JYV720904:JYV720981 JYV786440:JYV786517 JYV851976:JYV852053 JYV917512:JYV917589 JYV983048:JYV983125 KIR2:KIR85 KIR65544:KIR65621 KIR131080:KIR131157 KIR196616:KIR196693 KIR262152:KIR262229 KIR327688:KIR327765 KIR393224:KIR393301 KIR458760:KIR458837 KIR524296:KIR524373 KIR589832:KIR589909 KIR655368:KIR655445 KIR720904:KIR720981 KIR786440:KIR786517 KIR851976:KIR852053 KIR917512:KIR917589 KIR983048:KIR983125 KSN2:KSN85 KSN65544:KSN65621 KSN131080:KSN131157 KSN196616:KSN196693 KSN262152:KSN262229 KSN327688:KSN327765 KSN393224:KSN393301 KSN458760:KSN458837 KSN524296:KSN524373 KSN589832:KSN589909 KSN655368:KSN655445 KSN720904:KSN720981 KSN786440:KSN786517 KSN851976:KSN852053 KSN917512:KSN917589 KSN983048:KSN983125 LCJ2:LCJ85 LCJ65544:LCJ65621 LCJ131080:LCJ131157 LCJ196616:LCJ196693 LCJ262152:LCJ262229 LCJ327688:LCJ327765 LCJ393224:LCJ393301 LCJ458760:LCJ458837 LCJ524296:LCJ524373 LCJ589832:LCJ589909 LCJ655368:LCJ655445 LCJ720904:LCJ720981 LCJ786440:LCJ786517 LCJ851976:LCJ852053 LCJ917512:LCJ917589 LCJ983048:LCJ983125 LMF2:LMF85 LMF65544:LMF65621 LMF131080:LMF131157 LMF196616:LMF196693 LMF262152:LMF262229 LMF327688:LMF327765 LMF393224:LMF393301 LMF458760:LMF458837 LMF524296:LMF524373 LMF589832:LMF589909 LMF655368:LMF655445 LMF720904:LMF720981 LMF786440:LMF786517 LMF851976:LMF852053 LMF917512:LMF917589 LMF983048:LMF983125 LWB2:LWB85 LWB65544:LWB65621 LWB131080:LWB131157 LWB196616:LWB196693 LWB262152:LWB262229 LWB327688:LWB327765 LWB393224:LWB393301 LWB458760:LWB458837 LWB524296:LWB524373 LWB589832:LWB589909 LWB655368:LWB655445 LWB720904:LWB720981 LWB786440:LWB786517 LWB851976:LWB852053 LWB917512:LWB917589 LWB983048:LWB983125 MFX2:MFX85 MFX65544:MFX65621 MFX131080:MFX131157 MFX196616:MFX196693 MFX262152:MFX262229 MFX327688:MFX327765 MFX393224:MFX393301 MFX458760:MFX458837 MFX524296:MFX524373 MFX589832:MFX589909 MFX655368:MFX655445 MFX720904:MFX720981 MFX786440:MFX786517 MFX851976:MFX852053 MFX917512:MFX917589 MFX983048:MFX983125 MPT2:MPT85 MPT65544:MPT65621 MPT131080:MPT131157 MPT196616:MPT196693 MPT262152:MPT262229 MPT327688:MPT327765 MPT393224:MPT393301 MPT458760:MPT458837 MPT524296:MPT524373 MPT589832:MPT589909 MPT655368:MPT655445 MPT720904:MPT720981 MPT786440:MPT786517 MPT851976:MPT852053 MPT917512:MPT917589 MPT983048:MPT983125 MZP2:MZP85 MZP65544:MZP65621 MZP131080:MZP131157 MZP196616:MZP196693 MZP262152:MZP262229 MZP327688:MZP327765 MZP393224:MZP393301 MZP458760:MZP458837 MZP524296:MZP524373 MZP589832:MZP589909 MZP655368:MZP655445 MZP720904:MZP720981 MZP786440:MZP786517 MZP851976:MZP852053 MZP917512:MZP917589 MZP983048:MZP983125 NJL2:NJL85 NJL65544:NJL65621 NJL131080:NJL131157 NJL196616:NJL196693 NJL262152:NJL262229 NJL327688:NJL327765 NJL393224:NJL393301 NJL458760:NJL458837 NJL524296:NJL524373 NJL589832:NJL589909 NJL655368:NJL655445 NJL720904:NJL720981 NJL786440:NJL786517 NJL851976:NJL852053 NJL917512:NJL917589 NJL983048:NJL983125 NTH2:NTH85 NTH65544:NTH65621 NTH131080:NTH131157 NTH196616:NTH196693 NTH262152:NTH262229 NTH327688:NTH327765 NTH393224:NTH393301 NTH458760:NTH458837 NTH524296:NTH524373 NTH589832:NTH589909 NTH655368:NTH655445 NTH720904:NTH720981 NTH786440:NTH786517 NTH851976:NTH852053 NTH917512:NTH917589 NTH983048:NTH983125 ODD2:ODD85 ODD65544:ODD65621 ODD131080:ODD131157 ODD196616:ODD196693 ODD262152:ODD262229 ODD327688:ODD327765 ODD393224:ODD393301 ODD458760:ODD458837 ODD524296:ODD524373 ODD589832:ODD589909 ODD655368:ODD655445 ODD720904:ODD720981 ODD786440:ODD786517 ODD851976:ODD852053 ODD917512:ODD917589 ODD983048:ODD983125 OMZ2:OMZ85 OMZ65544:OMZ65621 OMZ131080:OMZ131157 OMZ196616:OMZ196693 OMZ262152:OMZ262229 OMZ327688:OMZ327765 OMZ393224:OMZ393301 OMZ458760:OMZ458837 OMZ524296:OMZ524373 OMZ589832:OMZ589909 OMZ655368:OMZ655445 OMZ720904:OMZ720981 OMZ786440:OMZ786517 OMZ851976:OMZ852053 OMZ917512:OMZ917589 OMZ983048:OMZ983125 OWV2:OWV85 OWV65544:OWV65621 OWV131080:OWV131157 OWV196616:OWV196693 OWV262152:OWV262229 OWV327688:OWV327765 OWV393224:OWV393301 OWV458760:OWV458837 OWV524296:OWV524373 OWV589832:OWV589909 OWV655368:OWV655445 OWV720904:OWV720981 OWV786440:OWV786517 OWV851976:OWV852053 OWV917512:OWV917589 OWV983048:OWV983125 PGR2:PGR85 PGR65544:PGR65621 PGR131080:PGR131157 PGR196616:PGR196693 PGR262152:PGR262229 PGR327688:PGR327765 PGR393224:PGR393301 PGR458760:PGR458837 PGR524296:PGR524373 PGR589832:PGR589909 PGR655368:PGR655445 PGR720904:PGR720981 PGR786440:PGR786517 PGR851976:PGR852053 PGR917512:PGR917589 PGR983048:PGR983125 PQN2:PQN85 PQN65544:PQN65621 PQN131080:PQN131157 PQN196616:PQN196693 PQN262152:PQN262229 PQN327688:PQN327765 PQN393224:PQN393301 PQN458760:PQN458837 PQN524296:PQN524373 PQN589832:PQN589909 PQN655368:PQN655445 PQN720904:PQN720981 PQN786440:PQN786517 PQN851976:PQN852053 PQN917512:PQN917589 PQN983048:PQN983125 QAJ2:QAJ85 QAJ65544:QAJ65621 QAJ131080:QAJ131157 QAJ196616:QAJ196693 QAJ262152:QAJ262229 QAJ327688:QAJ327765 QAJ393224:QAJ393301 QAJ458760:QAJ458837 QAJ524296:QAJ524373 QAJ589832:QAJ589909 QAJ655368:QAJ655445 QAJ720904:QAJ720981 QAJ786440:QAJ786517 QAJ851976:QAJ852053 QAJ917512:QAJ917589 QAJ983048:QAJ983125 QKF2:QKF85 QKF65544:QKF65621 QKF131080:QKF131157 QKF196616:QKF196693 QKF262152:QKF262229 QKF327688:QKF327765 QKF393224:QKF393301 QKF458760:QKF458837 QKF524296:QKF524373 QKF589832:QKF589909 QKF655368:QKF655445 QKF720904:QKF720981 QKF786440:QKF786517 QKF851976:QKF852053 QKF917512:QKF917589 QKF983048:QKF983125 QUB2:QUB85 QUB65544:QUB65621 QUB131080:QUB131157 QUB196616:QUB196693 QUB262152:QUB262229 QUB327688:QUB327765 QUB393224:QUB393301 QUB458760:QUB458837 QUB524296:QUB524373 QUB589832:QUB589909 QUB655368:QUB655445 QUB720904:QUB720981 QUB786440:QUB786517 QUB851976:QUB852053 QUB917512:QUB917589 QUB983048:QUB983125 RDX2:RDX85 RDX65544:RDX65621 RDX131080:RDX131157 RDX196616:RDX196693 RDX262152:RDX262229 RDX327688:RDX327765 RDX393224:RDX393301 RDX458760:RDX458837 RDX524296:RDX524373 RDX589832:RDX589909 RDX655368:RDX655445 RDX720904:RDX720981 RDX786440:RDX786517 RDX851976:RDX852053 RDX917512:RDX917589 RDX983048:RDX983125 RNT2:RNT85 RNT65544:RNT65621 RNT131080:RNT131157 RNT196616:RNT196693 RNT262152:RNT262229 RNT327688:RNT327765 RNT393224:RNT393301 RNT458760:RNT458837 RNT524296:RNT524373 RNT589832:RNT589909 RNT655368:RNT655445 RNT720904:RNT720981 RNT786440:RNT786517 RNT851976:RNT852053 RNT917512:RNT917589 RNT983048:RNT983125 RXP2:RXP85 RXP65544:RXP65621 RXP131080:RXP131157 RXP196616:RXP196693 RXP262152:RXP262229 RXP327688:RXP327765 RXP393224:RXP393301 RXP458760:RXP458837 RXP524296:RXP524373 RXP589832:RXP589909 RXP655368:RXP655445 RXP720904:RXP720981 RXP786440:RXP786517 RXP851976:RXP852053 RXP917512:RXP917589 RXP983048:RXP983125 SHL2:SHL85 SHL65544:SHL65621 SHL131080:SHL131157 SHL196616:SHL196693 SHL262152:SHL262229 SHL327688:SHL327765 SHL393224:SHL393301 SHL458760:SHL458837 SHL524296:SHL524373 SHL589832:SHL589909 SHL655368:SHL655445 SHL720904:SHL720981 SHL786440:SHL786517 SHL851976:SHL852053 SHL917512:SHL917589 SHL983048:SHL983125 SRH2:SRH85 SRH65544:SRH65621 SRH131080:SRH131157 SRH196616:SRH196693 SRH262152:SRH262229 SRH327688:SRH327765 SRH393224:SRH393301 SRH458760:SRH458837 SRH524296:SRH524373 SRH589832:SRH589909 SRH655368:SRH655445 SRH720904:SRH720981 SRH786440:SRH786517 SRH851976:SRH852053 SRH917512:SRH917589 SRH983048:SRH983125 TBD2:TBD85 TBD65544:TBD65621 TBD131080:TBD131157 TBD196616:TBD196693 TBD262152:TBD262229 TBD327688:TBD327765 TBD393224:TBD393301 TBD458760:TBD458837 TBD524296:TBD524373 TBD589832:TBD589909 TBD655368:TBD655445 TBD720904:TBD720981 TBD786440:TBD786517 TBD851976:TBD852053 TBD917512:TBD917589 TBD983048:TBD983125 TKZ2:TKZ85 TKZ65544:TKZ65621 TKZ131080:TKZ131157 TKZ196616:TKZ196693 TKZ262152:TKZ262229 TKZ327688:TKZ327765 TKZ393224:TKZ393301 TKZ458760:TKZ458837 TKZ524296:TKZ524373 TKZ589832:TKZ589909 TKZ655368:TKZ655445 TKZ720904:TKZ720981 TKZ786440:TKZ786517 TKZ851976:TKZ852053 TKZ917512:TKZ917589 TKZ983048:TKZ983125 TUV2:TUV85 TUV65544:TUV65621 TUV131080:TUV131157 TUV196616:TUV196693 TUV262152:TUV262229 TUV327688:TUV327765 TUV393224:TUV393301 TUV458760:TUV458837 TUV524296:TUV524373 TUV589832:TUV589909 TUV655368:TUV655445 TUV720904:TUV720981 TUV786440:TUV786517 TUV851976:TUV852053 TUV917512:TUV917589 TUV983048:TUV983125 UER2:UER85 UER65544:UER65621 UER131080:UER131157 UER196616:UER196693 UER262152:UER262229 UER327688:UER327765 UER393224:UER393301 UER458760:UER458837 UER524296:UER524373 UER589832:UER589909 UER655368:UER655445 UER720904:UER720981 UER786440:UER786517 UER851976:UER852053 UER917512:UER917589 UER983048:UER983125 UON2:UON85 UON65544:UON65621 UON131080:UON131157 UON196616:UON196693 UON262152:UON262229 UON327688:UON327765 UON393224:UON393301 UON458760:UON458837 UON524296:UON524373 UON589832:UON589909 UON655368:UON655445 UON720904:UON720981 UON786440:UON786517 UON851976:UON852053 UON917512:UON917589 UON983048:UON983125 UYJ2:UYJ85 UYJ65544:UYJ65621 UYJ131080:UYJ131157 UYJ196616:UYJ196693 UYJ262152:UYJ262229 UYJ327688:UYJ327765 UYJ393224:UYJ393301 UYJ458760:UYJ458837 UYJ524296:UYJ524373 UYJ589832:UYJ589909 UYJ655368:UYJ655445 UYJ720904:UYJ720981 UYJ786440:UYJ786517 UYJ851976:UYJ852053 UYJ917512:UYJ917589 UYJ983048:UYJ983125 VIF2:VIF85 VIF65544:VIF65621 VIF131080:VIF131157 VIF196616:VIF196693 VIF262152:VIF262229 VIF327688:VIF327765 VIF393224:VIF393301 VIF458760:VIF458837 VIF524296:VIF524373 VIF589832:VIF589909 VIF655368:VIF655445 VIF720904:VIF720981 VIF786440:VIF786517 VIF851976:VIF852053 VIF917512:VIF917589 VIF983048:VIF983125 VSB2:VSB85 VSB65544:VSB65621 VSB131080:VSB131157 VSB196616:VSB196693 VSB262152:VSB262229 VSB327688:VSB327765 VSB393224:VSB393301 VSB458760:VSB458837 VSB524296:VSB524373 VSB589832:VSB589909 VSB655368:VSB655445 VSB720904:VSB720981 VSB786440:VSB786517 VSB851976:VSB852053 VSB917512:VSB917589 VSB983048:VSB983125 WBX2:WBX85 WBX65544:WBX65621 WBX131080:WBX131157 WBX196616:WBX196693 WBX262152:WBX262229 WBX327688:WBX327765 WBX393224:WBX393301 WBX458760:WBX458837 WBX524296:WBX524373 WBX589832:WBX589909 WBX655368:WBX655445 WBX720904:WBX720981 WBX786440:WBX786517 WBX851976:WBX852053 WBX917512:WBX917589 WBX983048:WBX983125 WLT2:WLT85 WLT65544:WLT65621 WLT131080:WLT131157 WLT196616:WLT196693 WLT262152:WLT262229 WLT327688:WLT327765 WLT393224:WLT393301 WLT458760:WLT458837 WLT524296:WLT524373 WLT589832:WLT589909 WLT655368:WLT655445 WLT720904:WLT720981 WLT786440:WLT786517 WLT851976:WLT852053 WLT917512:WLT917589 WLT983048:WLT983125 WVP2:WVP85 WVP65544:WVP65621 WVP131080:WVP131157 WVP196616:WVP196693 WVP262152:WVP262229 WVP327688:WVP327765 WVP393224:WVP393301 WVP458760:WVP458837 WVP524296:WVP524373 WVP589832:WVP589909 WVP655368:WVP655445 WVP720904:WVP720981 WVP786440:WVP786517 WVP851976:WVP852053 WVP917512:WVP917589 WVP983048:WVP983125">
      <formula1>$AL$4:$AL$15</formula1>
    </dataValidation>
    <dataValidation type="list" allowBlank="1" showInputMessage="1" showErrorMessage="1" sqref="X2:X506 X65544:X65621 X131080:X131157 X196616:X196693 X262152:X262229 X327688:X327765 X393224:X393301 X458760:X458837 X524296:X524373 X589832:X589909 X655368:X655445 X720904:X720981 X786440:X786517 X851976:X852053 X917512:X917589 X983048:X983125 JT2:JT85 JT65544:JT65621 JT131080:JT131157 JT196616:JT196693 JT262152:JT262229 JT327688:JT327765 JT393224:JT393301 JT458760:JT458837 JT524296:JT524373 JT589832:JT589909 JT655368:JT655445 JT720904:JT720981 JT786440:JT786517 JT851976:JT852053 JT917512:JT917589 JT983048:JT983125 TP2:TP85 TP65544:TP65621 TP131080:TP131157 TP196616:TP196693 TP262152:TP262229 TP327688:TP327765 TP393224:TP393301 TP458760:TP458837 TP524296:TP524373 TP589832:TP589909 TP655368:TP655445 TP720904:TP720981 TP786440:TP786517 TP851976:TP852053 TP917512:TP917589 TP983048:TP983125 ADL2:ADL85 ADL65544:ADL65621 ADL131080:ADL131157 ADL196616:ADL196693 ADL262152:ADL262229 ADL327688:ADL327765 ADL393224:ADL393301 ADL458760:ADL458837 ADL524296:ADL524373 ADL589832:ADL589909 ADL655368:ADL655445 ADL720904:ADL720981 ADL786440:ADL786517 ADL851976:ADL852053 ADL917512:ADL917589 ADL983048:ADL983125 ANH2:ANH85 ANH65544:ANH65621 ANH131080:ANH131157 ANH196616:ANH196693 ANH262152:ANH262229 ANH327688:ANH327765 ANH393224:ANH393301 ANH458760:ANH458837 ANH524296:ANH524373 ANH589832:ANH589909 ANH655368:ANH655445 ANH720904:ANH720981 ANH786440:ANH786517 ANH851976:ANH852053 ANH917512:ANH917589 ANH983048:ANH983125 AXD2:AXD85 AXD65544:AXD65621 AXD131080:AXD131157 AXD196616:AXD196693 AXD262152:AXD262229 AXD327688:AXD327765 AXD393224:AXD393301 AXD458760:AXD458837 AXD524296:AXD524373 AXD589832:AXD589909 AXD655368:AXD655445 AXD720904:AXD720981 AXD786440:AXD786517 AXD851976:AXD852053 AXD917512:AXD917589 AXD983048:AXD983125 BGZ2:BGZ85 BGZ65544:BGZ65621 BGZ131080:BGZ131157 BGZ196616:BGZ196693 BGZ262152:BGZ262229 BGZ327688:BGZ327765 BGZ393224:BGZ393301 BGZ458760:BGZ458837 BGZ524296:BGZ524373 BGZ589832:BGZ589909 BGZ655368:BGZ655445 BGZ720904:BGZ720981 BGZ786440:BGZ786517 BGZ851976:BGZ852053 BGZ917512:BGZ917589 BGZ983048:BGZ983125 BQV2:BQV85 BQV65544:BQV65621 BQV131080:BQV131157 BQV196616:BQV196693 BQV262152:BQV262229 BQV327688:BQV327765 BQV393224:BQV393301 BQV458760:BQV458837 BQV524296:BQV524373 BQV589832:BQV589909 BQV655368:BQV655445 BQV720904:BQV720981 BQV786440:BQV786517 BQV851976:BQV852053 BQV917512:BQV917589 BQV983048:BQV983125 CAR2:CAR85 CAR65544:CAR65621 CAR131080:CAR131157 CAR196616:CAR196693 CAR262152:CAR262229 CAR327688:CAR327765 CAR393224:CAR393301 CAR458760:CAR458837 CAR524296:CAR524373 CAR589832:CAR589909 CAR655368:CAR655445 CAR720904:CAR720981 CAR786440:CAR786517 CAR851976:CAR852053 CAR917512:CAR917589 CAR983048:CAR983125 CKN2:CKN85 CKN65544:CKN65621 CKN131080:CKN131157 CKN196616:CKN196693 CKN262152:CKN262229 CKN327688:CKN327765 CKN393224:CKN393301 CKN458760:CKN458837 CKN524296:CKN524373 CKN589832:CKN589909 CKN655368:CKN655445 CKN720904:CKN720981 CKN786440:CKN786517 CKN851976:CKN852053 CKN917512:CKN917589 CKN983048:CKN983125 CUJ2:CUJ85 CUJ65544:CUJ65621 CUJ131080:CUJ131157 CUJ196616:CUJ196693 CUJ262152:CUJ262229 CUJ327688:CUJ327765 CUJ393224:CUJ393301 CUJ458760:CUJ458837 CUJ524296:CUJ524373 CUJ589832:CUJ589909 CUJ655368:CUJ655445 CUJ720904:CUJ720981 CUJ786440:CUJ786517 CUJ851976:CUJ852053 CUJ917512:CUJ917589 CUJ983048:CUJ983125 DEF2:DEF85 DEF65544:DEF65621 DEF131080:DEF131157 DEF196616:DEF196693 DEF262152:DEF262229 DEF327688:DEF327765 DEF393224:DEF393301 DEF458760:DEF458837 DEF524296:DEF524373 DEF589832:DEF589909 DEF655368:DEF655445 DEF720904:DEF720981 DEF786440:DEF786517 DEF851976:DEF852053 DEF917512:DEF917589 DEF983048:DEF983125 DOB2:DOB85 DOB65544:DOB65621 DOB131080:DOB131157 DOB196616:DOB196693 DOB262152:DOB262229 DOB327688:DOB327765 DOB393224:DOB393301 DOB458760:DOB458837 DOB524296:DOB524373 DOB589832:DOB589909 DOB655368:DOB655445 DOB720904:DOB720981 DOB786440:DOB786517 DOB851976:DOB852053 DOB917512:DOB917589 DOB983048:DOB983125 DXX2:DXX85 DXX65544:DXX65621 DXX131080:DXX131157 DXX196616:DXX196693 DXX262152:DXX262229 DXX327688:DXX327765 DXX393224:DXX393301 DXX458760:DXX458837 DXX524296:DXX524373 DXX589832:DXX589909 DXX655368:DXX655445 DXX720904:DXX720981 DXX786440:DXX786517 DXX851976:DXX852053 DXX917512:DXX917589 DXX983048:DXX983125 EHT2:EHT85 EHT65544:EHT65621 EHT131080:EHT131157 EHT196616:EHT196693 EHT262152:EHT262229 EHT327688:EHT327765 EHT393224:EHT393301 EHT458760:EHT458837 EHT524296:EHT524373 EHT589832:EHT589909 EHT655368:EHT655445 EHT720904:EHT720981 EHT786440:EHT786517 EHT851976:EHT852053 EHT917512:EHT917589 EHT983048:EHT983125 ERP2:ERP85 ERP65544:ERP65621 ERP131080:ERP131157 ERP196616:ERP196693 ERP262152:ERP262229 ERP327688:ERP327765 ERP393224:ERP393301 ERP458760:ERP458837 ERP524296:ERP524373 ERP589832:ERP589909 ERP655368:ERP655445 ERP720904:ERP720981 ERP786440:ERP786517 ERP851976:ERP852053 ERP917512:ERP917589 ERP983048:ERP983125 FBL2:FBL85 FBL65544:FBL65621 FBL131080:FBL131157 FBL196616:FBL196693 FBL262152:FBL262229 FBL327688:FBL327765 FBL393224:FBL393301 FBL458760:FBL458837 FBL524296:FBL524373 FBL589832:FBL589909 FBL655368:FBL655445 FBL720904:FBL720981 FBL786440:FBL786517 FBL851976:FBL852053 FBL917512:FBL917589 FBL983048:FBL983125 FLH2:FLH85 FLH65544:FLH65621 FLH131080:FLH131157 FLH196616:FLH196693 FLH262152:FLH262229 FLH327688:FLH327765 FLH393224:FLH393301 FLH458760:FLH458837 FLH524296:FLH524373 FLH589832:FLH589909 FLH655368:FLH655445 FLH720904:FLH720981 FLH786440:FLH786517 FLH851976:FLH852053 FLH917512:FLH917589 FLH983048:FLH983125 FVD2:FVD85 FVD65544:FVD65621 FVD131080:FVD131157 FVD196616:FVD196693 FVD262152:FVD262229 FVD327688:FVD327765 FVD393224:FVD393301 FVD458760:FVD458837 FVD524296:FVD524373 FVD589832:FVD589909 FVD655368:FVD655445 FVD720904:FVD720981 FVD786440:FVD786517 FVD851976:FVD852053 FVD917512:FVD917589 FVD983048:FVD983125 GEZ2:GEZ85 GEZ65544:GEZ65621 GEZ131080:GEZ131157 GEZ196616:GEZ196693 GEZ262152:GEZ262229 GEZ327688:GEZ327765 GEZ393224:GEZ393301 GEZ458760:GEZ458837 GEZ524296:GEZ524373 GEZ589832:GEZ589909 GEZ655368:GEZ655445 GEZ720904:GEZ720981 GEZ786440:GEZ786517 GEZ851976:GEZ852053 GEZ917512:GEZ917589 GEZ983048:GEZ983125 GOV2:GOV85 GOV65544:GOV65621 GOV131080:GOV131157 GOV196616:GOV196693 GOV262152:GOV262229 GOV327688:GOV327765 GOV393224:GOV393301 GOV458760:GOV458837 GOV524296:GOV524373 GOV589832:GOV589909 GOV655368:GOV655445 GOV720904:GOV720981 GOV786440:GOV786517 GOV851976:GOV852053 GOV917512:GOV917589 GOV983048:GOV983125 GYR2:GYR85 GYR65544:GYR65621 GYR131080:GYR131157 GYR196616:GYR196693 GYR262152:GYR262229 GYR327688:GYR327765 GYR393224:GYR393301 GYR458760:GYR458837 GYR524296:GYR524373 GYR589832:GYR589909 GYR655368:GYR655445 GYR720904:GYR720981 GYR786440:GYR786517 GYR851976:GYR852053 GYR917512:GYR917589 GYR983048:GYR983125 HIN2:HIN85 HIN65544:HIN65621 HIN131080:HIN131157 HIN196616:HIN196693 HIN262152:HIN262229 HIN327688:HIN327765 HIN393224:HIN393301 HIN458760:HIN458837 HIN524296:HIN524373 HIN589832:HIN589909 HIN655368:HIN655445 HIN720904:HIN720981 HIN786440:HIN786517 HIN851976:HIN852053 HIN917512:HIN917589 HIN983048:HIN983125 HSJ2:HSJ85 HSJ65544:HSJ65621 HSJ131080:HSJ131157 HSJ196616:HSJ196693 HSJ262152:HSJ262229 HSJ327688:HSJ327765 HSJ393224:HSJ393301 HSJ458760:HSJ458837 HSJ524296:HSJ524373 HSJ589832:HSJ589909 HSJ655368:HSJ655445 HSJ720904:HSJ720981 HSJ786440:HSJ786517 HSJ851976:HSJ852053 HSJ917512:HSJ917589 HSJ983048:HSJ983125 ICF2:ICF85 ICF65544:ICF65621 ICF131080:ICF131157 ICF196616:ICF196693 ICF262152:ICF262229 ICF327688:ICF327765 ICF393224:ICF393301 ICF458760:ICF458837 ICF524296:ICF524373 ICF589832:ICF589909 ICF655368:ICF655445 ICF720904:ICF720981 ICF786440:ICF786517 ICF851976:ICF852053 ICF917512:ICF917589 ICF983048:ICF983125 IMB2:IMB85 IMB65544:IMB65621 IMB131080:IMB131157 IMB196616:IMB196693 IMB262152:IMB262229 IMB327688:IMB327765 IMB393224:IMB393301 IMB458760:IMB458837 IMB524296:IMB524373 IMB589832:IMB589909 IMB655368:IMB655445 IMB720904:IMB720981 IMB786440:IMB786517 IMB851976:IMB852053 IMB917512:IMB917589 IMB983048:IMB983125 IVX2:IVX85 IVX65544:IVX65621 IVX131080:IVX131157 IVX196616:IVX196693 IVX262152:IVX262229 IVX327688:IVX327765 IVX393224:IVX393301 IVX458760:IVX458837 IVX524296:IVX524373 IVX589832:IVX589909 IVX655368:IVX655445 IVX720904:IVX720981 IVX786440:IVX786517 IVX851976:IVX852053 IVX917512:IVX917589 IVX983048:IVX983125 JFT2:JFT85 JFT65544:JFT65621 JFT131080:JFT131157 JFT196616:JFT196693 JFT262152:JFT262229 JFT327688:JFT327765 JFT393224:JFT393301 JFT458760:JFT458837 JFT524296:JFT524373 JFT589832:JFT589909 JFT655368:JFT655445 JFT720904:JFT720981 JFT786440:JFT786517 JFT851976:JFT852053 JFT917512:JFT917589 JFT983048:JFT983125 JPP2:JPP85 JPP65544:JPP65621 JPP131080:JPP131157 JPP196616:JPP196693 JPP262152:JPP262229 JPP327688:JPP327765 JPP393224:JPP393301 JPP458760:JPP458837 JPP524296:JPP524373 JPP589832:JPP589909 JPP655368:JPP655445 JPP720904:JPP720981 JPP786440:JPP786517 JPP851976:JPP852053 JPP917512:JPP917589 JPP983048:JPP983125 JZL2:JZL85 JZL65544:JZL65621 JZL131080:JZL131157 JZL196616:JZL196693 JZL262152:JZL262229 JZL327688:JZL327765 JZL393224:JZL393301 JZL458760:JZL458837 JZL524296:JZL524373 JZL589832:JZL589909 JZL655368:JZL655445 JZL720904:JZL720981 JZL786440:JZL786517 JZL851976:JZL852053 JZL917512:JZL917589 JZL983048:JZL983125 KJH2:KJH85 KJH65544:KJH65621 KJH131080:KJH131157 KJH196616:KJH196693 KJH262152:KJH262229 KJH327688:KJH327765 KJH393224:KJH393301 KJH458760:KJH458837 KJH524296:KJH524373 KJH589832:KJH589909 KJH655368:KJH655445 KJH720904:KJH720981 KJH786440:KJH786517 KJH851976:KJH852053 KJH917512:KJH917589 KJH983048:KJH983125 KTD2:KTD85 KTD65544:KTD65621 KTD131080:KTD131157 KTD196616:KTD196693 KTD262152:KTD262229 KTD327688:KTD327765 KTD393224:KTD393301 KTD458760:KTD458837 KTD524296:KTD524373 KTD589832:KTD589909 KTD655368:KTD655445 KTD720904:KTD720981 KTD786440:KTD786517 KTD851976:KTD852053 KTD917512:KTD917589 KTD983048:KTD983125 LCZ2:LCZ85 LCZ65544:LCZ65621 LCZ131080:LCZ131157 LCZ196616:LCZ196693 LCZ262152:LCZ262229 LCZ327688:LCZ327765 LCZ393224:LCZ393301 LCZ458760:LCZ458837 LCZ524296:LCZ524373 LCZ589832:LCZ589909 LCZ655368:LCZ655445 LCZ720904:LCZ720981 LCZ786440:LCZ786517 LCZ851976:LCZ852053 LCZ917512:LCZ917589 LCZ983048:LCZ983125 LMV2:LMV85 LMV65544:LMV65621 LMV131080:LMV131157 LMV196616:LMV196693 LMV262152:LMV262229 LMV327688:LMV327765 LMV393224:LMV393301 LMV458760:LMV458837 LMV524296:LMV524373 LMV589832:LMV589909 LMV655368:LMV655445 LMV720904:LMV720981 LMV786440:LMV786517 LMV851976:LMV852053 LMV917512:LMV917589 LMV983048:LMV983125 LWR2:LWR85 LWR65544:LWR65621 LWR131080:LWR131157 LWR196616:LWR196693 LWR262152:LWR262229 LWR327688:LWR327765 LWR393224:LWR393301 LWR458760:LWR458837 LWR524296:LWR524373 LWR589832:LWR589909 LWR655368:LWR655445 LWR720904:LWR720981 LWR786440:LWR786517 LWR851976:LWR852053 LWR917512:LWR917589 LWR983048:LWR983125 MGN2:MGN85 MGN65544:MGN65621 MGN131080:MGN131157 MGN196616:MGN196693 MGN262152:MGN262229 MGN327688:MGN327765 MGN393224:MGN393301 MGN458760:MGN458837 MGN524296:MGN524373 MGN589832:MGN589909 MGN655368:MGN655445 MGN720904:MGN720981 MGN786440:MGN786517 MGN851976:MGN852053 MGN917512:MGN917589 MGN983048:MGN983125 MQJ2:MQJ85 MQJ65544:MQJ65621 MQJ131080:MQJ131157 MQJ196616:MQJ196693 MQJ262152:MQJ262229 MQJ327688:MQJ327765 MQJ393224:MQJ393301 MQJ458760:MQJ458837 MQJ524296:MQJ524373 MQJ589832:MQJ589909 MQJ655368:MQJ655445 MQJ720904:MQJ720981 MQJ786440:MQJ786517 MQJ851976:MQJ852053 MQJ917512:MQJ917589 MQJ983048:MQJ983125 NAF2:NAF85 NAF65544:NAF65621 NAF131080:NAF131157 NAF196616:NAF196693 NAF262152:NAF262229 NAF327688:NAF327765 NAF393224:NAF393301 NAF458760:NAF458837 NAF524296:NAF524373 NAF589832:NAF589909 NAF655368:NAF655445 NAF720904:NAF720981 NAF786440:NAF786517 NAF851976:NAF852053 NAF917512:NAF917589 NAF983048:NAF983125 NKB2:NKB85 NKB65544:NKB65621 NKB131080:NKB131157 NKB196616:NKB196693 NKB262152:NKB262229 NKB327688:NKB327765 NKB393224:NKB393301 NKB458760:NKB458837 NKB524296:NKB524373 NKB589832:NKB589909 NKB655368:NKB655445 NKB720904:NKB720981 NKB786440:NKB786517 NKB851976:NKB852053 NKB917512:NKB917589 NKB983048:NKB983125 NTX2:NTX85 NTX65544:NTX65621 NTX131080:NTX131157 NTX196616:NTX196693 NTX262152:NTX262229 NTX327688:NTX327765 NTX393224:NTX393301 NTX458760:NTX458837 NTX524296:NTX524373 NTX589832:NTX589909 NTX655368:NTX655445 NTX720904:NTX720981 NTX786440:NTX786517 NTX851976:NTX852053 NTX917512:NTX917589 NTX983048:NTX983125 ODT2:ODT85 ODT65544:ODT65621 ODT131080:ODT131157 ODT196616:ODT196693 ODT262152:ODT262229 ODT327688:ODT327765 ODT393224:ODT393301 ODT458760:ODT458837 ODT524296:ODT524373 ODT589832:ODT589909 ODT655368:ODT655445 ODT720904:ODT720981 ODT786440:ODT786517 ODT851976:ODT852053 ODT917512:ODT917589 ODT983048:ODT983125 ONP2:ONP85 ONP65544:ONP65621 ONP131080:ONP131157 ONP196616:ONP196693 ONP262152:ONP262229 ONP327688:ONP327765 ONP393224:ONP393301 ONP458760:ONP458837 ONP524296:ONP524373 ONP589832:ONP589909 ONP655368:ONP655445 ONP720904:ONP720981 ONP786440:ONP786517 ONP851976:ONP852053 ONP917512:ONP917589 ONP983048:ONP983125 OXL2:OXL85 OXL65544:OXL65621 OXL131080:OXL131157 OXL196616:OXL196693 OXL262152:OXL262229 OXL327688:OXL327765 OXL393224:OXL393301 OXL458760:OXL458837 OXL524296:OXL524373 OXL589832:OXL589909 OXL655368:OXL655445 OXL720904:OXL720981 OXL786440:OXL786517 OXL851976:OXL852053 OXL917512:OXL917589 OXL983048:OXL983125 PHH2:PHH85 PHH65544:PHH65621 PHH131080:PHH131157 PHH196616:PHH196693 PHH262152:PHH262229 PHH327688:PHH327765 PHH393224:PHH393301 PHH458760:PHH458837 PHH524296:PHH524373 PHH589832:PHH589909 PHH655368:PHH655445 PHH720904:PHH720981 PHH786440:PHH786517 PHH851976:PHH852053 PHH917512:PHH917589 PHH983048:PHH983125 PRD2:PRD85 PRD65544:PRD65621 PRD131080:PRD131157 PRD196616:PRD196693 PRD262152:PRD262229 PRD327688:PRD327765 PRD393224:PRD393301 PRD458760:PRD458837 PRD524296:PRD524373 PRD589832:PRD589909 PRD655368:PRD655445 PRD720904:PRD720981 PRD786440:PRD786517 PRD851976:PRD852053 PRD917512:PRD917589 PRD983048:PRD983125 QAZ2:QAZ85 QAZ65544:QAZ65621 QAZ131080:QAZ131157 QAZ196616:QAZ196693 QAZ262152:QAZ262229 QAZ327688:QAZ327765 QAZ393224:QAZ393301 QAZ458760:QAZ458837 QAZ524296:QAZ524373 QAZ589832:QAZ589909 QAZ655368:QAZ655445 QAZ720904:QAZ720981 QAZ786440:QAZ786517 QAZ851976:QAZ852053 QAZ917512:QAZ917589 QAZ983048:QAZ983125 QKV2:QKV85 QKV65544:QKV65621 QKV131080:QKV131157 QKV196616:QKV196693 QKV262152:QKV262229 QKV327688:QKV327765 QKV393224:QKV393301 QKV458760:QKV458837 QKV524296:QKV524373 QKV589832:QKV589909 QKV655368:QKV655445 QKV720904:QKV720981 QKV786440:QKV786517 QKV851976:QKV852053 QKV917512:QKV917589 QKV983048:QKV983125 QUR2:QUR85 QUR65544:QUR65621 QUR131080:QUR131157 QUR196616:QUR196693 QUR262152:QUR262229 QUR327688:QUR327765 QUR393224:QUR393301 QUR458760:QUR458837 QUR524296:QUR524373 QUR589832:QUR589909 QUR655368:QUR655445 QUR720904:QUR720981 QUR786440:QUR786517 QUR851976:QUR852053 QUR917512:QUR917589 QUR983048:QUR983125 REN2:REN85 REN65544:REN65621 REN131080:REN131157 REN196616:REN196693 REN262152:REN262229 REN327688:REN327765 REN393224:REN393301 REN458760:REN458837 REN524296:REN524373 REN589832:REN589909 REN655368:REN655445 REN720904:REN720981 REN786440:REN786517 REN851976:REN852053 REN917512:REN917589 REN983048:REN983125 ROJ2:ROJ85 ROJ65544:ROJ65621 ROJ131080:ROJ131157 ROJ196616:ROJ196693 ROJ262152:ROJ262229 ROJ327688:ROJ327765 ROJ393224:ROJ393301 ROJ458760:ROJ458837 ROJ524296:ROJ524373 ROJ589832:ROJ589909 ROJ655368:ROJ655445 ROJ720904:ROJ720981 ROJ786440:ROJ786517 ROJ851976:ROJ852053 ROJ917512:ROJ917589 ROJ983048:ROJ983125 RYF2:RYF85 RYF65544:RYF65621 RYF131080:RYF131157 RYF196616:RYF196693 RYF262152:RYF262229 RYF327688:RYF327765 RYF393224:RYF393301 RYF458760:RYF458837 RYF524296:RYF524373 RYF589832:RYF589909 RYF655368:RYF655445 RYF720904:RYF720981 RYF786440:RYF786517 RYF851976:RYF852053 RYF917512:RYF917589 RYF983048:RYF983125 SIB2:SIB85 SIB65544:SIB65621 SIB131080:SIB131157 SIB196616:SIB196693 SIB262152:SIB262229 SIB327688:SIB327765 SIB393224:SIB393301 SIB458760:SIB458837 SIB524296:SIB524373 SIB589832:SIB589909 SIB655368:SIB655445 SIB720904:SIB720981 SIB786440:SIB786517 SIB851976:SIB852053 SIB917512:SIB917589 SIB983048:SIB983125 SRX2:SRX85 SRX65544:SRX65621 SRX131080:SRX131157 SRX196616:SRX196693 SRX262152:SRX262229 SRX327688:SRX327765 SRX393224:SRX393301 SRX458760:SRX458837 SRX524296:SRX524373 SRX589832:SRX589909 SRX655368:SRX655445 SRX720904:SRX720981 SRX786440:SRX786517 SRX851976:SRX852053 SRX917512:SRX917589 SRX983048:SRX983125 TBT2:TBT85 TBT65544:TBT65621 TBT131080:TBT131157 TBT196616:TBT196693 TBT262152:TBT262229 TBT327688:TBT327765 TBT393224:TBT393301 TBT458760:TBT458837 TBT524296:TBT524373 TBT589832:TBT589909 TBT655368:TBT655445 TBT720904:TBT720981 TBT786440:TBT786517 TBT851976:TBT852053 TBT917512:TBT917589 TBT983048:TBT983125 TLP2:TLP85 TLP65544:TLP65621 TLP131080:TLP131157 TLP196616:TLP196693 TLP262152:TLP262229 TLP327688:TLP327765 TLP393224:TLP393301 TLP458760:TLP458837 TLP524296:TLP524373 TLP589832:TLP589909 TLP655368:TLP655445 TLP720904:TLP720981 TLP786440:TLP786517 TLP851976:TLP852053 TLP917512:TLP917589 TLP983048:TLP983125 TVL2:TVL85 TVL65544:TVL65621 TVL131080:TVL131157 TVL196616:TVL196693 TVL262152:TVL262229 TVL327688:TVL327765 TVL393224:TVL393301 TVL458760:TVL458837 TVL524296:TVL524373 TVL589832:TVL589909 TVL655368:TVL655445 TVL720904:TVL720981 TVL786440:TVL786517 TVL851976:TVL852053 TVL917512:TVL917589 TVL983048:TVL983125 UFH2:UFH85 UFH65544:UFH65621 UFH131080:UFH131157 UFH196616:UFH196693 UFH262152:UFH262229 UFH327688:UFH327765 UFH393224:UFH393301 UFH458760:UFH458837 UFH524296:UFH524373 UFH589832:UFH589909 UFH655368:UFH655445 UFH720904:UFH720981 UFH786440:UFH786517 UFH851976:UFH852053 UFH917512:UFH917589 UFH983048:UFH983125 UPD2:UPD85 UPD65544:UPD65621 UPD131080:UPD131157 UPD196616:UPD196693 UPD262152:UPD262229 UPD327688:UPD327765 UPD393224:UPD393301 UPD458760:UPD458837 UPD524296:UPD524373 UPD589832:UPD589909 UPD655368:UPD655445 UPD720904:UPD720981 UPD786440:UPD786517 UPD851976:UPD852053 UPD917512:UPD917589 UPD983048:UPD983125 UYZ2:UYZ85 UYZ65544:UYZ65621 UYZ131080:UYZ131157 UYZ196616:UYZ196693 UYZ262152:UYZ262229 UYZ327688:UYZ327765 UYZ393224:UYZ393301 UYZ458760:UYZ458837 UYZ524296:UYZ524373 UYZ589832:UYZ589909 UYZ655368:UYZ655445 UYZ720904:UYZ720981 UYZ786440:UYZ786517 UYZ851976:UYZ852053 UYZ917512:UYZ917589 UYZ983048:UYZ983125 VIV2:VIV85 VIV65544:VIV65621 VIV131080:VIV131157 VIV196616:VIV196693 VIV262152:VIV262229 VIV327688:VIV327765 VIV393224:VIV393301 VIV458760:VIV458837 VIV524296:VIV524373 VIV589832:VIV589909 VIV655368:VIV655445 VIV720904:VIV720981 VIV786440:VIV786517 VIV851976:VIV852053 VIV917512:VIV917589 VIV983048:VIV983125 VSR2:VSR85 VSR65544:VSR65621 VSR131080:VSR131157 VSR196616:VSR196693 VSR262152:VSR262229 VSR327688:VSR327765 VSR393224:VSR393301 VSR458760:VSR458837 VSR524296:VSR524373 VSR589832:VSR589909 VSR655368:VSR655445 VSR720904:VSR720981 VSR786440:VSR786517 VSR851976:VSR852053 VSR917512:VSR917589 VSR983048:VSR983125 WCN2:WCN85 WCN65544:WCN65621 WCN131080:WCN131157 WCN196616:WCN196693 WCN262152:WCN262229 WCN327688:WCN327765 WCN393224:WCN393301 WCN458760:WCN458837 WCN524296:WCN524373 WCN589832:WCN589909 WCN655368:WCN655445 WCN720904:WCN720981 WCN786440:WCN786517 WCN851976:WCN852053 WCN917512:WCN917589 WCN983048:WCN983125 WMJ2:WMJ85 WMJ65544:WMJ65621 WMJ131080:WMJ131157 WMJ196616:WMJ196693 WMJ262152:WMJ262229 WMJ327688:WMJ327765 WMJ393224:WMJ393301 WMJ458760:WMJ458837 WMJ524296:WMJ524373 WMJ589832:WMJ589909 WMJ655368:WMJ655445 WMJ720904:WMJ720981 WMJ786440:WMJ786517 WMJ851976:WMJ852053 WMJ917512:WMJ917589 WMJ983048:WMJ983125 WWF2:WWF85 WWF65544:WWF65621 WWF131080:WWF131157 WWF196616:WWF196693 WWF262152:WWF262229 WWF327688:WWF327765 WWF393224:WWF393301 WWF458760:WWF458837 WWF524296:WWF524373 WWF589832:WWF589909 WWF655368:WWF655445 WWF720904:WWF720981 WWF786440:WWF786517 WWF851976:WWF852053 WWF917512:WWF917589 WWF983048:WWF983125">
      <formula1>$AT$2:$AT$3</formula1>
    </dataValidation>
    <dataValidation type="list" allowBlank="1" showInputMessage="1" showErrorMessage="1" sqref="K2:K95">
      <formula1>$AR$2:$AR$29</formula1>
    </dataValidation>
    <dataValidation type="list" allowBlank="1" showInputMessage="1" showErrorMessage="1" sqref="J2:J506 J65544:J65621 J131080:J131157 J196616:J196693 J262152:J262229 J327688:J327765 J393224:J393301 J458760:J458837 J524296:J524373 J589832:J589909 J655368:J655445 J720904:J720981 J786440:J786517 J851976:J852053 J917512:J917589 J983048:J983125 JF2:JF85 JF65544:JF65621 JF131080:JF131157 JF196616:JF196693 JF262152:JF262229 JF327688:JF327765 JF393224:JF393301 JF458760:JF458837 JF524296:JF524373 JF589832:JF589909 JF655368:JF655445 JF720904:JF720981 JF786440:JF786517 JF851976:JF852053 JF917512:JF917589 JF983048:JF983125 TB2:TB85 TB65544:TB65621 TB131080:TB131157 TB196616:TB196693 TB262152:TB262229 TB327688:TB327765 TB393224:TB393301 TB458760:TB458837 TB524296:TB524373 TB589832:TB589909 TB655368:TB655445 TB720904:TB720981 TB786440:TB786517 TB851976:TB852053 TB917512:TB917589 TB983048:TB983125 ACX2:ACX85 ACX65544:ACX65621 ACX131080:ACX131157 ACX196616:ACX196693 ACX262152:ACX262229 ACX327688:ACX327765 ACX393224:ACX393301 ACX458760:ACX458837 ACX524296:ACX524373 ACX589832:ACX589909 ACX655368:ACX655445 ACX720904:ACX720981 ACX786440:ACX786517 ACX851976:ACX852053 ACX917512:ACX917589 ACX983048:ACX983125 AMT2:AMT85 AMT65544:AMT65621 AMT131080:AMT131157 AMT196616:AMT196693 AMT262152:AMT262229 AMT327688:AMT327765 AMT393224:AMT393301 AMT458760:AMT458837 AMT524296:AMT524373 AMT589832:AMT589909 AMT655368:AMT655445 AMT720904:AMT720981 AMT786440:AMT786517 AMT851976:AMT852053 AMT917512:AMT917589 AMT983048:AMT983125 AWP2:AWP85 AWP65544:AWP65621 AWP131080:AWP131157 AWP196616:AWP196693 AWP262152:AWP262229 AWP327688:AWP327765 AWP393224:AWP393301 AWP458760:AWP458837 AWP524296:AWP524373 AWP589832:AWP589909 AWP655368:AWP655445 AWP720904:AWP720981 AWP786440:AWP786517 AWP851976:AWP852053 AWP917512:AWP917589 AWP983048:AWP983125 BGL2:BGL85 BGL65544:BGL65621 BGL131080:BGL131157 BGL196616:BGL196693 BGL262152:BGL262229 BGL327688:BGL327765 BGL393224:BGL393301 BGL458760:BGL458837 BGL524296:BGL524373 BGL589832:BGL589909 BGL655368:BGL655445 BGL720904:BGL720981 BGL786440:BGL786517 BGL851976:BGL852053 BGL917512:BGL917589 BGL983048:BGL983125 BQH2:BQH85 BQH65544:BQH65621 BQH131080:BQH131157 BQH196616:BQH196693 BQH262152:BQH262229 BQH327688:BQH327765 BQH393224:BQH393301 BQH458760:BQH458837 BQH524296:BQH524373 BQH589832:BQH589909 BQH655368:BQH655445 BQH720904:BQH720981 BQH786440:BQH786517 BQH851976:BQH852053 BQH917512:BQH917589 BQH983048:BQH983125 CAD2:CAD85 CAD65544:CAD65621 CAD131080:CAD131157 CAD196616:CAD196693 CAD262152:CAD262229 CAD327688:CAD327765 CAD393224:CAD393301 CAD458760:CAD458837 CAD524296:CAD524373 CAD589832:CAD589909 CAD655368:CAD655445 CAD720904:CAD720981 CAD786440:CAD786517 CAD851976:CAD852053 CAD917512:CAD917589 CAD983048:CAD983125 CJZ2:CJZ85 CJZ65544:CJZ65621 CJZ131080:CJZ131157 CJZ196616:CJZ196693 CJZ262152:CJZ262229 CJZ327688:CJZ327765 CJZ393224:CJZ393301 CJZ458760:CJZ458837 CJZ524296:CJZ524373 CJZ589832:CJZ589909 CJZ655368:CJZ655445 CJZ720904:CJZ720981 CJZ786440:CJZ786517 CJZ851976:CJZ852053 CJZ917512:CJZ917589 CJZ983048:CJZ983125 CTV2:CTV85 CTV65544:CTV65621 CTV131080:CTV131157 CTV196616:CTV196693 CTV262152:CTV262229 CTV327688:CTV327765 CTV393224:CTV393301 CTV458760:CTV458837 CTV524296:CTV524373 CTV589832:CTV589909 CTV655368:CTV655445 CTV720904:CTV720981 CTV786440:CTV786517 CTV851976:CTV852053 CTV917512:CTV917589 CTV983048:CTV983125 DDR2:DDR85 DDR65544:DDR65621 DDR131080:DDR131157 DDR196616:DDR196693 DDR262152:DDR262229 DDR327688:DDR327765 DDR393224:DDR393301 DDR458760:DDR458837 DDR524296:DDR524373 DDR589832:DDR589909 DDR655368:DDR655445 DDR720904:DDR720981 DDR786440:DDR786517 DDR851976:DDR852053 DDR917512:DDR917589 DDR983048:DDR983125 DNN2:DNN85 DNN65544:DNN65621 DNN131080:DNN131157 DNN196616:DNN196693 DNN262152:DNN262229 DNN327688:DNN327765 DNN393224:DNN393301 DNN458760:DNN458837 DNN524296:DNN524373 DNN589832:DNN589909 DNN655368:DNN655445 DNN720904:DNN720981 DNN786440:DNN786517 DNN851976:DNN852053 DNN917512:DNN917589 DNN983048:DNN983125 DXJ2:DXJ85 DXJ65544:DXJ65621 DXJ131080:DXJ131157 DXJ196616:DXJ196693 DXJ262152:DXJ262229 DXJ327688:DXJ327765 DXJ393224:DXJ393301 DXJ458760:DXJ458837 DXJ524296:DXJ524373 DXJ589832:DXJ589909 DXJ655368:DXJ655445 DXJ720904:DXJ720981 DXJ786440:DXJ786517 DXJ851976:DXJ852053 DXJ917512:DXJ917589 DXJ983048:DXJ983125 EHF2:EHF85 EHF65544:EHF65621 EHF131080:EHF131157 EHF196616:EHF196693 EHF262152:EHF262229 EHF327688:EHF327765 EHF393224:EHF393301 EHF458760:EHF458837 EHF524296:EHF524373 EHF589832:EHF589909 EHF655368:EHF655445 EHF720904:EHF720981 EHF786440:EHF786517 EHF851976:EHF852053 EHF917512:EHF917589 EHF983048:EHF983125 ERB2:ERB85 ERB65544:ERB65621 ERB131080:ERB131157 ERB196616:ERB196693 ERB262152:ERB262229 ERB327688:ERB327765 ERB393224:ERB393301 ERB458760:ERB458837 ERB524296:ERB524373 ERB589832:ERB589909 ERB655368:ERB655445 ERB720904:ERB720981 ERB786440:ERB786517 ERB851976:ERB852053 ERB917512:ERB917589 ERB983048:ERB983125 FAX2:FAX85 FAX65544:FAX65621 FAX131080:FAX131157 FAX196616:FAX196693 FAX262152:FAX262229 FAX327688:FAX327765 FAX393224:FAX393301 FAX458760:FAX458837 FAX524296:FAX524373 FAX589832:FAX589909 FAX655368:FAX655445 FAX720904:FAX720981 FAX786440:FAX786517 FAX851976:FAX852053 FAX917512:FAX917589 FAX983048:FAX983125 FKT2:FKT85 FKT65544:FKT65621 FKT131080:FKT131157 FKT196616:FKT196693 FKT262152:FKT262229 FKT327688:FKT327765 FKT393224:FKT393301 FKT458760:FKT458837 FKT524296:FKT524373 FKT589832:FKT589909 FKT655368:FKT655445 FKT720904:FKT720981 FKT786440:FKT786517 FKT851976:FKT852053 FKT917512:FKT917589 FKT983048:FKT983125 FUP2:FUP85 FUP65544:FUP65621 FUP131080:FUP131157 FUP196616:FUP196693 FUP262152:FUP262229 FUP327688:FUP327765 FUP393224:FUP393301 FUP458760:FUP458837 FUP524296:FUP524373 FUP589832:FUP589909 FUP655368:FUP655445 FUP720904:FUP720981 FUP786440:FUP786517 FUP851976:FUP852053 FUP917512:FUP917589 FUP983048:FUP983125 GEL2:GEL85 GEL65544:GEL65621 GEL131080:GEL131157 GEL196616:GEL196693 GEL262152:GEL262229 GEL327688:GEL327765 GEL393224:GEL393301 GEL458760:GEL458837 GEL524296:GEL524373 GEL589832:GEL589909 GEL655368:GEL655445 GEL720904:GEL720981 GEL786440:GEL786517 GEL851976:GEL852053 GEL917512:GEL917589 GEL983048:GEL983125 GOH2:GOH85 GOH65544:GOH65621 GOH131080:GOH131157 GOH196616:GOH196693 GOH262152:GOH262229 GOH327688:GOH327765 GOH393224:GOH393301 GOH458760:GOH458837 GOH524296:GOH524373 GOH589832:GOH589909 GOH655368:GOH655445 GOH720904:GOH720981 GOH786440:GOH786517 GOH851976:GOH852053 GOH917512:GOH917589 GOH983048:GOH983125 GYD2:GYD85 GYD65544:GYD65621 GYD131080:GYD131157 GYD196616:GYD196693 GYD262152:GYD262229 GYD327688:GYD327765 GYD393224:GYD393301 GYD458760:GYD458837 GYD524296:GYD524373 GYD589832:GYD589909 GYD655368:GYD655445 GYD720904:GYD720981 GYD786440:GYD786517 GYD851976:GYD852053 GYD917512:GYD917589 GYD983048:GYD983125 HHZ2:HHZ85 HHZ65544:HHZ65621 HHZ131080:HHZ131157 HHZ196616:HHZ196693 HHZ262152:HHZ262229 HHZ327688:HHZ327765 HHZ393224:HHZ393301 HHZ458760:HHZ458837 HHZ524296:HHZ524373 HHZ589832:HHZ589909 HHZ655368:HHZ655445 HHZ720904:HHZ720981 HHZ786440:HHZ786517 HHZ851976:HHZ852053 HHZ917512:HHZ917589 HHZ983048:HHZ983125 HRV2:HRV85 HRV65544:HRV65621 HRV131080:HRV131157 HRV196616:HRV196693 HRV262152:HRV262229 HRV327688:HRV327765 HRV393224:HRV393301 HRV458760:HRV458837 HRV524296:HRV524373 HRV589832:HRV589909 HRV655368:HRV655445 HRV720904:HRV720981 HRV786440:HRV786517 HRV851976:HRV852053 HRV917512:HRV917589 HRV983048:HRV983125 IBR2:IBR85 IBR65544:IBR65621 IBR131080:IBR131157 IBR196616:IBR196693 IBR262152:IBR262229 IBR327688:IBR327765 IBR393224:IBR393301 IBR458760:IBR458837 IBR524296:IBR524373 IBR589832:IBR589909 IBR655368:IBR655445 IBR720904:IBR720981 IBR786440:IBR786517 IBR851976:IBR852053 IBR917512:IBR917589 IBR983048:IBR983125 ILN2:ILN85 ILN65544:ILN65621 ILN131080:ILN131157 ILN196616:ILN196693 ILN262152:ILN262229 ILN327688:ILN327765 ILN393224:ILN393301 ILN458760:ILN458837 ILN524296:ILN524373 ILN589832:ILN589909 ILN655368:ILN655445 ILN720904:ILN720981 ILN786440:ILN786517 ILN851976:ILN852053 ILN917512:ILN917589 ILN983048:ILN983125 IVJ2:IVJ85 IVJ65544:IVJ65621 IVJ131080:IVJ131157 IVJ196616:IVJ196693 IVJ262152:IVJ262229 IVJ327688:IVJ327765 IVJ393224:IVJ393301 IVJ458760:IVJ458837 IVJ524296:IVJ524373 IVJ589832:IVJ589909 IVJ655368:IVJ655445 IVJ720904:IVJ720981 IVJ786440:IVJ786517 IVJ851976:IVJ852053 IVJ917512:IVJ917589 IVJ983048:IVJ983125 JFF2:JFF85 JFF65544:JFF65621 JFF131080:JFF131157 JFF196616:JFF196693 JFF262152:JFF262229 JFF327688:JFF327765 JFF393224:JFF393301 JFF458760:JFF458837 JFF524296:JFF524373 JFF589832:JFF589909 JFF655368:JFF655445 JFF720904:JFF720981 JFF786440:JFF786517 JFF851976:JFF852053 JFF917512:JFF917589 JFF983048:JFF983125 JPB2:JPB85 JPB65544:JPB65621 JPB131080:JPB131157 JPB196616:JPB196693 JPB262152:JPB262229 JPB327688:JPB327765 JPB393224:JPB393301 JPB458760:JPB458837 JPB524296:JPB524373 JPB589832:JPB589909 JPB655368:JPB655445 JPB720904:JPB720981 JPB786440:JPB786517 JPB851976:JPB852053 JPB917512:JPB917589 JPB983048:JPB983125 JYX2:JYX85 JYX65544:JYX65621 JYX131080:JYX131157 JYX196616:JYX196693 JYX262152:JYX262229 JYX327688:JYX327765 JYX393224:JYX393301 JYX458760:JYX458837 JYX524296:JYX524373 JYX589832:JYX589909 JYX655368:JYX655445 JYX720904:JYX720981 JYX786440:JYX786517 JYX851976:JYX852053 JYX917512:JYX917589 JYX983048:JYX983125 KIT2:KIT85 KIT65544:KIT65621 KIT131080:KIT131157 KIT196616:KIT196693 KIT262152:KIT262229 KIT327688:KIT327765 KIT393224:KIT393301 KIT458760:KIT458837 KIT524296:KIT524373 KIT589832:KIT589909 KIT655368:KIT655445 KIT720904:KIT720981 KIT786440:KIT786517 KIT851976:KIT852053 KIT917512:KIT917589 KIT983048:KIT983125 KSP2:KSP85 KSP65544:KSP65621 KSP131080:KSP131157 KSP196616:KSP196693 KSP262152:KSP262229 KSP327688:KSP327765 KSP393224:KSP393301 KSP458760:KSP458837 KSP524296:KSP524373 KSP589832:KSP589909 KSP655368:KSP655445 KSP720904:KSP720981 KSP786440:KSP786517 KSP851976:KSP852053 KSP917512:KSP917589 KSP983048:KSP983125 LCL2:LCL85 LCL65544:LCL65621 LCL131080:LCL131157 LCL196616:LCL196693 LCL262152:LCL262229 LCL327688:LCL327765 LCL393224:LCL393301 LCL458760:LCL458837 LCL524296:LCL524373 LCL589832:LCL589909 LCL655368:LCL655445 LCL720904:LCL720981 LCL786440:LCL786517 LCL851976:LCL852053 LCL917512:LCL917589 LCL983048:LCL983125 LMH2:LMH85 LMH65544:LMH65621 LMH131080:LMH131157 LMH196616:LMH196693 LMH262152:LMH262229 LMH327688:LMH327765 LMH393224:LMH393301 LMH458760:LMH458837 LMH524296:LMH524373 LMH589832:LMH589909 LMH655368:LMH655445 LMH720904:LMH720981 LMH786440:LMH786517 LMH851976:LMH852053 LMH917512:LMH917589 LMH983048:LMH983125 LWD2:LWD85 LWD65544:LWD65621 LWD131080:LWD131157 LWD196616:LWD196693 LWD262152:LWD262229 LWD327688:LWD327765 LWD393224:LWD393301 LWD458760:LWD458837 LWD524296:LWD524373 LWD589832:LWD589909 LWD655368:LWD655445 LWD720904:LWD720981 LWD786440:LWD786517 LWD851976:LWD852053 LWD917512:LWD917589 LWD983048:LWD983125 MFZ2:MFZ85 MFZ65544:MFZ65621 MFZ131080:MFZ131157 MFZ196616:MFZ196693 MFZ262152:MFZ262229 MFZ327688:MFZ327765 MFZ393224:MFZ393301 MFZ458760:MFZ458837 MFZ524296:MFZ524373 MFZ589832:MFZ589909 MFZ655368:MFZ655445 MFZ720904:MFZ720981 MFZ786440:MFZ786517 MFZ851976:MFZ852053 MFZ917512:MFZ917589 MFZ983048:MFZ983125 MPV2:MPV85 MPV65544:MPV65621 MPV131080:MPV131157 MPV196616:MPV196693 MPV262152:MPV262229 MPV327688:MPV327765 MPV393224:MPV393301 MPV458760:MPV458837 MPV524296:MPV524373 MPV589832:MPV589909 MPV655368:MPV655445 MPV720904:MPV720981 MPV786440:MPV786517 MPV851976:MPV852053 MPV917512:MPV917589 MPV983048:MPV983125 MZR2:MZR85 MZR65544:MZR65621 MZR131080:MZR131157 MZR196616:MZR196693 MZR262152:MZR262229 MZR327688:MZR327765 MZR393224:MZR393301 MZR458760:MZR458837 MZR524296:MZR524373 MZR589832:MZR589909 MZR655368:MZR655445 MZR720904:MZR720981 MZR786440:MZR786517 MZR851976:MZR852053 MZR917512:MZR917589 MZR983048:MZR983125 NJN2:NJN85 NJN65544:NJN65621 NJN131080:NJN131157 NJN196616:NJN196693 NJN262152:NJN262229 NJN327688:NJN327765 NJN393224:NJN393301 NJN458760:NJN458837 NJN524296:NJN524373 NJN589832:NJN589909 NJN655368:NJN655445 NJN720904:NJN720981 NJN786440:NJN786517 NJN851976:NJN852053 NJN917512:NJN917589 NJN983048:NJN983125 NTJ2:NTJ85 NTJ65544:NTJ65621 NTJ131080:NTJ131157 NTJ196616:NTJ196693 NTJ262152:NTJ262229 NTJ327688:NTJ327765 NTJ393224:NTJ393301 NTJ458760:NTJ458837 NTJ524296:NTJ524373 NTJ589832:NTJ589909 NTJ655368:NTJ655445 NTJ720904:NTJ720981 NTJ786440:NTJ786517 NTJ851976:NTJ852053 NTJ917512:NTJ917589 NTJ983048:NTJ983125 ODF2:ODF85 ODF65544:ODF65621 ODF131080:ODF131157 ODF196616:ODF196693 ODF262152:ODF262229 ODF327688:ODF327765 ODF393224:ODF393301 ODF458760:ODF458837 ODF524296:ODF524373 ODF589832:ODF589909 ODF655368:ODF655445 ODF720904:ODF720981 ODF786440:ODF786517 ODF851976:ODF852053 ODF917512:ODF917589 ODF983048:ODF983125 ONB2:ONB85 ONB65544:ONB65621 ONB131080:ONB131157 ONB196616:ONB196693 ONB262152:ONB262229 ONB327688:ONB327765 ONB393224:ONB393301 ONB458760:ONB458837 ONB524296:ONB524373 ONB589832:ONB589909 ONB655368:ONB655445 ONB720904:ONB720981 ONB786440:ONB786517 ONB851976:ONB852053 ONB917512:ONB917589 ONB983048:ONB983125 OWX2:OWX85 OWX65544:OWX65621 OWX131080:OWX131157 OWX196616:OWX196693 OWX262152:OWX262229 OWX327688:OWX327765 OWX393224:OWX393301 OWX458760:OWX458837 OWX524296:OWX524373 OWX589832:OWX589909 OWX655368:OWX655445 OWX720904:OWX720981 OWX786440:OWX786517 OWX851976:OWX852053 OWX917512:OWX917589 OWX983048:OWX983125 PGT2:PGT85 PGT65544:PGT65621 PGT131080:PGT131157 PGT196616:PGT196693 PGT262152:PGT262229 PGT327688:PGT327765 PGT393224:PGT393301 PGT458760:PGT458837 PGT524296:PGT524373 PGT589832:PGT589909 PGT655368:PGT655445 PGT720904:PGT720981 PGT786440:PGT786517 PGT851976:PGT852053 PGT917512:PGT917589 PGT983048:PGT983125 PQP2:PQP85 PQP65544:PQP65621 PQP131080:PQP131157 PQP196616:PQP196693 PQP262152:PQP262229 PQP327688:PQP327765 PQP393224:PQP393301 PQP458760:PQP458837 PQP524296:PQP524373 PQP589832:PQP589909 PQP655368:PQP655445 PQP720904:PQP720981 PQP786440:PQP786517 PQP851976:PQP852053 PQP917512:PQP917589 PQP983048:PQP983125 QAL2:QAL85 QAL65544:QAL65621 QAL131080:QAL131157 QAL196616:QAL196693 QAL262152:QAL262229 QAL327688:QAL327765 QAL393224:QAL393301 QAL458760:QAL458837 QAL524296:QAL524373 QAL589832:QAL589909 QAL655368:QAL655445 QAL720904:QAL720981 QAL786440:QAL786517 QAL851976:QAL852053 QAL917512:QAL917589 QAL983048:QAL983125 QKH2:QKH85 QKH65544:QKH65621 QKH131080:QKH131157 QKH196616:QKH196693 QKH262152:QKH262229 QKH327688:QKH327765 QKH393224:QKH393301 QKH458760:QKH458837 QKH524296:QKH524373 QKH589832:QKH589909 QKH655368:QKH655445 QKH720904:QKH720981 QKH786440:QKH786517 QKH851976:QKH852053 QKH917512:QKH917589 QKH983048:QKH983125 QUD2:QUD85 QUD65544:QUD65621 QUD131080:QUD131157 QUD196616:QUD196693 QUD262152:QUD262229 QUD327688:QUD327765 QUD393224:QUD393301 QUD458760:QUD458837 QUD524296:QUD524373 QUD589832:QUD589909 QUD655368:QUD655445 QUD720904:QUD720981 QUD786440:QUD786517 QUD851976:QUD852053 QUD917512:QUD917589 QUD983048:QUD983125 RDZ2:RDZ85 RDZ65544:RDZ65621 RDZ131080:RDZ131157 RDZ196616:RDZ196693 RDZ262152:RDZ262229 RDZ327688:RDZ327765 RDZ393224:RDZ393301 RDZ458760:RDZ458837 RDZ524296:RDZ524373 RDZ589832:RDZ589909 RDZ655368:RDZ655445 RDZ720904:RDZ720981 RDZ786440:RDZ786517 RDZ851976:RDZ852053 RDZ917512:RDZ917589 RDZ983048:RDZ983125 RNV2:RNV85 RNV65544:RNV65621 RNV131080:RNV131157 RNV196616:RNV196693 RNV262152:RNV262229 RNV327688:RNV327765 RNV393224:RNV393301 RNV458760:RNV458837 RNV524296:RNV524373 RNV589832:RNV589909 RNV655368:RNV655445 RNV720904:RNV720981 RNV786440:RNV786517 RNV851976:RNV852053 RNV917512:RNV917589 RNV983048:RNV983125 RXR2:RXR85 RXR65544:RXR65621 RXR131080:RXR131157 RXR196616:RXR196693 RXR262152:RXR262229 RXR327688:RXR327765 RXR393224:RXR393301 RXR458760:RXR458837 RXR524296:RXR524373 RXR589832:RXR589909 RXR655368:RXR655445 RXR720904:RXR720981 RXR786440:RXR786517 RXR851976:RXR852053 RXR917512:RXR917589 RXR983048:RXR983125 SHN2:SHN85 SHN65544:SHN65621 SHN131080:SHN131157 SHN196616:SHN196693 SHN262152:SHN262229 SHN327688:SHN327765 SHN393224:SHN393301 SHN458760:SHN458837 SHN524296:SHN524373 SHN589832:SHN589909 SHN655368:SHN655445 SHN720904:SHN720981 SHN786440:SHN786517 SHN851976:SHN852053 SHN917512:SHN917589 SHN983048:SHN983125 SRJ2:SRJ85 SRJ65544:SRJ65621 SRJ131080:SRJ131157 SRJ196616:SRJ196693 SRJ262152:SRJ262229 SRJ327688:SRJ327765 SRJ393224:SRJ393301 SRJ458760:SRJ458837 SRJ524296:SRJ524373 SRJ589832:SRJ589909 SRJ655368:SRJ655445 SRJ720904:SRJ720981 SRJ786440:SRJ786517 SRJ851976:SRJ852053 SRJ917512:SRJ917589 SRJ983048:SRJ983125 TBF2:TBF85 TBF65544:TBF65621 TBF131080:TBF131157 TBF196616:TBF196693 TBF262152:TBF262229 TBF327688:TBF327765 TBF393224:TBF393301 TBF458760:TBF458837 TBF524296:TBF524373 TBF589832:TBF589909 TBF655368:TBF655445 TBF720904:TBF720981 TBF786440:TBF786517 TBF851976:TBF852053 TBF917512:TBF917589 TBF983048:TBF983125 TLB2:TLB85 TLB65544:TLB65621 TLB131080:TLB131157 TLB196616:TLB196693 TLB262152:TLB262229 TLB327688:TLB327765 TLB393224:TLB393301 TLB458760:TLB458837 TLB524296:TLB524373 TLB589832:TLB589909 TLB655368:TLB655445 TLB720904:TLB720981 TLB786440:TLB786517 TLB851976:TLB852053 TLB917512:TLB917589 TLB983048:TLB983125 TUX2:TUX85 TUX65544:TUX65621 TUX131080:TUX131157 TUX196616:TUX196693 TUX262152:TUX262229 TUX327688:TUX327765 TUX393224:TUX393301 TUX458760:TUX458837 TUX524296:TUX524373 TUX589832:TUX589909 TUX655368:TUX655445 TUX720904:TUX720981 TUX786440:TUX786517 TUX851976:TUX852053 TUX917512:TUX917589 TUX983048:TUX983125 UET2:UET85 UET65544:UET65621 UET131080:UET131157 UET196616:UET196693 UET262152:UET262229 UET327688:UET327765 UET393224:UET393301 UET458760:UET458837 UET524296:UET524373 UET589832:UET589909 UET655368:UET655445 UET720904:UET720981 UET786440:UET786517 UET851976:UET852053 UET917512:UET917589 UET983048:UET983125 UOP2:UOP85 UOP65544:UOP65621 UOP131080:UOP131157 UOP196616:UOP196693 UOP262152:UOP262229 UOP327688:UOP327765 UOP393224:UOP393301 UOP458760:UOP458837 UOP524296:UOP524373 UOP589832:UOP589909 UOP655368:UOP655445 UOP720904:UOP720981 UOP786440:UOP786517 UOP851976:UOP852053 UOP917512:UOP917589 UOP983048:UOP983125 UYL2:UYL85 UYL65544:UYL65621 UYL131080:UYL131157 UYL196616:UYL196693 UYL262152:UYL262229 UYL327688:UYL327765 UYL393224:UYL393301 UYL458760:UYL458837 UYL524296:UYL524373 UYL589832:UYL589909 UYL655368:UYL655445 UYL720904:UYL720981 UYL786440:UYL786517 UYL851976:UYL852053 UYL917512:UYL917589 UYL983048:UYL983125 VIH2:VIH85 VIH65544:VIH65621 VIH131080:VIH131157 VIH196616:VIH196693 VIH262152:VIH262229 VIH327688:VIH327765 VIH393224:VIH393301 VIH458760:VIH458837 VIH524296:VIH524373 VIH589832:VIH589909 VIH655368:VIH655445 VIH720904:VIH720981 VIH786440:VIH786517 VIH851976:VIH852053 VIH917512:VIH917589 VIH983048:VIH983125 VSD2:VSD85 VSD65544:VSD65621 VSD131080:VSD131157 VSD196616:VSD196693 VSD262152:VSD262229 VSD327688:VSD327765 VSD393224:VSD393301 VSD458760:VSD458837 VSD524296:VSD524373 VSD589832:VSD589909 VSD655368:VSD655445 VSD720904:VSD720981 VSD786440:VSD786517 VSD851976:VSD852053 VSD917512:VSD917589 VSD983048:VSD983125 WBZ2:WBZ85 WBZ65544:WBZ65621 WBZ131080:WBZ131157 WBZ196616:WBZ196693 WBZ262152:WBZ262229 WBZ327688:WBZ327765 WBZ393224:WBZ393301 WBZ458760:WBZ458837 WBZ524296:WBZ524373 WBZ589832:WBZ589909 WBZ655368:WBZ655445 WBZ720904:WBZ720981 WBZ786440:WBZ786517 WBZ851976:WBZ852053 WBZ917512:WBZ917589 WBZ983048:WBZ983125 WLV2:WLV85 WLV65544:WLV65621 WLV131080:WLV131157 WLV196616:WLV196693 WLV262152:WLV262229 WLV327688:WLV327765 WLV393224:WLV393301 WLV458760:WLV458837 WLV524296:WLV524373 WLV589832:WLV589909 WLV655368:WLV655445 WLV720904:WLV720981 WLV786440:WLV786517 WLV851976:WLV852053 WLV917512:WLV917589 WLV983048:WLV983125 WVR2:WVR85 WVR65544:WVR65621 WVR131080:WVR131157 WVR196616:WVR196693 WVR262152:WVR262229 WVR327688:WVR327765 WVR393224:WVR393301 WVR458760:WVR458837 WVR524296:WVR524373 WVR589832:WVR589909 WVR655368:WVR655445 WVR720904:WVR720981 WVR786440:WVR786517 WVR851976:WVR852053 WVR917512:WVR917589 WVR983048:WVR983125">
      <formula1>$AP$2:$AP$30</formula1>
    </dataValidation>
    <dataValidation type="list" allowBlank="1" showInputMessage="1" showErrorMessage="1" sqref="I2:I506 I65544:I65621 I131080:I131157 I196616:I196693 I262152:I262229 I327688:I327765 I393224:I393301 I458760:I458837 I524296:I524373 I589832:I589909 I655368:I655445 I720904:I720981 I786440:I786517 I851976:I852053 I917512:I917589 I983048:I983125 JE2:JE85 JE65544:JE65621 JE131080:JE131157 JE196616:JE196693 JE262152:JE262229 JE327688:JE327765 JE393224:JE393301 JE458760:JE458837 JE524296:JE524373 JE589832:JE589909 JE655368:JE655445 JE720904:JE720981 JE786440:JE786517 JE851976:JE852053 JE917512:JE917589 JE983048:JE983125 TA2:TA85 TA65544:TA65621 TA131080:TA131157 TA196616:TA196693 TA262152:TA262229 TA327688:TA327765 TA393224:TA393301 TA458760:TA458837 TA524296:TA524373 TA589832:TA589909 TA655368:TA655445 TA720904:TA720981 TA786440:TA786517 TA851976:TA852053 TA917512:TA917589 TA983048:TA983125 ACW2:ACW85 ACW65544:ACW65621 ACW131080:ACW131157 ACW196616:ACW196693 ACW262152:ACW262229 ACW327688:ACW327765 ACW393224:ACW393301 ACW458760:ACW458837 ACW524296:ACW524373 ACW589832:ACW589909 ACW655368:ACW655445 ACW720904:ACW720981 ACW786440:ACW786517 ACW851976:ACW852053 ACW917512:ACW917589 ACW983048:ACW983125 AMS2:AMS85 AMS65544:AMS65621 AMS131080:AMS131157 AMS196616:AMS196693 AMS262152:AMS262229 AMS327688:AMS327765 AMS393224:AMS393301 AMS458760:AMS458837 AMS524296:AMS524373 AMS589832:AMS589909 AMS655368:AMS655445 AMS720904:AMS720981 AMS786440:AMS786517 AMS851976:AMS852053 AMS917512:AMS917589 AMS983048:AMS983125 AWO2:AWO85 AWO65544:AWO65621 AWO131080:AWO131157 AWO196616:AWO196693 AWO262152:AWO262229 AWO327688:AWO327765 AWO393224:AWO393301 AWO458760:AWO458837 AWO524296:AWO524373 AWO589832:AWO589909 AWO655368:AWO655445 AWO720904:AWO720981 AWO786440:AWO786517 AWO851976:AWO852053 AWO917512:AWO917589 AWO983048:AWO983125 BGK2:BGK85 BGK65544:BGK65621 BGK131080:BGK131157 BGK196616:BGK196693 BGK262152:BGK262229 BGK327688:BGK327765 BGK393224:BGK393301 BGK458760:BGK458837 BGK524296:BGK524373 BGK589832:BGK589909 BGK655368:BGK655445 BGK720904:BGK720981 BGK786440:BGK786517 BGK851976:BGK852053 BGK917512:BGK917589 BGK983048:BGK983125 BQG2:BQG85 BQG65544:BQG65621 BQG131080:BQG131157 BQG196616:BQG196693 BQG262152:BQG262229 BQG327688:BQG327765 BQG393224:BQG393301 BQG458760:BQG458837 BQG524296:BQG524373 BQG589832:BQG589909 BQG655368:BQG655445 BQG720904:BQG720981 BQG786440:BQG786517 BQG851976:BQG852053 BQG917512:BQG917589 BQG983048:BQG983125 CAC2:CAC85 CAC65544:CAC65621 CAC131080:CAC131157 CAC196616:CAC196693 CAC262152:CAC262229 CAC327688:CAC327765 CAC393224:CAC393301 CAC458760:CAC458837 CAC524296:CAC524373 CAC589832:CAC589909 CAC655368:CAC655445 CAC720904:CAC720981 CAC786440:CAC786517 CAC851976:CAC852053 CAC917512:CAC917589 CAC983048:CAC983125 CJY2:CJY85 CJY65544:CJY65621 CJY131080:CJY131157 CJY196616:CJY196693 CJY262152:CJY262229 CJY327688:CJY327765 CJY393224:CJY393301 CJY458760:CJY458837 CJY524296:CJY524373 CJY589832:CJY589909 CJY655368:CJY655445 CJY720904:CJY720981 CJY786440:CJY786517 CJY851976:CJY852053 CJY917512:CJY917589 CJY983048:CJY983125 CTU2:CTU85 CTU65544:CTU65621 CTU131080:CTU131157 CTU196616:CTU196693 CTU262152:CTU262229 CTU327688:CTU327765 CTU393224:CTU393301 CTU458760:CTU458837 CTU524296:CTU524373 CTU589832:CTU589909 CTU655368:CTU655445 CTU720904:CTU720981 CTU786440:CTU786517 CTU851976:CTU852053 CTU917512:CTU917589 CTU983048:CTU983125 DDQ2:DDQ85 DDQ65544:DDQ65621 DDQ131080:DDQ131157 DDQ196616:DDQ196693 DDQ262152:DDQ262229 DDQ327688:DDQ327765 DDQ393224:DDQ393301 DDQ458760:DDQ458837 DDQ524296:DDQ524373 DDQ589832:DDQ589909 DDQ655368:DDQ655445 DDQ720904:DDQ720981 DDQ786440:DDQ786517 DDQ851976:DDQ852053 DDQ917512:DDQ917589 DDQ983048:DDQ983125 DNM2:DNM85 DNM65544:DNM65621 DNM131080:DNM131157 DNM196616:DNM196693 DNM262152:DNM262229 DNM327688:DNM327765 DNM393224:DNM393301 DNM458760:DNM458837 DNM524296:DNM524373 DNM589832:DNM589909 DNM655368:DNM655445 DNM720904:DNM720981 DNM786440:DNM786517 DNM851976:DNM852053 DNM917512:DNM917589 DNM983048:DNM983125 DXI2:DXI85 DXI65544:DXI65621 DXI131080:DXI131157 DXI196616:DXI196693 DXI262152:DXI262229 DXI327688:DXI327765 DXI393224:DXI393301 DXI458760:DXI458837 DXI524296:DXI524373 DXI589832:DXI589909 DXI655368:DXI655445 DXI720904:DXI720981 DXI786440:DXI786517 DXI851976:DXI852053 DXI917512:DXI917589 DXI983048:DXI983125 EHE2:EHE85 EHE65544:EHE65621 EHE131080:EHE131157 EHE196616:EHE196693 EHE262152:EHE262229 EHE327688:EHE327765 EHE393224:EHE393301 EHE458760:EHE458837 EHE524296:EHE524373 EHE589832:EHE589909 EHE655368:EHE655445 EHE720904:EHE720981 EHE786440:EHE786517 EHE851976:EHE852053 EHE917512:EHE917589 EHE983048:EHE983125 ERA2:ERA85 ERA65544:ERA65621 ERA131080:ERA131157 ERA196616:ERA196693 ERA262152:ERA262229 ERA327688:ERA327765 ERA393224:ERA393301 ERA458760:ERA458837 ERA524296:ERA524373 ERA589832:ERA589909 ERA655368:ERA655445 ERA720904:ERA720981 ERA786440:ERA786517 ERA851976:ERA852053 ERA917512:ERA917589 ERA983048:ERA983125 FAW2:FAW85 FAW65544:FAW65621 FAW131080:FAW131157 FAW196616:FAW196693 FAW262152:FAW262229 FAW327688:FAW327765 FAW393224:FAW393301 FAW458760:FAW458837 FAW524296:FAW524373 FAW589832:FAW589909 FAW655368:FAW655445 FAW720904:FAW720981 FAW786440:FAW786517 FAW851976:FAW852053 FAW917512:FAW917589 FAW983048:FAW983125 FKS2:FKS85 FKS65544:FKS65621 FKS131080:FKS131157 FKS196616:FKS196693 FKS262152:FKS262229 FKS327688:FKS327765 FKS393224:FKS393301 FKS458760:FKS458837 FKS524296:FKS524373 FKS589832:FKS589909 FKS655368:FKS655445 FKS720904:FKS720981 FKS786440:FKS786517 FKS851976:FKS852053 FKS917512:FKS917589 FKS983048:FKS983125 FUO2:FUO85 FUO65544:FUO65621 FUO131080:FUO131157 FUO196616:FUO196693 FUO262152:FUO262229 FUO327688:FUO327765 FUO393224:FUO393301 FUO458760:FUO458837 FUO524296:FUO524373 FUO589832:FUO589909 FUO655368:FUO655445 FUO720904:FUO720981 FUO786440:FUO786517 FUO851976:FUO852053 FUO917512:FUO917589 FUO983048:FUO983125 GEK2:GEK85 GEK65544:GEK65621 GEK131080:GEK131157 GEK196616:GEK196693 GEK262152:GEK262229 GEK327688:GEK327765 GEK393224:GEK393301 GEK458760:GEK458837 GEK524296:GEK524373 GEK589832:GEK589909 GEK655368:GEK655445 GEK720904:GEK720981 GEK786440:GEK786517 GEK851976:GEK852053 GEK917512:GEK917589 GEK983048:GEK983125 GOG2:GOG85 GOG65544:GOG65621 GOG131080:GOG131157 GOG196616:GOG196693 GOG262152:GOG262229 GOG327688:GOG327765 GOG393224:GOG393301 GOG458760:GOG458837 GOG524296:GOG524373 GOG589832:GOG589909 GOG655368:GOG655445 GOG720904:GOG720981 GOG786440:GOG786517 GOG851976:GOG852053 GOG917512:GOG917589 GOG983048:GOG983125 GYC2:GYC85 GYC65544:GYC65621 GYC131080:GYC131157 GYC196616:GYC196693 GYC262152:GYC262229 GYC327688:GYC327765 GYC393224:GYC393301 GYC458760:GYC458837 GYC524296:GYC524373 GYC589832:GYC589909 GYC655368:GYC655445 GYC720904:GYC720981 GYC786440:GYC786517 GYC851976:GYC852053 GYC917512:GYC917589 GYC983048:GYC983125 HHY2:HHY85 HHY65544:HHY65621 HHY131080:HHY131157 HHY196616:HHY196693 HHY262152:HHY262229 HHY327688:HHY327765 HHY393224:HHY393301 HHY458760:HHY458837 HHY524296:HHY524373 HHY589832:HHY589909 HHY655368:HHY655445 HHY720904:HHY720981 HHY786440:HHY786517 HHY851976:HHY852053 HHY917512:HHY917589 HHY983048:HHY983125 HRU2:HRU85 HRU65544:HRU65621 HRU131080:HRU131157 HRU196616:HRU196693 HRU262152:HRU262229 HRU327688:HRU327765 HRU393224:HRU393301 HRU458760:HRU458837 HRU524296:HRU524373 HRU589832:HRU589909 HRU655368:HRU655445 HRU720904:HRU720981 HRU786440:HRU786517 HRU851976:HRU852053 HRU917512:HRU917589 HRU983048:HRU983125 IBQ2:IBQ85 IBQ65544:IBQ65621 IBQ131080:IBQ131157 IBQ196616:IBQ196693 IBQ262152:IBQ262229 IBQ327688:IBQ327765 IBQ393224:IBQ393301 IBQ458760:IBQ458837 IBQ524296:IBQ524373 IBQ589832:IBQ589909 IBQ655368:IBQ655445 IBQ720904:IBQ720981 IBQ786440:IBQ786517 IBQ851976:IBQ852053 IBQ917512:IBQ917589 IBQ983048:IBQ983125 ILM2:ILM85 ILM65544:ILM65621 ILM131080:ILM131157 ILM196616:ILM196693 ILM262152:ILM262229 ILM327688:ILM327765 ILM393224:ILM393301 ILM458760:ILM458837 ILM524296:ILM524373 ILM589832:ILM589909 ILM655368:ILM655445 ILM720904:ILM720981 ILM786440:ILM786517 ILM851976:ILM852053 ILM917512:ILM917589 ILM983048:ILM983125 IVI2:IVI85 IVI65544:IVI65621 IVI131080:IVI131157 IVI196616:IVI196693 IVI262152:IVI262229 IVI327688:IVI327765 IVI393224:IVI393301 IVI458760:IVI458837 IVI524296:IVI524373 IVI589832:IVI589909 IVI655368:IVI655445 IVI720904:IVI720981 IVI786440:IVI786517 IVI851976:IVI852053 IVI917512:IVI917589 IVI983048:IVI983125 JFE2:JFE85 JFE65544:JFE65621 JFE131080:JFE131157 JFE196616:JFE196693 JFE262152:JFE262229 JFE327688:JFE327765 JFE393224:JFE393301 JFE458760:JFE458837 JFE524296:JFE524373 JFE589832:JFE589909 JFE655368:JFE655445 JFE720904:JFE720981 JFE786440:JFE786517 JFE851976:JFE852053 JFE917512:JFE917589 JFE983048:JFE983125 JPA2:JPA85 JPA65544:JPA65621 JPA131080:JPA131157 JPA196616:JPA196693 JPA262152:JPA262229 JPA327688:JPA327765 JPA393224:JPA393301 JPA458760:JPA458837 JPA524296:JPA524373 JPA589832:JPA589909 JPA655368:JPA655445 JPA720904:JPA720981 JPA786440:JPA786517 JPA851976:JPA852053 JPA917512:JPA917589 JPA983048:JPA983125 JYW2:JYW85 JYW65544:JYW65621 JYW131080:JYW131157 JYW196616:JYW196693 JYW262152:JYW262229 JYW327688:JYW327765 JYW393224:JYW393301 JYW458760:JYW458837 JYW524296:JYW524373 JYW589832:JYW589909 JYW655368:JYW655445 JYW720904:JYW720981 JYW786440:JYW786517 JYW851976:JYW852053 JYW917512:JYW917589 JYW983048:JYW983125 KIS2:KIS85 KIS65544:KIS65621 KIS131080:KIS131157 KIS196616:KIS196693 KIS262152:KIS262229 KIS327688:KIS327765 KIS393224:KIS393301 KIS458760:KIS458837 KIS524296:KIS524373 KIS589832:KIS589909 KIS655368:KIS655445 KIS720904:KIS720981 KIS786440:KIS786517 KIS851976:KIS852053 KIS917512:KIS917589 KIS983048:KIS983125 KSO2:KSO85 KSO65544:KSO65621 KSO131080:KSO131157 KSO196616:KSO196693 KSO262152:KSO262229 KSO327688:KSO327765 KSO393224:KSO393301 KSO458760:KSO458837 KSO524296:KSO524373 KSO589832:KSO589909 KSO655368:KSO655445 KSO720904:KSO720981 KSO786440:KSO786517 KSO851976:KSO852053 KSO917512:KSO917589 KSO983048:KSO983125 LCK2:LCK85 LCK65544:LCK65621 LCK131080:LCK131157 LCK196616:LCK196693 LCK262152:LCK262229 LCK327688:LCK327765 LCK393224:LCK393301 LCK458760:LCK458837 LCK524296:LCK524373 LCK589832:LCK589909 LCK655368:LCK655445 LCK720904:LCK720981 LCK786440:LCK786517 LCK851976:LCK852053 LCK917512:LCK917589 LCK983048:LCK983125 LMG2:LMG85 LMG65544:LMG65621 LMG131080:LMG131157 LMG196616:LMG196693 LMG262152:LMG262229 LMG327688:LMG327765 LMG393224:LMG393301 LMG458760:LMG458837 LMG524296:LMG524373 LMG589832:LMG589909 LMG655368:LMG655445 LMG720904:LMG720981 LMG786440:LMG786517 LMG851976:LMG852053 LMG917512:LMG917589 LMG983048:LMG983125 LWC2:LWC85 LWC65544:LWC65621 LWC131080:LWC131157 LWC196616:LWC196693 LWC262152:LWC262229 LWC327688:LWC327765 LWC393224:LWC393301 LWC458760:LWC458837 LWC524296:LWC524373 LWC589832:LWC589909 LWC655368:LWC655445 LWC720904:LWC720981 LWC786440:LWC786517 LWC851976:LWC852053 LWC917512:LWC917589 LWC983048:LWC983125 MFY2:MFY85 MFY65544:MFY65621 MFY131080:MFY131157 MFY196616:MFY196693 MFY262152:MFY262229 MFY327688:MFY327765 MFY393224:MFY393301 MFY458760:MFY458837 MFY524296:MFY524373 MFY589832:MFY589909 MFY655368:MFY655445 MFY720904:MFY720981 MFY786440:MFY786517 MFY851976:MFY852053 MFY917512:MFY917589 MFY983048:MFY983125 MPU2:MPU85 MPU65544:MPU65621 MPU131080:MPU131157 MPU196616:MPU196693 MPU262152:MPU262229 MPU327688:MPU327765 MPU393224:MPU393301 MPU458760:MPU458837 MPU524296:MPU524373 MPU589832:MPU589909 MPU655368:MPU655445 MPU720904:MPU720981 MPU786440:MPU786517 MPU851976:MPU852053 MPU917512:MPU917589 MPU983048:MPU983125 MZQ2:MZQ85 MZQ65544:MZQ65621 MZQ131080:MZQ131157 MZQ196616:MZQ196693 MZQ262152:MZQ262229 MZQ327688:MZQ327765 MZQ393224:MZQ393301 MZQ458760:MZQ458837 MZQ524296:MZQ524373 MZQ589832:MZQ589909 MZQ655368:MZQ655445 MZQ720904:MZQ720981 MZQ786440:MZQ786517 MZQ851976:MZQ852053 MZQ917512:MZQ917589 MZQ983048:MZQ983125 NJM2:NJM85 NJM65544:NJM65621 NJM131080:NJM131157 NJM196616:NJM196693 NJM262152:NJM262229 NJM327688:NJM327765 NJM393224:NJM393301 NJM458760:NJM458837 NJM524296:NJM524373 NJM589832:NJM589909 NJM655368:NJM655445 NJM720904:NJM720981 NJM786440:NJM786517 NJM851976:NJM852053 NJM917512:NJM917589 NJM983048:NJM983125 NTI2:NTI85 NTI65544:NTI65621 NTI131080:NTI131157 NTI196616:NTI196693 NTI262152:NTI262229 NTI327688:NTI327765 NTI393224:NTI393301 NTI458760:NTI458837 NTI524296:NTI524373 NTI589832:NTI589909 NTI655368:NTI655445 NTI720904:NTI720981 NTI786440:NTI786517 NTI851976:NTI852053 NTI917512:NTI917589 NTI983048:NTI983125 ODE2:ODE85 ODE65544:ODE65621 ODE131080:ODE131157 ODE196616:ODE196693 ODE262152:ODE262229 ODE327688:ODE327765 ODE393224:ODE393301 ODE458760:ODE458837 ODE524296:ODE524373 ODE589832:ODE589909 ODE655368:ODE655445 ODE720904:ODE720981 ODE786440:ODE786517 ODE851976:ODE852053 ODE917512:ODE917589 ODE983048:ODE983125 ONA2:ONA85 ONA65544:ONA65621 ONA131080:ONA131157 ONA196616:ONA196693 ONA262152:ONA262229 ONA327688:ONA327765 ONA393224:ONA393301 ONA458760:ONA458837 ONA524296:ONA524373 ONA589832:ONA589909 ONA655368:ONA655445 ONA720904:ONA720981 ONA786440:ONA786517 ONA851976:ONA852053 ONA917512:ONA917589 ONA983048:ONA983125 OWW2:OWW85 OWW65544:OWW65621 OWW131080:OWW131157 OWW196616:OWW196693 OWW262152:OWW262229 OWW327688:OWW327765 OWW393224:OWW393301 OWW458760:OWW458837 OWW524296:OWW524373 OWW589832:OWW589909 OWW655368:OWW655445 OWW720904:OWW720981 OWW786440:OWW786517 OWW851976:OWW852053 OWW917512:OWW917589 OWW983048:OWW983125 PGS2:PGS85 PGS65544:PGS65621 PGS131080:PGS131157 PGS196616:PGS196693 PGS262152:PGS262229 PGS327688:PGS327765 PGS393224:PGS393301 PGS458760:PGS458837 PGS524296:PGS524373 PGS589832:PGS589909 PGS655368:PGS655445 PGS720904:PGS720981 PGS786440:PGS786517 PGS851976:PGS852053 PGS917512:PGS917589 PGS983048:PGS983125 PQO2:PQO85 PQO65544:PQO65621 PQO131080:PQO131157 PQO196616:PQO196693 PQO262152:PQO262229 PQO327688:PQO327765 PQO393224:PQO393301 PQO458760:PQO458837 PQO524296:PQO524373 PQO589832:PQO589909 PQO655368:PQO655445 PQO720904:PQO720981 PQO786440:PQO786517 PQO851976:PQO852053 PQO917512:PQO917589 PQO983048:PQO983125 QAK2:QAK85 QAK65544:QAK65621 QAK131080:QAK131157 QAK196616:QAK196693 QAK262152:QAK262229 QAK327688:QAK327765 QAK393224:QAK393301 QAK458760:QAK458837 QAK524296:QAK524373 QAK589832:QAK589909 QAK655368:QAK655445 QAK720904:QAK720981 QAK786440:QAK786517 QAK851976:QAK852053 QAK917512:QAK917589 QAK983048:QAK983125 QKG2:QKG85 QKG65544:QKG65621 QKG131080:QKG131157 QKG196616:QKG196693 QKG262152:QKG262229 QKG327688:QKG327765 QKG393224:QKG393301 QKG458760:QKG458837 QKG524296:QKG524373 QKG589832:QKG589909 QKG655368:QKG655445 QKG720904:QKG720981 QKG786440:QKG786517 QKG851976:QKG852053 QKG917512:QKG917589 QKG983048:QKG983125 QUC2:QUC85 QUC65544:QUC65621 QUC131080:QUC131157 QUC196616:QUC196693 QUC262152:QUC262229 QUC327688:QUC327765 QUC393224:QUC393301 QUC458760:QUC458837 QUC524296:QUC524373 QUC589832:QUC589909 QUC655368:QUC655445 QUC720904:QUC720981 QUC786440:QUC786517 QUC851976:QUC852053 QUC917512:QUC917589 QUC983048:QUC983125 RDY2:RDY85 RDY65544:RDY65621 RDY131080:RDY131157 RDY196616:RDY196693 RDY262152:RDY262229 RDY327688:RDY327765 RDY393224:RDY393301 RDY458760:RDY458837 RDY524296:RDY524373 RDY589832:RDY589909 RDY655368:RDY655445 RDY720904:RDY720981 RDY786440:RDY786517 RDY851976:RDY852053 RDY917512:RDY917589 RDY983048:RDY983125 RNU2:RNU85 RNU65544:RNU65621 RNU131080:RNU131157 RNU196616:RNU196693 RNU262152:RNU262229 RNU327688:RNU327765 RNU393224:RNU393301 RNU458760:RNU458837 RNU524296:RNU524373 RNU589832:RNU589909 RNU655368:RNU655445 RNU720904:RNU720981 RNU786440:RNU786517 RNU851976:RNU852053 RNU917512:RNU917589 RNU983048:RNU983125 RXQ2:RXQ85 RXQ65544:RXQ65621 RXQ131080:RXQ131157 RXQ196616:RXQ196693 RXQ262152:RXQ262229 RXQ327688:RXQ327765 RXQ393224:RXQ393301 RXQ458760:RXQ458837 RXQ524296:RXQ524373 RXQ589832:RXQ589909 RXQ655368:RXQ655445 RXQ720904:RXQ720981 RXQ786440:RXQ786517 RXQ851976:RXQ852053 RXQ917512:RXQ917589 RXQ983048:RXQ983125 SHM2:SHM85 SHM65544:SHM65621 SHM131080:SHM131157 SHM196616:SHM196693 SHM262152:SHM262229 SHM327688:SHM327765 SHM393224:SHM393301 SHM458760:SHM458837 SHM524296:SHM524373 SHM589832:SHM589909 SHM655368:SHM655445 SHM720904:SHM720981 SHM786440:SHM786517 SHM851976:SHM852053 SHM917512:SHM917589 SHM983048:SHM983125 SRI2:SRI85 SRI65544:SRI65621 SRI131080:SRI131157 SRI196616:SRI196693 SRI262152:SRI262229 SRI327688:SRI327765 SRI393224:SRI393301 SRI458760:SRI458837 SRI524296:SRI524373 SRI589832:SRI589909 SRI655368:SRI655445 SRI720904:SRI720981 SRI786440:SRI786517 SRI851976:SRI852053 SRI917512:SRI917589 SRI983048:SRI983125 TBE2:TBE85 TBE65544:TBE65621 TBE131080:TBE131157 TBE196616:TBE196693 TBE262152:TBE262229 TBE327688:TBE327765 TBE393224:TBE393301 TBE458760:TBE458837 TBE524296:TBE524373 TBE589832:TBE589909 TBE655368:TBE655445 TBE720904:TBE720981 TBE786440:TBE786517 TBE851976:TBE852053 TBE917512:TBE917589 TBE983048:TBE983125 TLA2:TLA85 TLA65544:TLA65621 TLA131080:TLA131157 TLA196616:TLA196693 TLA262152:TLA262229 TLA327688:TLA327765 TLA393224:TLA393301 TLA458760:TLA458837 TLA524296:TLA524373 TLA589832:TLA589909 TLA655368:TLA655445 TLA720904:TLA720981 TLA786440:TLA786517 TLA851976:TLA852053 TLA917512:TLA917589 TLA983048:TLA983125 TUW2:TUW85 TUW65544:TUW65621 TUW131080:TUW131157 TUW196616:TUW196693 TUW262152:TUW262229 TUW327688:TUW327765 TUW393224:TUW393301 TUW458760:TUW458837 TUW524296:TUW524373 TUW589832:TUW589909 TUW655368:TUW655445 TUW720904:TUW720981 TUW786440:TUW786517 TUW851976:TUW852053 TUW917512:TUW917589 TUW983048:TUW983125 UES2:UES85 UES65544:UES65621 UES131080:UES131157 UES196616:UES196693 UES262152:UES262229 UES327688:UES327765 UES393224:UES393301 UES458760:UES458837 UES524296:UES524373 UES589832:UES589909 UES655368:UES655445 UES720904:UES720981 UES786440:UES786517 UES851976:UES852053 UES917512:UES917589 UES983048:UES983125 UOO2:UOO85 UOO65544:UOO65621 UOO131080:UOO131157 UOO196616:UOO196693 UOO262152:UOO262229 UOO327688:UOO327765 UOO393224:UOO393301 UOO458760:UOO458837 UOO524296:UOO524373 UOO589832:UOO589909 UOO655368:UOO655445 UOO720904:UOO720981 UOO786440:UOO786517 UOO851976:UOO852053 UOO917512:UOO917589 UOO983048:UOO983125 UYK2:UYK85 UYK65544:UYK65621 UYK131080:UYK131157 UYK196616:UYK196693 UYK262152:UYK262229 UYK327688:UYK327765 UYK393224:UYK393301 UYK458760:UYK458837 UYK524296:UYK524373 UYK589832:UYK589909 UYK655368:UYK655445 UYK720904:UYK720981 UYK786440:UYK786517 UYK851976:UYK852053 UYK917512:UYK917589 UYK983048:UYK983125 VIG2:VIG85 VIG65544:VIG65621 VIG131080:VIG131157 VIG196616:VIG196693 VIG262152:VIG262229 VIG327688:VIG327765 VIG393224:VIG393301 VIG458760:VIG458837 VIG524296:VIG524373 VIG589832:VIG589909 VIG655368:VIG655445 VIG720904:VIG720981 VIG786440:VIG786517 VIG851976:VIG852053 VIG917512:VIG917589 VIG983048:VIG983125 VSC2:VSC85 VSC65544:VSC65621 VSC131080:VSC131157 VSC196616:VSC196693 VSC262152:VSC262229 VSC327688:VSC327765 VSC393224:VSC393301 VSC458760:VSC458837 VSC524296:VSC524373 VSC589832:VSC589909 VSC655368:VSC655445 VSC720904:VSC720981 VSC786440:VSC786517 VSC851976:VSC852053 VSC917512:VSC917589 VSC983048:VSC983125 WBY2:WBY85 WBY65544:WBY65621 WBY131080:WBY131157 WBY196616:WBY196693 WBY262152:WBY262229 WBY327688:WBY327765 WBY393224:WBY393301 WBY458760:WBY458837 WBY524296:WBY524373 WBY589832:WBY589909 WBY655368:WBY655445 WBY720904:WBY720981 WBY786440:WBY786517 WBY851976:WBY852053 WBY917512:WBY917589 WBY983048:WBY983125 WLU2:WLU85 WLU65544:WLU65621 WLU131080:WLU131157 WLU196616:WLU196693 WLU262152:WLU262229 WLU327688:WLU327765 WLU393224:WLU393301 WLU458760:WLU458837 WLU524296:WLU524373 WLU589832:WLU589909 WLU655368:WLU655445 WLU720904:WLU720981 WLU786440:WLU786517 WLU851976:WLU852053 WLU917512:WLU917589 WLU983048:WLU983125 WVQ2:WVQ85 WVQ65544:WVQ65621 WVQ131080:WVQ131157 WVQ196616:WVQ196693 WVQ262152:WVQ262229 WVQ327688:WVQ327765 WVQ393224:WVQ393301 WVQ458760:WVQ458837 WVQ524296:WVQ524373 WVQ589832:WVQ589909 WVQ655368:WVQ655445 WVQ720904:WVQ720981 WVQ786440:WVQ786517 WVQ851976:WVQ852053 WVQ917512:WVQ917589 WVQ983048:WVQ983125">
      <formula1>$AN$8:$AN$9</formula1>
    </dataValidation>
    <dataValidation type="list" allowBlank="1" showInputMessage="1" showErrorMessage="1" sqref="G2:G506 G65544:G65621 G131080:G131157 G196616:G196693 G262152:G262229 G327688:G327765 G393224:G393301 G458760:G458837 G524296:G524373 G589832:G589909 G655368:G655445 G720904:G720981 G786440:G786517 G851976:G852053 G917512:G917589 G983048:G983125 JC2:JC85 JC65544:JC65621 JC131080:JC131157 JC196616:JC196693 JC262152:JC262229 JC327688:JC327765 JC393224:JC393301 JC458760:JC458837 JC524296:JC524373 JC589832:JC589909 JC655368:JC655445 JC720904:JC720981 JC786440:JC786517 JC851976:JC852053 JC917512:JC917589 JC983048:JC983125 SY2:SY85 SY65544:SY65621 SY131080:SY131157 SY196616:SY196693 SY262152:SY262229 SY327688:SY327765 SY393224:SY393301 SY458760:SY458837 SY524296:SY524373 SY589832:SY589909 SY655368:SY655445 SY720904:SY720981 SY786440:SY786517 SY851976:SY852053 SY917512:SY917589 SY983048:SY983125 ACU2:ACU85 ACU65544:ACU65621 ACU131080:ACU131157 ACU196616:ACU196693 ACU262152:ACU262229 ACU327688:ACU327765 ACU393224:ACU393301 ACU458760:ACU458837 ACU524296:ACU524373 ACU589832:ACU589909 ACU655368:ACU655445 ACU720904:ACU720981 ACU786440:ACU786517 ACU851976:ACU852053 ACU917512:ACU917589 ACU983048:ACU983125 AMQ2:AMQ85 AMQ65544:AMQ65621 AMQ131080:AMQ131157 AMQ196616:AMQ196693 AMQ262152:AMQ262229 AMQ327688:AMQ327765 AMQ393224:AMQ393301 AMQ458760:AMQ458837 AMQ524296:AMQ524373 AMQ589832:AMQ589909 AMQ655368:AMQ655445 AMQ720904:AMQ720981 AMQ786440:AMQ786517 AMQ851976:AMQ852053 AMQ917512:AMQ917589 AMQ983048:AMQ983125 AWM2:AWM85 AWM65544:AWM65621 AWM131080:AWM131157 AWM196616:AWM196693 AWM262152:AWM262229 AWM327688:AWM327765 AWM393224:AWM393301 AWM458760:AWM458837 AWM524296:AWM524373 AWM589832:AWM589909 AWM655368:AWM655445 AWM720904:AWM720981 AWM786440:AWM786517 AWM851976:AWM852053 AWM917512:AWM917589 AWM983048:AWM983125 BGI2:BGI85 BGI65544:BGI65621 BGI131080:BGI131157 BGI196616:BGI196693 BGI262152:BGI262229 BGI327688:BGI327765 BGI393224:BGI393301 BGI458760:BGI458837 BGI524296:BGI524373 BGI589832:BGI589909 BGI655368:BGI655445 BGI720904:BGI720981 BGI786440:BGI786517 BGI851976:BGI852053 BGI917512:BGI917589 BGI983048:BGI983125 BQE2:BQE85 BQE65544:BQE65621 BQE131080:BQE131157 BQE196616:BQE196693 BQE262152:BQE262229 BQE327688:BQE327765 BQE393224:BQE393301 BQE458760:BQE458837 BQE524296:BQE524373 BQE589832:BQE589909 BQE655368:BQE655445 BQE720904:BQE720981 BQE786440:BQE786517 BQE851976:BQE852053 BQE917512:BQE917589 BQE983048:BQE983125 CAA2:CAA85 CAA65544:CAA65621 CAA131080:CAA131157 CAA196616:CAA196693 CAA262152:CAA262229 CAA327688:CAA327765 CAA393224:CAA393301 CAA458760:CAA458837 CAA524296:CAA524373 CAA589832:CAA589909 CAA655368:CAA655445 CAA720904:CAA720981 CAA786440:CAA786517 CAA851976:CAA852053 CAA917512:CAA917589 CAA983048:CAA983125 CJW2:CJW85 CJW65544:CJW65621 CJW131080:CJW131157 CJW196616:CJW196693 CJW262152:CJW262229 CJW327688:CJW327765 CJW393224:CJW393301 CJW458760:CJW458837 CJW524296:CJW524373 CJW589832:CJW589909 CJW655368:CJW655445 CJW720904:CJW720981 CJW786440:CJW786517 CJW851976:CJW852053 CJW917512:CJW917589 CJW983048:CJW983125 CTS2:CTS85 CTS65544:CTS65621 CTS131080:CTS131157 CTS196616:CTS196693 CTS262152:CTS262229 CTS327688:CTS327765 CTS393224:CTS393301 CTS458760:CTS458837 CTS524296:CTS524373 CTS589832:CTS589909 CTS655368:CTS655445 CTS720904:CTS720981 CTS786440:CTS786517 CTS851976:CTS852053 CTS917512:CTS917589 CTS983048:CTS983125 DDO2:DDO85 DDO65544:DDO65621 DDO131080:DDO131157 DDO196616:DDO196693 DDO262152:DDO262229 DDO327688:DDO327765 DDO393224:DDO393301 DDO458760:DDO458837 DDO524296:DDO524373 DDO589832:DDO589909 DDO655368:DDO655445 DDO720904:DDO720981 DDO786440:DDO786517 DDO851976:DDO852053 DDO917512:DDO917589 DDO983048:DDO983125 DNK2:DNK85 DNK65544:DNK65621 DNK131080:DNK131157 DNK196616:DNK196693 DNK262152:DNK262229 DNK327688:DNK327765 DNK393224:DNK393301 DNK458760:DNK458837 DNK524296:DNK524373 DNK589832:DNK589909 DNK655368:DNK655445 DNK720904:DNK720981 DNK786440:DNK786517 DNK851976:DNK852053 DNK917512:DNK917589 DNK983048:DNK983125 DXG2:DXG85 DXG65544:DXG65621 DXG131080:DXG131157 DXG196616:DXG196693 DXG262152:DXG262229 DXG327688:DXG327765 DXG393224:DXG393301 DXG458760:DXG458837 DXG524296:DXG524373 DXG589832:DXG589909 DXG655368:DXG655445 DXG720904:DXG720981 DXG786440:DXG786517 DXG851976:DXG852053 DXG917512:DXG917589 DXG983048:DXG983125 EHC2:EHC85 EHC65544:EHC65621 EHC131080:EHC131157 EHC196616:EHC196693 EHC262152:EHC262229 EHC327688:EHC327765 EHC393224:EHC393301 EHC458760:EHC458837 EHC524296:EHC524373 EHC589832:EHC589909 EHC655368:EHC655445 EHC720904:EHC720981 EHC786440:EHC786517 EHC851976:EHC852053 EHC917512:EHC917589 EHC983048:EHC983125 EQY2:EQY85 EQY65544:EQY65621 EQY131080:EQY131157 EQY196616:EQY196693 EQY262152:EQY262229 EQY327688:EQY327765 EQY393224:EQY393301 EQY458760:EQY458837 EQY524296:EQY524373 EQY589832:EQY589909 EQY655368:EQY655445 EQY720904:EQY720981 EQY786440:EQY786517 EQY851976:EQY852053 EQY917512:EQY917589 EQY983048:EQY983125 FAU2:FAU85 FAU65544:FAU65621 FAU131080:FAU131157 FAU196616:FAU196693 FAU262152:FAU262229 FAU327688:FAU327765 FAU393224:FAU393301 FAU458760:FAU458837 FAU524296:FAU524373 FAU589832:FAU589909 FAU655368:FAU655445 FAU720904:FAU720981 FAU786440:FAU786517 FAU851976:FAU852053 FAU917512:FAU917589 FAU983048:FAU983125 FKQ2:FKQ85 FKQ65544:FKQ65621 FKQ131080:FKQ131157 FKQ196616:FKQ196693 FKQ262152:FKQ262229 FKQ327688:FKQ327765 FKQ393224:FKQ393301 FKQ458760:FKQ458837 FKQ524296:FKQ524373 FKQ589832:FKQ589909 FKQ655368:FKQ655445 FKQ720904:FKQ720981 FKQ786440:FKQ786517 FKQ851976:FKQ852053 FKQ917512:FKQ917589 FKQ983048:FKQ983125 FUM2:FUM85 FUM65544:FUM65621 FUM131080:FUM131157 FUM196616:FUM196693 FUM262152:FUM262229 FUM327688:FUM327765 FUM393224:FUM393301 FUM458760:FUM458837 FUM524296:FUM524373 FUM589832:FUM589909 FUM655368:FUM655445 FUM720904:FUM720981 FUM786440:FUM786517 FUM851976:FUM852053 FUM917512:FUM917589 FUM983048:FUM983125 GEI2:GEI85 GEI65544:GEI65621 GEI131080:GEI131157 GEI196616:GEI196693 GEI262152:GEI262229 GEI327688:GEI327765 GEI393224:GEI393301 GEI458760:GEI458837 GEI524296:GEI524373 GEI589832:GEI589909 GEI655368:GEI655445 GEI720904:GEI720981 GEI786440:GEI786517 GEI851976:GEI852053 GEI917512:GEI917589 GEI983048:GEI983125 GOE2:GOE85 GOE65544:GOE65621 GOE131080:GOE131157 GOE196616:GOE196693 GOE262152:GOE262229 GOE327688:GOE327765 GOE393224:GOE393301 GOE458760:GOE458837 GOE524296:GOE524373 GOE589832:GOE589909 GOE655368:GOE655445 GOE720904:GOE720981 GOE786440:GOE786517 GOE851976:GOE852053 GOE917512:GOE917589 GOE983048:GOE983125 GYA2:GYA85 GYA65544:GYA65621 GYA131080:GYA131157 GYA196616:GYA196693 GYA262152:GYA262229 GYA327688:GYA327765 GYA393224:GYA393301 GYA458760:GYA458837 GYA524296:GYA524373 GYA589832:GYA589909 GYA655368:GYA655445 GYA720904:GYA720981 GYA786440:GYA786517 GYA851976:GYA852053 GYA917512:GYA917589 GYA983048:GYA983125 HHW2:HHW85 HHW65544:HHW65621 HHW131080:HHW131157 HHW196616:HHW196693 HHW262152:HHW262229 HHW327688:HHW327765 HHW393224:HHW393301 HHW458760:HHW458837 HHW524296:HHW524373 HHW589832:HHW589909 HHW655368:HHW655445 HHW720904:HHW720981 HHW786440:HHW786517 HHW851976:HHW852053 HHW917512:HHW917589 HHW983048:HHW983125 HRS2:HRS85 HRS65544:HRS65621 HRS131080:HRS131157 HRS196616:HRS196693 HRS262152:HRS262229 HRS327688:HRS327765 HRS393224:HRS393301 HRS458760:HRS458837 HRS524296:HRS524373 HRS589832:HRS589909 HRS655368:HRS655445 HRS720904:HRS720981 HRS786440:HRS786517 HRS851976:HRS852053 HRS917512:HRS917589 HRS983048:HRS983125 IBO2:IBO85 IBO65544:IBO65621 IBO131080:IBO131157 IBO196616:IBO196693 IBO262152:IBO262229 IBO327688:IBO327765 IBO393224:IBO393301 IBO458760:IBO458837 IBO524296:IBO524373 IBO589832:IBO589909 IBO655368:IBO655445 IBO720904:IBO720981 IBO786440:IBO786517 IBO851976:IBO852053 IBO917512:IBO917589 IBO983048:IBO983125 ILK2:ILK85 ILK65544:ILK65621 ILK131080:ILK131157 ILK196616:ILK196693 ILK262152:ILK262229 ILK327688:ILK327765 ILK393224:ILK393301 ILK458760:ILK458837 ILK524296:ILK524373 ILK589832:ILK589909 ILK655368:ILK655445 ILK720904:ILK720981 ILK786440:ILK786517 ILK851976:ILK852053 ILK917512:ILK917589 ILK983048:ILK983125 IVG2:IVG85 IVG65544:IVG65621 IVG131080:IVG131157 IVG196616:IVG196693 IVG262152:IVG262229 IVG327688:IVG327765 IVG393224:IVG393301 IVG458760:IVG458837 IVG524296:IVG524373 IVG589832:IVG589909 IVG655368:IVG655445 IVG720904:IVG720981 IVG786440:IVG786517 IVG851976:IVG852053 IVG917512:IVG917589 IVG983048:IVG983125 JFC2:JFC85 JFC65544:JFC65621 JFC131080:JFC131157 JFC196616:JFC196693 JFC262152:JFC262229 JFC327688:JFC327765 JFC393224:JFC393301 JFC458760:JFC458837 JFC524296:JFC524373 JFC589832:JFC589909 JFC655368:JFC655445 JFC720904:JFC720981 JFC786440:JFC786517 JFC851976:JFC852053 JFC917512:JFC917589 JFC983048:JFC983125 JOY2:JOY85 JOY65544:JOY65621 JOY131080:JOY131157 JOY196616:JOY196693 JOY262152:JOY262229 JOY327688:JOY327765 JOY393224:JOY393301 JOY458760:JOY458837 JOY524296:JOY524373 JOY589832:JOY589909 JOY655368:JOY655445 JOY720904:JOY720981 JOY786440:JOY786517 JOY851976:JOY852053 JOY917512:JOY917589 JOY983048:JOY983125 JYU2:JYU85 JYU65544:JYU65621 JYU131080:JYU131157 JYU196616:JYU196693 JYU262152:JYU262229 JYU327688:JYU327765 JYU393224:JYU393301 JYU458760:JYU458837 JYU524296:JYU524373 JYU589832:JYU589909 JYU655368:JYU655445 JYU720904:JYU720981 JYU786440:JYU786517 JYU851976:JYU852053 JYU917512:JYU917589 JYU983048:JYU983125 KIQ2:KIQ85 KIQ65544:KIQ65621 KIQ131080:KIQ131157 KIQ196616:KIQ196693 KIQ262152:KIQ262229 KIQ327688:KIQ327765 KIQ393224:KIQ393301 KIQ458760:KIQ458837 KIQ524296:KIQ524373 KIQ589832:KIQ589909 KIQ655368:KIQ655445 KIQ720904:KIQ720981 KIQ786440:KIQ786517 KIQ851976:KIQ852053 KIQ917512:KIQ917589 KIQ983048:KIQ983125 KSM2:KSM85 KSM65544:KSM65621 KSM131080:KSM131157 KSM196616:KSM196693 KSM262152:KSM262229 KSM327688:KSM327765 KSM393224:KSM393301 KSM458760:KSM458837 KSM524296:KSM524373 KSM589832:KSM589909 KSM655368:KSM655445 KSM720904:KSM720981 KSM786440:KSM786517 KSM851976:KSM852053 KSM917512:KSM917589 KSM983048:KSM983125 LCI2:LCI85 LCI65544:LCI65621 LCI131080:LCI131157 LCI196616:LCI196693 LCI262152:LCI262229 LCI327688:LCI327765 LCI393224:LCI393301 LCI458760:LCI458837 LCI524296:LCI524373 LCI589832:LCI589909 LCI655368:LCI655445 LCI720904:LCI720981 LCI786440:LCI786517 LCI851976:LCI852053 LCI917512:LCI917589 LCI983048:LCI983125 LME2:LME85 LME65544:LME65621 LME131080:LME131157 LME196616:LME196693 LME262152:LME262229 LME327688:LME327765 LME393224:LME393301 LME458760:LME458837 LME524296:LME524373 LME589832:LME589909 LME655368:LME655445 LME720904:LME720981 LME786440:LME786517 LME851976:LME852053 LME917512:LME917589 LME983048:LME983125 LWA2:LWA85 LWA65544:LWA65621 LWA131080:LWA131157 LWA196616:LWA196693 LWA262152:LWA262229 LWA327688:LWA327765 LWA393224:LWA393301 LWA458760:LWA458837 LWA524296:LWA524373 LWA589832:LWA589909 LWA655368:LWA655445 LWA720904:LWA720981 LWA786440:LWA786517 LWA851976:LWA852053 LWA917512:LWA917589 LWA983048:LWA983125 MFW2:MFW85 MFW65544:MFW65621 MFW131080:MFW131157 MFW196616:MFW196693 MFW262152:MFW262229 MFW327688:MFW327765 MFW393224:MFW393301 MFW458760:MFW458837 MFW524296:MFW524373 MFW589832:MFW589909 MFW655368:MFW655445 MFW720904:MFW720981 MFW786440:MFW786517 MFW851976:MFW852053 MFW917512:MFW917589 MFW983048:MFW983125 MPS2:MPS85 MPS65544:MPS65621 MPS131080:MPS131157 MPS196616:MPS196693 MPS262152:MPS262229 MPS327688:MPS327765 MPS393224:MPS393301 MPS458760:MPS458837 MPS524296:MPS524373 MPS589832:MPS589909 MPS655368:MPS655445 MPS720904:MPS720981 MPS786440:MPS786517 MPS851976:MPS852053 MPS917512:MPS917589 MPS983048:MPS983125 MZO2:MZO85 MZO65544:MZO65621 MZO131080:MZO131157 MZO196616:MZO196693 MZO262152:MZO262229 MZO327688:MZO327765 MZO393224:MZO393301 MZO458760:MZO458837 MZO524296:MZO524373 MZO589832:MZO589909 MZO655368:MZO655445 MZO720904:MZO720981 MZO786440:MZO786517 MZO851976:MZO852053 MZO917512:MZO917589 MZO983048:MZO983125 NJK2:NJK85 NJK65544:NJK65621 NJK131080:NJK131157 NJK196616:NJK196693 NJK262152:NJK262229 NJK327688:NJK327765 NJK393224:NJK393301 NJK458760:NJK458837 NJK524296:NJK524373 NJK589832:NJK589909 NJK655368:NJK655445 NJK720904:NJK720981 NJK786440:NJK786517 NJK851976:NJK852053 NJK917512:NJK917589 NJK983048:NJK983125 NTG2:NTG85 NTG65544:NTG65621 NTG131080:NTG131157 NTG196616:NTG196693 NTG262152:NTG262229 NTG327688:NTG327765 NTG393224:NTG393301 NTG458760:NTG458837 NTG524296:NTG524373 NTG589832:NTG589909 NTG655368:NTG655445 NTG720904:NTG720981 NTG786440:NTG786517 NTG851976:NTG852053 NTG917512:NTG917589 NTG983048:NTG983125 ODC2:ODC85 ODC65544:ODC65621 ODC131080:ODC131157 ODC196616:ODC196693 ODC262152:ODC262229 ODC327688:ODC327765 ODC393224:ODC393301 ODC458760:ODC458837 ODC524296:ODC524373 ODC589832:ODC589909 ODC655368:ODC655445 ODC720904:ODC720981 ODC786440:ODC786517 ODC851976:ODC852053 ODC917512:ODC917589 ODC983048:ODC983125 OMY2:OMY85 OMY65544:OMY65621 OMY131080:OMY131157 OMY196616:OMY196693 OMY262152:OMY262229 OMY327688:OMY327765 OMY393224:OMY393301 OMY458760:OMY458837 OMY524296:OMY524373 OMY589832:OMY589909 OMY655368:OMY655445 OMY720904:OMY720981 OMY786440:OMY786517 OMY851976:OMY852053 OMY917512:OMY917589 OMY983048:OMY983125 OWU2:OWU85 OWU65544:OWU65621 OWU131080:OWU131157 OWU196616:OWU196693 OWU262152:OWU262229 OWU327688:OWU327765 OWU393224:OWU393301 OWU458760:OWU458837 OWU524296:OWU524373 OWU589832:OWU589909 OWU655368:OWU655445 OWU720904:OWU720981 OWU786440:OWU786517 OWU851976:OWU852053 OWU917512:OWU917589 OWU983048:OWU983125 PGQ2:PGQ85 PGQ65544:PGQ65621 PGQ131080:PGQ131157 PGQ196616:PGQ196693 PGQ262152:PGQ262229 PGQ327688:PGQ327765 PGQ393224:PGQ393301 PGQ458760:PGQ458837 PGQ524296:PGQ524373 PGQ589832:PGQ589909 PGQ655368:PGQ655445 PGQ720904:PGQ720981 PGQ786440:PGQ786517 PGQ851976:PGQ852053 PGQ917512:PGQ917589 PGQ983048:PGQ983125 PQM2:PQM85 PQM65544:PQM65621 PQM131080:PQM131157 PQM196616:PQM196693 PQM262152:PQM262229 PQM327688:PQM327765 PQM393224:PQM393301 PQM458760:PQM458837 PQM524296:PQM524373 PQM589832:PQM589909 PQM655368:PQM655445 PQM720904:PQM720981 PQM786440:PQM786517 PQM851976:PQM852053 PQM917512:PQM917589 PQM983048:PQM983125 QAI2:QAI85 QAI65544:QAI65621 QAI131080:QAI131157 QAI196616:QAI196693 QAI262152:QAI262229 QAI327688:QAI327765 QAI393224:QAI393301 QAI458760:QAI458837 QAI524296:QAI524373 QAI589832:QAI589909 QAI655368:QAI655445 QAI720904:QAI720981 QAI786440:QAI786517 QAI851976:QAI852053 QAI917512:QAI917589 QAI983048:QAI983125 QKE2:QKE85 QKE65544:QKE65621 QKE131080:QKE131157 QKE196616:QKE196693 QKE262152:QKE262229 QKE327688:QKE327765 QKE393224:QKE393301 QKE458760:QKE458837 QKE524296:QKE524373 QKE589832:QKE589909 QKE655368:QKE655445 QKE720904:QKE720981 QKE786440:QKE786517 QKE851976:QKE852053 QKE917512:QKE917589 QKE983048:QKE983125 QUA2:QUA85 QUA65544:QUA65621 QUA131080:QUA131157 QUA196616:QUA196693 QUA262152:QUA262229 QUA327688:QUA327765 QUA393224:QUA393301 QUA458760:QUA458837 QUA524296:QUA524373 QUA589832:QUA589909 QUA655368:QUA655445 QUA720904:QUA720981 QUA786440:QUA786517 QUA851976:QUA852053 QUA917512:QUA917589 QUA983048:QUA983125 RDW2:RDW85 RDW65544:RDW65621 RDW131080:RDW131157 RDW196616:RDW196693 RDW262152:RDW262229 RDW327688:RDW327765 RDW393224:RDW393301 RDW458760:RDW458837 RDW524296:RDW524373 RDW589832:RDW589909 RDW655368:RDW655445 RDW720904:RDW720981 RDW786440:RDW786517 RDW851976:RDW852053 RDW917512:RDW917589 RDW983048:RDW983125 RNS2:RNS85 RNS65544:RNS65621 RNS131080:RNS131157 RNS196616:RNS196693 RNS262152:RNS262229 RNS327688:RNS327765 RNS393224:RNS393301 RNS458760:RNS458837 RNS524296:RNS524373 RNS589832:RNS589909 RNS655368:RNS655445 RNS720904:RNS720981 RNS786440:RNS786517 RNS851976:RNS852053 RNS917512:RNS917589 RNS983048:RNS983125 RXO2:RXO85 RXO65544:RXO65621 RXO131080:RXO131157 RXO196616:RXO196693 RXO262152:RXO262229 RXO327688:RXO327765 RXO393224:RXO393301 RXO458760:RXO458837 RXO524296:RXO524373 RXO589832:RXO589909 RXO655368:RXO655445 RXO720904:RXO720981 RXO786440:RXO786517 RXO851976:RXO852053 RXO917512:RXO917589 RXO983048:RXO983125 SHK2:SHK85 SHK65544:SHK65621 SHK131080:SHK131157 SHK196616:SHK196693 SHK262152:SHK262229 SHK327688:SHK327765 SHK393224:SHK393301 SHK458760:SHK458837 SHK524296:SHK524373 SHK589832:SHK589909 SHK655368:SHK655445 SHK720904:SHK720981 SHK786440:SHK786517 SHK851976:SHK852053 SHK917512:SHK917589 SHK983048:SHK983125 SRG2:SRG85 SRG65544:SRG65621 SRG131080:SRG131157 SRG196616:SRG196693 SRG262152:SRG262229 SRG327688:SRG327765 SRG393224:SRG393301 SRG458760:SRG458837 SRG524296:SRG524373 SRG589832:SRG589909 SRG655368:SRG655445 SRG720904:SRG720981 SRG786440:SRG786517 SRG851976:SRG852053 SRG917512:SRG917589 SRG983048:SRG983125 TBC2:TBC85 TBC65544:TBC65621 TBC131080:TBC131157 TBC196616:TBC196693 TBC262152:TBC262229 TBC327688:TBC327765 TBC393224:TBC393301 TBC458760:TBC458837 TBC524296:TBC524373 TBC589832:TBC589909 TBC655368:TBC655445 TBC720904:TBC720981 TBC786440:TBC786517 TBC851976:TBC852053 TBC917512:TBC917589 TBC983048:TBC983125 TKY2:TKY85 TKY65544:TKY65621 TKY131080:TKY131157 TKY196616:TKY196693 TKY262152:TKY262229 TKY327688:TKY327765 TKY393224:TKY393301 TKY458760:TKY458837 TKY524296:TKY524373 TKY589832:TKY589909 TKY655368:TKY655445 TKY720904:TKY720981 TKY786440:TKY786517 TKY851976:TKY852053 TKY917512:TKY917589 TKY983048:TKY983125 TUU2:TUU85 TUU65544:TUU65621 TUU131080:TUU131157 TUU196616:TUU196693 TUU262152:TUU262229 TUU327688:TUU327765 TUU393224:TUU393301 TUU458760:TUU458837 TUU524296:TUU524373 TUU589832:TUU589909 TUU655368:TUU655445 TUU720904:TUU720981 TUU786440:TUU786517 TUU851976:TUU852053 TUU917512:TUU917589 TUU983048:TUU983125 UEQ2:UEQ85 UEQ65544:UEQ65621 UEQ131080:UEQ131157 UEQ196616:UEQ196693 UEQ262152:UEQ262229 UEQ327688:UEQ327765 UEQ393224:UEQ393301 UEQ458760:UEQ458837 UEQ524296:UEQ524373 UEQ589832:UEQ589909 UEQ655368:UEQ655445 UEQ720904:UEQ720981 UEQ786440:UEQ786517 UEQ851976:UEQ852053 UEQ917512:UEQ917589 UEQ983048:UEQ983125 UOM2:UOM85 UOM65544:UOM65621 UOM131080:UOM131157 UOM196616:UOM196693 UOM262152:UOM262229 UOM327688:UOM327765 UOM393224:UOM393301 UOM458760:UOM458837 UOM524296:UOM524373 UOM589832:UOM589909 UOM655368:UOM655445 UOM720904:UOM720981 UOM786440:UOM786517 UOM851976:UOM852053 UOM917512:UOM917589 UOM983048:UOM983125 UYI2:UYI85 UYI65544:UYI65621 UYI131080:UYI131157 UYI196616:UYI196693 UYI262152:UYI262229 UYI327688:UYI327765 UYI393224:UYI393301 UYI458760:UYI458837 UYI524296:UYI524373 UYI589832:UYI589909 UYI655368:UYI655445 UYI720904:UYI720981 UYI786440:UYI786517 UYI851976:UYI852053 UYI917512:UYI917589 UYI983048:UYI983125 VIE2:VIE85 VIE65544:VIE65621 VIE131080:VIE131157 VIE196616:VIE196693 VIE262152:VIE262229 VIE327688:VIE327765 VIE393224:VIE393301 VIE458760:VIE458837 VIE524296:VIE524373 VIE589832:VIE589909 VIE655368:VIE655445 VIE720904:VIE720981 VIE786440:VIE786517 VIE851976:VIE852053 VIE917512:VIE917589 VIE983048:VIE983125 VSA2:VSA85 VSA65544:VSA65621 VSA131080:VSA131157 VSA196616:VSA196693 VSA262152:VSA262229 VSA327688:VSA327765 VSA393224:VSA393301 VSA458760:VSA458837 VSA524296:VSA524373 VSA589832:VSA589909 VSA655368:VSA655445 VSA720904:VSA720981 VSA786440:VSA786517 VSA851976:VSA852053 VSA917512:VSA917589 VSA983048:VSA983125 WBW2:WBW85 WBW65544:WBW65621 WBW131080:WBW131157 WBW196616:WBW196693 WBW262152:WBW262229 WBW327688:WBW327765 WBW393224:WBW393301 WBW458760:WBW458837 WBW524296:WBW524373 WBW589832:WBW589909 WBW655368:WBW655445 WBW720904:WBW720981 WBW786440:WBW786517 WBW851976:WBW852053 WBW917512:WBW917589 WBW983048:WBW983125 WLS2:WLS85 WLS65544:WLS65621 WLS131080:WLS131157 WLS196616:WLS196693 WLS262152:WLS262229 WLS327688:WLS327765 WLS393224:WLS393301 WLS458760:WLS458837 WLS524296:WLS524373 WLS589832:WLS589909 WLS655368:WLS655445 WLS720904:WLS720981 WLS786440:WLS786517 WLS851976:WLS852053 WLS917512:WLS917589 WLS983048:WLS983125 WVO2:WVO85 WVO65544:WVO65621 WVO131080:WVO131157 WVO196616:WVO196693 WVO262152:WVO262229 WVO327688:WVO327765 WVO393224:WVO393301 WVO458760:WVO458837 WVO524296:WVO524373 WVO589832:WVO589909 WVO655368:WVO655445 WVO720904:WVO720981 WVO786440:WVO786517 WVO851976:WVO852053 WVO917512:WVO917589 WVO983048:WVO983125">
      <formula1>$AJ$2:$AJ$4</formula1>
    </dataValidation>
    <dataValidation type="list" allowBlank="1" showInputMessage="1" showErrorMessage="1" sqref="F2:F737 F65544:F65621 F131080:F131157 F196616:F196693 F262152:F262229 F327688:F327765 F393224:F393301 F458760:F458837 F524296:F524373 F589832:F589909 F655368:F655445 F720904:F720981 F786440:F786517 F851976:F852053 F917512:F917589 F983048:F983125 JB2:JB85 JB65544:JB65621 JB131080:JB131157 JB196616:JB196693 JB262152:JB262229 JB327688:JB327765 JB393224:JB393301 JB458760:JB458837 JB524296:JB524373 JB589832:JB589909 JB655368:JB655445 JB720904:JB720981 JB786440:JB786517 JB851976:JB852053 JB917512:JB917589 JB983048:JB983125 SX2:SX85 SX65544:SX65621 SX131080:SX131157 SX196616:SX196693 SX262152:SX262229 SX327688:SX327765 SX393224:SX393301 SX458760:SX458837 SX524296:SX524373 SX589832:SX589909 SX655368:SX655445 SX720904:SX720981 SX786440:SX786517 SX851976:SX852053 SX917512:SX917589 SX983048:SX983125 ACT2:ACT85 ACT65544:ACT65621 ACT131080:ACT131157 ACT196616:ACT196693 ACT262152:ACT262229 ACT327688:ACT327765 ACT393224:ACT393301 ACT458760:ACT458837 ACT524296:ACT524373 ACT589832:ACT589909 ACT655368:ACT655445 ACT720904:ACT720981 ACT786440:ACT786517 ACT851976:ACT852053 ACT917512:ACT917589 ACT983048:ACT983125 AMP2:AMP85 AMP65544:AMP65621 AMP131080:AMP131157 AMP196616:AMP196693 AMP262152:AMP262229 AMP327688:AMP327765 AMP393224:AMP393301 AMP458760:AMP458837 AMP524296:AMP524373 AMP589832:AMP589909 AMP655368:AMP655445 AMP720904:AMP720981 AMP786440:AMP786517 AMP851976:AMP852053 AMP917512:AMP917589 AMP983048:AMP983125 AWL2:AWL85 AWL65544:AWL65621 AWL131080:AWL131157 AWL196616:AWL196693 AWL262152:AWL262229 AWL327688:AWL327765 AWL393224:AWL393301 AWL458760:AWL458837 AWL524296:AWL524373 AWL589832:AWL589909 AWL655368:AWL655445 AWL720904:AWL720981 AWL786440:AWL786517 AWL851976:AWL852053 AWL917512:AWL917589 AWL983048:AWL983125 BGH2:BGH85 BGH65544:BGH65621 BGH131080:BGH131157 BGH196616:BGH196693 BGH262152:BGH262229 BGH327688:BGH327765 BGH393224:BGH393301 BGH458760:BGH458837 BGH524296:BGH524373 BGH589832:BGH589909 BGH655368:BGH655445 BGH720904:BGH720981 BGH786440:BGH786517 BGH851976:BGH852053 BGH917512:BGH917589 BGH983048:BGH983125 BQD2:BQD85 BQD65544:BQD65621 BQD131080:BQD131157 BQD196616:BQD196693 BQD262152:BQD262229 BQD327688:BQD327765 BQD393224:BQD393301 BQD458760:BQD458837 BQD524296:BQD524373 BQD589832:BQD589909 BQD655368:BQD655445 BQD720904:BQD720981 BQD786440:BQD786517 BQD851976:BQD852053 BQD917512:BQD917589 BQD983048:BQD983125 BZZ2:BZZ85 BZZ65544:BZZ65621 BZZ131080:BZZ131157 BZZ196616:BZZ196693 BZZ262152:BZZ262229 BZZ327688:BZZ327765 BZZ393224:BZZ393301 BZZ458760:BZZ458837 BZZ524296:BZZ524373 BZZ589832:BZZ589909 BZZ655368:BZZ655445 BZZ720904:BZZ720981 BZZ786440:BZZ786517 BZZ851976:BZZ852053 BZZ917512:BZZ917589 BZZ983048:BZZ983125 CJV2:CJV85 CJV65544:CJV65621 CJV131080:CJV131157 CJV196616:CJV196693 CJV262152:CJV262229 CJV327688:CJV327765 CJV393224:CJV393301 CJV458760:CJV458837 CJV524296:CJV524373 CJV589832:CJV589909 CJV655368:CJV655445 CJV720904:CJV720981 CJV786440:CJV786517 CJV851976:CJV852053 CJV917512:CJV917589 CJV983048:CJV983125 CTR2:CTR85 CTR65544:CTR65621 CTR131080:CTR131157 CTR196616:CTR196693 CTR262152:CTR262229 CTR327688:CTR327765 CTR393224:CTR393301 CTR458760:CTR458837 CTR524296:CTR524373 CTR589832:CTR589909 CTR655368:CTR655445 CTR720904:CTR720981 CTR786440:CTR786517 CTR851976:CTR852053 CTR917512:CTR917589 CTR983048:CTR983125 DDN2:DDN85 DDN65544:DDN65621 DDN131080:DDN131157 DDN196616:DDN196693 DDN262152:DDN262229 DDN327688:DDN327765 DDN393224:DDN393301 DDN458760:DDN458837 DDN524296:DDN524373 DDN589832:DDN589909 DDN655368:DDN655445 DDN720904:DDN720981 DDN786440:DDN786517 DDN851976:DDN852053 DDN917512:DDN917589 DDN983048:DDN983125 DNJ2:DNJ85 DNJ65544:DNJ65621 DNJ131080:DNJ131157 DNJ196616:DNJ196693 DNJ262152:DNJ262229 DNJ327688:DNJ327765 DNJ393224:DNJ393301 DNJ458760:DNJ458837 DNJ524296:DNJ524373 DNJ589832:DNJ589909 DNJ655368:DNJ655445 DNJ720904:DNJ720981 DNJ786440:DNJ786517 DNJ851976:DNJ852053 DNJ917512:DNJ917589 DNJ983048:DNJ983125 DXF2:DXF85 DXF65544:DXF65621 DXF131080:DXF131157 DXF196616:DXF196693 DXF262152:DXF262229 DXF327688:DXF327765 DXF393224:DXF393301 DXF458760:DXF458837 DXF524296:DXF524373 DXF589832:DXF589909 DXF655368:DXF655445 DXF720904:DXF720981 DXF786440:DXF786517 DXF851976:DXF852053 DXF917512:DXF917589 DXF983048:DXF983125 EHB2:EHB85 EHB65544:EHB65621 EHB131080:EHB131157 EHB196616:EHB196693 EHB262152:EHB262229 EHB327688:EHB327765 EHB393224:EHB393301 EHB458760:EHB458837 EHB524296:EHB524373 EHB589832:EHB589909 EHB655368:EHB655445 EHB720904:EHB720981 EHB786440:EHB786517 EHB851976:EHB852053 EHB917512:EHB917589 EHB983048:EHB983125 EQX2:EQX85 EQX65544:EQX65621 EQX131080:EQX131157 EQX196616:EQX196693 EQX262152:EQX262229 EQX327688:EQX327765 EQX393224:EQX393301 EQX458760:EQX458837 EQX524296:EQX524373 EQX589832:EQX589909 EQX655368:EQX655445 EQX720904:EQX720981 EQX786440:EQX786517 EQX851976:EQX852053 EQX917512:EQX917589 EQX983048:EQX983125 FAT2:FAT85 FAT65544:FAT65621 FAT131080:FAT131157 FAT196616:FAT196693 FAT262152:FAT262229 FAT327688:FAT327765 FAT393224:FAT393301 FAT458760:FAT458837 FAT524296:FAT524373 FAT589832:FAT589909 FAT655368:FAT655445 FAT720904:FAT720981 FAT786440:FAT786517 FAT851976:FAT852053 FAT917512:FAT917589 FAT983048:FAT983125 FKP2:FKP85 FKP65544:FKP65621 FKP131080:FKP131157 FKP196616:FKP196693 FKP262152:FKP262229 FKP327688:FKP327765 FKP393224:FKP393301 FKP458760:FKP458837 FKP524296:FKP524373 FKP589832:FKP589909 FKP655368:FKP655445 FKP720904:FKP720981 FKP786440:FKP786517 FKP851976:FKP852053 FKP917512:FKP917589 FKP983048:FKP983125 FUL2:FUL85 FUL65544:FUL65621 FUL131080:FUL131157 FUL196616:FUL196693 FUL262152:FUL262229 FUL327688:FUL327765 FUL393224:FUL393301 FUL458760:FUL458837 FUL524296:FUL524373 FUL589832:FUL589909 FUL655368:FUL655445 FUL720904:FUL720981 FUL786440:FUL786517 FUL851976:FUL852053 FUL917512:FUL917589 FUL983048:FUL983125 GEH2:GEH85 GEH65544:GEH65621 GEH131080:GEH131157 GEH196616:GEH196693 GEH262152:GEH262229 GEH327688:GEH327765 GEH393224:GEH393301 GEH458760:GEH458837 GEH524296:GEH524373 GEH589832:GEH589909 GEH655368:GEH655445 GEH720904:GEH720981 GEH786440:GEH786517 GEH851976:GEH852053 GEH917512:GEH917589 GEH983048:GEH983125 GOD2:GOD85 GOD65544:GOD65621 GOD131080:GOD131157 GOD196616:GOD196693 GOD262152:GOD262229 GOD327688:GOD327765 GOD393224:GOD393301 GOD458760:GOD458837 GOD524296:GOD524373 GOD589832:GOD589909 GOD655368:GOD655445 GOD720904:GOD720981 GOD786440:GOD786517 GOD851976:GOD852053 GOD917512:GOD917589 GOD983048:GOD983125 GXZ2:GXZ85 GXZ65544:GXZ65621 GXZ131080:GXZ131157 GXZ196616:GXZ196693 GXZ262152:GXZ262229 GXZ327688:GXZ327765 GXZ393224:GXZ393301 GXZ458760:GXZ458837 GXZ524296:GXZ524373 GXZ589832:GXZ589909 GXZ655368:GXZ655445 GXZ720904:GXZ720981 GXZ786440:GXZ786517 GXZ851976:GXZ852053 GXZ917512:GXZ917589 GXZ983048:GXZ983125 HHV2:HHV85 HHV65544:HHV65621 HHV131080:HHV131157 HHV196616:HHV196693 HHV262152:HHV262229 HHV327688:HHV327765 HHV393224:HHV393301 HHV458760:HHV458837 HHV524296:HHV524373 HHV589832:HHV589909 HHV655368:HHV655445 HHV720904:HHV720981 HHV786440:HHV786517 HHV851976:HHV852053 HHV917512:HHV917589 HHV983048:HHV983125 HRR2:HRR85 HRR65544:HRR65621 HRR131080:HRR131157 HRR196616:HRR196693 HRR262152:HRR262229 HRR327688:HRR327765 HRR393224:HRR393301 HRR458760:HRR458837 HRR524296:HRR524373 HRR589832:HRR589909 HRR655368:HRR655445 HRR720904:HRR720981 HRR786440:HRR786517 HRR851976:HRR852053 HRR917512:HRR917589 HRR983048:HRR983125 IBN2:IBN85 IBN65544:IBN65621 IBN131080:IBN131157 IBN196616:IBN196693 IBN262152:IBN262229 IBN327688:IBN327765 IBN393224:IBN393301 IBN458760:IBN458837 IBN524296:IBN524373 IBN589832:IBN589909 IBN655368:IBN655445 IBN720904:IBN720981 IBN786440:IBN786517 IBN851976:IBN852053 IBN917512:IBN917589 IBN983048:IBN983125 ILJ2:ILJ85 ILJ65544:ILJ65621 ILJ131080:ILJ131157 ILJ196616:ILJ196693 ILJ262152:ILJ262229 ILJ327688:ILJ327765 ILJ393224:ILJ393301 ILJ458760:ILJ458837 ILJ524296:ILJ524373 ILJ589832:ILJ589909 ILJ655368:ILJ655445 ILJ720904:ILJ720981 ILJ786440:ILJ786517 ILJ851976:ILJ852053 ILJ917512:ILJ917589 ILJ983048:ILJ983125 IVF2:IVF85 IVF65544:IVF65621 IVF131080:IVF131157 IVF196616:IVF196693 IVF262152:IVF262229 IVF327688:IVF327765 IVF393224:IVF393301 IVF458760:IVF458837 IVF524296:IVF524373 IVF589832:IVF589909 IVF655368:IVF655445 IVF720904:IVF720981 IVF786440:IVF786517 IVF851976:IVF852053 IVF917512:IVF917589 IVF983048:IVF983125 JFB2:JFB85 JFB65544:JFB65621 JFB131080:JFB131157 JFB196616:JFB196693 JFB262152:JFB262229 JFB327688:JFB327765 JFB393224:JFB393301 JFB458760:JFB458837 JFB524296:JFB524373 JFB589832:JFB589909 JFB655368:JFB655445 JFB720904:JFB720981 JFB786440:JFB786517 JFB851976:JFB852053 JFB917512:JFB917589 JFB983048:JFB983125 JOX2:JOX85 JOX65544:JOX65621 JOX131080:JOX131157 JOX196616:JOX196693 JOX262152:JOX262229 JOX327688:JOX327765 JOX393224:JOX393301 JOX458760:JOX458837 JOX524296:JOX524373 JOX589832:JOX589909 JOX655368:JOX655445 JOX720904:JOX720981 JOX786440:JOX786517 JOX851976:JOX852053 JOX917512:JOX917589 JOX983048:JOX983125 JYT2:JYT85 JYT65544:JYT65621 JYT131080:JYT131157 JYT196616:JYT196693 JYT262152:JYT262229 JYT327688:JYT327765 JYT393224:JYT393301 JYT458760:JYT458837 JYT524296:JYT524373 JYT589832:JYT589909 JYT655368:JYT655445 JYT720904:JYT720981 JYT786440:JYT786517 JYT851976:JYT852053 JYT917512:JYT917589 JYT983048:JYT983125 KIP2:KIP85 KIP65544:KIP65621 KIP131080:KIP131157 KIP196616:KIP196693 KIP262152:KIP262229 KIP327688:KIP327765 KIP393224:KIP393301 KIP458760:KIP458837 KIP524296:KIP524373 KIP589832:KIP589909 KIP655368:KIP655445 KIP720904:KIP720981 KIP786440:KIP786517 KIP851976:KIP852053 KIP917512:KIP917589 KIP983048:KIP983125 KSL2:KSL85 KSL65544:KSL65621 KSL131080:KSL131157 KSL196616:KSL196693 KSL262152:KSL262229 KSL327688:KSL327765 KSL393224:KSL393301 KSL458760:KSL458837 KSL524296:KSL524373 KSL589832:KSL589909 KSL655368:KSL655445 KSL720904:KSL720981 KSL786440:KSL786517 KSL851976:KSL852053 KSL917512:KSL917589 KSL983048:KSL983125 LCH2:LCH85 LCH65544:LCH65621 LCH131080:LCH131157 LCH196616:LCH196693 LCH262152:LCH262229 LCH327688:LCH327765 LCH393224:LCH393301 LCH458760:LCH458837 LCH524296:LCH524373 LCH589832:LCH589909 LCH655368:LCH655445 LCH720904:LCH720981 LCH786440:LCH786517 LCH851976:LCH852053 LCH917512:LCH917589 LCH983048:LCH983125 LMD2:LMD85 LMD65544:LMD65621 LMD131080:LMD131157 LMD196616:LMD196693 LMD262152:LMD262229 LMD327688:LMD327765 LMD393224:LMD393301 LMD458760:LMD458837 LMD524296:LMD524373 LMD589832:LMD589909 LMD655368:LMD655445 LMD720904:LMD720981 LMD786440:LMD786517 LMD851976:LMD852053 LMD917512:LMD917589 LMD983048:LMD983125 LVZ2:LVZ85 LVZ65544:LVZ65621 LVZ131080:LVZ131157 LVZ196616:LVZ196693 LVZ262152:LVZ262229 LVZ327688:LVZ327765 LVZ393224:LVZ393301 LVZ458760:LVZ458837 LVZ524296:LVZ524373 LVZ589832:LVZ589909 LVZ655368:LVZ655445 LVZ720904:LVZ720981 LVZ786440:LVZ786517 LVZ851976:LVZ852053 LVZ917512:LVZ917589 LVZ983048:LVZ983125 MFV2:MFV85 MFV65544:MFV65621 MFV131080:MFV131157 MFV196616:MFV196693 MFV262152:MFV262229 MFV327688:MFV327765 MFV393224:MFV393301 MFV458760:MFV458837 MFV524296:MFV524373 MFV589832:MFV589909 MFV655368:MFV655445 MFV720904:MFV720981 MFV786440:MFV786517 MFV851976:MFV852053 MFV917512:MFV917589 MFV983048:MFV983125 MPR2:MPR85 MPR65544:MPR65621 MPR131080:MPR131157 MPR196616:MPR196693 MPR262152:MPR262229 MPR327688:MPR327765 MPR393224:MPR393301 MPR458760:MPR458837 MPR524296:MPR524373 MPR589832:MPR589909 MPR655368:MPR655445 MPR720904:MPR720981 MPR786440:MPR786517 MPR851976:MPR852053 MPR917512:MPR917589 MPR983048:MPR983125 MZN2:MZN85 MZN65544:MZN65621 MZN131080:MZN131157 MZN196616:MZN196693 MZN262152:MZN262229 MZN327688:MZN327765 MZN393224:MZN393301 MZN458760:MZN458837 MZN524296:MZN524373 MZN589832:MZN589909 MZN655368:MZN655445 MZN720904:MZN720981 MZN786440:MZN786517 MZN851976:MZN852053 MZN917512:MZN917589 MZN983048:MZN983125 NJJ2:NJJ85 NJJ65544:NJJ65621 NJJ131080:NJJ131157 NJJ196616:NJJ196693 NJJ262152:NJJ262229 NJJ327688:NJJ327765 NJJ393224:NJJ393301 NJJ458760:NJJ458837 NJJ524296:NJJ524373 NJJ589832:NJJ589909 NJJ655368:NJJ655445 NJJ720904:NJJ720981 NJJ786440:NJJ786517 NJJ851976:NJJ852053 NJJ917512:NJJ917589 NJJ983048:NJJ983125 NTF2:NTF85 NTF65544:NTF65621 NTF131080:NTF131157 NTF196616:NTF196693 NTF262152:NTF262229 NTF327688:NTF327765 NTF393224:NTF393301 NTF458760:NTF458837 NTF524296:NTF524373 NTF589832:NTF589909 NTF655368:NTF655445 NTF720904:NTF720981 NTF786440:NTF786517 NTF851976:NTF852053 NTF917512:NTF917589 NTF983048:NTF983125 ODB2:ODB85 ODB65544:ODB65621 ODB131080:ODB131157 ODB196616:ODB196693 ODB262152:ODB262229 ODB327688:ODB327765 ODB393224:ODB393301 ODB458760:ODB458837 ODB524296:ODB524373 ODB589832:ODB589909 ODB655368:ODB655445 ODB720904:ODB720981 ODB786440:ODB786517 ODB851976:ODB852053 ODB917512:ODB917589 ODB983048:ODB983125 OMX2:OMX85 OMX65544:OMX65621 OMX131080:OMX131157 OMX196616:OMX196693 OMX262152:OMX262229 OMX327688:OMX327765 OMX393224:OMX393301 OMX458760:OMX458837 OMX524296:OMX524373 OMX589832:OMX589909 OMX655368:OMX655445 OMX720904:OMX720981 OMX786440:OMX786517 OMX851976:OMX852053 OMX917512:OMX917589 OMX983048:OMX983125 OWT2:OWT85 OWT65544:OWT65621 OWT131080:OWT131157 OWT196616:OWT196693 OWT262152:OWT262229 OWT327688:OWT327765 OWT393224:OWT393301 OWT458760:OWT458837 OWT524296:OWT524373 OWT589832:OWT589909 OWT655368:OWT655445 OWT720904:OWT720981 OWT786440:OWT786517 OWT851976:OWT852053 OWT917512:OWT917589 OWT983048:OWT983125 PGP2:PGP85 PGP65544:PGP65621 PGP131080:PGP131157 PGP196616:PGP196693 PGP262152:PGP262229 PGP327688:PGP327765 PGP393224:PGP393301 PGP458760:PGP458837 PGP524296:PGP524373 PGP589832:PGP589909 PGP655368:PGP655445 PGP720904:PGP720981 PGP786440:PGP786517 PGP851976:PGP852053 PGP917512:PGP917589 PGP983048:PGP983125 PQL2:PQL85 PQL65544:PQL65621 PQL131080:PQL131157 PQL196616:PQL196693 PQL262152:PQL262229 PQL327688:PQL327765 PQL393224:PQL393301 PQL458760:PQL458837 PQL524296:PQL524373 PQL589832:PQL589909 PQL655368:PQL655445 PQL720904:PQL720981 PQL786440:PQL786517 PQL851976:PQL852053 PQL917512:PQL917589 PQL983048:PQL983125 QAH2:QAH85 QAH65544:QAH65621 QAH131080:QAH131157 QAH196616:QAH196693 QAH262152:QAH262229 QAH327688:QAH327765 QAH393224:QAH393301 QAH458760:QAH458837 QAH524296:QAH524373 QAH589832:QAH589909 QAH655368:QAH655445 QAH720904:QAH720981 QAH786440:QAH786517 QAH851976:QAH852053 QAH917512:QAH917589 QAH983048:QAH983125 QKD2:QKD85 QKD65544:QKD65621 QKD131080:QKD131157 QKD196616:QKD196693 QKD262152:QKD262229 QKD327688:QKD327765 QKD393224:QKD393301 QKD458760:QKD458837 QKD524296:QKD524373 QKD589832:QKD589909 QKD655368:QKD655445 QKD720904:QKD720981 QKD786440:QKD786517 QKD851976:QKD852053 QKD917512:QKD917589 QKD983048:QKD983125 QTZ2:QTZ85 QTZ65544:QTZ65621 QTZ131080:QTZ131157 QTZ196616:QTZ196693 QTZ262152:QTZ262229 QTZ327688:QTZ327765 QTZ393224:QTZ393301 QTZ458760:QTZ458837 QTZ524296:QTZ524373 QTZ589832:QTZ589909 QTZ655368:QTZ655445 QTZ720904:QTZ720981 QTZ786440:QTZ786517 QTZ851976:QTZ852053 QTZ917512:QTZ917589 QTZ983048:QTZ983125 RDV2:RDV85 RDV65544:RDV65621 RDV131080:RDV131157 RDV196616:RDV196693 RDV262152:RDV262229 RDV327688:RDV327765 RDV393224:RDV393301 RDV458760:RDV458837 RDV524296:RDV524373 RDV589832:RDV589909 RDV655368:RDV655445 RDV720904:RDV720981 RDV786440:RDV786517 RDV851976:RDV852053 RDV917512:RDV917589 RDV983048:RDV983125 RNR2:RNR85 RNR65544:RNR65621 RNR131080:RNR131157 RNR196616:RNR196693 RNR262152:RNR262229 RNR327688:RNR327765 RNR393224:RNR393301 RNR458760:RNR458837 RNR524296:RNR524373 RNR589832:RNR589909 RNR655368:RNR655445 RNR720904:RNR720981 RNR786440:RNR786517 RNR851976:RNR852053 RNR917512:RNR917589 RNR983048:RNR983125 RXN2:RXN85 RXN65544:RXN65621 RXN131080:RXN131157 RXN196616:RXN196693 RXN262152:RXN262229 RXN327688:RXN327765 RXN393224:RXN393301 RXN458760:RXN458837 RXN524296:RXN524373 RXN589832:RXN589909 RXN655368:RXN655445 RXN720904:RXN720981 RXN786440:RXN786517 RXN851976:RXN852053 RXN917512:RXN917589 RXN983048:RXN983125 SHJ2:SHJ85 SHJ65544:SHJ65621 SHJ131080:SHJ131157 SHJ196616:SHJ196693 SHJ262152:SHJ262229 SHJ327688:SHJ327765 SHJ393224:SHJ393301 SHJ458760:SHJ458837 SHJ524296:SHJ524373 SHJ589832:SHJ589909 SHJ655368:SHJ655445 SHJ720904:SHJ720981 SHJ786440:SHJ786517 SHJ851976:SHJ852053 SHJ917512:SHJ917589 SHJ983048:SHJ983125 SRF2:SRF85 SRF65544:SRF65621 SRF131080:SRF131157 SRF196616:SRF196693 SRF262152:SRF262229 SRF327688:SRF327765 SRF393224:SRF393301 SRF458760:SRF458837 SRF524296:SRF524373 SRF589832:SRF589909 SRF655368:SRF655445 SRF720904:SRF720981 SRF786440:SRF786517 SRF851976:SRF852053 SRF917512:SRF917589 SRF983048:SRF983125 TBB2:TBB85 TBB65544:TBB65621 TBB131080:TBB131157 TBB196616:TBB196693 TBB262152:TBB262229 TBB327688:TBB327765 TBB393224:TBB393301 TBB458760:TBB458837 TBB524296:TBB524373 TBB589832:TBB589909 TBB655368:TBB655445 TBB720904:TBB720981 TBB786440:TBB786517 TBB851976:TBB852053 TBB917512:TBB917589 TBB983048:TBB983125 TKX2:TKX85 TKX65544:TKX65621 TKX131080:TKX131157 TKX196616:TKX196693 TKX262152:TKX262229 TKX327688:TKX327765 TKX393224:TKX393301 TKX458760:TKX458837 TKX524296:TKX524373 TKX589832:TKX589909 TKX655368:TKX655445 TKX720904:TKX720981 TKX786440:TKX786517 TKX851976:TKX852053 TKX917512:TKX917589 TKX983048:TKX983125 TUT2:TUT85 TUT65544:TUT65621 TUT131080:TUT131157 TUT196616:TUT196693 TUT262152:TUT262229 TUT327688:TUT327765 TUT393224:TUT393301 TUT458760:TUT458837 TUT524296:TUT524373 TUT589832:TUT589909 TUT655368:TUT655445 TUT720904:TUT720981 TUT786440:TUT786517 TUT851976:TUT852053 TUT917512:TUT917589 TUT983048:TUT983125 UEP2:UEP85 UEP65544:UEP65621 UEP131080:UEP131157 UEP196616:UEP196693 UEP262152:UEP262229 UEP327688:UEP327765 UEP393224:UEP393301 UEP458760:UEP458837 UEP524296:UEP524373 UEP589832:UEP589909 UEP655368:UEP655445 UEP720904:UEP720981 UEP786440:UEP786517 UEP851976:UEP852053 UEP917512:UEP917589 UEP983048:UEP983125 UOL2:UOL85 UOL65544:UOL65621 UOL131080:UOL131157 UOL196616:UOL196693 UOL262152:UOL262229 UOL327688:UOL327765 UOL393224:UOL393301 UOL458760:UOL458837 UOL524296:UOL524373 UOL589832:UOL589909 UOL655368:UOL655445 UOL720904:UOL720981 UOL786440:UOL786517 UOL851976:UOL852053 UOL917512:UOL917589 UOL983048:UOL983125 UYH2:UYH85 UYH65544:UYH65621 UYH131080:UYH131157 UYH196616:UYH196693 UYH262152:UYH262229 UYH327688:UYH327765 UYH393224:UYH393301 UYH458760:UYH458837 UYH524296:UYH524373 UYH589832:UYH589909 UYH655368:UYH655445 UYH720904:UYH720981 UYH786440:UYH786517 UYH851976:UYH852053 UYH917512:UYH917589 UYH983048:UYH983125 VID2:VID85 VID65544:VID65621 VID131080:VID131157 VID196616:VID196693 VID262152:VID262229 VID327688:VID327765 VID393224:VID393301 VID458760:VID458837 VID524296:VID524373 VID589832:VID589909 VID655368:VID655445 VID720904:VID720981 VID786440:VID786517 VID851976:VID852053 VID917512:VID917589 VID983048:VID983125 VRZ2:VRZ85 VRZ65544:VRZ65621 VRZ131080:VRZ131157 VRZ196616:VRZ196693 VRZ262152:VRZ262229 VRZ327688:VRZ327765 VRZ393224:VRZ393301 VRZ458760:VRZ458837 VRZ524296:VRZ524373 VRZ589832:VRZ589909 VRZ655368:VRZ655445 VRZ720904:VRZ720981 VRZ786440:VRZ786517 VRZ851976:VRZ852053 VRZ917512:VRZ917589 VRZ983048:VRZ983125 WBV2:WBV85 WBV65544:WBV65621 WBV131080:WBV131157 WBV196616:WBV196693 WBV262152:WBV262229 WBV327688:WBV327765 WBV393224:WBV393301 WBV458760:WBV458837 WBV524296:WBV524373 WBV589832:WBV589909 WBV655368:WBV655445 WBV720904:WBV720981 WBV786440:WBV786517 WBV851976:WBV852053 WBV917512:WBV917589 WBV983048:WBV983125 WLR2:WLR85 WLR65544:WLR65621 WLR131080:WLR131157 WLR196616:WLR196693 WLR262152:WLR262229 WLR327688:WLR327765 WLR393224:WLR393301 WLR458760:WLR458837 WLR524296:WLR524373 WLR589832:WLR589909 WLR655368:WLR655445 WLR720904:WLR720981 WLR786440:WLR786517 WLR851976:WLR852053 WLR917512:WLR917589 WLR983048:WLR983125 WVN2:WVN85 WVN65544:WVN65621 WVN131080:WVN131157 WVN196616:WVN196693 WVN262152:WVN262229 WVN327688:WVN327765 WVN393224:WVN393301 WVN458760:WVN458837 WVN524296:WVN524373 WVN589832:WVN589909 WVN655368:WVN655445 WVN720904:WVN720981 WVN786440:WVN786517 WVN851976:WVN852053 WVN917512:WVN917589 WVN983048:WVN983125">
      <formula1>$AH$2:$AH$14</formula1>
    </dataValidation>
    <dataValidation type="list" allowBlank="1" showInputMessage="1" showErrorMessage="1" sqref="H2:H506">
      <formula1>$AL$2:$AL$11</formula1>
    </dataValidation>
    <dataValidation type="list" allowBlank="1" showInputMessage="1" showErrorMessage="1" sqref="E2:E738 E65544:E65621 E131080:E131157 E196616:E196693 E262152:E262229 E327688:E327765 E393224:E393301 E458760:E458837 E524296:E524373 E589832:E589909 E655368:E655445 E720904:E720981 E786440:E786517 E851976:E852053 E917512:E917589 E983048:E983125 JA2:JA85 JA65544:JA65621 JA131080:JA131157 JA196616:JA196693 JA262152:JA262229 JA327688:JA327765 JA393224:JA393301 JA458760:JA458837 JA524296:JA524373 JA589832:JA589909 JA655368:JA655445 JA720904:JA720981 JA786440:JA786517 JA851976:JA852053 JA917512:JA917589 JA983048:JA983125 SW2:SW85 SW65544:SW65621 SW131080:SW131157 SW196616:SW196693 SW262152:SW262229 SW327688:SW327765 SW393224:SW393301 SW458760:SW458837 SW524296:SW524373 SW589832:SW589909 SW655368:SW655445 SW720904:SW720981 SW786440:SW786517 SW851976:SW852053 SW917512:SW917589 SW983048:SW983125 ACS2:ACS85 ACS65544:ACS65621 ACS131080:ACS131157 ACS196616:ACS196693 ACS262152:ACS262229 ACS327688:ACS327765 ACS393224:ACS393301 ACS458760:ACS458837 ACS524296:ACS524373 ACS589832:ACS589909 ACS655368:ACS655445 ACS720904:ACS720981 ACS786440:ACS786517 ACS851976:ACS852053 ACS917512:ACS917589 ACS983048:ACS983125 AMO2:AMO85 AMO65544:AMO65621 AMO131080:AMO131157 AMO196616:AMO196693 AMO262152:AMO262229 AMO327688:AMO327765 AMO393224:AMO393301 AMO458760:AMO458837 AMO524296:AMO524373 AMO589832:AMO589909 AMO655368:AMO655445 AMO720904:AMO720981 AMO786440:AMO786517 AMO851976:AMO852053 AMO917512:AMO917589 AMO983048:AMO983125 AWK2:AWK85 AWK65544:AWK65621 AWK131080:AWK131157 AWK196616:AWK196693 AWK262152:AWK262229 AWK327688:AWK327765 AWK393224:AWK393301 AWK458760:AWK458837 AWK524296:AWK524373 AWK589832:AWK589909 AWK655368:AWK655445 AWK720904:AWK720981 AWK786440:AWK786517 AWK851976:AWK852053 AWK917512:AWK917589 AWK983048:AWK983125 BGG2:BGG85 BGG65544:BGG65621 BGG131080:BGG131157 BGG196616:BGG196693 BGG262152:BGG262229 BGG327688:BGG327765 BGG393224:BGG393301 BGG458760:BGG458837 BGG524296:BGG524373 BGG589832:BGG589909 BGG655368:BGG655445 BGG720904:BGG720981 BGG786440:BGG786517 BGG851976:BGG852053 BGG917512:BGG917589 BGG983048:BGG983125 BQC2:BQC85 BQC65544:BQC65621 BQC131080:BQC131157 BQC196616:BQC196693 BQC262152:BQC262229 BQC327688:BQC327765 BQC393224:BQC393301 BQC458760:BQC458837 BQC524296:BQC524373 BQC589832:BQC589909 BQC655368:BQC655445 BQC720904:BQC720981 BQC786440:BQC786517 BQC851976:BQC852053 BQC917512:BQC917589 BQC983048:BQC983125 BZY2:BZY85 BZY65544:BZY65621 BZY131080:BZY131157 BZY196616:BZY196693 BZY262152:BZY262229 BZY327688:BZY327765 BZY393224:BZY393301 BZY458760:BZY458837 BZY524296:BZY524373 BZY589832:BZY589909 BZY655368:BZY655445 BZY720904:BZY720981 BZY786440:BZY786517 BZY851976:BZY852053 BZY917512:BZY917589 BZY983048:BZY983125 CJU2:CJU85 CJU65544:CJU65621 CJU131080:CJU131157 CJU196616:CJU196693 CJU262152:CJU262229 CJU327688:CJU327765 CJU393224:CJU393301 CJU458760:CJU458837 CJU524296:CJU524373 CJU589832:CJU589909 CJU655368:CJU655445 CJU720904:CJU720981 CJU786440:CJU786517 CJU851976:CJU852053 CJU917512:CJU917589 CJU983048:CJU983125 CTQ2:CTQ85 CTQ65544:CTQ65621 CTQ131080:CTQ131157 CTQ196616:CTQ196693 CTQ262152:CTQ262229 CTQ327688:CTQ327765 CTQ393224:CTQ393301 CTQ458760:CTQ458837 CTQ524296:CTQ524373 CTQ589832:CTQ589909 CTQ655368:CTQ655445 CTQ720904:CTQ720981 CTQ786440:CTQ786517 CTQ851976:CTQ852053 CTQ917512:CTQ917589 CTQ983048:CTQ983125 DDM2:DDM85 DDM65544:DDM65621 DDM131080:DDM131157 DDM196616:DDM196693 DDM262152:DDM262229 DDM327688:DDM327765 DDM393224:DDM393301 DDM458760:DDM458837 DDM524296:DDM524373 DDM589832:DDM589909 DDM655368:DDM655445 DDM720904:DDM720981 DDM786440:DDM786517 DDM851976:DDM852053 DDM917512:DDM917589 DDM983048:DDM983125 DNI2:DNI85 DNI65544:DNI65621 DNI131080:DNI131157 DNI196616:DNI196693 DNI262152:DNI262229 DNI327688:DNI327765 DNI393224:DNI393301 DNI458760:DNI458837 DNI524296:DNI524373 DNI589832:DNI589909 DNI655368:DNI655445 DNI720904:DNI720981 DNI786440:DNI786517 DNI851976:DNI852053 DNI917512:DNI917589 DNI983048:DNI983125 DXE2:DXE85 DXE65544:DXE65621 DXE131080:DXE131157 DXE196616:DXE196693 DXE262152:DXE262229 DXE327688:DXE327765 DXE393224:DXE393301 DXE458760:DXE458837 DXE524296:DXE524373 DXE589832:DXE589909 DXE655368:DXE655445 DXE720904:DXE720981 DXE786440:DXE786517 DXE851976:DXE852053 DXE917512:DXE917589 DXE983048:DXE983125 EHA2:EHA85 EHA65544:EHA65621 EHA131080:EHA131157 EHA196616:EHA196693 EHA262152:EHA262229 EHA327688:EHA327765 EHA393224:EHA393301 EHA458760:EHA458837 EHA524296:EHA524373 EHA589832:EHA589909 EHA655368:EHA655445 EHA720904:EHA720981 EHA786440:EHA786517 EHA851976:EHA852053 EHA917512:EHA917589 EHA983048:EHA983125 EQW2:EQW85 EQW65544:EQW65621 EQW131080:EQW131157 EQW196616:EQW196693 EQW262152:EQW262229 EQW327688:EQW327765 EQW393224:EQW393301 EQW458760:EQW458837 EQW524296:EQW524373 EQW589832:EQW589909 EQW655368:EQW655445 EQW720904:EQW720981 EQW786440:EQW786517 EQW851976:EQW852053 EQW917512:EQW917589 EQW983048:EQW983125 FAS2:FAS85 FAS65544:FAS65621 FAS131080:FAS131157 FAS196616:FAS196693 FAS262152:FAS262229 FAS327688:FAS327765 FAS393224:FAS393301 FAS458760:FAS458837 FAS524296:FAS524373 FAS589832:FAS589909 FAS655368:FAS655445 FAS720904:FAS720981 FAS786440:FAS786517 FAS851976:FAS852053 FAS917512:FAS917589 FAS983048:FAS983125 FKO2:FKO85 FKO65544:FKO65621 FKO131080:FKO131157 FKO196616:FKO196693 FKO262152:FKO262229 FKO327688:FKO327765 FKO393224:FKO393301 FKO458760:FKO458837 FKO524296:FKO524373 FKO589832:FKO589909 FKO655368:FKO655445 FKO720904:FKO720981 FKO786440:FKO786517 FKO851976:FKO852053 FKO917512:FKO917589 FKO983048:FKO983125 FUK2:FUK85 FUK65544:FUK65621 FUK131080:FUK131157 FUK196616:FUK196693 FUK262152:FUK262229 FUK327688:FUK327765 FUK393224:FUK393301 FUK458760:FUK458837 FUK524296:FUK524373 FUK589832:FUK589909 FUK655368:FUK655445 FUK720904:FUK720981 FUK786440:FUK786517 FUK851976:FUK852053 FUK917512:FUK917589 FUK983048:FUK983125 GEG2:GEG85 GEG65544:GEG65621 GEG131080:GEG131157 GEG196616:GEG196693 GEG262152:GEG262229 GEG327688:GEG327765 GEG393224:GEG393301 GEG458760:GEG458837 GEG524296:GEG524373 GEG589832:GEG589909 GEG655368:GEG655445 GEG720904:GEG720981 GEG786440:GEG786517 GEG851976:GEG852053 GEG917512:GEG917589 GEG983048:GEG983125 GOC2:GOC85 GOC65544:GOC65621 GOC131080:GOC131157 GOC196616:GOC196693 GOC262152:GOC262229 GOC327688:GOC327765 GOC393224:GOC393301 GOC458760:GOC458837 GOC524296:GOC524373 GOC589832:GOC589909 GOC655368:GOC655445 GOC720904:GOC720981 GOC786440:GOC786517 GOC851976:GOC852053 GOC917512:GOC917589 GOC983048:GOC983125 GXY2:GXY85 GXY65544:GXY65621 GXY131080:GXY131157 GXY196616:GXY196693 GXY262152:GXY262229 GXY327688:GXY327765 GXY393224:GXY393301 GXY458760:GXY458837 GXY524296:GXY524373 GXY589832:GXY589909 GXY655368:GXY655445 GXY720904:GXY720981 GXY786440:GXY786517 GXY851976:GXY852053 GXY917512:GXY917589 GXY983048:GXY983125 HHU2:HHU85 HHU65544:HHU65621 HHU131080:HHU131157 HHU196616:HHU196693 HHU262152:HHU262229 HHU327688:HHU327765 HHU393224:HHU393301 HHU458760:HHU458837 HHU524296:HHU524373 HHU589832:HHU589909 HHU655368:HHU655445 HHU720904:HHU720981 HHU786440:HHU786517 HHU851976:HHU852053 HHU917512:HHU917589 HHU983048:HHU983125 HRQ2:HRQ85 HRQ65544:HRQ65621 HRQ131080:HRQ131157 HRQ196616:HRQ196693 HRQ262152:HRQ262229 HRQ327688:HRQ327765 HRQ393224:HRQ393301 HRQ458760:HRQ458837 HRQ524296:HRQ524373 HRQ589832:HRQ589909 HRQ655368:HRQ655445 HRQ720904:HRQ720981 HRQ786440:HRQ786517 HRQ851976:HRQ852053 HRQ917512:HRQ917589 HRQ983048:HRQ983125 IBM2:IBM85 IBM65544:IBM65621 IBM131080:IBM131157 IBM196616:IBM196693 IBM262152:IBM262229 IBM327688:IBM327765 IBM393224:IBM393301 IBM458760:IBM458837 IBM524296:IBM524373 IBM589832:IBM589909 IBM655368:IBM655445 IBM720904:IBM720981 IBM786440:IBM786517 IBM851976:IBM852053 IBM917512:IBM917589 IBM983048:IBM983125 ILI2:ILI85 ILI65544:ILI65621 ILI131080:ILI131157 ILI196616:ILI196693 ILI262152:ILI262229 ILI327688:ILI327765 ILI393224:ILI393301 ILI458760:ILI458837 ILI524296:ILI524373 ILI589832:ILI589909 ILI655368:ILI655445 ILI720904:ILI720981 ILI786440:ILI786517 ILI851976:ILI852053 ILI917512:ILI917589 ILI983048:ILI983125 IVE2:IVE85 IVE65544:IVE65621 IVE131080:IVE131157 IVE196616:IVE196693 IVE262152:IVE262229 IVE327688:IVE327765 IVE393224:IVE393301 IVE458760:IVE458837 IVE524296:IVE524373 IVE589832:IVE589909 IVE655368:IVE655445 IVE720904:IVE720981 IVE786440:IVE786517 IVE851976:IVE852053 IVE917512:IVE917589 IVE983048:IVE983125 JFA2:JFA85 JFA65544:JFA65621 JFA131080:JFA131157 JFA196616:JFA196693 JFA262152:JFA262229 JFA327688:JFA327765 JFA393224:JFA393301 JFA458760:JFA458837 JFA524296:JFA524373 JFA589832:JFA589909 JFA655368:JFA655445 JFA720904:JFA720981 JFA786440:JFA786517 JFA851976:JFA852053 JFA917512:JFA917589 JFA983048:JFA983125 JOW2:JOW85 JOW65544:JOW65621 JOW131080:JOW131157 JOW196616:JOW196693 JOW262152:JOW262229 JOW327688:JOW327765 JOW393224:JOW393301 JOW458760:JOW458837 JOW524296:JOW524373 JOW589832:JOW589909 JOW655368:JOW655445 JOW720904:JOW720981 JOW786440:JOW786517 JOW851976:JOW852053 JOW917512:JOW917589 JOW983048:JOW983125 JYS2:JYS85 JYS65544:JYS65621 JYS131080:JYS131157 JYS196616:JYS196693 JYS262152:JYS262229 JYS327688:JYS327765 JYS393224:JYS393301 JYS458760:JYS458837 JYS524296:JYS524373 JYS589832:JYS589909 JYS655368:JYS655445 JYS720904:JYS720981 JYS786440:JYS786517 JYS851976:JYS852053 JYS917512:JYS917589 JYS983048:JYS983125 KIO2:KIO85 KIO65544:KIO65621 KIO131080:KIO131157 KIO196616:KIO196693 KIO262152:KIO262229 KIO327688:KIO327765 KIO393224:KIO393301 KIO458760:KIO458837 KIO524296:KIO524373 KIO589832:KIO589909 KIO655368:KIO655445 KIO720904:KIO720981 KIO786440:KIO786517 KIO851976:KIO852053 KIO917512:KIO917589 KIO983048:KIO983125 KSK2:KSK85 KSK65544:KSK65621 KSK131080:KSK131157 KSK196616:KSK196693 KSK262152:KSK262229 KSK327688:KSK327765 KSK393224:KSK393301 KSK458760:KSK458837 KSK524296:KSK524373 KSK589832:KSK589909 KSK655368:KSK655445 KSK720904:KSK720981 KSK786440:KSK786517 KSK851976:KSK852053 KSK917512:KSK917589 KSK983048:KSK983125 LCG2:LCG85 LCG65544:LCG65621 LCG131080:LCG131157 LCG196616:LCG196693 LCG262152:LCG262229 LCG327688:LCG327765 LCG393224:LCG393301 LCG458760:LCG458837 LCG524296:LCG524373 LCG589832:LCG589909 LCG655368:LCG655445 LCG720904:LCG720981 LCG786440:LCG786517 LCG851976:LCG852053 LCG917512:LCG917589 LCG983048:LCG983125 LMC2:LMC85 LMC65544:LMC65621 LMC131080:LMC131157 LMC196616:LMC196693 LMC262152:LMC262229 LMC327688:LMC327765 LMC393224:LMC393301 LMC458760:LMC458837 LMC524296:LMC524373 LMC589832:LMC589909 LMC655368:LMC655445 LMC720904:LMC720981 LMC786440:LMC786517 LMC851976:LMC852053 LMC917512:LMC917589 LMC983048:LMC983125 LVY2:LVY85 LVY65544:LVY65621 LVY131080:LVY131157 LVY196616:LVY196693 LVY262152:LVY262229 LVY327688:LVY327765 LVY393224:LVY393301 LVY458760:LVY458837 LVY524296:LVY524373 LVY589832:LVY589909 LVY655368:LVY655445 LVY720904:LVY720981 LVY786440:LVY786517 LVY851976:LVY852053 LVY917512:LVY917589 LVY983048:LVY983125 MFU2:MFU85 MFU65544:MFU65621 MFU131080:MFU131157 MFU196616:MFU196693 MFU262152:MFU262229 MFU327688:MFU327765 MFU393224:MFU393301 MFU458760:MFU458837 MFU524296:MFU524373 MFU589832:MFU589909 MFU655368:MFU655445 MFU720904:MFU720981 MFU786440:MFU786517 MFU851976:MFU852053 MFU917512:MFU917589 MFU983048:MFU983125 MPQ2:MPQ85 MPQ65544:MPQ65621 MPQ131080:MPQ131157 MPQ196616:MPQ196693 MPQ262152:MPQ262229 MPQ327688:MPQ327765 MPQ393224:MPQ393301 MPQ458760:MPQ458837 MPQ524296:MPQ524373 MPQ589832:MPQ589909 MPQ655368:MPQ655445 MPQ720904:MPQ720981 MPQ786440:MPQ786517 MPQ851976:MPQ852053 MPQ917512:MPQ917589 MPQ983048:MPQ983125 MZM2:MZM85 MZM65544:MZM65621 MZM131080:MZM131157 MZM196616:MZM196693 MZM262152:MZM262229 MZM327688:MZM327765 MZM393224:MZM393301 MZM458760:MZM458837 MZM524296:MZM524373 MZM589832:MZM589909 MZM655368:MZM655445 MZM720904:MZM720981 MZM786440:MZM786517 MZM851976:MZM852053 MZM917512:MZM917589 MZM983048:MZM983125 NJI2:NJI85 NJI65544:NJI65621 NJI131080:NJI131157 NJI196616:NJI196693 NJI262152:NJI262229 NJI327688:NJI327765 NJI393224:NJI393301 NJI458760:NJI458837 NJI524296:NJI524373 NJI589832:NJI589909 NJI655368:NJI655445 NJI720904:NJI720981 NJI786440:NJI786517 NJI851976:NJI852053 NJI917512:NJI917589 NJI983048:NJI983125 NTE2:NTE85 NTE65544:NTE65621 NTE131080:NTE131157 NTE196616:NTE196693 NTE262152:NTE262229 NTE327688:NTE327765 NTE393224:NTE393301 NTE458760:NTE458837 NTE524296:NTE524373 NTE589832:NTE589909 NTE655368:NTE655445 NTE720904:NTE720981 NTE786440:NTE786517 NTE851976:NTE852053 NTE917512:NTE917589 NTE983048:NTE983125 ODA2:ODA85 ODA65544:ODA65621 ODA131080:ODA131157 ODA196616:ODA196693 ODA262152:ODA262229 ODA327688:ODA327765 ODA393224:ODA393301 ODA458760:ODA458837 ODA524296:ODA524373 ODA589832:ODA589909 ODA655368:ODA655445 ODA720904:ODA720981 ODA786440:ODA786517 ODA851976:ODA852053 ODA917512:ODA917589 ODA983048:ODA983125 OMW2:OMW85 OMW65544:OMW65621 OMW131080:OMW131157 OMW196616:OMW196693 OMW262152:OMW262229 OMW327688:OMW327765 OMW393224:OMW393301 OMW458760:OMW458837 OMW524296:OMW524373 OMW589832:OMW589909 OMW655368:OMW655445 OMW720904:OMW720981 OMW786440:OMW786517 OMW851976:OMW852053 OMW917512:OMW917589 OMW983048:OMW983125 OWS2:OWS85 OWS65544:OWS65621 OWS131080:OWS131157 OWS196616:OWS196693 OWS262152:OWS262229 OWS327688:OWS327765 OWS393224:OWS393301 OWS458760:OWS458837 OWS524296:OWS524373 OWS589832:OWS589909 OWS655368:OWS655445 OWS720904:OWS720981 OWS786440:OWS786517 OWS851976:OWS852053 OWS917512:OWS917589 OWS983048:OWS983125 PGO2:PGO85 PGO65544:PGO65621 PGO131080:PGO131157 PGO196616:PGO196693 PGO262152:PGO262229 PGO327688:PGO327765 PGO393224:PGO393301 PGO458760:PGO458837 PGO524296:PGO524373 PGO589832:PGO589909 PGO655368:PGO655445 PGO720904:PGO720981 PGO786440:PGO786517 PGO851976:PGO852053 PGO917512:PGO917589 PGO983048:PGO983125 PQK2:PQK85 PQK65544:PQK65621 PQK131080:PQK131157 PQK196616:PQK196693 PQK262152:PQK262229 PQK327688:PQK327765 PQK393224:PQK393301 PQK458760:PQK458837 PQK524296:PQK524373 PQK589832:PQK589909 PQK655368:PQK655445 PQK720904:PQK720981 PQK786440:PQK786517 PQK851976:PQK852053 PQK917512:PQK917589 PQK983048:PQK983125 QAG2:QAG85 QAG65544:QAG65621 QAG131080:QAG131157 QAG196616:QAG196693 QAG262152:QAG262229 QAG327688:QAG327765 QAG393224:QAG393301 QAG458760:QAG458837 QAG524296:QAG524373 QAG589832:QAG589909 QAG655368:QAG655445 QAG720904:QAG720981 QAG786440:QAG786517 QAG851976:QAG852053 QAG917512:QAG917589 QAG983048:QAG983125 QKC2:QKC85 QKC65544:QKC65621 QKC131080:QKC131157 QKC196616:QKC196693 QKC262152:QKC262229 QKC327688:QKC327765 QKC393224:QKC393301 QKC458760:QKC458837 QKC524296:QKC524373 QKC589832:QKC589909 QKC655368:QKC655445 QKC720904:QKC720981 QKC786440:QKC786517 QKC851976:QKC852053 QKC917512:QKC917589 QKC983048:QKC983125 QTY2:QTY85 QTY65544:QTY65621 QTY131080:QTY131157 QTY196616:QTY196693 QTY262152:QTY262229 QTY327688:QTY327765 QTY393224:QTY393301 QTY458760:QTY458837 QTY524296:QTY524373 QTY589832:QTY589909 QTY655368:QTY655445 QTY720904:QTY720981 QTY786440:QTY786517 QTY851976:QTY852053 QTY917512:QTY917589 QTY983048:QTY983125 RDU2:RDU85 RDU65544:RDU65621 RDU131080:RDU131157 RDU196616:RDU196693 RDU262152:RDU262229 RDU327688:RDU327765 RDU393224:RDU393301 RDU458760:RDU458837 RDU524296:RDU524373 RDU589832:RDU589909 RDU655368:RDU655445 RDU720904:RDU720981 RDU786440:RDU786517 RDU851976:RDU852053 RDU917512:RDU917589 RDU983048:RDU983125 RNQ2:RNQ85 RNQ65544:RNQ65621 RNQ131080:RNQ131157 RNQ196616:RNQ196693 RNQ262152:RNQ262229 RNQ327688:RNQ327765 RNQ393224:RNQ393301 RNQ458760:RNQ458837 RNQ524296:RNQ524373 RNQ589832:RNQ589909 RNQ655368:RNQ655445 RNQ720904:RNQ720981 RNQ786440:RNQ786517 RNQ851976:RNQ852053 RNQ917512:RNQ917589 RNQ983048:RNQ983125 RXM2:RXM85 RXM65544:RXM65621 RXM131080:RXM131157 RXM196616:RXM196693 RXM262152:RXM262229 RXM327688:RXM327765 RXM393224:RXM393301 RXM458760:RXM458837 RXM524296:RXM524373 RXM589832:RXM589909 RXM655368:RXM655445 RXM720904:RXM720981 RXM786440:RXM786517 RXM851976:RXM852053 RXM917512:RXM917589 RXM983048:RXM983125 SHI2:SHI85 SHI65544:SHI65621 SHI131080:SHI131157 SHI196616:SHI196693 SHI262152:SHI262229 SHI327688:SHI327765 SHI393224:SHI393301 SHI458760:SHI458837 SHI524296:SHI524373 SHI589832:SHI589909 SHI655368:SHI655445 SHI720904:SHI720981 SHI786440:SHI786517 SHI851976:SHI852053 SHI917512:SHI917589 SHI983048:SHI983125 SRE2:SRE85 SRE65544:SRE65621 SRE131080:SRE131157 SRE196616:SRE196693 SRE262152:SRE262229 SRE327688:SRE327765 SRE393224:SRE393301 SRE458760:SRE458837 SRE524296:SRE524373 SRE589832:SRE589909 SRE655368:SRE655445 SRE720904:SRE720981 SRE786440:SRE786517 SRE851976:SRE852053 SRE917512:SRE917589 SRE983048:SRE983125 TBA2:TBA85 TBA65544:TBA65621 TBA131080:TBA131157 TBA196616:TBA196693 TBA262152:TBA262229 TBA327688:TBA327765 TBA393224:TBA393301 TBA458760:TBA458837 TBA524296:TBA524373 TBA589832:TBA589909 TBA655368:TBA655445 TBA720904:TBA720981 TBA786440:TBA786517 TBA851976:TBA852053 TBA917512:TBA917589 TBA983048:TBA983125 TKW2:TKW85 TKW65544:TKW65621 TKW131080:TKW131157 TKW196616:TKW196693 TKW262152:TKW262229 TKW327688:TKW327765 TKW393224:TKW393301 TKW458760:TKW458837 TKW524296:TKW524373 TKW589832:TKW589909 TKW655368:TKW655445 TKW720904:TKW720981 TKW786440:TKW786517 TKW851976:TKW852053 TKW917512:TKW917589 TKW983048:TKW983125 TUS2:TUS85 TUS65544:TUS65621 TUS131080:TUS131157 TUS196616:TUS196693 TUS262152:TUS262229 TUS327688:TUS327765 TUS393224:TUS393301 TUS458760:TUS458837 TUS524296:TUS524373 TUS589832:TUS589909 TUS655368:TUS655445 TUS720904:TUS720981 TUS786440:TUS786517 TUS851976:TUS852053 TUS917512:TUS917589 TUS983048:TUS983125 UEO2:UEO85 UEO65544:UEO65621 UEO131080:UEO131157 UEO196616:UEO196693 UEO262152:UEO262229 UEO327688:UEO327765 UEO393224:UEO393301 UEO458760:UEO458837 UEO524296:UEO524373 UEO589832:UEO589909 UEO655368:UEO655445 UEO720904:UEO720981 UEO786440:UEO786517 UEO851976:UEO852053 UEO917512:UEO917589 UEO983048:UEO983125 UOK2:UOK85 UOK65544:UOK65621 UOK131080:UOK131157 UOK196616:UOK196693 UOK262152:UOK262229 UOK327688:UOK327765 UOK393224:UOK393301 UOK458760:UOK458837 UOK524296:UOK524373 UOK589832:UOK589909 UOK655368:UOK655445 UOK720904:UOK720981 UOK786440:UOK786517 UOK851976:UOK852053 UOK917512:UOK917589 UOK983048:UOK983125 UYG2:UYG85 UYG65544:UYG65621 UYG131080:UYG131157 UYG196616:UYG196693 UYG262152:UYG262229 UYG327688:UYG327765 UYG393224:UYG393301 UYG458760:UYG458837 UYG524296:UYG524373 UYG589832:UYG589909 UYG655368:UYG655445 UYG720904:UYG720981 UYG786440:UYG786517 UYG851976:UYG852053 UYG917512:UYG917589 UYG983048:UYG983125 VIC2:VIC85 VIC65544:VIC65621 VIC131080:VIC131157 VIC196616:VIC196693 VIC262152:VIC262229 VIC327688:VIC327765 VIC393224:VIC393301 VIC458760:VIC458837 VIC524296:VIC524373 VIC589832:VIC589909 VIC655368:VIC655445 VIC720904:VIC720981 VIC786440:VIC786517 VIC851976:VIC852053 VIC917512:VIC917589 VIC983048:VIC983125 VRY2:VRY85 VRY65544:VRY65621 VRY131080:VRY131157 VRY196616:VRY196693 VRY262152:VRY262229 VRY327688:VRY327765 VRY393224:VRY393301 VRY458760:VRY458837 VRY524296:VRY524373 VRY589832:VRY589909 VRY655368:VRY655445 VRY720904:VRY720981 VRY786440:VRY786517 VRY851976:VRY852053 VRY917512:VRY917589 VRY983048:VRY983125 WBU2:WBU85 WBU65544:WBU65621 WBU131080:WBU131157 WBU196616:WBU196693 WBU262152:WBU262229 WBU327688:WBU327765 WBU393224:WBU393301 WBU458760:WBU458837 WBU524296:WBU524373 WBU589832:WBU589909 WBU655368:WBU655445 WBU720904:WBU720981 WBU786440:WBU786517 WBU851976:WBU852053 WBU917512:WBU917589 WBU983048:WBU983125 WLQ2:WLQ85 WLQ65544:WLQ65621 WLQ131080:WLQ131157 WLQ196616:WLQ196693 WLQ262152:WLQ262229 WLQ327688:WLQ327765 WLQ393224:WLQ393301 WLQ458760:WLQ458837 WLQ524296:WLQ524373 WLQ589832:WLQ589909 WLQ655368:WLQ655445 WLQ720904:WLQ720981 WLQ786440:WLQ786517 WLQ851976:WLQ852053 WLQ917512:WLQ917589 WLQ983048:WLQ983125 WVM2:WVM85 WVM65544:WVM65621 WVM131080:WVM131157 WVM196616:WVM196693 WVM262152:WVM262229 WVM327688:WVM327765 WVM393224:WVM393301 WVM458760:WVM458837 WVM524296:WVM524373 WVM589832:WVM589909 WVM655368:WVM655445 WVM720904:WVM720981 WVM786440:WVM786517 WVM851976:WVM852053 WVM917512:WVM917589 WVM983048:WVM983125">
      <formula1>$AG$2:$AG$14</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4 IX65544 ST65544 ACP65544 AML65544 AWH65544 BGD65544 BPZ65544 BZV65544 CJR65544 CTN65544 DDJ65544 DNF65544 DXB65544 EGX65544 EQT65544 FAP65544 FKL65544 FUH65544 GED65544 GNZ65544 GXV65544 HHR65544 HRN65544 IBJ65544 ILF65544 IVB65544 JEX65544 JOT65544 JYP65544 KIL65544 KSH65544 LCD65544 LLZ65544 LVV65544 MFR65544 MPN65544 MZJ65544 NJF65544 NTB65544 OCX65544 OMT65544 OWP65544 PGL65544 PQH65544 QAD65544 QJZ65544 QTV65544 RDR65544 RNN65544 RXJ65544 SHF65544 SRB65544 TAX65544 TKT65544 TUP65544 UEL65544 UOH65544 UYD65544 VHZ65544 VRV65544 WBR65544 WLN65544 WVJ65544 B131080 IX131080 ST131080 ACP131080 AML131080 AWH131080 BGD131080 BPZ131080 BZV131080 CJR131080 CTN131080 DDJ131080 DNF131080 DXB131080 EGX131080 EQT131080 FAP131080 FKL131080 FUH131080 GED131080 GNZ131080 GXV131080 HHR131080 HRN131080 IBJ131080 ILF131080 IVB131080 JEX131080 JOT131080 JYP131080 KIL131080 KSH131080 LCD131080 LLZ131080 LVV131080 MFR131080 MPN131080 MZJ131080 NJF131080 NTB131080 OCX131080 OMT131080 OWP131080 PGL131080 PQH131080 QAD131080 QJZ131080 QTV131080 RDR131080 RNN131080 RXJ131080 SHF131080 SRB131080 TAX131080 TKT131080 TUP131080 UEL131080 UOH131080 UYD131080 VHZ131080 VRV131080 WBR131080 WLN131080 WVJ131080 B196616 IX196616 ST196616 ACP196616 AML196616 AWH196616 BGD196616 BPZ196616 BZV196616 CJR196616 CTN196616 DDJ196616 DNF196616 DXB196616 EGX196616 EQT196616 FAP196616 FKL196616 FUH196616 GED196616 GNZ196616 GXV196616 HHR196616 HRN196616 IBJ196616 ILF196616 IVB196616 JEX196616 JOT196616 JYP196616 KIL196616 KSH196616 LCD196616 LLZ196616 LVV196616 MFR196616 MPN196616 MZJ196616 NJF196616 NTB196616 OCX196616 OMT196616 OWP196616 PGL196616 PQH196616 QAD196616 QJZ196616 QTV196616 RDR196616 RNN196616 RXJ196616 SHF196616 SRB196616 TAX196616 TKT196616 TUP196616 UEL196616 UOH196616 UYD196616 VHZ196616 VRV196616 WBR196616 WLN196616 WVJ196616 B262152 IX262152 ST262152 ACP262152 AML262152 AWH262152 BGD262152 BPZ262152 BZV262152 CJR262152 CTN262152 DDJ262152 DNF262152 DXB262152 EGX262152 EQT262152 FAP262152 FKL262152 FUH262152 GED262152 GNZ262152 GXV262152 HHR262152 HRN262152 IBJ262152 ILF262152 IVB262152 JEX262152 JOT262152 JYP262152 KIL262152 KSH262152 LCD262152 LLZ262152 LVV262152 MFR262152 MPN262152 MZJ262152 NJF262152 NTB262152 OCX262152 OMT262152 OWP262152 PGL262152 PQH262152 QAD262152 QJZ262152 QTV262152 RDR262152 RNN262152 RXJ262152 SHF262152 SRB262152 TAX262152 TKT262152 TUP262152 UEL262152 UOH262152 UYD262152 VHZ262152 VRV262152 WBR262152 WLN262152 WVJ262152 B327688 IX327688 ST327688 ACP327688 AML327688 AWH327688 BGD327688 BPZ327688 BZV327688 CJR327688 CTN327688 DDJ327688 DNF327688 DXB327688 EGX327688 EQT327688 FAP327688 FKL327688 FUH327688 GED327688 GNZ327688 GXV327688 HHR327688 HRN327688 IBJ327688 ILF327688 IVB327688 JEX327688 JOT327688 JYP327688 KIL327688 KSH327688 LCD327688 LLZ327688 LVV327688 MFR327688 MPN327688 MZJ327688 NJF327688 NTB327688 OCX327688 OMT327688 OWP327688 PGL327688 PQH327688 QAD327688 QJZ327688 QTV327688 RDR327688 RNN327688 RXJ327688 SHF327688 SRB327688 TAX327688 TKT327688 TUP327688 UEL327688 UOH327688 UYD327688 VHZ327688 VRV327688 WBR327688 WLN327688 WVJ327688 B393224 IX393224 ST393224 ACP393224 AML393224 AWH393224 BGD393224 BPZ393224 BZV393224 CJR393224 CTN393224 DDJ393224 DNF393224 DXB393224 EGX393224 EQT393224 FAP393224 FKL393224 FUH393224 GED393224 GNZ393224 GXV393224 HHR393224 HRN393224 IBJ393224 ILF393224 IVB393224 JEX393224 JOT393224 JYP393224 KIL393224 KSH393224 LCD393224 LLZ393224 LVV393224 MFR393224 MPN393224 MZJ393224 NJF393224 NTB393224 OCX393224 OMT393224 OWP393224 PGL393224 PQH393224 QAD393224 QJZ393224 QTV393224 RDR393224 RNN393224 RXJ393224 SHF393224 SRB393224 TAX393224 TKT393224 TUP393224 UEL393224 UOH393224 UYD393224 VHZ393224 VRV393224 WBR393224 WLN393224 WVJ393224 B458760 IX458760 ST458760 ACP458760 AML458760 AWH458760 BGD458760 BPZ458760 BZV458760 CJR458760 CTN458760 DDJ458760 DNF458760 DXB458760 EGX458760 EQT458760 FAP458760 FKL458760 FUH458760 GED458760 GNZ458760 GXV458760 HHR458760 HRN458760 IBJ458760 ILF458760 IVB458760 JEX458760 JOT458760 JYP458760 KIL458760 KSH458760 LCD458760 LLZ458760 LVV458760 MFR458760 MPN458760 MZJ458760 NJF458760 NTB458760 OCX458760 OMT458760 OWP458760 PGL458760 PQH458760 QAD458760 QJZ458760 QTV458760 RDR458760 RNN458760 RXJ458760 SHF458760 SRB458760 TAX458760 TKT458760 TUP458760 UEL458760 UOH458760 UYD458760 VHZ458760 VRV458760 WBR458760 WLN458760 WVJ458760 B524296 IX524296 ST524296 ACP524296 AML524296 AWH524296 BGD524296 BPZ524296 BZV524296 CJR524296 CTN524296 DDJ524296 DNF524296 DXB524296 EGX524296 EQT524296 FAP524296 FKL524296 FUH524296 GED524296 GNZ524296 GXV524296 HHR524296 HRN524296 IBJ524296 ILF524296 IVB524296 JEX524296 JOT524296 JYP524296 KIL524296 KSH524296 LCD524296 LLZ524296 LVV524296 MFR524296 MPN524296 MZJ524296 NJF524296 NTB524296 OCX524296 OMT524296 OWP524296 PGL524296 PQH524296 QAD524296 QJZ524296 QTV524296 RDR524296 RNN524296 RXJ524296 SHF524296 SRB524296 TAX524296 TKT524296 TUP524296 UEL524296 UOH524296 UYD524296 VHZ524296 VRV524296 WBR524296 WLN524296 WVJ524296 B589832 IX589832 ST589832 ACP589832 AML589832 AWH589832 BGD589832 BPZ589832 BZV589832 CJR589832 CTN589832 DDJ589832 DNF589832 DXB589832 EGX589832 EQT589832 FAP589832 FKL589832 FUH589832 GED589832 GNZ589832 GXV589832 HHR589832 HRN589832 IBJ589832 ILF589832 IVB589832 JEX589832 JOT589832 JYP589832 KIL589832 KSH589832 LCD589832 LLZ589832 LVV589832 MFR589832 MPN589832 MZJ589832 NJF589832 NTB589832 OCX589832 OMT589832 OWP589832 PGL589832 PQH589832 QAD589832 QJZ589832 QTV589832 RDR589832 RNN589832 RXJ589832 SHF589832 SRB589832 TAX589832 TKT589832 TUP589832 UEL589832 UOH589832 UYD589832 VHZ589832 VRV589832 WBR589832 WLN589832 WVJ589832 B655368 IX655368 ST655368 ACP655368 AML655368 AWH655368 BGD655368 BPZ655368 BZV655368 CJR655368 CTN655368 DDJ655368 DNF655368 DXB655368 EGX655368 EQT655368 FAP655368 FKL655368 FUH655368 GED655368 GNZ655368 GXV655368 HHR655368 HRN655368 IBJ655368 ILF655368 IVB655368 JEX655368 JOT655368 JYP655368 KIL655368 KSH655368 LCD655368 LLZ655368 LVV655368 MFR655368 MPN655368 MZJ655368 NJF655368 NTB655368 OCX655368 OMT655368 OWP655368 PGL655368 PQH655368 QAD655368 QJZ655368 QTV655368 RDR655368 RNN655368 RXJ655368 SHF655368 SRB655368 TAX655368 TKT655368 TUP655368 UEL655368 UOH655368 UYD655368 VHZ655368 VRV655368 WBR655368 WLN655368 WVJ655368 B720904 IX720904 ST720904 ACP720904 AML720904 AWH720904 BGD720904 BPZ720904 BZV720904 CJR720904 CTN720904 DDJ720904 DNF720904 DXB720904 EGX720904 EQT720904 FAP720904 FKL720904 FUH720904 GED720904 GNZ720904 GXV720904 HHR720904 HRN720904 IBJ720904 ILF720904 IVB720904 JEX720904 JOT720904 JYP720904 KIL720904 KSH720904 LCD720904 LLZ720904 LVV720904 MFR720904 MPN720904 MZJ720904 NJF720904 NTB720904 OCX720904 OMT720904 OWP720904 PGL720904 PQH720904 QAD720904 QJZ720904 QTV720904 RDR720904 RNN720904 RXJ720904 SHF720904 SRB720904 TAX720904 TKT720904 TUP720904 UEL720904 UOH720904 UYD720904 VHZ720904 VRV720904 WBR720904 WLN720904 WVJ720904 B786440 IX786440 ST786440 ACP786440 AML786440 AWH786440 BGD786440 BPZ786440 BZV786440 CJR786440 CTN786440 DDJ786440 DNF786440 DXB786440 EGX786440 EQT786440 FAP786440 FKL786440 FUH786440 GED786440 GNZ786440 GXV786440 HHR786440 HRN786440 IBJ786440 ILF786440 IVB786440 JEX786440 JOT786440 JYP786440 KIL786440 KSH786440 LCD786440 LLZ786440 LVV786440 MFR786440 MPN786440 MZJ786440 NJF786440 NTB786440 OCX786440 OMT786440 OWP786440 PGL786440 PQH786440 QAD786440 QJZ786440 QTV786440 RDR786440 RNN786440 RXJ786440 SHF786440 SRB786440 TAX786440 TKT786440 TUP786440 UEL786440 UOH786440 UYD786440 VHZ786440 VRV786440 WBR786440 WLN786440 WVJ786440 B851976 IX851976 ST851976 ACP851976 AML851976 AWH851976 BGD851976 BPZ851976 BZV851976 CJR851976 CTN851976 DDJ851976 DNF851976 DXB851976 EGX851976 EQT851976 FAP851976 FKL851976 FUH851976 GED851976 GNZ851976 GXV851976 HHR851976 HRN851976 IBJ851976 ILF851976 IVB851976 JEX851976 JOT851976 JYP851976 KIL851976 KSH851976 LCD851976 LLZ851976 LVV851976 MFR851976 MPN851976 MZJ851976 NJF851976 NTB851976 OCX851976 OMT851976 OWP851976 PGL851976 PQH851976 QAD851976 QJZ851976 QTV851976 RDR851976 RNN851976 RXJ851976 SHF851976 SRB851976 TAX851976 TKT851976 TUP851976 UEL851976 UOH851976 UYD851976 VHZ851976 VRV851976 WBR851976 WLN851976 WVJ851976 B917512 IX917512 ST917512 ACP917512 AML917512 AWH917512 BGD917512 BPZ917512 BZV917512 CJR917512 CTN917512 DDJ917512 DNF917512 DXB917512 EGX917512 EQT917512 FAP917512 FKL917512 FUH917512 GED917512 GNZ917512 GXV917512 HHR917512 HRN917512 IBJ917512 ILF917512 IVB917512 JEX917512 JOT917512 JYP917512 KIL917512 KSH917512 LCD917512 LLZ917512 LVV917512 MFR917512 MPN917512 MZJ917512 NJF917512 NTB917512 OCX917512 OMT917512 OWP917512 PGL917512 PQH917512 QAD917512 QJZ917512 QTV917512 RDR917512 RNN917512 RXJ917512 SHF917512 SRB917512 TAX917512 TKT917512 TUP917512 UEL917512 UOH917512 UYD917512 VHZ917512 VRV917512 WBR917512 WLN917512 WVJ917512 B983048 IX983048 ST983048 ACP983048 AML983048 AWH983048 BGD983048 BPZ983048 BZV983048 CJR983048 CTN983048 DDJ983048 DNF983048 DXB983048 EGX983048 EQT983048 FAP983048 FKL983048 FUH983048 GED983048 GNZ983048 GXV983048 HHR983048 HRN983048 IBJ983048 ILF983048 IVB983048 JEX983048 JOT983048 JYP983048 KIL983048 KSH983048 LCD983048 LLZ983048 LVV983048 MFR983048 MPN983048 MZJ983048 NJF983048 NTB983048 OCX983048 OMT983048 OWP983048 PGL983048 PQH983048 QAD983048 QJZ983048 QTV983048 RDR983048 RNN983048 RXJ983048 SHF983048 SRB983048 TAX983048 TKT983048 TUP983048 UEL983048 UOH983048 UYD983048 VHZ983048 VRV983048 WBR983048 WLN983048 WVJ983048"/>
    <dataValidation type="list" allowBlank="1" showInputMessage="1" showErrorMessage="1" sqref="Y2:AA506">
      <formula1>$AV$2:$AV$24</formula1>
    </dataValidation>
    <dataValidation type="list" allowBlank="1" showInputMessage="1" showErrorMessage="1" sqref="A2:A506 A65544:A65621 A131080:A131157 A196616:A196693 A262152:A262229 A327688:A327765 A393224:A393301 A458760:A458837 A524296:A524373 A589832:A589909 A655368:A655445 A720904:A720981 A786440:A786517 A851976:A852053 A917512:A917589 A983048:A983125 IW2:IW85 IW65544:IW65621 IW131080:IW131157 IW196616:IW196693 IW262152:IW262229 IW327688:IW327765 IW393224:IW393301 IW458760:IW458837 IW524296:IW524373 IW589832:IW589909 IW655368:IW655445 IW720904:IW720981 IW786440:IW786517 IW851976:IW852053 IW917512:IW917589 IW983048:IW983125 SS2:SS85 SS65544:SS65621 SS131080:SS131157 SS196616:SS196693 SS262152:SS262229 SS327688:SS327765 SS393224:SS393301 SS458760:SS458837 SS524296:SS524373 SS589832:SS589909 SS655368:SS655445 SS720904:SS720981 SS786440:SS786517 SS851976:SS852053 SS917512:SS917589 SS983048:SS983125 ACO2:ACO85 ACO65544:ACO65621 ACO131080:ACO131157 ACO196616:ACO196693 ACO262152:ACO262229 ACO327688:ACO327765 ACO393224:ACO393301 ACO458760:ACO458837 ACO524296:ACO524373 ACO589832:ACO589909 ACO655368:ACO655445 ACO720904:ACO720981 ACO786440:ACO786517 ACO851976:ACO852053 ACO917512:ACO917589 ACO983048:ACO983125 AMK2:AMK85 AMK65544:AMK65621 AMK131080:AMK131157 AMK196616:AMK196693 AMK262152:AMK262229 AMK327688:AMK327765 AMK393224:AMK393301 AMK458760:AMK458837 AMK524296:AMK524373 AMK589832:AMK589909 AMK655368:AMK655445 AMK720904:AMK720981 AMK786440:AMK786517 AMK851976:AMK852053 AMK917512:AMK917589 AMK983048:AMK983125 AWG2:AWG85 AWG65544:AWG65621 AWG131080:AWG131157 AWG196616:AWG196693 AWG262152:AWG262229 AWG327688:AWG327765 AWG393224:AWG393301 AWG458760:AWG458837 AWG524296:AWG524373 AWG589832:AWG589909 AWG655368:AWG655445 AWG720904:AWG720981 AWG786440:AWG786517 AWG851976:AWG852053 AWG917512:AWG917589 AWG983048:AWG983125 BGC2:BGC85 BGC65544:BGC65621 BGC131080:BGC131157 BGC196616:BGC196693 BGC262152:BGC262229 BGC327688:BGC327765 BGC393224:BGC393301 BGC458760:BGC458837 BGC524296:BGC524373 BGC589832:BGC589909 BGC655368:BGC655445 BGC720904:BGC720981 BGC786440:BGC786517 BGC851976:BGC852053 BGC917512:BGC917589 BGC983048:BGC983125 BPY2:BPY85 BPY65544:BPY65621 BPY131080:BPY131157 BPY196616:BPY196693 BPY262152:BPY262229 BPY327688:BPY327765 BPY393224:BPY393301 BPY458760:BPY458837 BPY524296:BPY524373 BPY589832:BPY589909 BPY655368:BPY655445 BPY720904:BPY720981 BPY786440:BPY786517 BPY851976:BPY852053 BPY917512:BPY917589 BPY983048:BPY983125 BZU2:BZU85 BZU65544:BZU65621 BZU131080:BZU131157 BZU196616:BZU196693 BZU262152:BZU262229 BZU327688:BZU327765 BZU393224:BZU393301 BZU458760:BZU458837 BZU524296:BZU524373 BZU589832:BZU589909 BZU655368:BZU655445 BZU720904:BZU720981 BZU786440:BZU786517 BZU851976:BZU852053 BZU917512:BZU917589 BZU983048:BZU983125 CJQ2:CJQ85 CJQ65544:CJQ65621 CJQ131080:CJQ131157 CJQ196616:CJQ196693 CJQ262152:CJQ262229 CJQ327688:CJQ327765 CJQ393224:CJQ393301 CJQ458760:CJQ458837 CJQ524296:CJQ524373 CJQ589832:CJQ589909 CJQ655368:CJQ655445 CJQ720904:CJQ720981 CJQ786440:CJQ786517 CJQ851976:CJQ852053 CJQ917512:CJQ917589 CJQ983048:CJQ983125 CTM2:CTM85 CTM65544:CTM65621 CTM131080:CTM131157 CTM196616:CTM196693 CTM262152:CTM262229 CTM327688:CTM327765 CTM393224:CTM393301 CTM458760:CTM458837 CTM524296:CTM524373 CTM589832:CTM589909 CTM655368:CTM655445 CTM720904:CTM720981 CTM786440:CTM786517 CTM851976:CTM852053 CTM917512:CTM917589 CTM983048:CTM983125 DDI2:DDI85 DDI65544:DDI65621 DDI131080:DDI131157 DDI196616:DDI196693 DDI262152:DDI262229 DDI327688:DDI327765 DDI393224:DDI393301 DDI458760:DDI458837 DDI524296:DDI524373 DDI589832:DDI589909 DDI655368:DDI655445 DDI720904:DDI720981 DDI786440:DDI786517 DDI851976:DDI852053 DDI917512:DDI917589 DDI983048:DDI983125 DNE2:DNE85 DNE65544:DNE65621 DNE131080:DNE131157 DNE196616:DNE196693 DNE262152:DNE262229 DNE327688:DNE327765 DNE393224:DNE393301 DNE458760:DNE458837 DNE524296:DNE524373 DNE589832:DNE589909 DNE655368:DNE655445 DNE720904:DNE720981 DNE786440:DNE786517 DNE851976:DNE852053 DNE917512:DNE917589 DNE983048:DNE983125 DXA2:DXA85 DXA65544:DXA65621 DXA131080:DXA131157 DXA196616:DXA196693 DXA262152:DXA262229 DXA327688:DXA327765 DXA393224:DXA393301 DXA458760:DXA458837 DXA524296:DXA524373 DXA589832:DXA589909 DXA655368:DXA655445 DXA720904:DXA720981 DXA786440:DXA786517 DXA851976:DXA852053 DXA917512:DXA917589 DXA983048:DXA983125 EGW2:EGW85 EGW65544:EGW65621 EGW131080:EGW131157 EGW196616:EGW196693 EGW262152:EGW262229 EGW327688:EGW327765 EGW393224:EGW393301 EGW458760:EGW458837 EGW524296:EGW524373 EGW589832:EGW589909 EGW655368:EGW655445 EGW720904:EGW720981 EGW786440:EGW786517 EGW851976:EGW852053 EGW917512:EGW917589 EGW983048:EGW983125 EQS2:EQS85 EQS65544:EQS65621 EQS131080:EQS131157 EQS196616:EQS196693 EQS262152:EQS262229 EQS327688:EQS327765 EQS393224:EQS393301 EQS458760:EQS458837 EQS524296:EQS524373 EQS589832:EQS589909 EQS655368:EQS655445 EQS720904:EQS720981 EQS786440:EQS786517 EQS851976:EQS852053 EQS917512:EQS917589 EQS983048:EQS983125 FAO2:FAO85 FAO65544:FAO65621 FAO131080:FAO131157 FAO196616:FAO196693 FAO262152:FAO262229 FAO327688:FAO327765 FAO393224:FAO393301 FAO458760:FAO458837 FAO524296:FAO524373 FAO589832:FAO589909 FAO655368:FAO655445 FAO720904:FAO720981 FAO786440:FAO786517 FAO851976:FAO852053 FAO917512:FAO917589 FAO983048:FAO983125 FKK2:FKK85 FKK65544:FKK65621 FKK131080:FKK131157 FKK196616:FKK196693 FKK262152:FKK262229 FKK327688:FKK327765 FKK393224:FKK393301 FKK458760:FKK458837 FKK524296:FKK524373 FKK589832:FKK589909 FKK655368:FKK655445 FKK720904:FKK720981 FKK786440:FKK786517 FKK851976:FKK852053 FKK917512:FKK917589 FKK983048:FKK983125 FUG2:FUG85 FUG65544:FUG65621 FUG131080:FUG131157 FUG196616:FUG196693 FUG262152:FUG262229 FUG327688:FUG327765 FUG393224:FUG393301 FUG458760:FUG458837 FUG524296:FUG524373 FUG589832:FUG589909 FUG655368:FUG655445 FUG720904:FUG720981 FUG786440:FUG786517 FUG851976:FUG852053 FUG917512:FUG917589 FUG983048:FUG983125 GEC2:GEC85 GEC65544:GEC65621 GEC131080:GEC131157 GEC196616:GEC196693 GEC262152:GEC262229 GEC327688:GEC327765 GEC393224:GEC393301 GEC458760:GEC458837 GEC524296:GEC524373 GEC589832:GEC589909 GEC655368:GEC655445 GEC720904:GEC720981 GEC786440:GEC786517 GEC851976:GEC852053 GEC917512:GEC917589 GEC983048:GEC983125 GNY2:GNY85 GNY65544:GNY65621 GNY131080:GNY131157 GNY196616:GNY196693 GNY262152:GNY262229 GNY327688:GNY327765 GNY393224:GNY393301 GNY458760:GNY458837 GNY524296:GNY524373 GNY589832:GNY589909 GNY655368:GNY655445 GNY720904:GNY720981 GNY786440:GNY786517 GNY851976:GNY852053 GNY917512:GNY917589 GNY983048:GNY983125 GXU2:GXU85 GXU65544:GXU65621 GXU131080:GXU131157 GXU196616:GXU196693 GXU262152:GXU262229 GXU327688:GXU327765 GXU393224:GXU393301 GXU458760:GXU458837 GXU524296:GXU524373 GXU589832:GXU589909 GXU655368:GXU655445 GXU720904:GXU720981 GXU786440:GXU786517 GXU851976:GXU852053 GXU917512:GXU917589 GXU983048:GXU983125 HHQ2:HHQ85 HHQ65544:HHQ65621 HHQ131080:HHQ131157 HHQ196616:HHQ196693 HHQ262152:HHQ262229 HHQ327688:HHQ327765 HHQ393224:HHQ393301 HHQ458760:HHQ458837 HHQ524296:HHQ524373 HHQ589832:HHQ589909 HHQ655368:HHQ655445 HHQ720904:HHQ720981 HHQ786440:HHQ786517 HHQ851976:HHQ852053 HHQ917512:HHQ917589 HHQ983048:HHQ983125 HRM2:HRM85 HRM65544:HRM65621 HRM131080:HRM131157 HRM196616:HRM196693 HRM262152:HRM262229 HRM327688:HRM327765 HRM393224:HRM393301 HRM458760:HRM458837 HRM524296:HRM524373 HRM589832:HRM589909 HRM655368:HRM655445 HRM720904:HRM720981 HRM786440:HRM786517 HRM851976:HRM852053 HRM917512:HRM917589 HRM983048:HRM983125 IBI2:IBI85 IBI65544:IBI65621 IBI131080:IBI131157 IBI196616:IBI196693 IBI262152:IBI262229 IBI327688:IBI327765 IBI393224:IBI393301 IBI458760:IBI458837 IBI524296:IBI524373 IBI589832:IBI589909 IBI655368:IBI655445 IBI720904:IBI720981 IBI786440:IBI786517 IBI851976:IBI852053 IBI917512:IBI917589 IBI983048:IBI983125 ILE2:ILE85 ILE65544:ILE65621 ILE131080:ILE131157 ILE196616:ILE196693 ILE262152:ILE262229 ILE327688:ILE327765 ILE393224:ILE393301 ILE458760:ILE458837 ILE524296:ILE524373 ILE589832:ILE589909 ILE655368:ILE655445 ILE720904:ILE720981 ILE786440:ILE786517 ILE851976:ILE852053 ILE917512:ILE917589 ILE983048:ILE983125 IVA2:IVA85 IVA65544:IVA65621 IVA131080:IVA131157 IVA196616:IVA196693 IVA262152:IVA262229 IVA327688:IVA327765 IVA393224:IVA393301 IVA458760:IVA458837 IVA524296:IVA524373 IVA589832:IVA589909 IVA655368:IVA655445 IVA720904:IVA720981 IVA786440:IVA786517 IVA851976:IVA852053 IVA917512:IVA917589 IVA983048:IVA983125 JEW2:JEW85 JEW65544:JEW65621 JEW131080:JEW131157 JEW196616:JEW196693 JEW262152:JEW262229 JEW327688:JEW327765 JEW393224:JEW393301 JEW458760:JEW458837 JEW524296:JEW524373 JEW589832:JEW589909 JEW655368:JEW655445 JEW720904:JEW720981 JEW786440:JEW786517 JEW851976:JEW852053 JEW917512:JEW917589 JEW983048:JEW983125 JOS2:JOS85 JOS65544:JOS65621 JOS131080:JOS131157 JOS196616:JOS196693 JOS262152:JOS262229 JOS327688:JOS327765 JOS393224:JOS393301 JOS458760:JOS458837 JOS524296:JOS524373 JOS589832:JOS589909 JOS655368:JOS655445 JOS720904:JOS720981 JOS786440:JOS786517 JOS851976:JOS852053 JOS917512:JOS917589 JOS983048:JOS983125 JYO2:JYO85 JYO65544:JYO65621 JYO131080:JYO131157 JYO196616:JYO196693 JYO262152:JYO262229 JYO327688:JYO327765 JYO393224:JYO393301 JYO458760:JYO458837 JYO524296:JYO524373 JYO589832:JYO589909 JYO655368:JYO655445 JYO720904:JYO720981 JYO786440:JYO786517 JYO851976:JYO852053 JYO917512:JYO917589 JYO983048:JYO983125 KIK2:KIK85 KIK65544:KIK65621 KIK131080:KIK131157 KIK196616:KIK196693 KIK262152:KIK262229 KIK327688:KIK327765 KIK393224:KIK393301 KIK458760:KIK458837 KIK524296:KIK524373 KIK589832:KIK589909 KIK655368:KIK655445 KIK720904:KIK720981 KIK786440:KIK786517 KIK851976:KIK852053 KIK917512:KIK917589 KIK983048:KIK983125 KSG2:KSG85 KSG65544:KSG65621 KSG131080:KSG131157 KSG196616:KSG196693 KSG262152:KSG262229 KSG327688:KSG327765 KSG393224:KSG393301 KSG458760:KSG458837 KSG524296:KSG524373 KSG589832:KSG589909 KSG655368:KSG655445 KSG720904:KSG720981 KSG786440:KSG786517 KSG851976:KSG852053 KSG917512:KSG917589 KSG983048:KSG983125 LCC2:LCC85 LCC65544:LCC65621 LCC131080:LCC131157 LCC196616:LCC196693 LCC262152:LCC262229 LCC327688:LCC327765 LCC393224:LCC393301 LCC458760:LCC458837 LCC524296:LCC524373 LCC589832:LCC589909 LCC655368:LCC655445 LCC720904:LCC720981 LCC786440:LCC786517 LCC851976:LCC852053 LCC917512:LCC917589 LCC983048:LCC983125 LLY2:LLY85 LLY65544:LLY65621 LLY131080:LLY131157 LLY196616:LLY196693 LLY262152:LLY262229 LLY327688:LLY327765 LLY393224:LLY393301 LLY458760:LLY458837 LLY524296:LLY524373 LLY589832:LLY589909 LLY655368:LLY655445 LLY720904:LLY720981 LLY786440:LLY786517 LLY851976:LLY852053 LLY917512:LLY917589 LLY983048:LLY983125 LVU2:LVU85 LVU65544:LVU65621 LVU131080:LVU131157 LVU196616:LVU196693 LVU262152:LVU262229 LVU327688:LVU327765 LVU393224:LVU393301 LVU458760:LVU458837 LVU524296:LVU524373 LVU589832:LVU589909 LVU655368:LVU655445 LVU720904:LVU720981 LVU786440:LVU786517 LVU851976:LVU852053 LVU917512:LVU917589 LVU983048:LVU983125 MFQ2:MFQ85 MFQ65544:MFQ65621 MFQ131080:MFQ131157 MFQ196616:MFQ196693 MFQ262152:MFQ262229 MFQ327688:MFQ327765 MFQ393224:MFQ393301 MFQ458760:MFQ458837 MFQ524296:MFQ524373 MFQ589832:MFQ589909 MFQ655368:MFQ655445 MFQ720904:MFQ720981 MFQ786440:MFQ786517 MFQ851976:MFQ852053 MFQ917512:MFQ917589 MFQ983048:MFQ983125 MPM2:MPM85 MPM65544:MPM65621 MPM131080:MPM131157 MPM196616:MPM196693 MPM262152:MPM262229 MPM327688:MPM327765 MPM393224:MPM393301 MPM458760:MPM458837 MPM524296:MPM524373 MPM589832:MPM589909 MPM655368:MPM655445 MPM720904:MPM720981 MPM786440:MPM786517 MPM851976:MPM852053 MPM917512:MPM917589 MPM983048:MPM983125 MZI2:MZI85 MZI65544:MZI65621 MZI131080:MZI131157 MZI196616:MZI196693 MZI262152:MZI262229 MZI327688:MZI327765 MZI393224:MZI393301 MZI458760:MZI458837 MZI524296:MZI524373 MZI589832:MZI589909 MZI655368:MZI655445 MZI720904:MZI720981 MZI786440:MZI786517 MZI851976:MZI852053 MZI917512:MZI917589 MZI983048:MZI983125 NJE2:NJE85 NJE65544:NJE65621 NJE131080:NJE131157 NJE196616:NJE196693 NJE262152:NJE262229 NJE327688:NJE327765 NJE393224:NJE393301 NJE458760:NJE458837 NJE524296:NJE524373 NJE589832:NJE589909 NJE655368:NJE655445 NJE720904:NJE720981 NJE786440:NJE786517 NJE851976:NJE852053 NJE917512:NJE917589 NJE983048:NJE983125 NTA2:NTA85 NTA65544:NTA65621 NTA131080:NTA131157 NTA196616:NTA196693 NTA262152:NTA262229 NTA327688:NTA327765 NTA393224:NTA393301 NTA458760:NTA458837 NTA524296:NTA524373 NTA589832:NTA589909 NTA655368:NTA655445 NTA720904:NTA720981 NTA786440:NTA786517 NTA851976:NTA852053 NTA917512:NTA917589 NTA983048:NTA983125 OCW2:OCW85 OCW65544:OCW65621 OCW131080:OCW131157 OCW196616:OCW196693 OCW262152:OCW262229 OCW327688:OCW327765 OCW393224:OCW393301 OCW458760:OCW458837 OCW524296:OCW524373 OCW589832:OCW589909 OCW655368:OCW655445 OCW720904:OCW720981 OCW786440:OCW786517 OCW851976:OCW852053 OCW917512:OCW917589 OCW983048:OCW983125 OMS2:OMS85 OMS65544:OMS65621 OMS131080:OMS131157 OMS196616:OMS196693 OMS262152:OMS262229 OMS327688:OMS327765 OMS393224:OMS393301 OMS458760:OMS458837 OMS524296:OMS524373 OMS589832:OMS589909 OMS655368:OMS655445 OMS720904:OMS720981 OMS786440:OMS786517 OMS851976:OMS852053 OMS917512:OMS917589 OMS983048:OMS983125 OWO2:OWO85 OWO65544:OWO65621 OWO131080:OWO131157 OWO196616:OWO196693 OWO262152:OWO262229 OWO327688:OWO327765 OWO393224:OWO393301 OWO458760:OWO458837 OWO524296:OWO524373 OWO589832:OWO589909 OWO655368:OWO655445 OWO720904:OWO720981 OWO786440:OWO786517 OWO851976:OWO852053 OWO917512:OWO917589 OWO983048:OWO983125 PGK2:PGK85 PGK65544:PGK65621 PGK131080:PGK131157 PGK196616:PGK196693 PGK262152:PGK262229 PGK327688:PGK327765 PGK393224:PGK393301 PGK458760:PGK458837 PGK524296:PGK524373 PGK589832:PGK589909 PGK655368:PGK655445 PGK720904:PGK720981 PGK786440:PGK786517 PGK851976:PGK852053 PGK917512:PGK917589 PGK983048:PGK983125 PQG2:PQG85 PQG65544:PQG65621 PQG131080:PQG131157 PQG196616:PQG196693 PQG262152:PQG262229 PQG327688:PQG327765 PQG393224:PQG393301 PQG458760:PQG458837 PQG524296:PQG524373 PQG589832:PQG589909 PQG655368:PQG655445 PQG720904:PQG720981 PQG786440:PQG786517 PQG851976:PQG852053 PQG917512:PQG917589 PQG983048:PQG983125 QAC2:QAC85 QAC65544:QAC65621 QAC131080:QAC131157 QAC196616:QAC196693 QAC262152:QAC262229 QAC327688:QAC327765 QAC393224:QAC393301 QAC458760:QAC458837 QAC524296:QAC524373 QAC589832:QAC589909 QAC655368:QAC655445 QAC720904:QAC720981 QAC786440:QAC786517 QAC851976:QAC852053 QAC917512:QAC917589 QAC983048:QAC983125 QJY2:QJY85 QJY65544:QJY65621 QJY131080:QJY131157 QJY196616:QJY196693 QJY262152:QJY262229 QJY327688:QJY327765 QJY393224:QJY393301 QJY458760:QJY458837 QJY524296:QJY524373 QJY589832:QJY589909 QJY655368:QJY655445 QJY720904:QJY720981 QJY786440:QJY786517 QJY851976:QJY852053 QJY917512:QJY917589 QJY983048:QJY983125 QTU2:QTU85 QTU65544:QTU65621 QTU131080:QTU131157 QTU196616:QTU196693 QTU262152:QTU262229 QTU327688:QTU327765 QTU393224:QTU393301 QTU458760:QTU458837 QTU524296:QTU524373 QTU589832:QTU589909 QTU655368:QTU655445 QTU720904:QTU720981 QTU786440:QTU786517 QTU851976:QTU852053 QTU917512:QTU917589 QTU983048:QTU983125 RDQ2:RDQ85 RDQ65544:RDQ65621 RDQ131080:RDQ131157 RDQ196616:RDQ196693 RDQ262152:RDQ262229 RDQ327688:RDQ327765 RDQ393224:RDQ393301 RDQ458760:RDQ458837 RDQ524296:RDQ524373 RDQ589832:RDQ589909 RDQ655368:RDQ655445 RDQ720904:RDQ720981 RDQ786440:RDQ786517 RDQ851976:RDQ852053 RDQ917512:RDQ917589 RDQ983048:RDQ983125 RNM2:RNM85 RNM65544:RNM65621 RNM131080:RNM131157 RNM196616:RNM196693 RNM262152:RNM262229 RNM327688:RNM327765 RNM393224:RNM393301 RNM458760:RNM458837 RNM524296:RNM524373 RNM589832:RNM589909 RNM655368:RNM655445 RNM720904:RNM720981 RNM786440:RNM786517 RNM851976:RNM852053 RNM917512:RNM917589 RNM983048:RNM983125 RXI2:RXI85 RXI65544:RXI65621 RXI131080:RXI131157 RXI196616:RXI196693 RXI262152:RXI262229 RXI327688:RXI327765 RXI393224:RXI393301 RXI458760:RXI458837 RXI524296:RXI524373 RXI589832:RXI589909 RXI655368:RXI655445 RXI720904:RXI720981 RXI786440:RXI786517 RXI851976:RXI852053 RXI917512:RXI917589 RXI983048:RXI983125 SHE2:SHE85 SHE65544:SHE65621 SHE131080:SHE131157 SHE196616:SHE196693 SHE262152:SHE262229 SHE327688:SHE327765 SHE393224:SHE393301 SHE458760:SHE458837 SHE524296:SHE524373 SHE589832:SHE589909 SHE655368:SHE655445 SHE720904:SHE720981 SHE786440:SHE786517 SHE851976:SHE852053 SHE917512:SHE917589 SHE983048:SHE983125 SRA2:SRA85 SRA65544:SRA65621 SRA131080:SRA131157 SRA196616:SRA196693 SRA262152:SRA262229 SRA327688:SRA327765 SRA393224:SRA393301 SRA458760:SRA458837 SRA524296:SRA524373 SRA589832:SRA589909 SRA655368:SRA655445 SRA720904:SRA720981 SRA786440:SRA786517 SRA851976:SRA852053 SRA917512:SRA917589 SRA983048:SRA983125 TAW2:TAW85 TAW65544:TAW65621 TAW131080:TAW131157 TAW196616:TAW196693 TAW262152:TAW262229 TAW327688:TAW327765 TAW393224:TAW393301 TAW458760:TAW458837 TAW524296:TAW524373 TAW589832:TAW589909 TAW655368:TAW655445 TAW720904:TAW720981 TAW786440:TAW786517 TAW851976:TAW852053 TAW917512:TAW917589 TAW983048:TAW983125 TKS2:TKS85 TKS65544:TKS65621 TKS131080:TKS131157 TKS196616:TKS196693 TKS262152:TKS262229 TKS327688:TKS327765 TKS393224:TKS393301 TKS458760:TKS458837 TKS524296:TKS524373 TKS589832:TKS589909 TKS655368:TKS655445 TKS720904:TKS720981 TKS786440:TKS786517 TKS851976:TKS852053 TKS917512:TKS917589 TKS983048:TKS983125 TUO2:TUO85 TUO65544:TUO65621 TUO131080:TUO131157 TUO196616:TUO196693 TUO262152:TUO262229 TUO327688:TUO327765 TUO393224:TUO393301 TUO458760:TUO458837 TUO524296:TUO524373 TUO589832:TUO589909 TUO655368:TUO655445 TUO720904:TUO720981 TUO786440:TUO786517 TUO851976:TUO852053 TUO917512:TUO917589 TUO983048:TUO983125 UEK2:UEK85 UEK65544:UEK65621 UEK131080:UEK131157 UEK196616:UEK196693 UEK262152:UEK262229 UEK327688:UEK327765 UEK393224:UEK393301 UEK458760:UEK458837 UEK524296:UEK524373 UEK589832:UEK589909 UEK655368:UEK655445 UEK720904:UEK720981 UEK786440:UEK786517 UEK851976:UEK852053 UEK917512:UEK917589 UEK983048:UEK983125 UOG2:UOG85 UOG65544:UOG65621 UOG131080:UOG131157 UOG196616:UOG196693 UOG262152:UOG262229 UOG327688:UOG327765 UOG393224:UOG393301 UOG458760:UOG458837 UOG524296:UOG524373 UOG589832:UOG589909 UOG655368:UOG655445 UOG720904:UOG720981 UOG786440:UOG786517 UOG851976:UOG852053 UOG917512:UOG917589 UOG983048:UOG983125 UYC2:UYC85 UYC65544:UYC65621 UYC131080:UYC131157 UYC196616:UYC196693 UYC262152:UYC262229 UYC327688:UYC327765 UYC393224:UYC393301 UYC458760:UYC458837 UYC524296:UYC524373 UYC589832:UYC589909 UYC655368:UYC655445 UYC720904:UYC720981 UYC786440:UYC786517 UYC851976:UYC852053 UYC917512:UYC917589 UYC983048:UYC983125 VHY2:VHY85 VHY65544:VHY65621 VHY131080:VHY131157 VHY196616:VHY196693 VHY262152:VHY262229 VHY327688:VHY327765 VHY393224:VHY393301 VHY458760:VHY458837 VHY524296:VHY524373 VHY589832:VHY589909 VHY655368:VHY655445 VHY720904:VHY720981 VHY786440:VHY786517 VHY851976:VHY852053 VHY917512:VHY917589 VHY983048:VHY983125 VRU2:VRU85 VRU65544:VRU65621 VRU131080:VRU131157 VRU196616:VRU196693 VRU262152:VRU262229 VRU327688:VRU327765 VRU393224:VRU393301 VRU458760:VRU458837 VRU524296:VRU524373 VRU589832:VRU589909 VRU655368:VRU655445 VRU720904:VRU720981 VRU786440:VRU786517 VRU851976:VRU852053 VRU917512:VRU917589 VRU983048:VRU983125 WBQ2:WBQ85 WBQ65544:WBQ65621 WBQ131080:WBQ131157 WBQ196616:WBQ196693 WBQ262152:WBQ262229 WBQ327688:WBQ327765 WBQ393224:WBQ393301 WBQ458760:WBQ458837 WBQ524296:WBQ524373 WBQ589832:WBQ589909 WBQ655368:WBQ655445 WBQ720904:WBQ720981 WBQ786440:WBQ786517 WBQ851976:WBQ852053 WBQ917512:WBQ917589 WBQ983048:WBQ983125 WLM2:WLM85 WLM65544:WLM65621 WLM131080:WLM131157 WLM196616:WLM196693 WLM262152:WLM262229 WLM327688:WLM327765 WLM393224:WLM393301 WLM458760:WLM458837 WLM524296:WLM524373 WLM589832:WLM589909 WLM655368:WLM655445 WLM720904:WLM720981 WLM786440:WLM786517 WLM851976:WLM852053 WLM917512:WLM917589 WLM983048:WLM983125 WVI2:WVI85 WVI65544:WVI65621 WVI131080:WVI131157 WVI196616:WVI196693 WVI262152:WVI262229 WVI327688:WVI327765 WVI393224:WVI393301 WVI458760:WVI458837 WVI524296:WVI524373 WVI589832:WVI589909 WVI655368:WVI655445 WVI720904:WVI720981 WVI786440:WVI786517 WVI851976:WVI852053 WVI917512:WVI917589 WVI983048:WVI983125">
      <formula1>$AE$2:$AE$22</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70" zoomScaleNormal="70" workbookViewId="0">
      <selection activeCell="N31" sqref="N31"/>
    </sheetView>
  </sheetViews>
  <sheetFormatPr defaultRowHeight="13.5" x14ac:dyDescent="0.15"/>
  <cols>
    <col min="1" max="3" width="9" style="140" customWidth="1"/>
    <col min="4" max="4" width="10.5" style="140" customWidth="1"/>
    <col min="5" max="5" width="11.25" style="140" bestFit="1" customWidth="1"/>
    <col min="6" max="7" width="9" style="140"/>
    <col min="8" max="10" width="9" style="140" customWidth="1"/>
    <col min="11" max="11" width="11.375" style="140" customWidth="1"/>
    <col min="12" max="16" width="9" style="140" customWidth="1"/>
    <col min="17" max="17" width="9" style="149" customWidth="1"/>
    <col min="18" max="18" width="9" style="140"/>
    <col min="19" max="19" width="9.5" style="140" bestFit="1" customWidth="1"/>
    <col min="20" max="20" width="9" style="149" customWidth="1"/>
    <col min="21" max="21" width="9" style="140"/>
    <col min="22" max="22" width="9" style="149" customWidth="1"/>
    <col min="23" max="28" width="9" style="140"/>
    <col min="29" max="29" width="26.5" style="140" customWidth="1"/>
    <col min="30" max="32" width="9" style="140"/>
    <col min="33" max="33" width="15.75" style="140" bestFit="1" customWidth="1"/>
    <col min="34" max="34" width="15" style="140" bestFit="1" customWidth="1"/>
    <col min="35" max="256" width="9" style="140"/>
    <col min="257" max="259" width="9" style="140" customWidth="1"/>
    <col min="260" max="260" width="10.5" style="140" customWidth="1"/>
    <col min="261" max="261" width="11.25" style="140" bestFit="1" customWidth="1"/>
    <col min="262" max="263" width="9" style="140"/>
    <col min="264" max="273" width="9" style="140" customWidth="1"/>
    <col min="274" max="274" width="9" style="140"/>
    <col min="275" max="275" width="9.5" style="140" bestFit="1" customWidth="1"/>
    <col min="276" max="276" width="9" style="140" customWidth="1"/>
    <col min="277" max="277" width="9" style="140"/>
    <col min="278" max="278" width="9" style="140" customWidth="1"/>
    <col min="279" max="284" width="9" style="140"/>
    <col min="285" max="285" width="26.5" style="140" customWidth="1"/>
    <col min="286" max="288" width="9" style="140"/>
    <col min="289" max="289" width="14.75" style="140" bestFit="1" customWidth="1"/>
    <col min="290" max="512" width="9" style="140"/>
    <col min="513" max="515" width="9" style="140" customWidth="1"/>
    <col min="516" max="516" width="10.5" style="140" customWidth="1"/>
    <col min="517" max="517" width="11.25" style="140" bestFit="1" customWidth="1"/>
    <col min="518" max="519" width="9" style="140"/>
    <col min="520" max="529" width="9" style="140" customWidth="1"/>
    <col min="530" max="530" width="9" style="140"/>
    <col min="531" max="531" width="9.5" style="140" bestFit="1" customWidth="1"/>
    <col min="532" max="532" width="9" style="140" customWidth="1"/>
    <col min="533" max="533" width="9" style="140"/>
    <col min="534" max="534" width="9" style="140" customWidth="1"/>
    <col min="535" max="540" width="9" style="140"/>
    <col min="541" max="541" width="26.5" style="140" customWidth="1"/>
    <col min="542" max="544" width="9" style="140"/>
    <col min="545" max="545" width="14.75" style="140" bestFit="1" customWidth="1"/>
    <col min="546" max="768" width="9" style="140"/>
    <col min="769" max="771" width="9" style="140" customWidth="1"/>
    <col min="772" max="772" width="10.5" style="140" customWidth="1"/>
    <col min="773" max="773" width="11.25" style="140" bestFit="1" customWidth="1"/>
    <col min="774" max="775" width="9" style="140"/>
    <col min="776" max="785" width="9" style="140" customWidth="1"/>
    <col min="786" max="786" width="9" style="140"/>
    <col min="787" max="787" width="9.5" style="140" bestFit="1" customWidth="1"/>
    <col min="788" max="788" width="9" style="140" customWidth="1"/>
    <col min="789" max="789" width="9" style="140"/>
    <col min="790" max="790" width="9" style="140" customWidth="1"/>
    <col min="791" max="796" width="9" style="140"/>
    <col min="797" max="797" width="26.5" style="140" customWidth="1"/>
    <col min="798" max="800" width="9" style="140"/>
    <col min="801" max="801" width="14.75" style="140" bestFit="1" customWidth="1"/>
    <col min="802" max="1024" width="9" style="140"/>
    <col min="1025" max="1027" width="9" style="140" customWidth="1"/>
    <col min="1028" max="1028" width="10.5" style="140" customWidth="1"/>
    <col min="1029" max="1029" width="11.25" style="140" bestFit="1" customWidth="1"/>
    <col min="1030" max="1031" width="9" style="140"/>
    <col min="1032" max="1041" width="9" style="140" customWidth="1"/>
    <col min="1042" max="1042" width="9" style="140"/>
    <col min="1043" max="1043" width="9.5" style="140" bestFit="1" customWidth="1"/>
    <col min="1044" max="1044" width="9" style="140" customWidth="1"/>
    <col min="1045" max="1045" width="9" style="140"/>
    <col min="1046" max="1046" width="9" style="140" customWidth="1"/>
    <col min="1047" max="1052" width="9" style="140"/>
    <col min="1053" max="1053" width="26.5" style="140" customWidth="1"/>
    <col min="1054" max="1056" width="9" style="140"/>
    <col min="1057" max="1057" width="14.75" style="140" bestFit="1" customWidth="1"/>
    <col min="1058" max="1280" width="9" style="140"/>
    <col min="1281" max="1283" width="9" style="140" customWidth="1"/>
    <col min="1284" max="1284" width="10.5" style="140" customWidth="1"/>
    <col min="1285" max="1285" width="11.25" style="140" bestFit="1" customWidth="1"/>
    <col min="1286" max="1287" width="9" style="140"/>
    <col min="1288" max="1297" width="9" style="140" customWidth="1"/>
    <col min="1298" max="1298" width="9" style="140"/>
    <col min="1299" max="1299" width="9.5" style="140" bestFit="1" customWidth="1"/>
    <col min="1300" max="1300" width="9" style="140" customWidth="1"/>
    <col min="1301" max="1301" width="9" style="140"/>
    <col min="1302" max="1302" width="9" style="140" customWidth="1"/>
    <col min="1303" max="1308" width="9" style="140"/>
    <col min="1309" max="1309" width="26.5" style="140" customWidth="1"/>
    <col min="1310" max="1312" width="9" style="140"/>
    <col min="1313" max="1313" width="14.75" style="140" bestFit="1" customWidth="1"/>
    <col min="1314" max="1536" width="9" style="140"/>
    <col min="1537" max="1539" width="9" style="140" customWidth="1"/>
    <col min="1540" max="1540" width="10.5" style="140" customWidth="1"/>
    <col min="1541" max="1541" width="11.25" style="140" bestFit="1" customWidth="1"/>
    <col min="1542" max="1543" width="9" style="140"/>
    <col min="1544" max="1553" width="9" style="140" customWidth="1"/>
    <col min="1554" max="1554" width="9" style="140"/>
    <col min="1555" max="1555" width="9.5" style="140" bestFit="1" customWidth="1"/>
    <col min="1556" max="1556" width="9" style="140" customWidth="1"/>
    <col min="1557" max="1557" width="9" style="140"/>
    <col min="1558" max="1558" width="9" style="140" customWidth="1"/>
    <col min="1559" max="1564" width="9" style="140"/>
    <col min="1565" max="1565" width="26.5" style="140" customWidth="1"/>
    <col min="1566" max="1568" width="9" style="140"/>
    <col min="1569" max="1569" width="14.75" style="140" bestFit="1" customWidth="1"/>
    <col min="1570" max="1792" width="9" style="140"/>
    <col min="1793" max="1795" width="9" style="140" customWidth="1"/>
    <col min="1796" max="1796" width="10.5" style="140" customWidth="1"/>
    <col min="1797" max="1797" width="11.25" style="140" bestFit="1" customWidth="1"/>
    <col min="1798" max="1799" width="9" style="140"/>
    <col min="1800" max="1809" width="9" style="140" customWidth="1"/>
    <col min="1810" max="1810" width="9" style="140"/>
    <col min="1811" max="1811" width="9.5" style="140" bestFit="1" customWidth="1"/>
    <col min="1812" max="1812" width="9" style="140" customWidth="1"/>
    <col min="1813" max="1813" width="9" style="140"/>
    <col min="1814" max="1814" width="9" style="140" customWidth="1"/>
    <col min="1815" max="1820" width="9" style="140"/>
    <col min="1821" max="1821" width="26.5" style="140" customWidth="1"/>
    <col min="1822" max="1824" width="9" style="140"/>
    <col min="1825" max="1825" width="14.75" style="140" bestFit="1" customWidth="1"/>
    <col min="1826" max="2048" width="9" style="140"/>
    <col min="2049" max="2051" width="9" style="140" customWidth="1"/>
    <col min="2052" max="2052" width="10.5" style="140" customWidth="1"/>
    <col min="2053" max="2053" width="11.25" style="140" bestFit="1" customWidth="1"/>
    <col min="2054" max="2055" width="9" style="140"/>
    <col min="2056" max="2065" width="9" style="140" customWidth="1"/>
    <col min="2066" max="2066" width="9" style="140"/>
    <col min="2067" max="2067" width="9.5" style="140" bestFit="1" customWidth="1"/>
    <col min="2068" max="2068" width="9" style="140" customWidth="1"/>
    <col min="2069" max="2069" width="9" style="140"/>
    <col min="2070" max="2070" width="9" style="140" customWidth="1"/>
    <col min="2071" max="2076" width="9" style="140"/>
    <col min="2077" max="2077" width="26.5" style="140" customWidth="1"/>
    <col min="2078" max="2080" width="9" style="140"/>
    <col min="2081" max="2081" width="14.75" style="140" bestFit="1" customWidth="1"/>
    <col min="2082" max="2304" width="9" style="140"/>
    <col min="2305" max="2307" width="9" style="140" customWidth="1"/>
    <col min="2308" max="2308" width="10.5" style="140" customWidth="1"/>
    <col min="2309" max="2309" width="11.25" style="140" bestFit="1" customWidth="1"/>
    <col min="2310" max="2311" width="9" style="140"/>
    <col min="2312" max="2321" width="9" style="140" customWidth="1"/>
    <col min="2322" max="2322" width="9" style="140"/>
    <col min="2323" max="2323" width="9.5" style="140" bestFit="1" customWidth="1"/>
    <col min="2324" max="2324" width="9" style="140" customWidth="1"/>
    <col min="2325" max="2325" width="9" style="140"/>
    <col min="2326" max="2326" width="9" style="140" customWidth="1"/>
    <col min="2327" max="2332" width="9" style="140"/>
    <col min="2333" max="2333" width="26.5" style="140" customWidth="1"/>
    <col min="2334" max="2336" width="9" style="140"/>
    <col min="2337" max="2337" width="14.75" style="140" bestFit="1" customWidth="1"/>
    <col min="2338" max="2560" width="9" style="140"/>
    <col min="2561" max="2563" width="9" style="140" customWidth="1"/>
    <col min="2564" max="2564" width="10.5" style="140" customWidth="1"/>
    <col min="2565" max="2565" width="11.25" style="140" bestFit="1" customWidth="1"/>
    <col min="2566" max="2567" width="9" style="140"/>
    <col min="2568" max="2577" width="9" style="140" customWidth="1"/>
    <col min="2578" max="2578" width="9" style="140"/>
    <col min="2579" max="2579" width="9.5" style="140" bestFit="1" customWidth="1"/>
    <col min="2580" max="2580" width="9" style="140" customWidth="1"/>
    <col min="2581" max="2581" width="9" style="140"/>
    <col min="2582" max="2582" width="9" style="140" customWidth="1"/>
    <col min="2583" max="2588" width="9" style="140"/>
    <col min="2589" max="2589" width="26.5" style="140" customWidth="1"/>
    <col min="2590" max="2592" width="9" style="140"/>
    <col min="2593" max="2593" width="14.75" style="140" bestFit="1" customWidth="1"/>
    <col min="2594" max="2816" width="9" style="140"/>
    <col min="2817" max="2819" width="9" style="140" customWidth="1"/>
    <col min="2820" max="2820" width="10.5" style="140" customWidth="1"/>
    <col min="2821" max="2821" width="11.25" style="140" bestFit="1" customWidth="1"/>
    <col min="2822" max="2823" width="9" style="140"/>
    <col min="2824" max="2833" width="9" style="140" customWidth="1"/>
    <col min="2834" max="2834" width="9" style="140"/>
    <col min="2835" max="2835" width="9.5" style="140" bestFit="1" customWidth="1"/>
    <col min="2836" max="2836" width="9" style="140" customWidth="1"/>
    <col min="2837" max="2837" width="9" style="140"/>
    <col min="2838" max="2838" width="9" style="140" customWidth="1"/>
    <col min="2839" max="2844" width="9" style="140"/>
    <col min="2845" max="2845" width="26.5" style="140" customWidth="1"/>
    <col min="2846" max="2848" width="9" style="140"/>
    <col min="2849" max="2849" width="14.75" style="140" bestFit="1" customWidth="1"/>
    <col min="2850" max="3072" width="9" style="140"/>
    <col min="3073" max="3075" width="9" style="140" customWidth="1"/>
    <col min="3076" max="3076" width="10.5" style="140" customWidth="1"/>
    <col min="3077" max="3077" width="11.25" style="140" bestFit="1" customWidth="1"/>
    <col min="3078" max="3079" width="9" style="140"/>
    <col min="3080" max="3089" width="9" style="140" customWidth="1"/>
    <col min="3090" max="3090" width="9" style="140"/>
    <col min="3091" max="3091" width="9.5" style="140" bestFit="1" customWidth="1"/>
    <col min="3092" max="3092" width="9" style="140" customWidth="1"/>
    <col min="3093" max="3093" width="9" style="140"/>
    <col min="3094" max="3094" width="9" style="140" customWidth="1"/>
    <col min="3095" max="3100" width="9" style="140"/>
    <col min="3101" max="3101" width="26.5" style="140" customWidth="1"/>
    <col min="3102" max="3104" width="9" style="140"/>
    <col min="3105" max="3105" width="14.75" style="140" bestFit="1" customWidth="1"/>
    <col min="3106" max="3328" width="9" style="140"/>
    <col min="3329" max="3331" width="9" style="140" customWidth="1"/>
    <col min="3332" max="3332" width="10.5" style="140" customWidth="1"/>
    <col min="3333" max="3333" width="11.25" style="140" bestFit="1" customWidth="1"/>
    <col min="3334" max="3335" width="9" style="140"/>
    <col min="3336" max="3345" width="9" style="140" customWidth="1"/>
    <col min="3346" max="3346" width="9" style="140"/>
    <col min="3347" max="3347" width="9.5" style="140" bestFit="1" customWidth="1"/>
    <col min="3348" max="3348" width="9" style="140" customWidth="1"/>
    <col min="3349" max="3349" width="9" style="140"/>
    <col min="3350" max="3350" width="9" style="140" customWidth="1"/>
    <col min="3351" max="3356" width="9" style="140"/>
    <col min="3357" max="3357" width="26.5" style="140" customWidth="1"/>
    <col min="3358" max="3360" width="9" style="140"/>
    <col min="3361" max="3361" width="14.75" style="140" bestFit="1" customWidth="1"/>
    <col min="3362" max="3584" width="9" style="140"/>
    <col min="3585" max="3587" width="9" style="140" customWidth="1"/>
    <col min="3588" max="3588" width="10.5" style="140" customWidth="1"/>
    <col min="3589" max="3589" width="11.25" style="140" bestFit="1" customWidth="1"/>
    <col min="3590" max="3591" width="9" style="140"/>
    <col min="3592" max="3601" width="9" style="140" customWidth="1"/>
    <col min="3602" max="3602" width="9" style="140"/>
    <col min="3603" max="3603" width="9.5" style="140" bestFit="1" customWidth="1"/>
    <col min="3604" max="3604" width="9" style="140" customWidth="1"/>
    <col min="3605" max="3605" width="9" style="140"/>
    <col min="3606" max="3606" width="9" style="140" customWidth="1"/>
    <col min="3607" max="3612" width="9" style="140"/>
    <col min="3613" max="3613" width="26.5" style="140" customWidth="1"/>
    <col min="3614" max="3616" width="9" style="140"/>
    <col min="3617" max="3617" width="14.75" style="140" bestFit="1" customWidth="1"/>
    <col min="3618" max="3840" width="9" style="140"/>
    <col min="3841" max="3843" width="9" style="140" customWidth="1"/>
    <col min="3844" max="3844" width="10.5" style="140" customWidth="1"/>
    <col min="3845" max="3845" width="11.25" style="140" bestFit="1" customWidth="1"/>
    <col min="3846" max="3847" width="9" style="140"/>
    <col min="3848" max="3857" width="9" style="140" customWidth="1"/>
    <col min="3858" max="3858" width="9" style="140"/>
    <col min="3859" max="3859" width="9.5" style="140" bestFit="1" customWidth="1"/>
    <col min="3860" max="3860" width="9" style="140" customWidth="1"/>
    <col min="3861" max="3861" width="9" style="140"/>
    <col min="3862" max="3862" width="9" style="140" customWidth="1"/>
    <col min="3863" max="3868" width="9" style="140"/>
    <col min="3869" max="3869" width="26.5" style="140" customWidth="1"/>
    <col min="3870" max="3872" width="9" style="140"/>
    <col min="3873" max="3873" width="14.75" style="140" bestFit="1" customWidth="1"/>
    <col min="3874" max="4096" width="9" style="140"/>
    <col min="4097" max="4099" width="9" style="140" customWidth="1"/>
    <col min="4100" max="4100" width="10.5" style="140" customWidth="1"/>
    <col min="4101" max="4101" width="11.25" style="140" bestFit="1" customWidth="1"/>
    <col min="4102" max="4103" width="9" style="140"/>
    <col min="4104" max="4113" width="9" style="140" customWidth="1"/>
    <col min="4114" max="4114" width="9" style="140"/>
    <col min="4115" max="4115" width="9.5" style="140" bestFit="1" customWidth="1"/>
    <col min="4116" max="4116" width="9" style="140" customWidth="1"/>
    <col min="4117" max="4117" width="9" style="140"/>
    <col min="4118" max="4118" width="9" style="140" customWidth="1"/>
    <col min="4119" max="4124" width="9" style="140"/>
    <col min="4125" max="4125" width="26.5" style="140" customWidth="1"/>
    <col min="4126" max="4128" width="9" style="140"/>
    <col min="4129" max="4129" width="14.75" style="140" bestFit="1" customWidth="1"/>
    <col min="4130" max="4352" width="9" style="140"/>
    <col min="4353" max="4355" width="9" style="140" customWidth="1"/>
    <col min="4356" max="4356" width="10.5" style="140" customWidth="1"/>
    <col min="4357" max="4357" width="11.25" style="140" bestFit="1" customWidth="1"/>
    <col min="4358" max="4359" width="9" style="140"/>
    <col min="4360" max="4369" width="9" style="140" customWidth="1"/>
    <col min="4370" max="4370" width="9" style="140"/>
    <col min="4371" max="4371" width="9.5" style="140" bestFit="1" customWidth="1"/>
    <col min="4372" max="4372" width="9" style="140" customWidth="1"/>
    <col min="4373" max="4373" width="9" style="140"/>
    <col min="4374" max="4374" width="9" style="140" customWidth="1"/>
    <col min="4375" max="4380" width="9" style="140"/>
    <col min="4381" max="4381" width="26.5" style="140" customWidth="1"/>
    <col min="4382" max="4384" width="9" style="140"/>
    <col min="4385" max="4385" width="14.75" style="140" bestFit="1" customWidth="1"/>
    <col min="4386" max="4608" width="9" style="140"/>
    <col min="4609" max="4611" width="9" style="140" customWidth="1"/>
    <col min="4612" max="4612" width="10.5" style="140" customWidth="1"/>
    <col min="4613" max="4613" width="11.25" style="140" bestFit="1" customWidth="1"/>
    <col min="4614" max="4615" width="9" style="140"/>
    <col min="4616" max="4625" width="9" style="140" customWidth="1"/>
    <col min="4626" max="4626" width="9" style="140"/>
    <col min="4627" max="4627" width="9.5" style="140" bestFit="1" customWidth="1"/>
    <col min="4628" max="4628" width="9" style="140" customWidth="1"/>
    <col min="4629" max="4629" width="9" style="140"/>
    <col min="4630" max="4630" width="9" style="140" customWidth="1"/>
    <col min="4631" max="4636" width="9" style="140"/>
    <col min="4637" max="4637" width="26.5" style="140" customWidth="1"/>
    <col min="4638" max="4640" width="9" style="140"/>
    <col min="4641" max="4641" width="14.75" style="140" bestFit="1" customWidth="1"/>
    <col min="4642" max="4864" width="9" style="140"/>
    <col min="4865" max="4867" width="9" style="140" customWidth="1"/>
    <col min="4868" max="4868" width="10.5" style="140" customWidth="1"/>
    <col min="4869" max="4869" width="11.25" style="140" bestFit="1" customWidth="1"/>
    <col min="4870" max="4871" width="9" style="140"/>
    <col min="4872" max="4881" width="9" style="140" customWidth="1"/>
    <col min="4882" max="4882" width="9" style="140"/>
    <col min="4883" max="4883" width="9.5" style="140" bestFit="1" customWidth="1"/>
    <col min="4884" max="4884" width="9" style="140" customWidth="1"/>
    <col min="4885" max="4885" width="9" style="140"/>
    <col min="4886" max="4886" width="9" style="140" customWidth="1"/>
    <col min="4887" max="4892" width="9" style="140"/>
    <col min="4893" max="4893" width="26.5" style="140" customWidth="1"/>
    <col min="4894" max="4896" width="9" style="140"/>
    <col min="4897" max="4897" width="14.75" style="140" bestFit="1" customWidth="1"/>
    <col min="4898" max="5120" width="9" style="140"/>
    <col min="5121" max="5123" width="9" style="140" customWidth="1"/>
    <col min="5124" max="5124" width="10.5" style="140" customWidth="1"/>
    <col min="5125" max="5125" width="11.25" style="140" bestFit="1" customWidth="1"/>
    <col min="5126" max="5127" width="9" style="140"/>
    <col min="5128" max="5137" width="9" style="140" customWidth="1"/>
    <col min="5138" max="5138" width="9" style="140"/>
    <col min="5139" max="5139" width="9.5" style="140" bestFit="1" customWidth="1"/>
    <col min="5140" max="5140" width="9" style="140" customWidth="1"/>
    <col min="5141" max="5141" width="9" style="140"/>
    <col min="5142" max="5142" width="9" style="140" customWidth="1"/>
    <col min="5143" max="5148" width="9" style="140"/>
    <col min="5149" max="5149" width="26.5" style="140" customWidth="1"/>
    <col min="5150" max="5152" width="9" style="140"/>
    <col min="5153" max="5153" width="14.75" style="140" bestFit="1" customWidth="1"/>
    <col min="5154" max="5376" width="9" style="140"/>
    <col min="5377" max="5379" width="9" style="140" customWidth="1"/>
    <col min="5380" max="5380" width="10.5" style="140" customWidth="1"/>
    <col min="5381" max="5381" width="11.25" style="140" bestFit="1" customWidth="1"/>
    <col min="5382" max="5383" width="9" style="140"/>
    <col min="5384" max="5393" width="9" style="140" customWidth="1"/>
    <col min="5394" max="5394" width="9" style="140"/>
    <col min="5395" max="5395" width="9.5" style="140" bestFit="1" customWidth="1"/>
    <col min="5396" max="5396" width="9" style="140" customWidth="1"/>
    <col min="5397" max="5397" width="9" style="140"/>
    <col min="5398" max="5398" width="9" style="140" customWidth="1"/>
    <col min="5399" max="5404" width="9" style="140"/>
    <col min="5405" max="5405" width="26.5" style="140" customWidth="1"/>
    <col min="5406" max="5408" width="9" style="140"/>
    <col min="5409" max="5409" width="14.75" style="140" bestFit="1" customWidth="1"/>
    <col min="5410" max="5632" width="9" style="140"/>
    <col min="5633" max="5635" width="9" style="140" customWidth="1"/>
    <col min="5636" max="5636" width="10.5" style="140" customWidth="1"/>
    <col min="5637" max="5637" width="11.25" style="140" bestFit="1" customWidth="1"/>
    <col min="5638" max="5639" width="9" style="140"/>
    <col min="5640" max="5649" width="9" style="140" customWidth="1"/>
    <col min="5650" max="5650" width="9" style="140"/>
    <col min="5651" max="5651" width="9.5" style="140" bestFit="1" customWidth="1"/>
    <col min="5652" max="5652" width="9" style="140" customWidth="1"/>
    <col min="5653" max="5653" width="9" style="140"/>
    <col min="5654" max="5654" width="9" style="140" customWidth="1"/>
    <col min="5655" max="5660" width="9" style="140"/>
    <col min="5661" max="5661" width="26.5" style="140" customWidth="1"/>
    <col min="5662" max="5664" width="9" style="140"/>
    <col min="5665" max="5665" width="14.75" style="140" bestFit="1" customWidth="1"/>
    <col min="5666" max="5888" width="9" style="140"/>
    <col min="5889" max="5891" width="9" style="140" customWidth="1"/>
    <col min="5892" max="5892" width="10.5" style="140" customWidth="1"/>
    <col min="5893" max="5893" width="11.25" style="140" bestFit="1" customWidth="1"/>
    <col min="5894" max="5895" width="9" style="140"/>
    <col min="5896" max="5905" width="9" style="140" customWidth="1"/>
    <col min="5906" max="5906" width="9" style="140"/>
    <col min="5907" max="5907" width="9.5" style="140" bestFit="1" customWidth="1"/>
    <col min="5908" max="5908" width="9" style="140" customWidth="1"/>
    <col min="5909" max="5909" width="9" style="140"/>
    <col min="5910" max="5910" width="9" style="140" customWidth="1"/>
    <col min="5911" max="5916" width="9" style="140"/>
    <col min="5917" max="5917" width="26.5" style="140" customWidth="1"/>
    <col min="5918" max="5920" width="9" style="140"/>
    <col min="5921" max="5921" width="14.75" style="140" bestFit="1" customWidth="1"/>
    <col min="5922" max="6144" width="9" style="140"/>
    <col min="6145" max="6147" width="9" style="140" customWidth="1"/>
    <col min="6148" max="6148" width="10.5" style="140" customWidth="1"/>
    <col min="6149" max="6149" width="11.25" style="140" bestFit="1" customWidth="1"/>
    <col min="6150" max="6151" width="9" style="140"/>
    <col min="6152" max="6161" width="9" style="140" customWidth="1"/>
    <col min="6162" max="6162" width="9" style="140"/>
    <col min="6163" max="6163" width="9.5" style="140" bestFit="1" customWidth="1"/>
    <col min="6164" max="6164" width="9" style="140" customWidth="1"/>
    <col min="6165" max="6165" width="9" style="140"/>
    <col min="6166" max="6166" width="9" style="140" customWidth="1"/>
    <col min="6167" max="6172" width="9" style="140"/>
    <col min="6173" max="6173" width="26.5" style="140" customWidth="1"/>
    <col min="6174" max="6176" width="9" style="140"/>
    <col min="6177" max="6177" width="14.75" style="140" bestFit="1" customWidth="1"/>
    <col min="6178" max="6400" width="9" style="140"/>
    <col min="6401" max="6403" width="9" style="140" customWidth="1"/>
    <col min="6404" max="6404" width="10.5" style="140" customWidth="1"/>
    <col min="6405" max="6405" width="11.25" style="140" bestFit="1" customWidth="1"/>
    <col min="6406" max="6407" width="9" style="140"/>
    <col min="6408" max="6417" width="9" style="140" customWidth="1"/>
    <col min="6418" max="6418" width="9" style="140"/>
    <col min="6419" max="6419" width="9.5" style="140" bestFit="1" customWidth="1"/>
    <col min="6420" max="6420" width="9" style="140" customWidth="1"/>
    <col min="6421" max="6421" width="9" style="140"/>
    <col min="6422" max="6422" width="9" style="140" customWidth="1"/>
    <col min="6423" max="6428" width="9" style="140"/>
    <col min="6429" max="6429" width="26.5" style="140" customWidth="1"/>
    <col min="6430" max="6432" width="9" style="140"/>
    <col min="6433" max="6433" width="14.75" style="140" bestFit="1" customWidth="1"/>
    <col min="6434" max="6656" width="9" style="140"/>
    <col min="6657" max="6659" width="9" style="140" customWidth="1"/>
    <col min="6660" max="6660" width="10.5" style="140" customWidth="1"/>
    <col min="6661" max="6661" width="11.25" style="140" bestFit="1" customWidth="1"/>
    <col min="6662" max="6663" width="9" style="140"/>
    <col min="6664" max="6673" width="9" style="140" customWidth="1"/>
    <col min="6674" max="6674" width="9" style="140"/>
    <col min="6675" max="6675" width="9.5" style="140" bestFit="1" customWidth="1"/>
    <col min="6676" max="6676" width="9" style="140" customWidth="1"/>
    <col min="6677" max="6677" width="9" style="140"/>
    <col min="6678" max="6678" width="9" style="140" customWidth="1"/>
    <col min="6679" max="6684" width="9" style="140"/>
    <col min="6685" max="6685" width="26.5" style="140" customWidth="1"/>
    <col min="6686" max="6688" width="9" style="140"/>
    <col min="6689" max="6689" width="14.75" style="140" bestFit="1" customWidth="1"/>
    <col min="6690" max="6912" width="9" style="140"/>
    <col min="6913" max="6915" width="9" style="140" customWidth="1"/>
    <col min="6916" max="6916" width="10.5" style="140" customWidth="1"/>
    <col min="6917" max="6917" width="11.25" style="140" bestFit="1" customWidth="1"/>
    <col min="6918" max="6919" width="9" style="140"/>
    <col min="6920" max="6929" width="9" style="140" customWidth="1"/>
    <col min="6930" max="6930" width="9" style="140"/>
    <col min="6931" max="6931" width="9.5" style="140" bestFit="1" customWidth="1"/>
    <col min="6932" max="6932" width="9" style="140" customWidth="1"/>
    <col min="6933" max="6933" width="9" style="140"/>
    <col min="6934" max="6934" width="9" style="140" customWidth="1"/>
    <col min="6935" max="6940" width="9" style="140"/>
    <col min="6941" max="6941" width="26.5" style="140" customWidth="1"/>
    <col min="6942" max="6944" width="9" style="140"/>
    <col min="6945" max="6945" width="14.75" style="140" bestFit="1" customWidth="1"/>
    <col min="6946" max="7168" width="9" style="140"/>
    <col min="7169" max="7171" width="9" style="140" customWidth="1"/>
    <col min="7172" max="7172" width="10.5" style="140" customWidth="1"/>
    <col min="7173" max="7173" width="11.25" style="140" bestFit="1" customWidth="1"/>
    <col min="7174" max="7175" width="9" style="140"/>
    <col min="7176" max="7185" width="9" style="140" customWidth="1"/>
    <col min="7186" max="7186" width="9" style="140"/>
    <col min="7187" max="7187" width="9.5" style="140" bestFit="1" customWidth="1"/>
    <col min="7188" max="7188" width="9" style="140" customWidth="1"/>
    <col min="7189" max="7189" width="9" style="140"/>
    <col min="7190" max="7190" width="9" style="140" customWidth="1"/>
    <col min="7191" max="7196" width="9" style="140"/>
    <col min="7197" max="7197" width="26.5" style="140" customWidth="1"/>
    <col min="7198" max="7200" width="9" style="140"/>
    <col min="7201" max="7201" width="14.75" style="140" bestFit="1" customWidth="1"/>
    <col min="7202" max="7424" width="9" style="140"/>
    <col min="7425" max="7427" width="9" style="140" customWidth="1"/>
    <col min="7428" max="7428" width="10.5" style="140" customWidth="1"/>
    <col min="7429" max="7429" width="11.25" style="140" bestFit="1" customWidth="1"/>
    <col min="7430" max="7431" width="9" style="140"/>
    <col min="7432" max="7441" width="9" style="140" customWidth="1"/>
    <col min="7442" max="7442" width="9" style="140"/>
    <col min="7443" max="7443" width="9.5" style="140" bestFit="1" customWidth="1"/>
    <col min="7444" max="7444" width="9" style="140" customWidth="1"/>
    <col min="7445" max="7445" width="9" style="140"/>
    <col min="7446" max="7446" width="9" style="140" customWidth="1"/>
    <col min="7447" max="7452" width="9" style="140"/>
    <col min="7453" max="7453" width="26.5" style="140" customWidth="1"/>
    <col min="7454" max="7456" width="9" style="140"/>
    <col min="7457" max="7457" width="14.75" style="140" bestFit="1" customWidth="1"/>
    <col min="7458" max="7680" width="9" style="140"/>
    <col min="7681" max="7683" width="9" style="140" customWidth="1"/>
    <col min="7684" max="7684" width="10.5" style="140" customWidth="1"/>
    <col min="7685" max="7685" width="11.25" style="140" bestFit="1" customWidth="1"/>
    <col min="7686" max="7687" width="9" style="140"/>
    <col min="7688" max="7697" width="9" style="140" customWidth="1"/>
    <col min="7698" max="7698" width="9" style="140"/>
    <col min="7699" max="7699" width="9.5" style="140" bestFit="1" customWidth="1"/>
    <col min="7700" max="7700" width="9" style="140" customWidth="1"/>
    <col min="7701" max="7701" width="9" style="140"/>
    <col min="7702" max="7702" width="9" style="140" customWidth="1"/>
    <col min="7703" max="7708" width="9" style="140"/>
    <col min="7709" max="7709" width="26.5" style="140" customWidth="1"/>
    <col min="7710" max="7712" width="9" style="140"/>
    <col min="7713" max="7713" width="14.75" style="140" bestFit="1" customWidth="1"/>
    <col min="7714" max="7936" width="9" style="140"/>
    <col min="7937" max="7939" width="9" style="140" customWidth="1"/>
    <col min="7940" max="7940" width="10.5" style="140" customWidth="1"/>
    <col min="7941" max="7941" width="11.25" style="140" bestFit="1" customWidth="1"/>
    <col min="7942" max="7943" width="9" style="140"/>
    <col min="7944" max="7953" width="9" style="140" customWidth="1"/>
    <col min="7954" max="7954" width="9" style="140"/>
    <col min="7955" max="7955" width="9.5" style="140" bestFit="1" customWidth="1"/>
    <col min="7956" max="7956" width="9" style="140" customWidth="1"/>
    <col min="7957" max="7957" width="9" style="140"/>
    <col min="7958" max="7958" width="9" style="140" customWidth="1"/>
    <col min="7959" max="7964" width="9" style="140"/>
    <col min="7965" max="7965" width="26.5" style="140" customWidth="1"/>
    <col min="7966" max="7968" width="9" style="140"/>
    <col min="7969" max="7969" width="14.75" style="140" bestFit="1" customWidth="1"/>
    <col min="7970" max="8192" width="9" style="140"/>
    <col min="8193" max="8195" width="9" style="140" customWidth="1"/>
    <col min="8196" max="8196" width="10.5" style="140" customWidth="1"/>
    <col min="8197" max="8197" width="11.25" style="140" bestFit="1" customWidth="1"/>
    <col min="8198" max="8199" width="9" style="140"/>
    <col min="8200" max="8209" width="9" style="140" customWidth="1"/>
    <col min="8210" max="8210" width="9" style="140"/>
    <col min="8211" max="8211" width="9.5" style="140" bestFit="1" customWidth="1"/>
    <col min="8212" max="8212" width="9" style="140" customWidth="1"/>
    <col min="8213" max="8213" width="9" style="140"/>
    <col min="8214" max="8214" width="9" style="140" customWidth="1"/>
    <col min="8215" max="8220" width="9" style="140"/>
    <col min="8221" max="8221" width="26.5" style="140" customWidth="1"/>
    <col min="8222" max="8224" width="9" style="140"/>
    <col min="8225" max="8225" width="14.75" style="140" bestFit="1" customWidth="1"/>
    <col min="8226" max="8448" width="9" style="140"/>
    <col min="8449" max="8451" width="9" style="140" customWidth="1"/>
    <col min="8452" max="8452" width="10.5" style="140" customWidth="1"/>
    <col min="8453" max="8453" width="11.25" style="140" bestFit="1" customWidth="1"/>
    <col min="8454" max="8455" width="9" style="140"/>
    <col min="8456" max="8465" width="9" style="140" customWidth="1"/>
    <col min="8466" max="8466" width="9" style="140"/>
    <col min="8467" max="8467" width="9.5" style="140" bestFit="1" customWidth="1"/>
    <col min="8468" max="8468" width="9" style="140" customWidth="1"/>
    <col min="8469" max="8469" width="9" style="140"/>
    <col min="8470" max="8470" width="9" style="140" customWidth="1"/>
    <col min="8471" max="8476" width="9" style="140"/>
    <col min="8477" max="8477" width="26.5" style="140" customWidth="1"/>
    <col min="8478" max="8480" width="9" style="140"/>
    <col min="8481" max="8481" width="14.75" style="140" bestFit="1" customWidth="1"/>
    <col min="8482" max="8704" width="9" style="140"/>
    <col min="8705" max="8707" width="9" style="140" customWidth="1"/>
    <col min="8708" max="8708" width="10.5" style="140" customWidth="1"/>
    <col min="8709" max="8709" width="11.25" style="140" bestFit="1" customWidth="1"/>
    <col min="8710" max="8711" width="9" style="140"/>
    <col min="8712" max="8721" width="9" style="140" customWidth="1"/>
    <col min="8722" max="8722" width="9" style="140"/>
    <col min="8723" max="8723" width="9.5" style="140" bestFit="1" customWidth="1"/>
    <col min="8724" max="8724" width="9" style="140" customWidth="1"/>
    <col min="8725" max="8725" width="9" style="140"/>
    <col min="8726" max="8726" width="9" style="140" customWidth="1"/>
    <col min="8727" max="8732" width="9" style="140"/>
    <col min="8733" max="8733" width="26.5" style="140" customWidth="1"/>
    <col min="8734" max="8736" width="9" style="140"/>
    <col min="8737" max="8737" width="14.75" style="140" bestFit="1" customWidth="1"/>
    <col min="8738" max="8960" width="9" style="140"/>
    <col min="8961" max="8963" width="9" style="140" customWidth="1"/>
    <col min="8964" max="8964" width="10.5" style="140" customWidth="1"/>
    <col min="8965" max="8965" width="11.25" style="140" bestFit="1" customWidth="1"/>
    <col min="8966" max="8967" width="9" style="140"/>
    <col min="8968" max="8977" width="9" style="140" customWidth="1"/>
    <col min="8978" max="8978" width="9" style="140"/>
    <col min="8979" max="8979" width="9.5" style="140" bestFit="1" customWidth="1"/>
    <col min="8980" max="8980" width="9" style="140" customWidth="1"/>
    <col min="8981" max="8981" width="9" style="140"/>
    <col min="8982" max="8982" width="9" style="140" customWidth="1"/>
    <col min="8983" max="8988" width="9" style="140"/>
    <col min="8989" max="8989" width="26.5" style="140" customWidth="1"/>
    <col min="8990" max="8992" width="9" style="140"/>
    <col min="8993" max="8993" width="14.75" style="140" bestFit="1" customWidth="1"/>
    <col min="8994" max="9216" width="9" style="140"/>
    <col min="9217" max="9219" width="9" style="140" customWidth="1"/>
    <col min="9220" max="9220" width="10.5" style="140" customWidth="1"/>
    <col min="9221" max="9221" width="11.25" style="140" bestFit="1" customWidth="1"/>
    <col min="9222" max="9223" width="9" style="140"/>
    <col min="9224" max="9233" width="9" style="140" customWidth="1"/>
    <col min="9234" max="9234" width="9" style="140"/>
    <col min="9235" max="9235" width="9.5" style="140" bestFit="1" customWidth="1"/>
    <col min="9236" max="9236" width="9" style="140" customWidth="1"/>
    <col min="9237" max="9237" width="9" style="140"/>
    <col min="9238" max="9238" width="9" style="140" customWidth="1"/>
    <col min="9239" max="9244" width="9" style="140"/>
    <col min="9245" max="9245" width="26.5" style="140" customWidth="1"/>
    <col min="9246" max="9248" width="9" style="140"/>
    <col min="9249" max="9249" width="14.75" style="140" bestFit="1" customWidth="1"/>
    <col min="9250" max="9472" width="9" style="140"/>
    <col min="9473" max="9475" width="9" style="140" customWidth="1"/>
    <col min="9476" max="9476" width="10.5" style="140" customWidth="1"/>
    <col min="9477" max="9477" width="11.25" style="140" bestFit="1" customWidth="1"/>
    <col min="9478" max="9479" width="9" style="140"/>
    <col min="9480" max="9489" width="9" style="140" customWidth="1"/>
    <col min="9490" max="9490" width="9" style="140"/>
    <col min="9491" max="9491" width="9.5" style="140" bestFit="1" customWidth="1"/>
    <col min="9492" max="9492" width="9" style="140" customWidth="1"/>
    <col min="9493" max="9493" width="9" style="140"/>
    <col min="9494" max="9494" width="9" style="140" customWidth="1"/>
    <col min="9495" max="9500" width="9" style="140"/>
    <col min="9501" max="9501" width="26.5" style="140" customWidth="1"/>
    <col min="9502" max="9504" width="9" style="140"/>
    <col min="9505" max="9505" width="14.75" style="140" bestFit="1" customWidth="1"/>
    <col min="9506" max="9728" width="9" style="140"/>
    <col min="9729" max="9731" width="9" style="140" customWidth="1"/>
    <col min="9732" max="9732" width="10.5" style="140" customWidth="1"/>
    <col min="9733" max="9733" width="11.25" style="140" bestFit="1" customWidth="1"/>
    <col min="9734" max="9735" width="9" style="140"/>
    <col min="9736" max="9745" width="9" style="140" customWidth="1"/>
    <col min="9746" max="9746" width="9" style="140"/>
    <col min="9747" max="9747" width="9.5" style="140" bestFit="1" customWidth="1"/>
    <col min="9748" max="9748" width="9" style="140" customWidth="1"/>
    <col min="9749" max="9749" width="9" style="140"/>
    <col min="9750" max="9750" width="9" style="140" customWidth="1"/>
    <col min="9751" max="9756" width="9" style="140"/>
    <col min="9757" max="9757" width="26.5" style="140" customWidth="1"/>
    <col min="9758" max="9760" width="9" style="140"/>
    <col min="9761" max="9761" width="14.75" style="140" bestFit="1" customWidth="1"/>
    <col min="9762" max="9984" width="9" style="140"/>
    <col min="9985" max="9987" width="9" style="140" customWidth="1"/>
    <col min="9988" max="9988" width="10.5" style="140" customWidth="1"/>
    <col min="9989" max="9989" width="11.25" style="140" bestFit="1" customWidth="1"/>
    <col min="9990" max="9991" width="9" style="140"/>
    <col min="9992" max="10001" width="9" style="140" customWidth="1"/>
    <col min="10002" max="10002" width="9" style="140"/>
    <col min="10003" max="10003" width="9.5" style="140" bestFit="1" customWidth="1"/>
    <col min="10004" max="10004" width="9" style="140" customWidth="1"/>
    <col min="10005" max="10005" width="9" style="140"/>
    <col min="10006" max="10006" width="9" style="140" customWidth="1"/>
    <col min="10007" max="10012" width="9" style="140"/>
    <col min="10013" max="10013" width="26.5" style="140" customWidth="1"/>
    <col min="10014" max="10016" width="9" style="140"/>
    <col min="10017" max="10017" width="14.75" style="140" bestFit="1" customWidth="1"/>
    <col min="10018" max="10240" width="9" style="140"/>
    <col min="10241" max="10243" width="9" style="140" customWidth="1"/>
    <col min="10244" max="10244" width="10.5" style="140" customWidth="1"/>
    <col min="10245" max="10245" width="11.25" style="140" bestFit="1" customWidth="1"/>
    <col min="10246" max="10247" width="9" style="140"/>
    <col min="10248" max="10257" width="9" style="140" customWidth="1"/>
    <col min="10258" max="10258" width="9" style="140"/>
    <col min="10259" max="10259" width="9.5" style="140" bestFit="1" customWidth="1"/>
    <col min="10260" max="10260" width="9" style="140" customWidth="1"/>
    <col min="10261" max="10261" width="9" style="140"/>
    <col min="10262" max="10262" width="9" style="140" customWidth="1"/>
    <col min="10263" max="10268" width="9" style="140"/>
    <col min="10269" max="10269" width="26.5" style="140" customWidth="1"/>
    <col min="10270" max="10272" width="9" style="140"/>
    <col min="10273" max="10273" width="14.75" style="140" bestFit="1" customWidth="1"/>
    <col min="10274" max="10496" width="9" style="140"/>
    <col min="10497" max="10499" width="9" style="140" customWidth="1"/>
    <col min="10500" max="10500" width="10.5" style="140" customWidth="1"/>
    <col min="10501" max="10501" width="11.25" style="140" bestFit="1" customWidth="1"/>
    <col min="10502" max="10503" width="9" style="140"/>
    <col min="10504" max="10513" width="9" style="140" customWidth="1"/>
    <col min="10514" max="10514" width="9" style="140"/>
    <col min="10515" max="10515" width="9.5" style="140" bestFit="1" customWidth="1"/>
    <col min="10516" max="10516" width="9" style="140" customWidth="1"/>
    <col min="10517" max="10517" width="9" style="140"/>
    <col min="10518" max="10518" width="9" style="140" customWidth="1"/>
    <col min="10519" max="10524" width="9" style="140"/>
    <col min="10525" max="10525" width="26.5" style="140" customWidth="1"/>
    <col min="10526" max="10528" width="9" style="140"/>
    <col min="10529" max="10529" width="14.75" style="140" bestFit="1" customWidth="1"/>
    <col min="10530" max="10752" width="9" style="140"/>
    <col min="10753" max="10755" width="9" style="140" customWidth="1"/>
    <col min="10756" max="10756" width="10.5" style="140" customWidth="1"/>
    <col min="10757" max="10757" width="11.25" style="140" bestFit="1" customWidth="1"/>
    <col min="10758" max="10759" width="9" style="140"/>
    <col min="10760" max="10769" width="9" style="140" customWidth="1"/>
    <col min="10770" max="10770" width="9" style="140"/>
    <col min="10771" max="10771" width="9.5" style="140" bestFit="1" customWidth="1"/>
    <col min="10772" max="10772" width="9" style="140" customWidth="1"/>
    <col min="10773" max="10773" width="9" style="140"/>
    <col min="10774" max="10774" width="9" style="140" customWidth="1"/>
    <col min="10775" max="10780" width="9" style="140"/>
    <col min="10781" max="10781" width="26.5" style="140" customWidth="1"/>
    <col min="10782" max="10784" width="9" style="140"/>
    <col min="10785" max="10785" width="14.75" style="140" bestFit="1" customWidth="1"/>
    <col min="10786" max="11008" width="9" style="140"/>
    <col min="11009" max="11011" width="9" style="140" customWidth="1"/>
    <col min="11012" max="11012" width="10.5" style="140" customWidth="1"/>
    <col min="11013" max="11013" width="11.25" style="140" bestFit="1" customWidth="1"/>
    <col min="11014" max="11015" width="9" style="140"/>
    <col min="11016" max="11025" width="9" style="140" customWidth="1"/>
    <col min="11026" max="11026" width="9" style="140"/>
    <col min="11027" max="11027" width="9.5" style="140" bestFit="1" customWidth="1"/>
    <col min="11028" max="11028" width="9" style="140" customWidth="1"/>
    <col min="11029" max="11029" width="9" style="140"/>
    <col min="11030" max="11030" width="9" style="140" customWidth="1"/>
    <col min="11031" max="11036" width="9" style="140"/>
    <col min="11037" max="11037" width="26.5" style="140" customWidth="1"/>
    <col min="11038" max="11040" width="9" style="140"/>
    <col min="11041" max="11041" width="14.75" style="140" bestFit="1" customWidth="1"/>
    <col min="11042" max="11264" width="9" style="140"/>
    <col min="11265" max="11267" width="9" style="140" customWidth="1"/>
    <col min="11268" max="11268" width="10.5" style="140" customWidth="1"/>
    <col min="11269" max="11269" width="11.25" style="140" bestFit="1" customWidth="1"/>
    <col min="11270" max="11271" width="9" style="140"/>
    <col min="11272" max="11281" width="9" style="140" customWidth="1"/>
    <col min="11282" max="11282" width="9" style="140"/>
    <col min="11283" max="11283" width="9.5" style="140" bestFit="1" customWidth="1"/>
    <col min="11284" max="11284" width="9" style="140" customWidth="1"/>
    <col min="11285" max="11285" width="9" style="140"/>
    <col min="11286" max="11286" width="9" style="140" customWidth="1"/>
    <col min="11287" max="11292" width="9" style="140"/>
    <col min="11293" max="11293" width="26.5" style="140" customWidth="1"/>
    <col min="11294" max="11296" width="9" style="140"/>
    <col min="11297" max="11297" width="14.75" style="140" bestFit="1" customWidth="1"/>
    <col min="11298" max="11520" width="9" style="140"/>
    <col min="11521" max="11523" width="9" style="140" customWidth="1"/>
    <col min="11524" max="11524" width="10.5" style="140" customWidth="1"/>
    <col min="11525" max="11525" width="11.25" style="140" bestFit="1" customWidth="1"/>
    <col min="11526" max="11527" width="9" style="140"/>
    <col min="11528" max="11537" width="9" style="140" customWidth="1"/>
    <col min="11538" max="11538" width="9" style="140"/>
    <col min="11539" max="11539" width="9.5" style="140" bestFit="1" customWidth="1"/>
    <col min="11540" max="11540" width="9" style="140" customWidth="1"/>
    <col min="11541" max="11541" width="9" style="140"/>
    <col min="11542" max="11542" width="9" style="140" customWidth="1"/>
    <col min="11543" max="11548" width="9" style="140"/>
    <col min="11549" max="11549" width="26.5" style="140" customWidth="1"/>
    <col min="11550" max="11552" width="9" style="140"/>
    <col min="11553" max="11553" width="14.75" style="140" bestFit="1" customWidth="1"/>
    <col min="11554" max="11776" width="9" style="140"/>
    <col min="11777" max="11779" width="9" style="140" customWidth="1"/>
    <col min="11780" max="11780" width="10.5" style="140" customWidth="1"/>
    <col min="11781" max="11781" width="11.25" style="140" bestFit="1" customWidth="1"/>
    <col min="11782" max="11783" width="9" style="140"/>
    <col min="11784" max="11793" width="9" style="140" customWidth="1"/>
    <col min="11794" max="11794" width="9" style="140"/>
    <col min="11795" max="11795" width="9.5" style="140" bestFit="1" customWidth="1"/>
    <col min="11796" max="11796" width="9" style="140" customWidth="1"/>
    <col min="11797" max="11797" width="9" style="140"/>
    <col min="11798" max="11798" width="9" style="140" customWidth="1"/>
    <col min="11799" max="11804" width="9" style="140"/>
    <col min="11805" max="11805" width="26.5" style="140" customWidth="1"/>
    <col min="11806" max="11808" width="9" style="140"/>
    <col min="11809" max="11809" width="14.75" style="140" bestFit="1" customWidth="1"/>
    <col min="11810" max="12032" width="9" style="140"/>
    <col min="12033" max="12035" width="9" style="140" customWidth="1"/>
    <col min="12036" max="12036" width="10.5" style="140" customWidth="1"/>
    <col min="12037" max="12037" width="11.25" style="140" bestFit="1" customWidth="1"/>
    <col min="12038" max="12039" width="9" style="140"/>
    <col min="12040" max="12049" width="9" style="140" customWidth="1"/>
    <col min="12050" max="12050" width="9" style="140"/>
    <col min="12051" max="12051" width="9.5" style="140" bestFit="1" customWidth="1"/>
    <col min="12052" max="12052" width="9" style="140" customWidth="1"/>
    <col min="12053" max="12053" width="9" style="140"/>
    <col min="12054" max="12054" width="9" style="140" customWidth="1"/>
    <col min="12055" max="12060" width="9" style="140"/>
    <col min="12061" max="12061" width="26.5" style="140" customWidth="1"/>
    <col min="12062" max="12064" width="9" style="140"/>
    <col min="12065" max="12065" width="14.75" style="140" bestFit="1" customWidth="1"/>
    <col min="12066" max="12288" width="9" style="140"/>
    <col min="12289" max="12291" width="9" style="140" customWidth="1"/>
    <col min="12292" max="12292" width="10.5" style="140" customWidth="1"/>
    <col min="12293" max="12293" width="11.25" style="140" bestFit="1" customWidth="1"/>
    <col min="12294" max="12295" width="9" style="140"/>
    <col min="12296" max="12305" width="9" style="140" customWidth="1"/>
    <col min="12306" max="12306" width="9" style="140"/>
    <col min="12307" max="12307" width="9.5" style="140" bestFit="1" customWidth="1"/>
    <col min="12308" max="12308" width="9" style="140" customWidth="1"/>
    <col min="12309" max="12309" width="9" style="140"/>
    <col min="12310" max="12310" width="9" style="140" customWidth="1"/>
    <col min="12311" max="12316" width="9" style="140"/>
    <col min="12317" max="12317" width="26.5" style="140" customWidth="1"/>
    <col min="12318" max="12320" width="9" style="140"/>
    <col min="12321" max="12321" width="14.75" style="140" bestFit="1" customWidth="1"/>
    <col min="12322" max="12544" width="9" style="140"/>
    <col min="12545" max="12547" width="9" style="140" customWidth="1"/>
    <col min="12548" max="12548" width="10.5" style="140" customWidth="1"/>
    <col min="12549" max="12549" width="11.25" style="140" bestFit="1" customWidth="1"/>
    <col min="12550" max="12551" width="9" style="140"/>
    <col min="12552" max="12561" width="9" style="140" customWidth="1"/>
    <col min="12562" max="12562" width="9" style="140"/>
    <col min="12563" max="12563" width="9.5" style="140" bestFit="1" customWidth="1"/>
    <col min="12564" max="12564" width="9" style="140" customWidth="1"/>
    <col min="12565" max="12565" width="9" style="140"/>
    <col min="12566" max="12566" width="9" style="140" customWidth="1"/>
    <col min="12567" max="12572" width="9" style="140"/>
    <col min="12573" max="12573" width="26.5" style="140" customWidth="1"/>
    <col min="12574" max="12576" width="9" style="140"/>
    <col min="12577" max="12577" width="14.75" style="140" bestFit="1" customWidth="1"/>
    <col min="12578" max="12800" width="9" style="140"/>
    <col min="12801" max="12803" width="9" style="140" customWidth="1"/>
    <col min="12804" max="12804" width="10.5" style="140" customWidth="1"/>
    <col min="12805" max="12805" width="11.25" style="140" bestFit="1" customWidth="1"/>
    <col min="12806" max="12807" width="9" style="140"/>
    <col min="12808" max="12817" width="9" style="140" customWidth="1"/>
    <col min="12818" max="12818" width="9" style="140"/>
    <col min="12819" max="12819" width="9.5" style="140" bestFit="1" customWidth="1"/>
    <col min="12820" max="12820" width="9" style="140" customWidth="1"/>
    <col min="12821" max="12821" width="9" style="140"/>
    <col min="12822" max="12822" width="9" style="140" customWidth="1"/>
    <col min="12823" max="12828" width="9" style="140"/>
    <col min="12829" max="12829" width="26.5" style="140" customWidth="1"/>
    <col min="12830" max="12832" width="9" style="140"/>
    <col min="12833" max="12833" width="14.75" style="140" bestFit="1" customWidth="1"/>
    <col min="12834" max="13056" width="9" style="140"/>
    <col min="13057" max="13059" width="9" style="140" customWidth="1"/>
    <col min="13060" max="13060" width="10.5" style="140" customWidth="1"/>
    <col min="13061" max="13061" width="11.25" style="140" bestFit="1" customWidth="1"/>
    <col min="13062" max="13063" width="9" style="140"/>
    <col min="13064" max="13073" width="9" style="140" customWidth="1"/>
    <col min="13074" max="13074" width="9" style="140"/>
    <col min="13075" max="13075" width="9.5" style="140" bestFit="1" customWidth="1"/>
    <col min="13076" max="13076" width="9" style="140" customWidth="1"/>
    <col min="13077" max="13077" width="9" style="140"/>
    <col min="13078" max="13078" width="9" style="140" customWidth="1"/>
    <col min="13079" max="13084" width="9" style="140"/>
    <col min="13085" max="13085" width="26.5" style="140" customWidth="1"/>
    <col min="13086" max="13088" width="9" style="140"/>
    <col min="13089" max="13089" width="14.75" style="140" bestFit="1" customWidth="1"/>
    <col min="13090" max="13312" width="9" style="140"/>
    <col min="13313" max="13315" width="9" style="140" customWidth="1"/>
    <col min="13316" max="13316" width="10.5" style="140" customWidth="1"/>
    <col min="13317" max="13317" width="11.25" style="140" bestFit="1" customWidth="1"/>
    <col min="13318" max="13319" width="9" style="140"/>
    <col min="13320" max="13329" width="9" style="140" customWidth="1"/>
    <col min="13330" max="13330" width="9" style="140"/>
    <col min="13331" max="13331" width="9.5" style="140" bestFit="1" customWidth="1"/>
    <col min="13332" max="13332" width="9" style="140" customWidth="1"/>
    <col min="13333" max="13333" width="9" style="140"/>
    <col min="13334" max="13334" width="9" style="140" customWidth="1"/>
    <col min="13335" max="13340" width="9" style="140"/>
    <col min="13341" max="13341" width="26.5" style="140" customWidth="1"/>
    <col min="13342" max="13344" width="9" style="140"/>
    <col min="13345" max="13345" width="14.75" style="140" bestFit="1" customWidth="1"/>
    <col min="13346" max="13568" width="9" style="140"/>
    <col min="13569" max="13571" width="9" style="140" customWidth="1"/>
    <col min="13572" max="13572" width="10.5" style="140" customWidth="1"/>
    <col min="13573" max="13573" width="11.25" style="140" bestFit="1" customWidth="1"/>
    <col min="13574" max="13575" width="9" style="140"/>
    <col min="13576" max="13585" width="9" style="140" customWidth="1"/>
    <col min="13586" max="13586" width="9" style="140"/>
    <col min="13587" max="13587" width="9.5" style="140" bestFit="1" customWidth="1"/>
    <col min="13588" max="13588" width="9" style="140" customWidth="1"/>
    <col min="13589" max="13589" width="9" style="140"/>
    <col min="13590" max="13590" width="9" style="140" customWidth="1"/>
    <col min="13591" max="13596" width="9" style="140"/>
    <col min="13597" max="13597" width="26.5" style="140" customWidth="1"/>
    <col min="13598" max="13600" width="9" style="140"/>
    <col min="13601" max="13601" width="14.75" style="140" bestFit="1" customWidth="1"/>
    <col min="13602" max="13824" width="9" style="140"/>
    <col min="13825" max="13827" width="9" style="140" customWidth="1"/>
    <col min="13828" max="13828" width="10.5" style="140" customWidth="1"/>
    <col min="13829" max="13829" width="11.25" style="140" bestFit="1" customWidth="1"/>
    <col min="13830" max="13831" width="9" style="140"/>
    <col min="13832" max="13841" width="9" style="140" customWidth="1"/>
    <col min="13842" max="13842" width="9" style="140"/>
    <col min="13843" max="13843" width="9.5" style="140" bestFit="1" customWidth="1"/>
    <col min="13844" max="13844" width="9" style="140" customWidth="1"/>
    <col min="13845" max="13845" width="9" style="140"/>
    <col min="13846" max="13846" width="9" style="140" customWidth="1"/>
    <col min="13847" max="13852" width="9" style="140"/>
    <col min="13853" max="13853" width="26.5" style="140" customWidth="1"/>
    <col min="13854" max="13856" width="9" style="140"/>
    <col min="13857" max="13857" width="14.75" style="140" bestFit="1" customWidth="1"/>
    <col min="13858" max="14080" width="9" style="140"/>
    <col min="14081" max="14083" width="9" style="140" customWidth="1"/>
    <col min="14084" max="14084" width="10.5" style="140" customWidth="1"/>
    <col min="14085" max="14085" width="11.25" style="140" bestFit="1" customWidth="1"/>
    <col min="14086" max="14087" width="9" style="140"/>
    <col min="14088" max="14097" width="9" style="140" customWidth="1"/>
    <col min="14098" max="14098" width="9" style="140"/>
    <col min="14099" max="14099" width="9.5" style="140" bestFit="1" customWidth="1"/>
    <col min="14100" max="14100" width="9" style="140" customWidth="1"/>
    <col min="14101" max="14101" width="9" style="140"/>
    <col min="14102" max="14102" width="9" style="140" customWidth="1"/>
    <col min="14103" max="14108" width="9" style="140"/>
    <col min="14109" max="14109" width="26.5" style="140" customWidth="1"/>
    <col min="14110" max="14112" width="9" style="140"/>
    <col min="14113" max="14113" width="14.75" style="140" bestFit="1" customWidth="1"/>
    <col min="14114" max="14336" width="9" style="140"/>
    <col min="14337" max="14339" width="9" style="140" customWidth="1"/>
    <col min="14340" max="14340" width="10.5" style="140" customWidth="1"/>
    <col min="14341" max="14341" width="11.25" style="140" bestFit="1" customWidth="1"/>
    <col min="14342" max="14343" width="9" style="140"/>
    <col min="14344" max="14353" width="9" style="140" customWidth="1"/>
    <col min="14354" max="14354" width="9" style="140"/>
    <col min="14355" max="14355" width="9.5" style="140" bestFit="1" customWidth="1"/>
    <col min="14356" max="14356" width="9" style="140" customWidth="1"/>
    <col min="14357" max="14357" width="9" style="140"/>
    <col min="14358" max="14358" width="9" style="140" customWidth="1"/>
    <col min="14359" max="14364" width="9" style="140"/>
    <col min="14365" max="14365" width="26.5" style="140" customWidth="1"/>
    <col min="14366" max="14368" width="9" style="140"/>
    <col min="14369" max="14369" width="14.75" style="140" bestFit="1" customWidth="1"/>
    <col min="14370" max="14592" width="9" style="140"/>
    <col min="14593" max="14595" width="9" style="140" customWidth="1"/>
    <col min="14596" max="14596" width="10.5" style="140" customWidth="1"/>
    <col min="14597" max="14597" width="11.25" style="140" bestFit="1" customWidth="1"/>
    <col min="14598" max="14599" width="9" style="140"/>
    <col min="14600" max="14609" width="9" style="140" customWidth="1"/>
    <col min="14610" max="14610" width="9" style="140"/>
    <col min="14611" max="14611" width="9.5" style="140" bestFit="1" customWidth="1"/>
    <col min="14612" max="14612" width="9" style="140" customWidth="1"/>
    <col min="14613" max="14613" width="9" style="140"/>
    <col min="14614" max="14614" width="9" style="140" customWidth="1"/>
    <col min="14615" max="14620" width="9" style="140"/>
    <col min="14621" max="14621" width="26.5" style="140" customWidth="1"/>
    <col min="14622" max="14624" width="9" style="140"/>
    <col min="14625" max="14625" width="14.75" style="140" bestFit="1" customWidth="1"/>
    <col min="14626" max="14848" width="9" style="140"/>
    <col min="14849" max="14851" width="9" style="140" customWidth="1"/>
    <col min="14852" max="14852" width="10.5" style="140" customWidth="1"/>
    <col min="14853" max="14853" width="11.25" style="140" bestFit="1" customWidth="1"/>
    <col min="14854" max="14855" width="9" style="140"/>
    <col min="14856" max="14865" width="9" style="140" customWidth="1"/>
    <col min="14866" max="14866" width="9" style="140"/>
    <col min="14867" max="14867" width="9.5" style="140" bestFit="1" customWidth="1"/>
    <col min="14868" max="14868" width="9" style="140" customWidth="1"/>
    <col min="14869" max="14869" width="9" style="140"/>
    <col min="14870" max="14870" width="9" style="140" customWidth="1"/>
    <col min="14871" max="14876" width="9" style="140"/>
    <col min="14877" max="14877" width="26.5" style="140" customWidth="1"/>
    <col min="14878" max="14880" width="9" style="140"/>
    <col min="14881" max="14881" width="14.75" style="140" bestFit="1" customWidth="1"/>
    <col min="14882" max="15104" width="9" style="140"/>
    <col min="15105" max="15107" width="9" style="140" customWidth="1"/>
    <col min="15108" max="15108" width="10.5" style="140" customWidth="1"/>
    <col min="15109" max="15109" width="11.25" style="140" bestFit="1" customWidth="1"/>
    <col min="15110" max="15111" width="9" style="140"/>
    <col min="15112" max="15121" width="9" style="140" customWidth="1"/>
    <col min="15122" max="15122" width="9" style="140"/>
    <col min="15123" max="15123" width="9.5" style="140" bestFit="1" customWidth="1"/>
    <col min="15124" max="15124" width="9" style="140" customWidth="1"/>
    <col min="15125" max="15125" width="9" style="140"/>
    <col min="15126" max="15126" width="9" style="140" customWidth="1"/>
    <col min="15127" max="15132" width="9" style="140"/>
    <col min="15133" max="15133" width="26.5" style="140" customWidth="1"/>
    <col min="15134" max="15136" width="9" style="140"/>
    <col min="15137" max="15137" width="14.75" style="140" bestFit="1" customWidth="1"/>
    <col min="15138" max="15360" width="9" style="140"/>
    <col min="15361" max="15363" width="9" style="140" customWidth="1"/>
    <col min="15364" max="15364" width="10.5" style="140" customWidth="1"/>
    <col min="15365" max="15365" width="11.25" style="140" bestFit="1" customWidth="1"/>
    <col min="15366" max="15367" width="9" style="140"/>
    <col min="15368" max="15377" width="9" style="140" customWidth="1"/>
    <col min="15378" max="15378" width="9" style="140"/>
    <col min="15379" max="15379" width="9.5" style="140" bestFit="1" customWidth="1"/>
    <col min="15380" max="15380" width="9" style="140" customWidth="1"/>
    <col min="15381" max="15381" width="9" style="140"/>
    <col min="15382" max="15382" width="9" style="140" customWidth="1"/>
    <col min="15383" max="15388" width="9" style="140"/>
    <col min="15389" max="15389" width="26.5" style="140" customWidth="1"/>
    <col min="15390" max="15392" width="9" style="140"/>
    <col min="15393" max="15393" width="14.75" style="140" bestFit="1" customWidth="1"/>
    <col min="15394" max="15616" width="9" style="140"/>
    <col min="15617" max="15619" width="9" style="140" customWidth="1"/>
    <col min="15620" max="15620" width="10.5" style="140" customWidth="1"/>
    <col min="15621" max="15621" width="11.25" style="140" bestFit="1" customWidth="1"/>
    <col min="15622" max="15623" width="9" style="140"/>
    <col min="15624" max="15633" width="9" style="140" customWidth="1"/>
    <col min="15634" max="15634" width="9" style="140"/>
    <col min="15635" max="15635" width="9.5" style="140" bestFit="1" customWidth="1"/>
    <col min="15636" max="15636" width="9" style="140" customWidth="1"/>
    <col min="15637" max="15637" width="9" style="140"/>
    <col min="15638" max="15638" width="9" style="140" customWidth="1"/>
    <col min="15639" max="15644" width="9" style="140"/>
    <col min="15645" max="15645" width="26.5" style="140" customWidth="1"/>
    <col min="15646" max="15648" width="9" style="140"/>
    <col min="15649" max="15649" width="14.75" style="140" bestFit="1" customWidth="1"/>
    <col min="15650" max="15872" width="9" style="140"/>
    <col min="15873" max="15875" width="9" style="140" customWidth="1"/>
    <col min="15876" max="15876" width="10.5" style="140" customWidth="1"/>
    <col min="15877" max="15877" width="11.25" style="140" bestFit="1" customWidth="1"/>
    <col min="15878" max="15879" width="9" style="140"/>
    <col min="15880" max="15889" width="9" style="140" customWidth="1"/>
    <col min="15890" max="15890" width="9" style="140"/>
    <col min="15891" max="15891" width="9.5" style="140" bestFit="1" customWidth="1"/>
    <col min="15892" max="15892" width="9" style="140" customWidth="1"/>
    <col min="15893" max="15893" width="9" style="140"/>
    <col min="15894" max="15894" width="9" style="140" customWidth="1"/>
    <col min="15895" max="15900" width="9" style="140"/>
    <col min="15901" max="15901" width="26.5" style="140" customWidth="1"/>
    <col min="15902" max="15904" width="9" style="140"/>
    <col min="15905" max="15905" width="14.75" style="140" bestFit="1" customWidth="1"/>
    <col min="15906" max="16128" width="9" style="140"/>
    <col min="16129" max="16131" width="9" style="140" customWidth="1"/>
    <col min="16132" max="16132" width="10.5" style="140" customWidth="1"/>
    <col min="16133" max="16133" width="11.25" style="140" bestFit="1" customWidth="1"/>
    <col min="16134" max="16135" width="9" style="140"/>
    <col min="16136" max="16145" width="9" style="140" customWidth="1"/>
    <col min="16146" max="16146" width="9" style="140"/>
    <col min="16147" max="16147" width="9.5" style="140" bestFit="1" customWidth="1"/>
    <col min="16148" max="16148" width="9" style="140" customWidth="1"/>
    <col min="16149" max="16149" width="9" style="140"/>
    <col min="16150" max="16150" width="9" style="140" customWidth="1"/>
    <col min="16151" max="16156" width="9" style="140"/>
    <col min="16157" max="16157" width="26.5" style="140" customWidth="1"/>
    <col min="16158" max="16160" width="9" style="140"/>
    <col min="16161" max="16161" width="14.75" style="140" bestFit="1" customWidth="1"/>
    <col min="16162" max="16384" width="9" style="140"/>
  </cols>
  <sheetData>
    <row r="1" spans="1:53" ht="44.25" customHeight="1" x14ac:dyDescent="0.15">
      <c r="A1" s="181" t="s">
        <v>314</v>
      </c>
      <c r="B1" s="134" t="s">
        <v>1</v>
      </c>
      <c r="C1" s="134" t="s">
        <v>2</v>
      </c>
      <c r="D1" s="135" t="s">
        <v>3</v>
      </c>
      <c r="E1" s="135" t="s">
        <v>315</v>
      </c>
      <c r="F1" s="135" t="s">
        <v>5</v>
      </c>
      <c r="G1" s="135" t="s">
        <v>6</v>
      </c>
      <c r="H1" s="135" t="s">
        <v>316</v>
      </c>
      <c r="I1" s="135" t="s">
        <v>8</v>
      </c>
      <c r="J1" s="135" t="s">
        <v>9</v>
      </c>
      <c r="K1" s="135" t="s">
        <v>10</v>
      </c>
      <c r="L1" s="135" t="s">
        <v>11</v>
      </c>
      <c r="M1" s="135" t="s">
        <v>12</v>
      </c>
      <c r="N1" s="135" t="s">
        <v>13</v>
      </c>
      <c r="O1" s="135" t="s">
        <v>317</v>
      </c>
      <c r="P1" s="135" t="s">
        <v>318</v>
      </c>
      <c r="Q1" s="136" t="s">
        <v>16</v>
      </c>
      <c r="R1" s="135" t="s">
        <v>319</v>
      </c>
      <c r="S1" s="135" t="s">
        <v>321</v>
      </c>
      <c r="T1" s="136" t="s">
        <v>19</v>
      </c>
      <c r="U1" s="137" t="s">
        <v>108</v>
      </c>
      <c r="V1" s="138" t="s">
        <v>20</v>
      </c>
      <c r="W1" s="135" t="s">
        <v>21</v>
      </c>
      <c r="X1" s="135" t="s">
        <v>22</v>
      </c>
      <c r="Y1" s="135" t="s">
        <v>23</v>
      </c>
      <c r="Z1" s="135" t="s">
        <v>24</v>
      </c>
      <c r="AA1" s="182" t="s">
        <v>25</v>
      </c>
      <c r="AB1" s="183" t="s">
        <v>322</v>
      </c>
      <c r="AC1" s="184"/>
      <c r="AE1" s="141" t="s">
        <v>0</v>
      </c>
      <c r="AF1" s="142"/>
      <c r="AG1" s="141" t="s">
        <v>4</v>
      </c>
      <c r="AH1" s="141" t="s">
        <v>5</v>
      </c>
      <c r="AI1" s="142"/>
      <c r="AJ1" s="141" t="s">
        <v>6</v>
      </c>
      <c r="AK1" s="142"/>
      <c r="AL1" s="143" t="s">
        <v>7</v>
      </c>
      <c r="AM1" s="142"/>
      <c r="AN1" s="143" t="s">
        <v>8</v>
      </c>
      <c r="AO1" s="142"/>
      <c r="AP1" s="143" t="s">
        <v>27</v>
      </c>
      <c r="AQ1" s="142"/>
      <c r="AR1" s="143" t="s">
        <v>10</v>
      </c>
      <c r="AS1" s="142"/>
      <c r="AT1" s="144" t="s">
        <v>28</v>
      </c>
      <c r="AU1" s="142"/>
      <c r="AV1" s="143" t="s">
        <v>29</v>
      </c>
      <c r="AX1" s="145" t="s">
        <v>323</v>
      </c>
      <c r="AY1" s="146" t="s">
        <v>324</v>
      </c>
      <c r="AZ1" s="146" t="s">
        <v>325</v>
      </c>
      <c r="BA1" s="147" t="s">
        <v>326</v>
      </c>
    </row>
    <row r="2" spans="1:53" s="192" customFormat="1" x14ac:dyDescent="0.15">
      <c r="A2" s="185" t="s">
        <v>61</v>
      </c>
      <c r="B2" s="185" t="s">
        <v>327</v>
      </c>
      <c r="C2" s="185">
        <v>2018</v>
      </c>
      <c r="D2" s="186" t="s">
        <v>328</v>
      </c>
      <c r="E2" s="185" t="s">
        <v>329</v>
      </c>
      <c r="F2" s="185" t="s">
        <v>330</v>
      </c>
      <c r="G2" s="185" t="s">
        <v>42</v>
      </c>
      <c r="H2" s="187" t="s">
        <v>155</v>
      </c>
      <c r="I2" s="187" t="s">
        <v>153</v>
      </c>
      <c r="J2" s="185" t="s">
        <v>38</v>
      </c>
      <c r="K2" s="187" t="s">
        <v>154</v>
      </c>
      <c r="L2" s="187">
        <v>1</v>
      </c>
      <c r="M2" s="187"/>
      <c r="N2" s="187">
        <v>1</v>
      </c>
      <c r="O2" s="187">
        <v>0.5</v>
      </c>
      <c r="P2" s="187">
        <v>0.5</v>
      </c>
      <c r="Q2" s="188">
        <f t="shared" ref="Q2:Q65" si="0">IF(OR(O2="",P2=""),"",AVERAGE(O2,P2))</f>
        <v>0.5</v>
      </c>
      <c r="R2" s="187">
        <v>17.2</v>
      </c>
      <c r="S2" s="187">
        <v>100</v>
      </c>
      <c r="T2" s="189">
        <f t="shared" ref="T2:T65" si="1">IF(H2="","",IF(OR(H2="GREEN",H2="GK"),IF(S2&gt;=$AX$2,VLOOKUP(S2,$AX$2:$AY$15,2,1),""),IF(S2&gt;=$AZ$2,VLOOKUP(S2,$AZ$2:$BA$15,2,1),"")))</f>
        <v>33</v>
      </c>
      <c r="U2" s="187">
        <v>81</v>
      </c>
      <c r="V2" s="190">
        <f t="shared" ref="V2:V65" si="2">IF(OR(N2="",U2="",T2=""),"",U2/N2*T2)</f>
        <v>2673</v>
      </c>
      <c r="W2" s="187">
        <v>2</v>
      </c>
      <c r="X2" s="185" t="s">
        <v>39</v>
      </c>
      <c r="Y2" s="187" t="s">
        <v>102</v>
      </c>
      <c r="Z2" s="187" t="s">
        <v>50</v>
      </c>
      <c r="AA2" s="187" t="s">
        <v>90</v>
      </c>
      <c r="AB2" s="185" t="s">
        <v>331</v>
      </c>
      <c r="AC2" s="191"/>
      <c r="AE2" s="150" t="s">
        <v>35</v>
      </c>
      <c r="AG2" s="49" t="s">
        <v>329</v>
      </c>
      <c r="AH2" s="49" t="s">
        <v>330</v>
      </c>
      <c r="AJ2" s="193" t="s">
        <v>36</v>
      </c>
      <c r="AL2" s="151" t="s">
        <v>127</v>
      </c>
      <c r="AN2" s="193" t="s">
        <v>37</v>
      </c>
      <c r="AP2" s="151" t="s">
        <v>38</v>
      </c>
      <c r="AR2" s="151" t="s">
        <v>332</v>
      </c>
      <c r="AT2" s="193" t="s">
        <v>39</v>
      </c>
      <c r="AV2" s="151" t="s">
        <v>40</v>
      </c>
      <c r="AX2" s="194">
        <v>1</v>
      </c>
      <c r="AY2" s="195">
        <v>50</v>
      </c>
      <c r="AZ2" s="195">
        <v>1</v>
      </c>
      <c r="BA2" s="196">
        <v>50</v>
      </c>
    </row>
    <row r="3" spans="1:53" x14ac:dyDescent="0.15">
      <c r="A3" s="185" t="s">
        <v>61</v>
      </c>
      <c r="B3" s="185" t="s">
        <v>333</v>
      </c>
      <c r="C3" s="185">
        <v>2018</v>
      </c>
      <c r="D3" s="186" t="s">
        <v>334</v>
      </c>
      <c r="E3" s="185" t="s">
        <v>329</v>
      </c>
      <c r="F3" s="185" t="s">
        <v>330</v>
      </c>
      <c r="G3" s="185" t="s">
        <v>42</v>
      </c>
      <c r="H3" s="187" t="s">
        <v>155</v>
      </c>
      <c r="I3" s="187" t="s">
        <v>153</v>
      </c>
      <c r="J3" s="185" t="s">
        <v>38</v>
      </c>
      <c r="K3" s="187" t="s">
        <v>154</v>
      </c>
      <c r="L3" s="187">
        <v>2</v>
      </c>
      <c r="M3" s="187"/>
      <c r="N3" s="187">
        <v>1</v>
      </c>
      <c r="O3" s="187">
        <v>0.5</v>
      </c>
      <c r="P3" s="187">
        <v>0.5</v>
      </c>
      <c r="Q3" s="188">
        <f t="shared" si="0"/>
        <v>0.5</v>
      </c>
      <c r="R3" s="187">
        <v>17.8</v>
      </c>
      <c r="S3" s="187">
        <v>99</v>
      </c>
      <c r="T3" s="189">
        <f t="shared" si="1"/>
        <v>33</v>
      </c>
      <c r="U3" s="187">
        <v>81</v>
      </c>
      <c r="V3" s="190">
        <f t="shared" si="2"/>
        <v>2673</v>
      </c>
      <c r="W3" s="187">
        <v>2</v>
      </c>
      <c r="X3" s="185" t="s">
        <v>39</v>
      </c>
      <c r="Y3" s="187" t="s">
        <v>102</v>
      </c>
      <c r="Z3" s="187" t="s">
        <v>50</v>
      </c>
      <c r="AA3" s="187" t="s">
        <v>90</v>
      </c>
      <c r="AB3" s="185" t="s">
        <v>335</v>
      </c>
      <c r="AC3" s="191"/>
      <c r="AE3" s="155" t="s">
        <v>41</v>
      </c>
      <c r="AG3" s="49" t="s">
        <v>336</v>
      </c>
      <c r="AH3" s="49" t="s">
        <v>337</v>
      </c>
      <c r="AJ3" s="156" t="s">
        <v>42</v>
      </c>
      <c r="AL3" s="156" t="s">
        <v>128</v>
      </c>
      <c r="AN3" s="156" t="s">
        <v>43</v>
      </c>
      <c r="AP3" s="156" t="s">
        <v>44</v>
      </c>
      <c r="AR3" s="166" t="s">
        <v>45</v>
      </c>
      <c r="AT3" s="156" t="s">
        <v>46</v>
      </c>
      <c r="AV3" s="166" t="s">
        <v>47</v>
      </c>
      <c r="AX3" s="157">
        <v>72</v>
      </c>
      <c r="AY3" s="158">
        <v>46</v>
      </c>
      <c r="AZ3" s="158">
        <v>71</v>
      </c>
      <c r="BA3" s="159">
        <v>42</v>
      </c>
    </row>
    <row r="4" spans="1:53" x14ac:dyDescent="0.15">
      <c r="A4" s="185" t="s">
        <v>61</v>
      </c>
      <c r="B4" s="185" t="s">
        <v>333</v>
      </c>
      <c r="C4" s="185">
        <v>2018</v>
      </c>
      <c r="D4" s="186" t="s">
        <v>334</v>
      </c>
      <c r="E4" s="185" t="s">
        <v>329</v>
      </c>
      <c r="F4" s="185" t="s">
        <v>330</v>
      </c>
      <c r="G4" s="185" t="s">
        <v>42</v>
      </c>
      <c r="H4" s="187" t="s">
        <v>155</v>
      </c>
      <c r="I4" s="187" t="s">
        <v>153</v>
      </c>
      <c r="J4" s="185" t="s">
        <v>38</v>
      </c>
      <c r="K4" s="187" t="s">
        <v>154</v>
      </c>
      <c r="L4" s="187">
        <v>3</v>
      </c>
      <c r="M4" s="187"/>
      <c r="N4" s="187">
        <v>1</v>
      </c>
      <c r="O4" s="187">
        <v>0.6</v>
      </c>
      <c r="P4" s="187">
        <v>0.6</v>
      </c>
      <c r="Q4" s="188">
        <f t="shared" si="0"/>
        <v>0.6</v>
      </c>
      <c r="R4" s="187">
        <v>17</v>
      </c>
      <c r="S4" s="187">
        <v>99</v>
      </c>
      <c r="T4" s="189">
        <f t="shared" si="1"/>
        <v>33</v>
      </c>
      <c r="U4" s="187">
        <v>81</v>
      </c>
      <c r="V4" s="190">
        <f t="shared" si="2"/>
        <v>2673</v>
      </c>
      <c r="W4" s="187">
        <v>2</v>
      </c>
      <c r="X4" s="185" t="s">
        <v>39</v>
      </c>
      <c r="Y4" s="187" t="s">
        <v>102</v>
      </c>
      <c r="Z4" s="187" t="s">
        <v>50</v>
      </c>
      <c r="AA4" s="187" t="s">
        <v>90</v>
      </c>
      <c r="AB4" s="185" t="s">
        <v>335</v>
      </c>
      <c r="AC4" s="191"/>
      <c r="AE4" s="155" t="s">
        <v>34</v>
      </c>
      <c r="AG4" s="49" t="s">
        <v>338</v>
      </c>
      <c r="AH4" s="49" t="s">
        <v>339</v>
      </c>
      <c r="AJ4" s="160" t="s">
        <v>48</v>
      </c>
      <c r="AL4" s="160" t="s">
        <v>129</v>
      </c>
      <c r="AN4" s="161" t="s">
        <v>49</v>
      </c>
      <c r="AP4" s="156" t="s">
        <v>340</v>
      </c>
      <c r="AR4" s="166" t="s">
        <v>341</v>
      </c>
      <c r="AT4" s="161"/>
      <c r="AV4" s="166" t="s">
        <v>50</v>
      </c>
      <c r="AX4" s="157">
        <v>75</v>
      </c>
      <c r="AY4" s="158">
        <v>42</v>
      </c>
      <c r="AZ4" s="158">
        <v>76</v>
      </c>
      <c r="BA4" s="159">
        <v>39</v>
      </c>
    </row>
    <row r="5" spans="1:53" x14ac:dyDescent="0.15">
      <c r="A5" s="185" t="s">
        <v>61</v>
      </c>
      <c r="B5" s="185" t="s">
        <v>327</v>
      </c>
      <c r="C5" s="185">
        <v>2018</v>
      </c>
      <c r="D5" s="186" t="s">
        <v>328</v>
      </c>
      <c r="E5" s="185" t="s">
        <v>329</v>
      </c>
      <c r="F5" s="185" t="s">
        <v>330</v>
      </c>
      <c r="G5" s="185" t="s">
        <v>42</v>
      </c>
      <c r="H5" s="187" t="s">
        <v>158</v>
      </c>
      <c r="I5" s="187" t="s">
        <v>153</v>
      </c>
      <c r="J5" s="185" t="s">
        <v>38</v>
      </c>
      <c r="K5" s="187" t="s">
        <v>154</v>
      </c>
      <c r="L5" s="187">
        <v>1</v>
      </c>
      <c r="M5" s="187"/>
      <c r="N5" s="187">
        <v>1</v>
      </c>
      <c r="O5" s="187">
        <v>0.5</v>
      </c>
      <c r="P5" s="187">
        <v>0.5</v>
      </c>
      <c r="Q5" s="188">
        <f t="shared" si="0"/>
        <v>0.5</v>
      </c>
      <c r="R5" s="187">
        <v>17.899999999999999</v>
      </c>
      <c r="S5" s="187">
        <v>134</v>
      </c>
      <c r="T5" s="189">
        <f t="shared" si="1"/>
        <v>25</v>
      </c>
      <c r="U5" s="187">
        <v>166</v>
      </c>
      <c r="V5" s="190">
        <f t="shared" si="2"/>
        <v>4150</v>
      </c>
      <c r="W5" s="187">
        <v>2</v>
      </c>
      <c r="X5" s="185" t="s">
        <v>39</v>
      </c>
      <c r="Y5" s="187" t="s">
        <v>102</v>
      </c>
      <c r="Z5" s="187" t="s">
        <v>50</v>
      </c>
      <c r="AA5" s="187" t="s">
        <v>90</v>
      </c>
      <c r="AB5" s="185" t="s">
        <v>331</v>
      </c>
      <c r="AC5" s="191"/>
      <c r="AE5" s="155" t="s">
        <v>51</v>
      </c>
      <c r="AG5" s="49" t="s">
        <v>342</v>
      </c>
      <c r="AH5" s="49" t="s">
        <v>343</v>
      </c>
      <c r="AJ5" s="160"/>
      <c r="AL5" s="162" t="s">
        <v>344</v>
      </c>
      <c r="AN5" s="162" t="s">
        <v>345</v>
      </c>
      <c r="AP5" s="156" t="s">
        <v>346</v>
      </c>
      <c r="AR5" s="166" t="s">
        <v>54</v>
      </c>
      <c r="AT5" s="187"/>
      <c r="AV5" s="166" t="s">
        <v>55</v>
      </c>
      <c r="AX5" s="157">
        <v>84</v>
      </c>
      <c r="AY5" s="158">
        <v>39</v>
      </c>
      <c r="AZ5" s="158">
        <v>84</v>
      </c>
      <c r="BA5" s="159">
        <v>36</v>
      </c>
    </row>
    <row r="6" spans="1:53" x14ac:dyDescent="0.15">
      <c r="A6" s="185" t="s">
        <v>61</v>
      </c>
      <c r="B6" s="185" t="s">
        <v>327</v>
      </c>
      <c r="C6" s="185">
        <v>2018</v>
      </c>
      <c r="D6" s="186" t="s">
        <v>328</v>
      </c>
      <c r="E6" s="185" t="s">
        <v>329</v>
      </c>
      <c r="F6" s="185" t="s">
        <v>330</v>
      </c>
      <c r="G6" s="185" t="s">
        <v>42</v>
      </c>
      <c r="H6" s="187" t="s">
        <v>158</v>
      </c>
      <c r="I6" s="187" t="s">
        <v>153</v>
      </c>
      <c r="J6" s="185" t="s">
        <v>38</v>
      </c>
      <c r="K6" s="187" t="s">
        <v>154</v>
      </c>
      <c r="L6" s="187">
        <v>2</v>
      </c>
      <c r="M6" s="187"/>
      <c r="N6" s="187">
        <v>1</v>
      </c>
      <c r="O6" s="187">
        <v>0.6</v>
      </c>
      <c r="P6" s="187">
        <v>0.6</v>
      </c>
      <c r="Q6" s="188">
        <f t="shared" si="0"/>
        <v>0.6</v>
      </c>
      <c r="R6" s="187">
        <v>18.100000000000001</v>
      </c>
      <c r="S6" s="187">
        <v>124</v>
      </c>
      <c r="T6" s="189">
        <f t="shared" si="1"/>
        <v>27</v>
      </c>
      <c r="U6" s="187">
        <v>166</v>
      </c>
      <c r="V6" s="190">
        <f t="shared" si="2"/>
        <v>4482</v>
      </c>
      <c r="W6" s="187">
        <v>2</v>
      </c>
      <c r="X6" s="185" t="s">
        <v>39</v>
      </c>
      <c r="Y6" s="187" t="s">
        <v>102</v>
      </c>
      <c r="Z6" s="187" t="s">
        <v>50</v>
      </c>
      <c r="AA6" s="187" t="s">
        <v>90</v>
      </c>
      <c r="AB6" s="185" t="s">
        <v>331</v>
      </c>
      <c r="AC6" s="191"/>
      <c r="AE6" s="155" t="s">
        <v>56</v>
      </c>
      <c r="AG6" s="49" t="s">
        <v>347</v>
      </c>
      <c r="AH6" s="49" t="s">
        <v>348</v>
      </c>
      <c r="AJ6" s="160"/>
      <c r="AL6" s="162" t="s">
        <v>349</v>
      </c>
      <c r="AN6" s="162" t="s">
        <v>350</v>
      </c>
      <c r="AP6" s="156" t="s">
        <v>53</v>
      </c>
      <c r="AR6" s="166" t="s">
        <v>59</v>
      </c>
      <c r="AT6" s="187"/>
      <c r="AV6" s="166" t="s">
        <v>60</v>
      </c>
      <c r="AX6" s="157">
        <v>97</v>
      </c>
      <c r="AY6" s="158">
        <v>36</v>
      </c>
      <c r="AZ6" s="158">
        <v>99</v>
      </c>
      <c r="BA6" s="159">
        <v>33</v>
      </c>
    </row>
    <row r="7" spans="1:53" x14ac:dyDescent="0.15">
      <c r="A7" s="185" t="s">
        <v>61</v>
      </c>
      <c r="B7" s="185" t="s">
        <v>327</v>
      </c>
      <c r="C7" s="185">
        <v>2018</v>
      </c>
      <c r="D7" s="186" t="s">
        <v>328</v>
      </c>
      <c r="E7" s="185" t="s">
        <v>329</v>
      </c>
      <c r="F7" s="185" t="s">
        <v>330</v>
      </c>
      <c r="G7" s="185" t="s">
        <v>42</v>
      </c>
      <c r="H7" s="187" t="s">
        <v>158</v>
      </c>
      <c r="I7" s="187" t="s">
        <v>153</v>
      </c>
      <c r="J7" s="185" t="s">
        <v>38</v>
      </c>
      <c r="K7" s="187" t="s">
        <v>154</v>
      </c>
      <c r="L7" s="187">
        <v>3</v>
      </c>
      <c r="M7" s="187"/>
      <c r="N7" s="187">
        <v>1</v>
      </c>
      <c r="O7" s="187">
        <v>0.5</v>
      </c>
      <c r="P7" s="187">
        <v>0.55000000000000004</v>
      </c>
      <c r="Q7" s="188">
        <f t="shared" si="0"/>
        <v>0.52500000000000002</v>
      </c>
      <c r="R7" s="187">
        <v>18.399999999999999</v>
      </c>
      <c r="S7" s="187">
        <v>126</v>
      </c>
      <c r="T7" s="189">
        <f t="shared" si="1"/>
        <v>27</v>
      </c>
      <c r="U7" s="187">
        <v>166</v>
      </c>
      <c r="V7" s="190">
        <f t="shared" si="2"/>
        <v>4482</v>
      </c>
      <c r="W7" s="187">
        <v>2</v>
      </c>
      <c r="X7" s="185" t="s">
        <v>39</v>
      </c>
      <c r="Y7" s="187" t="s">
        <v>102</v>
      </c>
      <c r="Z7" s="187" t="s">
        <v>50</v>
      </c>
      <c r="AA7" s="187" t="s">
        <v>90</v>
      </c>
      <c r="AB7" s="185" t="s">
        <v>331</v>
      </c>
      <c r="AC7" s="191"/>
      <c r="AE7" s="155" t="s">
        <v>61</v>
      </c>
      <c r="AG7" s="49" t="s">
        <v>351</v>
      </c>
      <c r="AH7" s="49" t="s">
        <v>352</v>
      </c>
      <c r="AJ7" s="160"/>
      <c r="AL7" s="34" t="s">
        <v>353</v>
      </c>
      <c r="AN7" s="197"/>
      <c r="AP7" s="156" t="s">
        <v>58</v>
      </c>
      <c r="AR7" s="163" t="s">
        <v>122</v>
      </c>
      <c r="AT7" s="187"/>
      <c r="AV7" s="166" t="s">
        <v>64</v>
      </c>
      <c r="AX7" s="157">
        <v>109</v>
      </c>
      <c r="AY7" s="158">
        <v>33</v>
      </c>
      <c r="AZ7" s="158">
        <v>113</v>
      </c>
      <c r="BA7" s="159">
        <v>30</v>
      </c>
    </row>
    <row r="8" spans="1:53" x14ac:dyDescent="0.15">
      <c r="A8" s="185" t="s">
        <v>61</v>
      </c>
      <c r="B8" s="185" t="s">
        <v>354</v>
      </c>
      <c r="C8" s="185">
        <v>2018</v>
      </c>
      <c r="D8" s="186" t="s">
        <v>355</v>
      </c>
      <c r="E8" s="185" t="s">
        <v>336</v>
      </c>
      <c r="F8" s="185" t="s">
        <v>337</v>
      </c>
      <c r="G8" s="185" t="s">
        <v>42</v>
      </c>
      <c r="H8" s="187" t="s">
        <v>155</v>
      </c>
      <c r="I8" s="187" t="s">
        <v>153</v>
      </c>
      <c r="J8" s="185" t="s">
        <v>38</v>
      </c>
      <c r="K8" s="187" t="s">
        <v>154</v>
      </c>
      <c r="L8" s="187">
        <v>1</v>
      </c>
      <c r="M8" s="187"/>
      <c r="N8" s="187">
        <v>4</v>
      </c>
      <c r="O8" s="187">
        <v>0.65</v>
      </c>
      <c r="P8" s="187">
        <v>0.65</v>
      </c>
      <c r="Q8" s="188">
        <f t="shared" si="0"/>
        <v>0.65</v>
      </c>
      <c r="R8" s="187">
        <v>15.7</v>
      </c>
      <c r="S8" s="187">
        <v>104</v>
      </c>
      <c r="T8" s="189">
        <f t="shared" si="1"/>
        <v>33</v>
      </c>
      <c r="U8" s="187">
        <v>498</v>
      </c>
      <c r="V8" s="190">
        <f t="shared" si="2"/>
        <v>4108.5</v>
      </c>
      <c r="W8" s="187">
        <v>4</v>
      </c>
      <c r="X8" s="185" t="s">
        <v>46</v>
      </c>
      <c r="Y8" s="187" t="s">
        <v>84</v>
      </c>
      <c r="Z8" s="187" t="s">
        <v>90</v>
      </c>
      <c r="AA8" s="187" t="s">
        <v>69</v>
      </c>
      <c r="AB8" s="185" t="s">
        <v>356</v>
      </c>
      <c r="AC8" s="191"/>
      <c r="AE8" s="155" t="s">
        <v>59</v>
      </c>
      <c r="AG8" s="49" t="s">
        <v>357</v>
      </c>
      <c r="AH8" s="49" t="s">
        <v>358</v>
      </c>
      <c r="AJ8" s="161"/>
      <c r="AL8" s="191" t="s">
        <v>359</v>
      </c>
      <c r="AN8" s="162"/>
      <c r="AP8" s="156" t="s">
        <v>62</v>
      </c>
      <c r="AR8" s="166" t="s">
        <v>81</v>
      </c>
      <c r="AT8" s="187"/>
      <c r="AV8" s="166" t="s">
        <v>97</v>
      </c>
      <c r="AX8" s="157">
        <v>119</v>
      </c>
      <c r="AY8" s="158">
        <v>30</v>
      </c>
      <c r="AZ8" s="158">
        <v>121</v>
      </c>
      <c r="BA8" s="159">
        <v>27</v>
      </c>
    </row>
    <row r="9" spans="1:53" x14ac:dyDescent="0.15">
      <c r="A9" s="185" t="s">
        <v>61</v>
      </c>
      <c r="B9" s="185" t="s">
        <v>354</v>
      </c>
      <c r="C9" s="185">
        <v>2018</v>
      </c>
      <c r="D9" s="186" t="s">
        <v>355</v>
      </c>
      <c r="E9" s="185" t="s">
        <v>336</v>
      </c>
      <c r="F9" s="185" t="s">
        <v>337</v>
      </c>
      <c r="G9" s="185" t="s">
        <v>42</v>
      </c>
      <c r="H9" s="187" t="s">
        <v>155</v>
      </c>
      <c r="I9" s="187" t="s">
        <v>153</v>
      </c>
      <c r="J9" s="185" t="s">
        <v>38</v>
      </c>
      <c r="K9" s="187" t="s">
        <v>154</v>
      </c>
      <c r="L9" s="187">
        <v>2</v>
      </c>
      <c r="M9" s="187"/>
      <c r="N9" s="187">
        <v>4</v>
      </c>
      <c r="O9" s="187">
        <v>0.6</v>
      </c>
      <c r="P9" s="187">
        <v>0.65</v>
      </c>
      <c r="Q9" s="188">
        <f t="shared" si="0"/>
        <v>0.625</v>
      </c>
      <c r="R9" s="187">
        <v>16.399999999999999</v>
      </c>
      <c r="S9" s="187">
        <v>91</v>
      </c>
      <c r="T9" s="189">
        <f t="shared" si="1"/>
        <v>36</v>
      </c>
      <c r="U9" s="187">
        <v>498</v>
      </c>
      <c r="V9" s="190">
        <f t="shared" si="2"/>
        <v>4482</v>
      </c>
      <c r="W9" s="187">
        <v>4</v>
      </c>
      <c r="X9" s="185" t="s">
        <v>46</v>
      </c>
      <c r="Y9" s="187" t="s">
        <v>84</v>
      </c>
      <c r="Z9" s="187" t="s">
        <v>90</v>
      </c>
      <c r="AA9" s="187" t="s">
        <v>69</v>
      </c>
      <c r="AB9" s="185" t="s">
        <v>356</v>
      </c>
      <c r="AC9" s="191"/>
      <c r="AE9" s="155" t="s">
        <v>98</v>
      </c>
      <c r="AG9" s="49" t="s">
        <v>133</v>
      </c>
      <c r="AH9" s="49" t="s">
        <v>360</v>
      </c>
      <c r="AJ9" s="187"/>
      <c r="AL9" s="162"/>
      <c r="AN9" s="162"/>
      <c r="AP9" s="156" t="s">
        <v>95</v>
      </c>
      <c r="AR9" s="163" t="s">
        <v>89</v>
      </c>
      <c r="AT9" s="187"/>
      <c r="AV9" s="166" t="s">
        <v>102</v>
      </c>
      <c r="AX9" s="157">
        <v>128</v>
      </c>
      <c r="AY9" s="158">
        <v>27</v>
      </c>
      <c r="AZ9" s="158">
        <v>129</v>
      </c>
      <c r="BA9" s="159">
        <v>25</v>
      </c>
    </row>
    <row r="10" spans="1:53" x14ac:dyDescent="0.15">
      <c r="A10" s="185" t="s">
        <v>61</v>
      </c>
      <c r="B10" s="185" t="s">
        <v>361</v>
      </c>
      <c r="C10" s="185">
        <v>2018</v>
      </c>
      <c r="D10" s="186" t="s">
        <v>362</v>
      </c>
      <c r="E10" s="185" t="s">
        <v>336</v>
      </c>
      <c r="F10" s="185" t="s">
        <v>337</v>
      </c>
      <c r="G10" s="185" t="s">
        <v>42</v>
      </c>
      <c r="H10" s="187" t="s">
        <v>155</v>
      </c>
      <c r="I10" s="187" t="s">
        <v>153</v>
      </c>
      <c r="J10" s="185" t="s">
        <v>38</v>
      </c>
      <c r="K10" s="187" t="s">
        <v>154</v>
      </c>
      <c r="L10" s="187">
        <v>3</v>
      </c>
      <c r="M10" s="187"/>
      <c r="N10" s="187">
        <v>4</v>
      </c>
      <c r="O10" s="187">
        <v>0.7</v>
      </c>
      <c r="P10" s="187">
        <v>0.7</v>
      </c>
      <c r="Q10" s="188">
        <f t="shared" si="0"/>
        <v>0.7</v>
      </c>
      <c r="R10" s="187">
        <v>16.399999999999999</v>
      </c>
      <c r="S10" s="187">
        <v>103</v>
      </c>
      <c r="T10" s="189">
        <f t="shared" si="1"/>
        <v>33</v>
      </c>
      <c r="U10" s="187">
        <v>498</v>
      </c>
      <c r="V10" s="190">
        <f t="shared" si="2"/>
        <v>4108.5</v>
      </c>
      <c r="W10" s="187">
        <v>4</v>
      </c>
      <c r="X10" s="185" t="s">
        <v>46</v>
      </c>
      <c r="Y10" s="187" t="s">
        <v>84</v>
      </c>
      <c r="Z10" s="187" t="s">
        <v>90</v>
      </c>
      <c r="AA10" s="187" t="s">
        <v>69</v>
      </c>
      <c r="AB10" s="185" t="s">
        <v>363</v>
      </c>
      <c r="AC10" s="191"/>
      <c r="AE10" s="155" t="s">
        <v>103</v>
      </c>
      <c r="AG10" s="49" t="s">
        <v>364</v>
      </c>
      <c r="AH10" s="49" t="s">
        <v>365</v>
      </c>
      <c r="AJ10" s="187"/>
      <c r="AL10" s="160"/>
      <c r="AN10" s="187"/>
      <c r="AP10" s="156" t="s">
        <v>100</v>
      </c>
      <c r="AR10" s="163" t="s">
        <v>123</v>
      </c>
      <c r="AT10" s="187"/>
      <c r="AV10" s="166" t="s">
        <v>106</v>
      </c>
      <c r="AX10" s="157">
        <v>138</v>
      </c>
      <c r="AY10" s="158">
        <v>25</v>
      </c>
      <c r="AZ10" s="158">
        <v>138</v>
      </c>
      <c r="BA10" s="159">
        <v>22</v>
      </c>
    </row>
    <row r="11" spans="1:53" x14ac:dyDescent="0.15">
      <c r="A11" s="185" t="s">
        <v>61</v>
      </c>
      <c r="B11" s="185" t="s">
        <v>361</v>
      </c>
      <c r="C11" s="185">
        <v>2018</v>
      </c>
      <c r="D11" s="186" t="s">
        <v>362</v>
      </c>
      <c r="E11" s="185" t="s">
        <v>336</v>
      </c>
      <c r="F11" s="185" t="s">
        <v>337</v>
      </c>
      <c r="G11" s="185" t="s">
        <v>42</v>
      </c>
      <c r="H11" s="187" t="s">
        <v>158</v>
      </c>
      <c r="I11" s="187" t="s">
        <v>153</v>
      </c>
      <c r="J11" s="185" t="s">
        <v>38</v>
      </c>
      <c r="K11" s="187" t="s">
        <v>154</v>
      </c>
      <c r="L11" s="187">
        <v>1</v>
      </c>
      <c r="M11" s="187"/>
      <c r="N11" s="187">
        <v>4</v>
      </c>
      <c r="O11" s="187">
        <v>0.6</v>
      </c>
      <c r="P11" s="187">
        <v>0.55000000000000004</v>
      </c>
      <c r="Q11" s="188">
        <f t="shared" si="0"/>
        <v>0.57499999999999996</v>
      </c>
      <c r="R11" s="187">
        <v>17.3</v>
      </c>
      <c r="S11" s="187">
        <v>112</v>
      </c>
      <c r="T11" s="189">
        <f t="shared" si="1"/>
        <v>33</v>
      </c>
      <c r="U11" s="187">
        <v>398</v>
      </c>
      <c r="V11" s="190">
        <f t="shared" si="2"/>
        <v>3283.5</v>
      </c>
      <c r="W11" s="187">
        <v>4</v>
      </c>
      <c r="X11" s="185" t="s">
        <v>46</v>
      </c>
      <c r="Y11" s="187" t="s">
        <v>84</v>
      </c>
      <c r="Z11" s="187" t="s">
        <v>90</v>
      </c>
      <c r="AA11" s="187" t="s">
        <v>69</v>
      </c>
      <c r="AB11" s="185" t="s">
        <v>363</v>
      </c>
      <c r="AC11" s="191"/>
      <c r="AE11" s="155" t="s">
        <v>65</v>
      </c>
      <c r="AG11" s="49" t="s">
        <v>366</v>
      </c>
      <c r="AH11" s="49" t="s">
        <v>365</v>
      </c>
      <c r="AJ11" s="187"/>
      <c r="AL11" s="198"/>
      <c r="AN11" s="187"/>
      <c r="AP11" s="156" t="s">
        <v>104</v>
      </c>
      <c r="AR11" s="163" t="s">
        <v>87</v>
      </c>
      <c r="AV11" s="199" t="s">
        <v>367</v>
      </c>
      <c r="AX11" s="157">
        <v>151</v>
      </c>
      <c r="AY11" s="158">
        <v>22</v>
      </c>
      <c r="AZ11" s="158">
        <v>152</v>
      </c>
      <c r="BA11" s="159">
        <v>18</v>
      </c>
    </row>
    <row r="12" spans="1:53" x14ac:dyDescent="0.15">
      <c r="A12" s="185" t="s">
        <v>61</v>
      </c>
      <c r="B12" s="185" t="s">
        <v>368</v>
      </c>
      <c r="C12" s="185">
        <v>2018</v>
      </c>
      <c r="D12" s="186" t="s">
        <v>369</v>
      </c>
      <c r="E12" s="185" t="s">
        <v>336</v>
      </c>
      <c r="F12" s="185" t="s">
        <v>337</v>
      </c>
      <c r="G12" s="185" t="s">
        <v>42</v>
      </c>
      <c r="H12" s="187" t="s">
        <v>158</v>
      </c>
      <c r="I12" s="187" t="s">
        <v>153</v>
      </c>
      <c r="J12" s="185" t="s">
        <v>38</v>
      </c>
      <c r="K12" s="187" t="s">
        <v>154</v>
      </c>
      <c r="L12" s="187">
        <v>2</v>
      </c>
      <c r="M12" s="187"/>
      <c r="N12" s="187">
        <v>4</v>
      </c>
      <c r="O12" s="187">
        <v>0.6</v>
      </c>
      <c r="P12" s="187">
        <v>0.5</v>
      </c>
      <c r="Q12" s="188">
        <f t="shared" si="0"/>
        <v>0.55000000000000004</v>
      </c>
      <c r="R12" s="187">
        <v>17.8</v>
      </c>
      <c r="S12" s="187">
        <v>111</v>
      </c>
      <c r="T12" s="189">
        <f t="shared" si="1"/>
        <v>33</v>
      </c>
      <c r="U12" s="187">
        <v>398</v>
      </c>
      <c r="V12" s="190">
        <f t="shared" si="2"/>
        <v>3283.5</v>
      </c>
      <c r="W12" s="187">
        <v>4</v>
      </c>
      <c r="X12" s="185" t="s">
        <v>46</v>
      </c>
      <c r="Y12" s="187" t="s">
        <v>84</v>
      </c>
      <c r="Z12" s="187" t="s">
        <v>90</v>
      </c>
      <c r="AA12" s="187" t="s">
        <v>69</v>
      </c>
      <c r="AB12" s="185" t="s">
        <v>370</v>
      </c>
      <c r="AC12" s="191"/>
      <c r="AE12" s="155" t="s">
        <v>70</v>
      </c>
      <c r="AG12" s="156"/>
      <c r="AH12" s="155"/>
      <c r="AJ12" s="187"/>
      <c r="AL12" s="198"/>
      <c r="AN12" s="187"/>
      <c r="AP12" s="156" t="s">
        <v>67</v>
      </c>
      <c r="AR12" s="163" t="s">
        <v>124</v>
      </c>
      <c r="AV12" s="199" t="s">
        <v>371</v>
      </c>
      <c r="AX12" s="157">
        <v>180</v>
      </c>
      <c r="AY12" s="158">
        <v>18</v>
      </c>
      <c r="AZ12" s="158">
        <v>181</v>
      </c>
      <c r="BA12" s="159">
        <v>16</v>
      </c>
    </row>
    <row r="13" spans="1:53" x14ac:dyDescent="0.15">
      <c r="A13" s="185" t="s">
        <v>61</v>
      </c>
      <c r="B13" s="185" t="s">
        <v>372</v>
      </c>
      <c r="C13" s="185">
        <v>2018</v>
      </c>
      <c r="D13" s="186" t="s">
        <v>373</v>
      </c>
      <c r="E13" s="185" t="s">
        <v>336</v>
      </c>
      <c r="F13" s="185" t="s">
        <v>337</v>
      </c>
      <c r="G13" s="185" t="s">
        <v>42</v>
      </c>
      <c r="H13" s="187" t="s">
        <v>158</v>
      </c>
      <c r="I13" s="187" t="s">
        <v>153</v>
      </c>
      <c r="J13" s="185" t="s">
        <v>38</v>
      </c>
      <c r="K13" s="187" t="s">
        <v>154</v>
      </c>
      <c r="L13" s="187">
        <v>3</v>
      </c>
      <c r="M13" s="187"/>
      <c r="N13" s="187">
        <v>4</v>
      </c>
      <c r="O13" s="187">
        <v>0.65</v>
      </c>
      <c r="P13" s="187">
        <v>0.6</v>
      </c>
      <c r="Q13" s="188">
        <f t="shared" si="0"/>
        <v>0.625</v>
      </c>
      <c r="R13" s="187">
        <v>17.399999999999999</v>
      </c>
      <c r="S13" s="187">
        <v>110</v>
      </c>
      <c r="T13" s="189">
        <f t="shared" si="1"/>
        <v>33</v>
      </c>
      <c r="U13" s="187">
        <v>398</v>
      </c>
      <c r="V13" s="190">
        <f t="shared" si="2"/>
        <v>3283.5</v>
      </c>
      <c r="W13" s="187">
        <v>4</v>
      </c>
      <c r="X13" s="185" t="s">
        <v>46</v>
      </c>
      <c r="Y13" s="187" t="s">
        <v>84</v>
      </c>
      <c r="Z13" s="187" t="s">
        <v>90</v>
      </c>
      <c r="AA13" s="187" t="s">
        <v>69</v>
      </c>
      <c r="AB13" s="185" t="s">
        <v>374</v>
      </c>
      <c r="AC13" s="191"/>
      <c r="AE13" s="155" t="s">
        <v>73</v>
      </c>
      <c r="AG13" s="156"/>
      <c r="AH13" s="155"/>
      <c r="AJ13" s="187"/>
      <c r="AL13" s="200"/>
      <c r="AN13" s="187"/>
      <c r="AP13" s="156" t="s">
        <v>71</v>
      </c>
      <c r="AR13" s="163" t="s">
        <v>103</v>
      </c>
      <c r="AV13" s="199" t="s">
        <v>375</v>
      </c>
      <c r="AX13" s="157"/>
      <c r="AY13" s="158"/>
      <c r="AZ13" s="158"/>
      <c r="BA13" s="159"/>
    </row>
    <row r="14" spans="1:53" x14ac:dyDescent="0.15">
      <c r="A14" s="185" t="s">
        <v>61</v>
      </c>
      <c r="B14" s="185" t="s">
        <v>376</v>
      </c>
      <c r="C14" s="185">
        <v>2018</v>
      </c>
      <c r="D14" s="186" t="s">
        <v>377</v>
      </c>
      <c r="E14" s="185" t="s">
        <v>338</v>
      </c>
      <c r="F14" s="185" t="s">
        <v>339</v>
      </c>
      <c r="G14" s="185" t="s">
        <v>42</v>
      </c>
      <c r="H14" s="187" t="s">
        <v>155</v>
      </c>
      <c r="I14" s="187" t="s">
        <v>153</v>
      </c>
      <c r="J14" s="185" t="s">
        <v>38</v>
      </c>
      <c r="K14" s="187" t="s">
        <v>154</v>
      </c>
      <c r="L14" s="187">
        <v>1</v>
      </c>
      <c r="M14" s="187"/>
      <c r="N14" s="187">
        <v>5</v>
      </c>
      <c r="O14" s="187">
        <v>0.5</v>
      </c>
      <c r="P14" s="187">
        <v>0.5</v>
      </c>
      <c r="Q14" s="188">
        <f t="shared" si="0"/>
        <v>0.5</v>
      </c>
      <c r="R14" s="187">
        <v>15.8</v>
      </c>
      <c r="S14" s="187">
        <v>87</v>
      </c>
      <c r="T14" s="189">
        <f t="shared" si="1"/>
        <v>36</v>
      </c>
      <c r="U14" s="187">
        <v>298</v>
      </c>
      <c r="V14" s="190">
        <f t="shared" si="2"/>
        <v>2145.6</v>
      </c>
      <c r="W14" s="187">
        <v>13</v>
      </c>
      <c r="X14" s="185" t="s">
        <v>46</v>
      </c>
      <c r="Y14" s="187" t="s">
        <v>90</v>
      </c>
      <c r="Z14" s="187" t="s">
        <v>84</v>
      </c>
      <c r="AA14" s="187" t="s">
        <v>50</v>
      </c>
      <c r="AB14" s="185" t="s">
        <v>378</v>
      </c>
      <c r="AC14" s="191"/>
      <c r="AE14" s="155" t="s">
        <v>76</v>
      </c>
      <c r="AG14" s="156"/>
      <c r="AH14" s="155"/>
      <c r="AL14" s="34"/>
      <c r="AP14" s="156" t="s">
        <v>74</v>
      </c>
      <c r="AR14" s="163" t="s">
        <v>125</v>
      </c>
      <c r="AV14" s="199" t="s">
        <v>379</v>
      </c>
      <c r="AX14" s="157"/>
      <c r="AY14" s="158"/>
      <c r="AZ14" s="158"/>
      <c r="BA14" s="159"/>
    </row>
    <row r="15" spans="1:53" x14ac:dyDescent="0.15">
      <c r="A15" s="185" t="s">
        <v>61</v>
      </c>
      <c r="B15" s="185" t="s">
        <v>376</v>
      </c>
      <c r="C15" s="185">
        <v>2018</v>
      </c>
      <c r="D15" s="186" t="s">
        <v>377</v>
      </c>
      <c r="E15" s="185" t="s">
        <v>338</v>
      </c>
      <c r="F15" s="185" t="s">
        <v>339</v>
      </c>
      <c r="G15" s="185" t="s">
        <v>42</v>
      </c>
      <c r="H15" s="187" t="s">
        <v>155</v>
      </c>
      <c r="I15" s="187" t="s">
        <v>153</v>
      </c>
      <c r="J15" s="185" t="s">
        <v>38</v>
      </c>
      <c r="K15" s="187" t="s">
        <v>154</v>
      </c>
      <c r="L15" s="187">
        <v>2</v>
      </c>
      <c r="M15" s="187"/>
      <c r="N15" s="187">
        <v>5</v>
      </c>
      <c r="O15" s="187">
        <v>0.5</v>
      </c>
      <c r="P15" s="187">
        <v>0.5</v>
      </c>
      <c r="Q15" s="188">
        <f t="shared" si="0"/>
        <v>0.5</v>
      </c>
      <c r="R15" s="191">
        <v>16.100000000000001</v>
      </c>
      <c r="S15" s="187">
        <v>85</v>
      </c>
      <c r="T15" s="189">
        <f t="shared" si="1"/>
        <v>36</v>
      </c>
      <c r="U15" s="187">
        <v>298</v>
      </c>
      <c r="V15" s="190">
        <f t="shared" si="2"/>
        <v>2145.6</v>
      </c>
      <c r="W15" s="187">
        <v>13</v>
      </c>
      <c r="X15" s="185" t="s">
        <v>46</v>
      </c>
      <c r="Y15" s="187" t="s">
        <v>90</v>
      </c>
      <c r="Z15" s="187" t="s">
        <v>84</v>
      </c>
      <c r="AA15" s="187" t="s">
        <v>50</v>
      </c>
      <c r="AB15" s="185" t="s">
        <v>378</v>
      </c>
      <c r="AC15" s="191"/>
      <c r="AE15" s="155" t="s">
        <v>79</v>
      </c>
      <c r="AG15" s="156"/>
      <c r="AH15" s="156"/>
      <c r="AL15" s="34"/>
      <c r="AP15" s="156" t="s">
        <v>77</v>
      </c>
      <c r="AR15" s="163" t="s">
        <v>94</v>
      </c>
      <c r="AV15" s="199" t="s">
        <v>380</v>
      </c>
      <c r="AX15" s="31"/>
      <c r="AY15" s="32"/>
      <c r="AZ15" s="32"/>
      <c r="BA15" s="33"/>
    </row>
    <row r="16" spans="1:53" x14ac:dyDescent="0.15">
      <c r="A16" s="185" t="s">
        <v>61</v>
      </c>
      <c r="B16" s="185" t="s">
        <v>381</v>
      </c>
      <c r="C16" s="185">
        <v>2018</v>
      </c>
      <c r="D16" s="186" t="s">
        <v>382</v>
      </c>
      <c r="E16" s="185" t="s">
        <v>338</v>
      </c>
      <c r="F16" s="185" t="s">
        <v>339</v>
      </c>
      <c r="G16" s="185" t="s">
        <v>42</v>
      </c>
      <c r="H16" s="187" t="s">
        <v>155</v>
      </c>
      <c r="I16" s="187" t="s">
        <v>153</v>
      </c>
      <c r="J16" s="185" t="s">
        <v>38</v>
      </c>
      <c r="K16" s="187" t="s">
        <v>154</v>
      </c>
      <c r="L16" s="187">
        <v>3</v>
      </c>
      <c r="M16" s="187"/>
      <c r="N16" s="187">
        <v>5</v>
      </c>
      <c r="O16" s="187">
        <v>0.6</v>
      </c>
      <c r="P16" s="187">
        <v>0.6</v>
      </c>
      <c r="Q16" s="188">
        <f t="shared" si="0"/>
        <v>0.6</v>
      </c>
      <c r="R16" s="187">
        <v>16.399999999999999</v>
      </c>
      <c r="S16" s="187">
        <v>93</v>
      </c>
      <c r="T16" s="189">
        <f t="shared" si="1"/>
        <v>36</v>
      </c>
      <c r="U16" s="187">
        <v>298</v>
      </c>
      <c r="V16" s="190">
        <f t="shared" si="2"/>
        <v>2145.6</v>
      </c>
      <c r="W16" s="187">
        <v>13</v>
      </c>
      <c r="X16" s="185" t="s">
        <v>46</v>
      </c>
      <c r="Y16" s="187" t="s">
        <v>90</v>
      </c>
      <c r="Z16" s="187" t="s">
        <v>84</v>
      </c>
      <c r="AA16" s="187" t="s">
        <v>50</v>
      </c>
      <c r="AB16" s="185" t="s">
        <v>383</v>
      </c>
      <c r="AC16" s="191"/>
      <c r="AE16" s="155" t="s">
        <v>82</v>
      </c>
      <c r="AG16" s="156"/>
      <c r="AH16" s="156"/>
      <c r="AP16" s="156" t="s">
        <v>80</v>
      </c>
      <c r="AR16" s="166" t="s">
        <v>63</v>
      </c>
      <c r="AV16" s="199" t="s">
        <v>384</v>
      </c>
    </row>
    <row r="17" spans="1:48" x14ac:dyDescent="0.15">
      <c r="A17" s="185" t="s">
        <v>61</v>
      </c>
      <c r="B17" s="185" t="s">
        <v>381</v>
      </c>
      <c r="C17" s="185">
        <v>2018</v>
      </c>
      <c r="D17" s="186" t="s">
        <v>382</v>
      </c>
      <c r="E17" s="185" t="s">
        <v>338</v>
      </c>
      <c r="F17" s="185" t="s">
        <v>339</v>
      </c>
      <c r="G17" s="185" t="s">
        <v>42</v>
      </c>
      <c r="H17" s="187" t="s">
        <v>158</v>
      </c>
      <c r="I17" s="187" t="s">
        <v>153</v>
      </c>
      <c r="J17" s="185" t="s">
        <v>38</v>
      </c>
      <c r="K17" s="187" t="s">
        <v>154</v>
      </c>
      <c r="L17" s="187">
        <v>1</v>
      </c>
      <c r="M17" s="187"/>
      <c r="N17" s="187">
        <v>1</v>
      </c>
      <c r="O17" s="187">
        <v>0.5</v>
      </c>
      <c r="P17" s="187">
        <v>0.5</v>
      </c>
      <c r="Q17" s="188">
        <f t="shared" si="0"/>
        <v>0.5</v>
      </c>
      <c r="R17" s="187">
        <v>16.8</v>
      </c>
      <c r="S17" s="187">
        <v>146</v>
      </c>
      <c r="T17" s="189">
        <f t="shared" si="1"/>
        <v>22</v>
      </c>
      <c r="U17" s="187">
        <v>158</v>
      </c>
      <c r="V17" s="190">
        <f t="shared" si="2"/>
        <v>3476</v>
      </c>
      <c r="W17" s="187">
        <v>13</v>
      </c>
      <c r="X17" s="185" t="s">
        <v>46</v>
      </c>
      <c r="Y17" s="187" t="s">
        <v>90</v>
      </c>
      <c r="Z17" s="187" t="s">
        <v>84</v>
      </c>
      <c r="AA17" s="187" t="s">
        <v>50</v>
      </c>
      <c r="AB17" s="185" t="s">
        <v>383</v>
      </c>
      <c r="AC17" s="191"/>
      <c r="AE17" s="155" t="s">
        <v>85</v>
      </c>
      <c r="AP17" s="167" t="s">
        <v>110</v>
      </c>
      <c r="AR17" s="166" t="s">
        <v>96</v>
      </c>
      <c r="AV17" s="199" t="s">
        <v>385</v>
      </c>
    </row>
    <row r="18" spans="1:48" x14ac:dyDescent="0.15">
      <c r="A18" s="185" t="s">
        <v>61</v>
      </c>
      <c r="B18" s="185" t="s">
        <v>381</v>
      </c>
      <c r="C18" s="185">
        <v>2018</v>
      </c>
      <c r="D18" s="186" t="s">
        <v>382</v>
      </c>
      <c r="E18" s="185" t="s">
        <v>338</v>
      </c>
      <c r="F18" s="185" t="s">
        <v>339</v>
      </c>
      <c r="G18" s="185" t="s">
        <v>42</v>
      </c>
      <c r="H18" s="187" t="s">
        <v>158</v>
      </c>
      <c r="I18" s="187" t="s">
        <v>153</v>
      </c>
      <c r="J18" s="185" t="s">
        <v>38</v>
      </c>
      <c r="K18" s="187" t="s">
        <v>154</v>
      </c>
      <c r="L18" s="187">
        <v>2</v>
      </c>
      <c r="M18" s="187"/>
      <c r="N18" s="187">
        <v>1</v>
      </c>
      <c r="O18" s="187">
        <v>0.6</v>
      </c>
      <c r="P18" s="187">
        <v>0.55000000000000004</v>
      </c>
      <c r="Q18" s="188">
        <f t="shared" si="0"/>
        <v>0.57499999999999996</v>
      </c>
      <c r="R18" s="187">
        <v>16.8</v>
      </c>
      <c r="S18" s="187">
        <v>149</v>
      </c>
      <c r="T18" s="189">
        <f t="shared" si="1"/>
        <v>22</v>
      </c>
      <c r="U18" s="187">
        <v>158</v>
      </c>
      <c r="V18" s="190">
        <f t="shared" si="2"/>
        <v>3476</v>
      </c>
      <c r="W18" s="187">
        <v>13</v>
      </c>
      <c r="X18" s="185" t="s">
        <v>46</v>
      </c>
      <c r="Y18" s="187" t="s">
        <v>90</v>
      </c>
      <c r="Z18" s="187" t="s">
        <v>84</v>
      </c>
      <c r="AA18" s="187" t="s">
        <v>50</v>
      </c>
      <c r="AB18" s="185" t="s">
        <v>383</v>
      </c>
      <c r="AC18" s="191"/>
      <c r="AE18" s="155" t="s">
        <v>87</v>
      </c>
      <c r="AP18" s="167" t="s">
        <v>111</v>
      </c>
      <c r="AR18" s="166" t="s">
        <v>101</v>
      </c>
      <c r="AV18" s="199" t="s">
        <v>386</v>
      </c>
    </row>
    <row r="19" spans="1:48" x14ac:dyDescent="0.15">
      <c r="A19" s="185" t="s">
        <v>61</v>
      </c>
      <c r="B19" s="185" t="s">
        <v>368</v>
      </c>
      <c r="C19" s="185">
        <v>2018</v>
      </c>
      <c r="D19" s="186" t="s">
        <v>369</v>
      </c>
      <c r="E19" s="185" t="s">
        <v>338</v>
      </c>
      <c r="F19" s="185" t="s">
        <v>339</v>
      </c>
      <c r="G19" s="185" t="s">
        <v>42</v>
      </c>
      <c r="H19" s="187" t="s">
        <v>158</v>
      </c>
      <c r="I19" s="187" t="s">
        <v>153</v>
      </c>
      <c r="J19" s="185" t="s">
        <v>38</v>
      </c>
      <c r="K19" s="187" t="s">
        <v>154</v>
      </c>
      <c r="L19" s="187">
        <v>3</v>
      </c>
      <c r="M19" s="187"/>
      <c r="N19" s="187">
        <v>1</v>
      </c>
      <c r="O19" s="187">
        <v>0.6</v>
      </c>
      <c r="P19" s="187">
        <v>0.7</v>
      </c>
      <c r="Q19" s="188">
        <f t="shared" si="0"/>
        <v>0.64999999999999991</v>
      </c>
      <c r="R19" s="187">
        <v>17.399999999999999</v>
      </c>
      <c r="S19" s="187">
        <v>168</v>
      </c>
      <c r="T19" s="189">
        <f t="shared" si="1"/>
        <v>18</v>
      </c>
      <c r="U19" s="187">
        <v>158</v>
      </c>
      <c r="V19" s="190">
        <f t="shared" si="2"/>
        <v>2844</v>
      </c>
      <c r="W19" s="187">
        <v>13</v>
      </c>
      <c r="X19" s="185" t="s">
        <v>46</v>
      </c>
      <c r="Y19" s="187" t="s">
        <v>90</v>
      </c>
      <c r="Z19" s="187" t="s">
        <v>84</v>
      </c>
      <c r="AA19" s="187" t="s">
        <v>50</v>
      </c>
      <c r="AB19" s="185" t="s">
        <v>370</v>
      </c>
      <c r="AC19" s="191"/>
      <c r="AE19" s="164" t="s">
        <v>89</v>
      </c>
      <c r="AP19" s="167" t="s">
        <v>112</v>
      </c>
      <c r="AR19" s="163" t="s">
        <v>126</v>
      </c>
      <c r="AV19" s="199" t="s">
        <v>387</v>
      </c>
    </row>
    <row r="20" spans="1:48" x14ac:dyDescent="0.15">
      <c r="A20" s="185" t="s">
        <v>61</v>
      </c>
      <c r="B20" s="185" t="s">
        <v>368</v>
      </c>
      <c r="C20" s="185">
        <v>2018</v>
      </c>
      <c r="D20" s="186" t="s">
        <v>369</v>
      </c>
      <c r="E20" s="185" t="s">
        <v>342</v>
      </c>
      <c r="F20" s="185" t="s">
        <v>343</v>
      </c>
      <c r="G20" s="185" t="s">
        <v>42</v>
      </c>
      <c r="H20" s="187" t="s">
        <v>155</v>
      </c>
      <c r="I20" s="187" t="s">
        <v>153</v>
      </c>
      <c r="J20" s="185" t="s">
        <v>38</v>
      </c>
      <c r="K20" s="187" t="s">
        <v>154</v>
      </c>
      <c r="L20" s="187">
        <v>1</v>
      </c>
      <c r="M20" s="187"/>
      <c r="N20" s="187">
        <v>5</v>
      </c>
      <c r="O20" s="187">
        <v>0.5</v>
      </c>
      <c r="P20" s="187">
        <v>0.5</v>
      </c>
      <c r="Q20" s="188">
        <f t="shared" si="0"/>
        <v>0.5</v>
      </c>
      <c r="R20" s="187">
        <v>16.5</v>
      </c>
      <c r="S20" s="187">
        <v>100</v>
      </c>
      <c r="T20" s="189">
        <f t="shared" si="1"/>
        <v>33</v>
      </c>
      <c r="U20" s="187">
        <v>321</v>
      </c>
      <c r="V20" s="190">
        <f t="shared" si="2"/>
        <v>2118.6</v>
      </c>
      <c r="W20" s="187">
        <v>16</v>
      </c>
      <c r="X20" s="185" t="s">
        <v>46</v>
      </c>
      <c r="Y20" s="187" t="s">
        <v>90</v>
      </c>
      <c r="Z20" s="187" t="s">
        <v>84</v>
      </c>
      <c r="AA20" s="187" t="s">
        <v>55</v>
      </c>
      <c r="AB20" s="185" t="s">
        <v>370</v>
      </c>
      <c r="AC20" s="191"/>
      <c r="AE20" s="155"/>
      <c r="AG20" s="187"/>
      <c r="AH20" s="187"/>
      <c r="AJ20" s="187"/>
      <c r="AN20" s="187"/>
      <c r="AP20" s="167" t="s">
        <v>113</v>
      </c>
      <c r="AR20" s="166" t="s">
        <v>105</v>
      </c>
      <c r="AV20" s="199" t="s">
        <v>388</v>
      </c>
    </row>
    <row r="21" spans="1:48" x14ac:dyDescent="0.15">
      <c r="A21" s="185" t="s">
        <v>61</v>
      </c>
      <c r="B21" s="185" t="s">
        <v>368</v>
      </c>
      <c r="C21" s="185">
        <v>2018</v>
      </c>
      <c r="D21" s="186" t="s">
        <v>369</v>
      </c>
      <c r="E21" s="185" t="s">
        <v>342</v>
      </c>
      <c r="F21" s="185" t="s">
        <v>343</v>
      </c>
      <c r="G21" s="185" t="s">
        <v>42</v>
      </c>
      <c r="H21" s="187" t="s">
        <v>155</v>
      </c>
      <c r="I21" s="187" t="s">
        <v>153</v>
      </c>
      <c r="J21" s="185" t="s">
        <v>38</v>
      </c>
      <c r="K21" s="187" t="s">
        <v>154</v>
      </c>
      <c r="L21" s="187">
        <v>2</v>
      </c>
      <c r="M21" s="187"/>
      <c r="N21" s="187">
        <v>5</v>
      </c>
      <c r="O21" s="187">
        <v>0.6</v>
      </c>
      <c r="P21" s="187">
        <v>0.6</v>
      </c>
      <c r="Q21" s="188">
        <f t="shared" si="0"/>
        <v>0.6</v>
      </c>
      <c r="R21" s="187">
        <v>16.399999999999999</v>
      </c>
      <c r="S21" s="187">
        <v>97</v>
      </c>
      <c r="T21" s="189">
        <f t="shared" si="1"/>
        <v>36</v>
      </c>
      <c r="U21" s="187">
        <v>321</v>
      </c>
      <c r="V21" s="190">
        <f t="shared" si="2"/>
        <v>2311.2000000000003</v>
      </c>
      <c r="W21" s="187">
        <v>16</v>
      </c>
      <c r="X21" s="185" t="s">
        <v>46</v>
      </c>
      <c r="Y21" s="187" t="s">
        <v>90</v>
      </c>
      <c r="Z21" s="187" t="s">
        <v>84</v>
      </c>
      <c r="AA21" s="187" t="s">
        <v>55</v>
      </c>
      <c r="AB21" s="185" t="s">
        <v>370</v>
      </c>
      <c r="AC21" s="191"/>
      <c r="AE21" s="155"/>
      <c r="AG21" s="187"/>
      <c r="AH21" s="187"/>
      <c r="AL21" s="187"/>
      <c r="AN21" s="187"/>
      <c r="AP21" s="167" t="s">
        <v>114</v>
      </c>
      <c r="AR21" s="166" t="s">
        <v>68</v>
      </c>
      <c r="AV21" s="199" t="s">
        <v>389</v>
      </c>
    </row>
    <row r="22" spans="1:48" x14ac:dyDescent="0.15">
      <c r="A22" s="185" t="s">
        <v>61</v>
      </c>
      <c r="B22" s="185" t="s">
        <v>368</v>
      </c>
      <c r="C22" s="185">
        <v>2018</v>
      </c>
      <c r="D22" s="186" t="s">
        <v>369</v>
      </c>
      <c r="E22" s="185" t="s">
        <v>342</v>
      </c>
      <c r="F22" s="185" t="s">
        <v>343</v>
      </c>
      <c r="G22" s="185" t="s">
        <v>42</v>
      </c>
      <c r="H22" s="187" t="s">
        <v>155</v>
      </c>
      <c r="I22" s="187" t="s">
        <v>153</v>
      </c>
      <c r="J22" s="185" t="s">
        <v>38</v>
      </c>
      <c r="K22" s="187" t="s">
        <v>154</v>
      </c>
      <c r="L22" s="187">
        <v>3</v>
      </c>
      <c r="M22" s="187"/>
      <c r="N22" s="191">
        <v>5</v>
      </c>
      <c r="O22" s="191">
        <v>0.75</v>
      </c>
      <c r="P22" s="187">
        <v>0.8</v>
      </c>
      <c r="Q22" s="188">
        <f t="shared" si="0"/>
        <v>0.77500000000000002</v>
      </c>
      <c r="R22" s="187">
        <v>16.100000000000001</v>
      </c>
      <c r="S22" s="187">
        <v>100</v>
      </c>
      <c r="T22" s="189">
        <f t="shared" si="1"/>
        <v>33</v>
      </c>
      <c r="U22" s="187">
        <v>321</v>
      </c>
      <c r="V22" s="190">
        <f t="shared" si="2"/>
        <v>2118.6</v>
      </c>
      <c r="W22" s="187">
        <v>16</v>
      </c>
      <c r="X22" s="185" t="s">
        <v>46</v>
      </c>
      <c r="Y22" s="187" t="s">
        <v>90</v>
      </c>
      <c r="Z22" s="187" t="s">
        <v>84</v>
      </c>
      <c r="AA22" s="187" t="s">
        <v>55</v>
      </c>
      <c r="AB22" s="185" t="s">
        <v>370</v>
      </c>
      <c r="AC22" s="191"/>
      <c r="AE22" s="164"/>
      <c r="AG22" s="187"/>
      <c r="AH22" s="187"/>
      <c r="AL22" s="187"/>
      <c r="AP22" s="167" t="s">
        <v>115</v>
      </c>
      <c r="AR22" s="166" t="s">
        <v>83</v>
      </c>
      <c r="AV22" s="156"/>
    </row>
    <row r="23" spans="1:48" x14ac:dyDescent="0.15">
      <c r="A23" s="185" t="s">
        <v>61</v>
      </c>
      <c r="B23" s="185" t="s">
        <v>368</v>
      </c>
      <c r="C23" s="185">
        <v>2018</v>
      </c>
      <c r="D23" s="186" t="s">
        <v>369</v>
      </c>
      <c r="E23" s="185" t="s">
        <v>342</v>
      </c>
      <c r="F23" s="185" t="s">
        <v>343</v>
      </c>
      <c r="G23" s="185" t="s">
        <v>42</v>
      </c>
      <c r="H23" s="187" t="s">
        <v>158</v>
      </c>
      <c r="I23" s="187" t="s">
        <v>153</v>
      </c>
      <c r="J23" s="185" t="s">
        <v>38</v>
      </c>
      <c r="K23" s="187" t="s">
        <v>154</v>
      </c>
      <c r="L23" s="187">
        <v>1</v>
      </c>
      <c r="M23" s="187"/>
      <c r="N23" s="187">
        <v>4</v>
      </c>
      <c r="O23" s="187">
        <v>0.5</v>
      </c>
      <c r="P23" s="191">
        <v>0.5</v>
      </c>
      <c r="Q23" s="188">
        <f t="shared" si="0"/>
        <v>0.5</v>
      </c>
      <c r="R23" s="187">
        <v>17.399999999999999</v>
      </c>
      <c r="S23" s="187">
        <v>118</v>
      </c>
      <c r="T23" s="189">
        <f t="shared" si="1"/>
        <v>30</v>
      </c>
      <c r="U23" s="187">
        <v>429</v>
      </c>
      <c r="V23" s="190">
        <f t="shared" si="2"/>
        <v>3217.5</v>
      </c>
      <c r="W23" s="187">
        <v>16</v>
      </c>
      <c r="X23" s="185" t="s">
        <v>46</v>
      </c>
      <c r="Y23" s="187" t="s">
        <v>90</v>
      </c>
      <c r="Z23" s="187" t="s">
        <v>84</v>
      </c>
      <c r="AA23" s="187" t="s">
        <v>55</v>
      </c>
      <c r="AB23" s="185" t="s">
        <v>370</v>
      </c>
      <c r="AC23" s="191"/>
      <c r="AE23" s="155"/>
      <c r="AG23" s="187"/>
      <c r="AH23" s="187"/>
      <c r="AL23" s="187"/>
      <c r="AP23" s="167" t="s">
        <v>390</v>
      </c>
      <c r="AR23" s="166" t="s">
        <v>61</v>
      </c>
      <c r="AV23" s="187"/>
    </row>
    <row r="24" spans="1:48" x14ac:dyDescent="0.15">
      <c r="A24" s="185" t="s">
        <v>61</v>
      </c>
      <c r="B24" s="185" t="s">
        <v>391</v>
      </c>
      <c r="C24" s="185">
        <v>2018</v>
      </c>
      <c r="D24" s="186" t="s">
        <v>392</v>
      </c>
      <c r="E24" s="185" t="s">
        <v>342</v>
      </c>
      <c r="F24" s="185" t="s">
        <v>343</v>
      </c>
      <c r="G24" s="185" t="s">
        <v>42</v>
      </c>
      <c r="H24" s="187" t="s">
        <v>158</v>
      </c>
      <c r="I24" s="187" t="s">
        <v>153</v>
      </c>
      <c r="J24" s="185" t="s">
        <v>38</v>
      </c>
      <c r="K24" s="187" t="s">
        <v>154</v>
      </c>
      <c r="L24" s="187">
        <v>2</v>
      </c>
      <c r="M24" s="187"/>
      <c r="N24" s="187">
        <v>4</v>
      </c>
      <c r="O24" s="187">
        <v>0.6</v>
      </c>
      <c r="P24" s="191">
        <v>0.6</v>
      </c>
      <c r="Q24" s="188">
        <f t="shared" si="0"/>
        <v>0.6</v>
      </c>
      <c r="R24" s="187">
        <v>17.100000000000001</v>
      </c>
      <c r="S24" s="187">
        <v>106</v>
      </c>
      <c r="T24" s="189">
        <f t="shared" si="1"/>
        <v>33</v>
      </c>
      <c r="U24" s="187">
        <v>429</v>
      </c>
      <c r="V24" s="190">
        <f t="shared" si="2"/>
        <v>3539.25</v>
      </c>
      <c r="W24" s="187">
        <v>16</v>
      </c>
      <c r="X24" s="185" t="s">
        <v>46</v>
      </c>
      <c r="Y24" s="187" t="s">
        <v>90</v>
      </c>
      <c r="Z24" s="187" t="s">
        <v>84</v>
      </c>
      <c r="AA24" s="187" t="s">
        <v>55</v>
      </c>
      <c r="AB24" s="185" t="s">
        <v>393</v>
      </c>
      <c r="AC24" s="191"/>
      <c r="AE24" s="155"/>
      <c r="AG24" s="187"/>
      <c r="AH24" s="187"/>
      <c r="AL24" s="187"/>
      <c r="AP24" s="167" t="s">
        <v>394</v>
      </c>
      <c r="AR24" s="166" t="s">
        <v>91</v>
      </c>
      <c r="AV24" s="187"/>
    </row>
    <row r="25" spans="1:48" x14ac:dyDescent="0.15">
      <c r="A25" s="185" t="s">
        <v>61</v>
      </c>
      <c r="B25" s="185" t="s">
        <v>391</v>
      </c>
      <c r="C25" s="185">
        <v>2018</v>
      </c>
      <c r="D25" s="186" t="s">
        <v>392</v>
      </c>
      <c r="E25" s="185" t="s">
        <v>342</v>
      </c>
      <c r="F25" s="185" t="s">
        <v>343</v>
      </c>
      <c r="G25" s="185" t="s">
        <v>42</v>
      </c>
      <c r="H25" s="187" t="s">
        <v>158</v>
      </c>
      <c r="I25" s="187" t="s">
        <v>153</v>
      </c>
      <c r="J25" s="185" t="s">
        <v>38</v>
      </c>
      <c r="K25" s="187" t="s">
        <v>154</v>
      </c>
      <c r="L25" s="187">
        <v>3</v>
      </c>
      <c r="M25" s="187"/>
      <c r="N25" s="187">
        <v>4</v>
      </c>
      <c r="O25" s="187">
        <v>0.5</v>
      </c>
      <c r="P25" s="191">
        <v>0.6</v>
      </c>
      <c r="Q25" s="188">
        <f t="shared" si="0"/>
        <v>0.55000000000000004</v>
      </c>
      <c r="R25" s="187">
        <v>17</v>
      </c>
      <c r="S25" s="187">
        <v>105</v>
      </c>
      <c r="T25" s="189">
        <f t="shared" si="1"/>
        <v>33</v>
      </c>
      <c r="U25" s="187">
        <v>429</v>
      </c>
      <c r="V25" s="190">
        <f t="shared" si="2"/>
        <v>3539.25</v>
      </c>
      <c r="W25" s="187">
        <v>16</v>
      </c>
      <c r="X25" s="185" t="s">
        <v>46</v>
      </c>
      <c r="Y25" s="187" t="s">
        <v>90</v>
      </c>
      <c r="Z25" s="187" t="s">
        <v>84</v>
      </c>
      <c r="AA25" s="187" t="s">
        <v>55</v>
      </c>
      <c r="AB25" s="185" t="s">
        <v>393</v>
      </c>
      <c r="AC25" s="191"/>
      <c r="AE25" s="164"/>
      <c r="AG25" s="187"/>
      <c r="AH25" s="187"/>
      <c r="AL25" s="187"/>
      <c r="AP25" s="167" t="s">
        <v>116</v>
      </c>
      <c r="AR25" s="42" t="s">
        <v>92</v>
      </c>
      <c r="AV25" s="187"/>
    </row>
    <row r="26" spans="1:48" x14ac:dyDescent="0.15">
      <c r="A26" s="185" t="s">
        <v>61</v>
      </c>
      <c r="B26" s="185" t="s">
        <v>391</v>
      </c>
      <c r="C26" s="185">
        <v>2018</v>
      </c>
      <c r="D26" s="186" t="s">
        <v>392</v>
      </c>
      <c r="E26" s="185" t="s">
        <v>342</v>
      </c>
      <c r="F26" s="185" t="s">
        <v>343</v>
      </c>
      <c r="G26" s="185" t="s">
        <v>42</v>
      </c>
      <c r="H26" s="187" t="s">
        <v>155</v>
      </c>
      <c r="I26" s="187" t="s">
        <v>156</v>
      </c>
      <c r="J26" s="185" t="s">
        <v>38</v>
      </c>
      <c r="K26" s="187" t="s">
        <v>154</v>
      </c>
      <c r="L26" s="187">
        <v>1</v>
      </c>
      <c r="M26" s="187"/>
      <c r="N26" s="187">
        <v>4</v>
      </c>
      <c r="O26" s="187">
        <v>0.7</v>
      </c>
      <c r="P26" s="191">
        <v>0.65</v>
      </c>
      <c r="Q26" s="188">
        <f t="shared" si="0"/>
        <v>0.67500000000000004</v>
      </c>
      <c r="R26" s="187">
        <v>16.7</v>
      </c>
      <c r="S26" s="187">
        <v>103</v>
      </c>
      <c r="T26" s="189">
        <f t="shared" si="1"/>
        <v>33</v>
      </c>
      <c r="U26" s="187">
        <v>429</v>
      </c>
      <c r="V26" s="190">
        <f t="shared" si="2"/>
        <v>3539.25</v>
      </c>
      <c r="W26" s="187">
        <v>16</v>
      </c>
      <c r="X26" s="185" t="s">
        <v>46</v>
      </c>
      <c r="Y26" s="187" t="s">
        <v>90</v>
      </c>
      <c r="Z26" s="187" t="s">
        <v>84</v>
      </c>
      <c r="AA26" s="187" t="s">
        <v>55</v>
      </c>
      <c r="AB26" s="185" t="s">
        <v>393</v>
      </c>
      <c r="AC26" s="191"/>
      <c r="AD26" s="34"/>
      <c r="AE26" s="164"/>
      <c r="AG26" s="187"/>
      <c r="AH26" s="187"/>
      <c r="AP26" s="167" t="s">
        <v>117</v>
      </c>
      <c r="AR26" s="156" t="s">
        <v>238</v>
      </c>
      <c r="AV26" s="187"/>
    </row>
    <row r="27" spans="1:48" x14ac:dyDescent="0.15">
      <c r="A27" s="185" t="s">
        <v>61</v>
      </c>
      <c r="B27" s="185" t="s">
        <v>391</v>
      </c>
      <c r="C27" s="185">
        <v>2018</v>
      </c>
      <c r="D27" s="186" t="s">
        <v>392</v>
      </c>
      <c r="E27" s="185" t="s">
        <v>342</v>
      </c>
      <c r="F27" s="185" t="s">
        <v>343</v>
      </c>
      <c r="G27" s="185" t="s">
        <v>42</v>
      </c>
      <c r="H27" s="187" t="s">
        <v>155</v>
      </c>
      <c r="I27" s="187" t="s">
        <v>156</v>
      </c>
      <c r="J27" s="185" t="s">
        <v>38</v>
      </c>
      <c r="K27" s="187" t="s">
        <v>154</v>
      </c>
      <c r="L27" s="187">
        <v>2</v>
      </c>
      <c r="M27" s="187"/>
      <c r="N27" s="187">
        <v>4</v>
      </c>
      <c r="O27" s="187">
        <v>0.7</v>
      </c>
      <c r="P27" s="191">
        <v>0.7</v>
      </c>
      <c r="Q27" s="188">
        <f t="shared" si="0"/>
        <v>0.7</v>
      </c>
      <c r="R27" s="187">
        <v>15.4</v>
      </c>
      <c r="S27" s="187">
        <v>99</v>
      </c>
      <c r="T27" s="189">
        <f t="shared" si="1"/>
        <v>33</v>
      </c>
      <c r="U27" s="187">
        <v>429</v>
      </c>
      <c r="V27" s="190">
        <f t="shared" si="2"/>
        <v>3539.25</v>
      </c>
      <c r="W27" s="187">
        <v>16</v>
      </c>
      <c r="X27" s="185" t="s">
        <v>46</v>
      </c>
      <c r="Y27" s="187" t="s">
        <v>90</v>
      </c>
      <c r="Z27" s="187" t="s">
        <v>84</v>
      </c>
      <c r="AA27" s="187" t="s">
        <v>55</v>
      </c>
      <c r="AB27" s="185" t="s">
        <v>393</v>
      </c>
      <c r="AC27" s="191"/>
      <c r="AD27" s="34"/>
      <c r="AE27" s="161"/>
      <c r="AG27" s="187"/>
      <c r="AH27" s="187"/>
      <c r="AP27" s="167" t="s">
        <v>118</v>
      </c>
      <c r="AR27" s="156"/>
      <c r="AV27" s="187"/>
    </row>
    <row r="28" spans="1:48" x14ac:dyDescent="0.15">
      <c r="A28" s="185" t="s">
        <v>61</v>
      </c>
      <c r="B28" s="185" t="s">
        <v>391</v>
      </c>
      <c r="C28" s="185">
        <v>2018</v>
      </c>
      <c r="D28" s="186" t="s">
        <v>392</v>
      </c>
      <c r="E28" s="185" t="s">
        <v>342</v>
      </c>
      <c r="F28" s="185" t="s">
        <v>343</v>
      </c>
      <c r="G28" s="185" t="s">
        <v>42</v>
      </c>
      <c r="H28" s="187" t="s">
        <v>155</v>
      </c>
      <c r="I28" s="187" t="s">
        <v>156</v>
      </c>
      <c r="J28" s="185" t="s">
        <v>38</v>
      </c>
      <c r="K28" s="187" t="s">
        <v>154</v>
      </c>
      <c r="L28" s="187">
        <v>3</v>
      </c>
      <c r="M28" s="187"/>
      <c r="N28" s="187">
        <v>4</v>
      </c>
      <c r="O28" s="187">
        <v>0.6</v>
      </c>
      <c r="P28" s="191">
        <v>0.7</v>
      </c>
      <c r="Q28" s="188">
        <f t="shared" si="0"/>
        <v>0.64999999999999991</v>
      </c>
      <c r="R28" s="187">
        <v>15.8</v>
      </c>
      <c r="S28" s="187">
        <v>100</v>
      </c>
      <c r="T28" s="189">
        <f t="shared" si="1"/>
        <v>33</v>
      </c>
      <c r="U28" s="187">
        <v>429</v>
      </c>
      <c r="V28" s="190">
        <f t="shared" si="2"/>
        <v>3539.25</v>
      </c>
      <c r="W28" s="187">
        <v>16</v>
      </c>
      <c r="X28" s="185" t="s">
        <v>46</v>
      </c>
      <c r="Y28" s="187" t="s">
        <v>90</v>
      </c>
      <c r="Z28" s="187" t="s">
        <v>84</v>
      </c>
      <c r="AA28" s="187" t="s">
        <v>55</v>
      </c>
      <c r="AB28" s="185" t="s">
        <v>393</v>
      </c>
      <c r="AC28" s="191"/>
      <c r="AD28" s="34"/>
      <c r="AE28" s="187"/>
      <c r="AG28" s="187"/>
      <c r="AH28" s="187"/>
      <c r="AP28" s="160"/>
      <c r="AR28" s="156"/>
      <c r="AV28" s="187"/>
    </row>
    <row r="29" spans="1:48" x14ac:dyDescent="0.15">
      <c r="A29" s="185" t="s">
        <v>61</v>
      </c>
      <c r="B29" s="185" t="s">
        <v>391</v>
      </c>
      <c r="C29" s="185">
        <v>2018</v>
      </c>
      <c r="D29" s="186" t="s">
        <v>392</v>
      </c>
      <c r="E29" s="185" t="s">
        <v>347</v>
      </c>
      <c r="F29" s="185" t="s">
        <v>348</v>
      </c>
      <c r="G29" s="185" t="s">
        <v>42</v>
      </c>
      <c r="H29" s="187" t="s">
        <v>155</v>
      </c>
      <c r="I29" s="187" t="s">
        <v>153</v>
      </c>
      <c r="J29" s="185" t="s">
        <v>38</v>
      </c>
      <c r="K29" s="187" t="s">
        <v>154</v>
      </c>
      <c r="L29" s="187">
        <v>1</v>
      </c>
      <c r="M29" s="187"/>
      <c r="N29" s="187">
        <v>8</v>
      </c>
      <c r="O29" s="187">
        <v>0.75</v>
      </c>
      <c r="P29" s="187">
        <v>0.75</v>
      </c>
      <c r="Q29" s="188">
        <f t="shared" si="0"/>
        <v>0.75</v>
      </c>
      <c r="R29" s="187">
        <v>17.899999999999999</v>
      </c>
      <c r="S29" s="187">
        <v>100</v>
      </c>
      <c r="T29" s="189">
        <f t="shared" si="1"/>
        <v>33</v>
      </c>
      <c r="U29" s="187">
        <v>429</v>
      </c>
      <c r="V29" s="190">
        <f t="shared" si="2"/>
        <v>1769.625</v>
      </c>
      <c r="W29" s="187">
        <v>16</v>
      </c>
      <c r="X29" s="185" t="s">
        <v>46</v>
      </c>
      <c r="Y29" s="187" t="s">
        <v>84</v>
      </c>
      <c r="Z29" s="187" t="s">
        <v>90</v>
      </c>
      <c r="AA29" s="187" t="s">
        <v>50</v>
      </c>
      <c r="AB29" s="185" t="s">
        <v>393</v>
      </c>
      <c r="AC29" s="191"/>
    </row>
    <row r="30" spans="1:48" x14ac:dyDescent="0.15">
      <c r="A30" s="185" t="s">
        <v>61</v>
      </c>
      <c r="B30" s="185" t="s">
        <v>391</v>
      </c>
      <c r="C30" s="185">
        <v>2018</v>
      </c>
      <c r="D30" s="186" t="s">
        <v>392</v>
      </c>
      <c r="E30" s="185" t="s">
        <v>347</v>
      </c>
      <c r="F30" s="185" t="s">
        <v>348</v>
      </c>
      <c r="G30" s="185" t="s">
        <v>42</v>
      </c>
      <c r="H30" s="187" t="s">
        <v>155</v>
      </c>
      <c r="I30" s="187" t="s">
        <v>153</v>
      </c>
      <c r="J30" s="185" t="s">
        <v>38</v>
      </c>
      <c r="K30" s="187" t="s">
        <v>154</v>
      </c>
      <c r="L30" s="187">
        <v>2</v>
      </c>
      <c r="M30" s="187"/>
      <c r="N30" s="187">
        <v>8</v>
      </c>
      <c r="O30" s="187">
        <v>0.7</v>
      </c>
      <c r="P30" s="187">
        <v>0.7</v>
      </c>
      <c r="Q30" s="188">
        <f t="shared" si="0"/>
        <v>0.7</v>
      </c>
      <c r="R30" s="187">
        <v>17.399999999999999</v>
      </c>
      <c r="S30" s="187">
        <v>94</v>
      </c>
      <c r="T30" s="189">
        <f t="shared" si="1"/>
        <v>36</v>
      </c>
      <c r="U30" s="187">
        <v>429</v>
      </c>
      <c r="V30" s="190">
        <f t="shared" si="2"/>
        <v>1930.5</v>
      </c>
      <c r="W30" s="187">
        <v>16</v>
      </c>
      <c r="X30" s="185" t="s">
        <v>46</v>
      </c>
      <c r="Y30" s="187" t="s">
        <v>84</v>
      </c>
      <c r="Z30" s="187" t="s">
        <v>90</v>
      </c>
      <c r="AA30" s="187" t="s">
        <v>50</v>
      </c>
      <c r="AB30" s="185" t="s">
        <v>393</v>
      </c>
      <c r="AC30" s="191"/>
    </row>
    <row r="31" spans="1:48" x14ac:dyDescent="0.15">
      <c r="A31" s="185" t="s">
        <v>61</v>
      </c>
      <c r="B31" s="185" t="s">
        <v>391</v>
      </c>
      <c r="C31" s="185">
        <v>2018</v>
      </c>
      <c r="D31" s="186" t="s">
        <v>392</v>
      </c>
      <c r="E31" s="185" t="s">
        <v>347</v>
      </c>
      <c r="F31" s="185" t="s">
        <v>348</v>
      </c>
      <c r="G31" s="185" t="s">
        <v>42</v>
      </c>
      <c r="H31" s="187" t="s">
        <v>155</v>
      </c>
      <c r="I31" s="187" t="s">
        <v>153</v>
      </c>
      <c r="J31" s="185" t="s">
        <v>38</v>
      </c>
      <c r="K31" s="187" t="s">
        <v>154</v>
      </c>
      <c r="L31" s="187">
        <v>3</v>
      </c>
      <c r="M31" s="187"/>
      <c r="N31" s="187">
        <v>8</v>
      </c>
      <c r="O31" s="187">
        <v>0.6</v>
      </c>
      <c r="P31" s="187">
        <v>0.6</v>
      </c>
      <c r="Q31" s="188">
        <f t="shared" si="0"/>
        <v>0.6</v>
      </c>
      <c r="R31" s="187">
        <v>17.399999999999999</v>
      </c>
      <c r="S31" s="187">
        <v>100</v>
      </c>
      <c r="T31" s="189">
        <f t="shared" si="1"/>
        <v>33</v>
      </c>
      <c r="U31" s="187">
        <v>429</v>
      </c>
      <c r="V31" s="190">
        <f t="shared" si="2"/>
        <v>1769.625</v>
      </c>
      <c r="W31" s="187">
        <v>16</v>
      </c>
      <c r="X31" s="185" t="s">
        <v>46</v>
      </c>
      <c r="Y31" s="187" t="s">
        <v>84</v>
      </c>
      <c r="Z31" s="187" t="s">
        <v>90</v>
      </c>
      <c r="AA31" s="187" t="s">
        <v>50</v>
      </c>
      <c r="AB31" s="185" t="s">
        <v>393</v>
      </c>
      <c r="AC31" s="191"/>
    </row>
    <row r="32" spans="1:48" x14ac:dyDescent="0.15">
      <c r="A32" s="185" t="s">
        <v>61</v>
      </c>
      <c r="B32" s="185" t="s">
        <v>391</v>
      </c>
      <c r="C32" s="185">
        <v>2018</v>
      </c>
      <c r="D32" s="186" t="s">
        <v>392</v>
      </c>
      <c r="E32" s="185" t="s">
        <v>347</v>
      </c>
      <c r="F32" s="185" t="s">
        <v>348</v>
      </c>
      <c r="G32" s="185" t="s">
        <v>42</v>
      </c>
      <c r="H32" s="187" t="s">
        <v>158</v>
      </c>
      <c r="I32" s="187" t="s">
        <v>153</v>
      </c>
      <c r="J32" s="185" t="s">
        <v>38</v>
      </c>
      <c r="K32" s="187" t="s">
        <v>154</v>
      </c>
      <c r="L32" s="187">
        <v>1</v>
      </c>
      <c r="M32" s="187"/>
      <c r="N32" s="187">
        <v>1</v>
      </c>
      <c r="O32" s="187">
        <v>0.5</v>
      </c>
      <c r="P32" s="187">
        <v>0.55000000000000004</v>
      </c>
      <c r="Q32" s="188">
        <f t="shared" si="0"/>
        <v>0.52500000000000002</v>
      </c>
      <c r="R32" s="187">
        <v>17.399999999999999</v>
      </c>
      <c r="S32" s="187">
        <v>136</v>
      </c>
      <c r="T32" s="189">
        <f t="shared" si="1"/>
        <v>25</v>
      </c>
      <c r="U32" s="187">
        <v>138</v>
      </c>
      <c r="V32" s="190">
        <f t="shared" si="2"/>
        <v>3450</v>
      </c>
      <c r="W32" s="187">
        <v>16</v>
      </c>
      <c r="X32" s="185" t="s">
        <v>46</v>
      </c>
      <c r="Y32" s="187" t="s">
        <v>84</v>
      </c>
      <c r="Z32" s="187" t="s">
        <v>90</v>
      </c>
      <c r="AA32" s="187" t="s">
        <v>50</v>
      </c>
      <c r="AB32" s="185" t="s">
        <v>393</v>
      </c>
      <c r="AC32" s="191"/>
    </row>
    <row r="33" spans="1:29" x14ac:dyDescent="0.15">
      <c r="A33" s="185" t="s">
        <v>61</v>
      </c>
      <c r="B33" s="185" t="s">
        <v>391</v>
      </c>
      <c r="C33" s="185">
        <v>2018</v>
      </c>
      <c r="D33" s="186" t="s">
        <v>392</v>
      </c>
      <c r="E33" s="185" t="s">
        <v>347</v>
      </c>
      <c r="F33" s="185" t="s">
        <v>348</v>
      </c>
      <c r="G33" s="185" t="s">
        <v>42</v>
      </c>
      <c r="H33" s="187" t="s">
        <v>158</v>
      </c>
      <c r="I33" s="187" t="s">
        <v>153</v>
      </c>
      <c r="J33" s="185" t="s">
        <v>38</v>
      </c>
      <c r="K33" s="187" t="s">
        <v>154</v>
      </c>
      <c r="L33" s="187">
        <v>2</v>
      </c>
      <c r="M33" s="187"/>
      <c r="N33" s="187">
        <v>1</v>
      </c>
      <c r="O33" s="187">
        <v>0.5</v>
      </c>
      <c r="P33" s="187">
        <v>0.5</v>
      </c>
      <c r="Q33" s="188">
        <f t="shared" si="0"/>
        <v>0.5</v>
      </c>
      <c r="R33" s="187">
        <v>18.100000000000001</v>
      </c>
      <c r="S33" s="187">
        <v>138</v>
      </c>
      <c r="T33" s="189">
        <f t="shared" si="1"/>
        <v>22</v>
      </c>
      <c r="U33" s="187">
        <v>138</v>
      </c>
      <c r="V33" s="190">
        <f t="shared" si="2"/>
        <v>3036</v>
      </c>
      <c r="W33" s="187">
        <v>16</v>
      </c>
      <c r="X33" s="185" t="s">
        <v>46</v>
      </c>
      <c r="Y33" s="187" t="s">
        <v>84</v>
      </c>
      <c r="Z33" s="187" t="s">
        <v>90</v>
      </c>
      <c r="AA33" s="187" t="s">
        <v>50</v>
      </c>
      <c r="AB33" s="185" t="s">
        <v>393</v>
      </c>
      <c r="AC33" s="191"/>
    </row>
    <row r="34" spans="1:29" x14ac:dyDescent="0.15">
      <c r="A34" s="185" t="s">
        <v>61</v>
      </c>
      <c r="B34" s="185" t="s">
        <v>391</v>
      </c>
      <c r="C34" s="185">
        <v>2018</v>
      </c>
      <c r="D34" s="186" t="s">
        <v>392</v>
      </c>
      <c r="E34" s="185" t="s">
        <v>347</v>
      </c>
      <c r="F34" s="185" t="s">
        <v>348</v>
      </c>
      <c r="G34" s="185" t="s">
        <v>42</v>
      </c>
      <c r="H34" s="187" t="s">
        <v>158</v>
      </c>
      <c r="I34" s="187" t="s">
        <v>153</v>
      </c>
      <c r="J34" s="185" t="s">
        <v>38</v>
      </c>
      <c r="K34" s="187" t="s">
        <v>154</v>
      </c>
      <c r="L34" s="187">
        <v>3</v>
      </c>
      <c r="M34" s="187"/>
      <c r="N34" s="187">
        <v>1</v>
      </c>
      <c r="O34" s="187">
        <v>0.5</v>
      </c>
      <c r="P34" s="187">
        <v>0.6</v>
      </c>
      <c r="Q34" s="188">
        <f t="shared" si="0"/>
        <v>0.55000000000000004</v>
      </c>
      <c r="R34" s="187">
        <v>17.600000000000001</v>
      </c>
      <c r="S34" s="187">
        <v>138</v>
      </c>
      <c r="T34" s="189">
        <f t="shared" si="1"/>
        <v>22</v>
      </c>
      <c r="U34" s="187">
        <v>138</v>
      </c>
      <c r="V34" s="190">
        <f t="shared" si="2"/>
        <v>3036</v>
      </c>
      <c r="W34" s="187">
        <v>16</v>
      </c>
      <c r="X34" s="185" t="s">
        <v>46</v>
      </c>
      <c r="Y34" s="187" t="s">
        <v>84</v>
      </c>
      <c r="Z34" s="187" t="s">
        <v>90</v>
      </c>
      <c r="AA34" s="187" t="s">
        <v>50</v>
      </c>
      <c r="AB34" s="185" t="s">
        <v>393</v>
      </c>
      <c r="AC34" s="191"/>
    </row>
    <row r="35" spans="1:29" x14ac:dyDescent="0.15">
      <c r="A35" s="185" t="s">
        <v>61</v>
      </c>
      <c r="B35" s="185" t="s">
        <v>391</v>
      </c>
      <c r="C35" s="185">
        <v>2018</v>
      </c>
      <c r="D35" s="186" t="s">
        <v>392</v>
      </c>
      <c r="E35" s="185" t="s">
        <v>347</v>
      </c>
      <c r="F35" s="185" t="s">
        <v>348</v>
      </c>
      <c r="G35" s="185" t="s">
        <v>42</v>
      </c>
      <c r="H35" s="187" t="s">
        <v>129</v>
      </c>
      <c r="I35" s="187" t="s">
        <v>153</v>
      </c>
      <c r="J35" s="185" t="s">
        <v>227</v>
      </c>
      <c r="K35" s="187" t="s">
        <v>59</v>
      </c>
      <c r="L35" s="187">
        <v>1</v>
      </c>
      <c r="M35" s="187"/>
      <c r="N35" s="187">
        <v>4</v>
      </c>
      <c r="O35" s="187">
        <v>0.5</v>
      </c>
      <c r="P35" s="187">
        <v>0.5</v>
      </c>
      <c r="Q35" s="188">
        <f t="shared" si="0"/>
        <v>0.5</v>
      </c>
      <c r="R35" s="187">
        <v>17.7</v>
      </c>
      <c r="S35" s="187">
        <v>93</v>
      </c>
      <c r="T35" s="189">
        <f t="shared" si="1"/>
        <v>36</v>
      </c>
      <c r="U35" s="187">
        <v>429</v>
      </c>
      <c r="V35" s="190">
        <f t="shared" si="2"/>
        <v>3861</v>
      </c>
      <c r="W35" s="187">
        <v>16</v>
      </c>
      <c r="X35" s="185" t="s">
        <v>46</v>
      </c>
      <c r="Y35" s="187" t="s">
        <v>84</v>
      </c>
      <c r="Z35" s="187" t="s">
        <v>90</v>
      </c>
      <c r="AA35" s="187" t="s">
        <v>50</v>
      </c>
      <c r="AB35" s="185" t="s">
        <v>393</v>
      </c>
      <c r="AC35" s="191"/>
    </row>
    <row r="36" spans="1:29" x14ac:dyDescent="0.15">
      <c r="A36" s="185" t="s">
        <v>61</v>
      </c>
      <c r="B36" s="185" t="s">
        <v>391</v>
      </c>
      <c r="C36" s="185">
        <v>2018</v>
      </c>
      <c r="D36" s="186" t="s">
        <v>392</v>
      </c>
      <c r="E36" s="185" t="s">
        <v>347</v>
      </c>
      <c r="F36" s="185" t="s">
        <v>348</v>
      </c>
      <c r="G36" s="185" t="s">
        <v>42</v>
      </c>
      <c r="H36" s="187" t="s">
        <v>129</v>
      </c>
      <c r="I36" s="187" t="s">
        <v>153</v>
      </c>
      <c r="J36" s="185" t="s">
        <v>227</v>
      </c>
      <c r="K36" s="187" t="s">
        <v>59</v>
      </c>
      <c r="L36" s="187">
        <v>2</v>
      </c>
      <c r="M36" s="187"/>
      <c r="N36" s="187">
        <v>4</v>
      </c>
      <c r="O36" s="187">
        <v>0.5</v>
      </c>
      <c r="P36" s="187">
        <v>0.5</v>
      </c>
      <c r="Q36" s="188">
        <f t="shared" si="0"/>
        <v>0.5</v>
      </c>
      <c r="R36" s="187">
        <v>17.399999999999999</v>
      </c>
      <c r="S36" s="187">
        <v>83</v>
      </c>
      <c r="T36" s="189">
        <f t="shared" si="1"/>
        <v>39</v>
      </c>
      <c r="U36" s="187">
        <v>429</v>
      </c>
      <c r="V36" s="190">
        <f t="shared" si="2"/>
        <v>4182.75</v>
      </c>
      <c r="W36" s="187">
        <v>16</v>
      </c>
      <c r="X36" s="185" t="s">
        <v>46</v>
      </c>
      <c r="Y36" s="187" t="s">
        <v>84</v>
      </c>
      <c r="Z36" s="187" t="s">
        <v>90</v>
      </c>
      <c r="AA36" s="187" t="s">
        <v>50</v>
      </c>
      <c r="AB36" s="185" t="s">
        <v>393</v>
      </c>
      <c r="AC36" s="191"/>
    </row>
    <row r="37" spans="1:29" x14ac:dyDescent="0.15">
      <c r="A37" s="185" t="s">
        <v>61</v>
      </c>
      <c r="B37" s="185" t="s">
        <v>391</v>
      </c>
      <c r="C37" s="185">
        <v>2018</v>
      </c>
      <c r="D37" s="186" t="s">
        <v>392</v>
      </c>
      <c r="E37" s="185" t="s">
        <v>347</v>
      </c>
      <c r="F37" s="185" t="s">
        <v>348</v>
      </c>
      <c r="G37" s="185" t="s">
        <v>42</v>
      </c>
      <c r="H37" s="187" t="s">
        <v>129</v>
      </c>
      <c r="I37" s="187" t="s">
        <v>153</v>
      </c>
      <c r="J37" s="185" t="s">
        <v>227</v>
      </c>
      <c r="K37" s="187" t="s">
        <v>59</v>
      </c>
      <c r="L37" s="187">
        <v>3</v>
      </c>
      <c r="M37" s="187"/>
      <c r="N37" s="187">
        <v>4</v>
      </c>
      <c r="O37" s="187">
        <v>0.55000000000000004</v>
      </c>
      <c r="P37" s="187">
        <v>0.5</v>
      </c>
      <c r="Q37" s="188">
        <f t="shared" si="0"/>
        <v>0.52500000000000002</v>
      </c>
      <c r="R37" s="187">
        <v>17.600000000000001</v>
      </c>
      <c r="S37" s="187">
        <v>95</v>
      </c>
      <c r="T37" s="189">
        <f t="shared" si="1"/>
        <v>36</v>
      </c>
      <c r="U37" s="187">
        <v>429</v>
      </c>
      <c r="V37" s="190">
        <f t="shared" si="2"/>
        <v>3861</v>
      </c>
      <c r="W37" s="187">
        <v>16</v>
      </c>
      <c r="X37" s="185" t="s">
        <v>46</v>
      </c>
      <c r="Y37" s="187" t="s">
        <v>84</v>
      </c>
      <c r="Z37" s="187" t="s">
        <v>90</v>
      </c>
      <c r="AA37" s="187" t="s">
        <v>50</v>
      </c>
      <c r="AB37" s="185" t="s">
        <v>393</v>
      </c>
      <c r="AC37" s="191"/>
    </row>
    <row r="38" spans="1:29" x14ac:dyDescent="0.15">
      <c r="A38" s="185" t="s">
        <v>61</v>
      </c>
      <c r="B38" s="185" t="s">
        <v>391</v>
      </c>
      <c r="C38" s="185">
        <v>2018</v>
      </c>
      <c r="D38" s="186" t="s">
        <v>392</v>
      </c>
      <c r="E38" s="185" t="s">
        <v>351</v>
      </c>
      <c r="F38" s="185" t="s">
        <v>352</v>
      </c>
      <c r="G38" s="185" t="s">
        <v>42</v>
      </c>
      <c r="H38" s="187" t="s">
        <v>155</v>
      </c>
      <c r="I38" s="187" t="s">
        <v>153</v>
      </c>
      <c r="J38" s="185" t="s">
        <v>38</v>
      </c>
      <c r="K38" s="187" t="s">
        <v>154</v>
      </c>
      <c r="L38" s="187">
        <v>1</v>
      </c>
      <c r="M38" s="187"/>
      <c r="N38" s="187">
        <v>4</v>
      </c>
      <c r="O38" s="187">
        <v>0.6</v>
      </c>
      <c r="P38" s="187">
        <v>0.55000000000000004</v>
      </c>
      <c r="Q38" s="188">
        <f t="shared" si="0"/>
        <v>0.57499999999999996</v>
      </c>
      <c r="R38" s="187">
        <v>16</v>
      </c>
      <c r="S38" s="187">
        <v>97</v>
      </c>
      <c r="T38" s="189">
        <f t="shared" si="1"/>
        <v>36</v>
      </c>
      <c r="U38" s="187">
        <v>350</v>
      </c>
      <c r="V38" s="190">
        <f t="shared" si="2"/>
        <v>3150</v>
      </c>
      <c r="W38" s="187">
        <v>10</v>
      </c>
      <c r="X38" s="185" t="s">
        <v>46</v>
      </c>
      <c r="Y38" s="187" t="s">
        <v>84</v>
      </c>
      <c r="Z38" s="187" t="s">
        <v>50</v>
      </c>
      <c r="AA38" s="187" t="s">
        <v>102</v>
      </c>
      <c r="AB38" s="185" t="s">
        <v>393</v>
      </c>
      <c r="AC38" s="191"/>
    </row>
    <row r="39" spans="1:29" x14ac:dyDescent="0.15">
      <c r="A39" s="185" t="s">
        <v>61</v>
      </c>
      <c r="B39" s="185" t="s">
        <v>391</v>
      </c>
      <c r="C39" s="185">
        <v>2018</v>
      </c>
      <c r="D39" s="186" t="s">
        <v>392</v>
      </c>
      <c r="E39" s="185" t="s">
        <v>351</v>
      </c>
      <c r="F39" s="185" t="s">
        <v>352</v>
      </c>
      <c r="G39" s="185" t="s">
        <v>42</v>
      </c>
      <c r="H39" s="187" t="s">
        <v>155</v>
      </c>
      <c r="I39" s="187" t="s">
        <v>153</v>
      </c>
      <c r="J39" s="185" t="s">
        <v>38</v>
      </c>
      <c r="K39" s="187" t="s">
        <v>154</v>
      </c>
      <c r="L39" s="187">
        <v>2</v>
      </c>
      <c r="M39" s="187"/>
      <c r="N39" s="187">
        <v>4</v>
      </c>
      <c r="O39" s="187">
        <v>0.6</v>
      </c>
      <c r="P39" s="187">
        <v>0.6</v>
      </c>
      <c r="Q39" s="188">
        <f t="shared" si="0"/>
        <v>0.6</v>
      </c>
      <c r="R39" s="187">
        <v>16.399999999999999</v>
      </c>
      <c r="S39" s="187">
        <v>82</v>
      </c>
      <c r="T39" s="189">
        <f t="shared" si="1"/>
        <v>39</v>
      </c>
      <c r="U39" s="187">
        <v>350</v>
      </c>
      <c r="V39" s="190">
        <f t="shared" si="2"/>
        <v>3412.5</v>
      </c>
      <c r="W39" s="187">
        <v>10</v>
      </c>
      <c r="X39" s="185" t="s">
        <v>46</v>
      </c>
      <c r="Y39" s="187" t="s">
        <v>84</v>
      </c>
      <c r="Z39" s="187" t="s">
        <v>50</v>
      </c>
      <c r="AA39" s="187" t="s">
        <v>102</v>
      </c>
      <c r="AB39" s="185" t="s">
        <v>393</v>
      </c>
      <c r="AC39" s="191"/>
    </row>
    <row r="40" spans="1:29" x14ac:dyDescent="0.15">
      <c r="A40" s="185" t="s">
        <v>61</v>
      </c>
      <c r="B40" s="185" t="s">
        <v>391</v>
      </c>
      <c r="C40" s="185">
        <v>2018</v>
      </c>
      <c r="D40" s="186" t="s">
        <v>392</v>
      </c>
      <c r="E40" s="185" t="s">
        <v>351</v>
      </c>
      <c r="F40" s="185" t="s">
        <v>352</v>
      </c>
      <c r="G40" s="185" t="s">
        <v>42</v>
      </c>
      <c r="H40" s="187" t="s">
        <v>155</v>
      </c>
      <c r="I40" s="187" t="s">
        <v>153</v>
      </c>
      <c r="J40" s="185" t="s">
        <v>38</v>
      </c>
      <c r="K40" s="187" t="s">
        <v>154</v>
      </c>
      <c r="L40" s="187">
        <v>3</v>
      </c>
      <c r="M40" s="187"/>
      <c r="N40" s="187">
        <v>4</v>
      </c>
      <c r="O40" s="187">
        <v>0.8</v>
      </c>
      <c r="P40" s="187">
        <v>0.7</v>
      </c>
      <c r="Q40" s="188">
        <f t="shared" si="0"/>
        <v>0.75</v>
      </c>
      <c r="R40" s="187">
        <v>16.8</v>
      </c>
      <c r="S40" s="187">
        <v>92</v>
      </c>
      <c r="T40" s="189">
        <f t="shared" si="1"/>
        <v>36</v>
      </c>
      <c r="U40" s="187">
        <v>350</v>
      </c>
      <c r="V40" s="190">
        <f t="shared" si="2"/>
        <v>3150</v>
      </c>
      <c r="W40" s="187">
        <v>10</v>
      </c>
      <c r="X40" s="185" t="s">
        <v>46</v>
      </c>
      <c r="Y40" s="187" t="s">
        <v>84</v>
      </c>
      <c r="Z40" s="187" t="s">
        <v>50</v>
      </c>
      <c r="AA40" s="187" t="s">
        <v>102</v>
      </c>
      <c r="AB40" s="185" t="s">
        <v>393</v>
      </c>
      <c r="AC40" s="191"/>
    </row>
    <row r="41" spans="1:29" x14ac:dyDescent="0.15">
      <c r="A41" s="185" t="s">
        <v>61</v>
      </c>
      <c r="B41" s="185" t="s">
        <v>391</v>
      </c>
      <c r="C41" s="185">
        <v>2018</v>
      </c>
      <c r="D41" s="186" t="s">
        <v>392</v>
      </c>
      <c r="E41" s="185" t="s">
        <v>351</v>
      </c>
      <c r="F41" s="185" t="s">
        <v>352</v>
      </c>
      <c r="G41" s="185" t="s">
        <v>42</v>
      </c>
      <c r="H41" s="187" t="s">
        <v>158</v>
      </c>
      <c r="I41" s="187" t="s">
        <v>153</v>
      </c>
      <c r="J41" s="185" t="s">
        <v>38</v>
      </c>
      <c r="K41" s="187" t="s">
        <v>154</v>
      </c>
      <c r="L41" s="187">
        <v>1</v>
      </c>
      <c r="M41" s="187"/>
      <c r="N41" s="187">
        <v>3</v>
      </c>
      <c r="O41" s="187">
        <v>0.5</v>
      </c>
      <c r="P41" s="187">
        <v>0.5</v>
      </c>
      <c r="Q41" s="188">
        <f t="shared" si="0"/>
        <v>0.5</v>
      </c>
      <c r="R41" s="187">
        <v>17.399999999999999</v>
      </c>
      <c r="S41" s="187">
        <v>141</v>
      </c>
      <c r="T41" s="189">
        <f t="shared" si="1"/>
        <v>22</v>
      </c>
      <c r="U41" s="187">
        <v>380</v>
      </c>
      <c r="V41" s="190">
        <f t="shared" si="2"/>
        <v>2786.666666666667</v>
      </c>
      <c r="W41" s="187">
        <v>10</v>
      </c>
      <c r="X41" s="185" t="s">
        <v>46</v>
      </c>
      <c r="Y41" s="187" t="s">
        <v>84</v>
      </c>
      <c r="Z41" s="187" t="s">
        <v>50</v>
      </c>
      <c r="AA41" s="187" t="s">
        <v>102</v>
      </c>
      <c r="AB41" s="185" t="s">
        <v>393</v>
      </c>
      <c r="AC41" s="191"/>
    </row>
    <row r="42" spans="1:29" x14ac:dyDescent="0.15">
      <c r="A42" s="185" t="s">
        <v>61</v>
      </c>
      <c r="B42" s="185" t="s">
        <v>391</v>
      </c>
      <c r="C42" s="185">
        <v>2018</v>
      </c>
      <c r="D42" s="186" t="s">
        <v>392</v>
      </c>
      <c r="E42" s="185" t="s">
        <v>351</v>
      </c>
      <c r="F42" s="185" t="s">
        <v>352</v>
      </c>
      <c r="G42" s="185" t="s">
        <v>42</v>
      </c>
      <c r="H42" s="187" t="s">
        <v>158</v>
      </c>
      <c r="I42" s="187" t="s">
        <v>153</v>
      </c>
      <c r="J42" s="185" t="s">
        <v>38</v>
      </c>
      <c r="K42" s="187" t="s">
        <v>154</v>
      </c>
      <c r="L42" s="187">
        <v>2</v>
      </c>
      <c r="M42" s="187"/>
      <c r="N42" s="187">
        <v>3</v>
      </c>
      <c r="O42" s="187">
        <v>0.5</v>
      </c>
      <c r="P42" s="187">
        <v>0.5</v>
      </c>
      <c r="Q42" s="188">
        <f t="shared" si="0"/>
        <v>0.5</v>
      </c>
      <c r="R42" s="187">
        <v>17.8</v>
      </c>
      <c r="S42" s="187">
        <v>136</v>
      </c>
      <c r="T42" s="189">
        <f t="shared" si="1"/>
        <v>25</v>
      </c>
      <c r="U42" s="187">
        <v>380</v>
      </c>
      <c r="V42" s="190">
        <f t="shared" si="2"/>
        <v>3166.666666666667</v>
      </c>
      <c r="W42" s="187">
        <v>10</v>
      </c>
      <c r="X42" s="185" t="s">
        <v>46</v>
      </c>
      <c r="Y42" s="187" t="s">
        <v>84</v>
      </c>
      <c r="Z42" s="187" t="s">
        <v>50</v>
      </c>
      <c r="AA42" s="187" t="s">
        <v>102</v>
      </c>
      <c r="AB42" s="185" t="s">
        <v>393</v>
      </c>
      <c r="AC42" s="191"/>
    </row>
    <row r="43" spans="1:29" x14ac:dyDescent="0.15">
      <c r="A43" s="185" t="s">
        <v>61</v>
      </c>
      <c r="B43" s="185" t="s">
        <v>391</v>
      </c>
      <c r="C43" s="185">
        <v>2018</v>
      </c>
      <c r="D43" s="186" t="s">
        <v>392</v>
      </c>
      <c r="E43" s="185" t="s">
        <v>351</v>
      </c>
      <c r="F43" s="185" t="s">
        <v>352</v>
      </c>
      <c r="G43" s="185" t="s">
        <v>42</v>
      </c>
      <c r="H43" s="187" t="s">
        <v>158</v>
      </c>
      <c r="I43" s="187" t="s">
        <v>153</v>
      </c>
      <c r="J43" s="185" t="s">
        <v>38</v>
      </c>
      <c r="K43" s="187" t="s">
        <v>154</v>
      </c>
      <c r="L43" s="187">
        <v>3</v>
      </c>
      <c r="M43" s="187"/>
      <c r="N43" s="187">
        <v>3</v>
      </c>
      <c r="O43" s="187">
        <v>0.55000000000000004</v>
      </c>
      <c r="P43" s="187">
        <v>0.6</v>
      </c>
      <c r="Q43" s="188">
        <f t="shared" si="0"/>
        <v>0.57499999999999996</v>
      </c>
      <c r="R43" s="187">
        <v>18.100000000000001</v>
      </c>
      <c r="S43" s="187">
        <v>139</v>
      </c>
      <c r="T43" s="189">
        <f t="shared" si="1"/>
        <v>22</v>
      </c>
      <c r="U43" s="187">
        <v>380</v>
      </c>
      <c r="V43" s="190">
        <f t="shared" si="2"/>
        <v>2786.666666666667</v>
      </c>
      <c r="W43" s="187">
        <v>10</v>
      </c>
      <c r="X43" s="185" t="s">
        <v>46</v>
      </c>
      <c r="Y43" s="187" t="s">
        <v>84</v>
      </c>
      <c r="Z43" s="187" t="s">
        <v>50</v>
      </c>
      <c r="AA43" s="187" t="s">
        <v>102</v>
      </c>
      <c r="AB43" s="185" t="s">
        <v>393</v>
      </c>
      <c r="AC43" s="191"/>
    </row>
    <row r="44" spans="1:29" x14ac:dyDescent="0.15">
      <c r="A44" s="185" t="s">
        <v>61</v>
      </c>
      <c r="B44" s="185" t="s">
        <v>391</v>
      </c>
      <c r="C44" s="185">
        <v>2018</v>
      </c>
      <c r="D44" s="186" t="s">
        <v>392</v>
      </c>
      <c r="E44" s="185" t="s">
        <v>357</v>
      </c>
      <c r="F44" s="185" t="s">
        <v>358</v>
      </c>
      <c r="G44" s="185" t="s">
        <v>42</v>
      </c>
      <c r="H44" s="187" t="s">
        <v>155</v>
      </c>
      <c r="I44" s="187" t="s">
        <v>153</v>
      </c>
      <c r="J44" s="185" t="s">
        <v>38</v>
      </c>
      <c r="K44" s="187" t="s">
        <v>154</v>
      </c>
      <c r="L44" s="187">
        <v>1</v>
      </c>
      <c r="M44" s="187"/>
      <c r="N44" s="187">
        <v>4</v>
      </c>
      <c r="O44" s="187">
        <v>0.9</v>
      </c>
      <c r="P44" s="187">
        <v>0.85</v>
      </c>
      <c r="Q44" s="188">
        <f t="shared" si="0"/>
        <v>0.875</v>
      </c>
      <c r="R44" s="187">
        <v>14</v>
      </c>
      <c r="S44" s="187">
        <v>100</v>
      </c>
      <c r="T44" s="189">
        <f t="shared" si="1"/>
        <v>33</v>
      </c>
      <c r="U44" s="187">
        <v>321</v>
      </c>
      <c r="V44" s="190">
        <f t="shared" si="2"/>
        <v>2648.25</v>
      </c>
      <c r="W44" s="187">
        <v>8</v>
      </c>
      <c r="X44" s="185" t="s">
        <v>39</v>
      </c>
      <c r="Y44" s="187" t="s">
        <v>84</v>
      </c>
      <c r="Z44" s="187" t="s">
        <v>50</v>
      </c>
      <c r="AA44" s="187" t="s">
        <v>69</v>
      </c>
      <c r="AB44" s="185" t="s">
        <v>393</v>
      </c>
      <c r="AC44" s="191"/>
    </row>
    <row r="45" spans="1:29" x14ac:dyDescent="0.15">
      <c r="A45" s="185" t="s">
        <v>61</v>
      </c>
      <c r="B45" s="185" t="s">
        <v>391</v>
      </c>
      <c r="C45" s="185">
        <v>2018</v>
      </c>
      <c r="D45" s="186" t="s">
        <v>392</v>
      </c>
      <c r="E45" s="185" t="s">
        <v>357</v>
      </c>
      <c r="F45" s="185" t="s">
        <v>358</v>
      </c>
      <c r="G45" s="185" t="s">
        <v>42</v>
      </c>
      <c r="H45" s="187" t="s">
        <v>155</v>
      </c>
      <c r="I45" s="187" t="s">
        <v>153</v>
      </c>
      <c r="J45" s="185" t="s">
        <v>38</v>
      </c>
      <c r="K45" s="187" t="s">
        <v>154</v>
      </c>
      <c r="L45" s="187">
        <v>2</v>
      </c>
      <c r="M45" s="187"/>
      <c r="N45" s="187">
        <v>4</v>
      </c>
      <c r="O45" s="187">
        <v>0.8</v>
      </c>
      <c r="P45" s="187">
        <v>0.8</v>
      </c>
      <c r="Q45" s="188">
        <f t="shared" si="0"/>
        <v>0.8</v>
      </c>
      <c r="R45" s="187">
        <v>16.100000000000001</v>
      </c>
      <c r="S45" s="187">
        <v>105</v>
      </c>
      <c r="T45" s="189">
        <f t="shared" si="1"/>
        <v>33</v>
      </c>
      <c r="U45" s="187">
        <v>321</v>
      </c>
      <c r="V45" s="190">
        <f t="shared" si="2"/>
        <v>2648.25</v>
      </c>
      <c r="W45" s="187">
        <v>8</v>
      </c>
      <c r="X45" s="185" t="s">
        <v>39</v>
      </c>
      <c r="Y45" s="187" t="s">
        <v>84</v>
      </c>
      <c r="Z45" s="187" t="s">
        <v>50</v>
      </c>
      <c r="AA45" s="187" t="s">
        <v>69</v>
      </c>
      <c r="AB45" s="185" t="s">
        <v>393</v>
      </c>
      <c r="AC45" s="191"/>
    </row>
    <row r="46" spans="1:29" x14ac:dyDescent="0.15">
      <c r="A46" s="185" t="s">
        <v>61</v>
      </c>
      <c r="B46" s="185" t="s">
        <v>391</v>
      </c>
      <c r="C46" s="185">
        <v>2018</v>
      </c>
      <c r="D46" s="186" t="s">
        <v>392</v>
      </c>
      <c r="E46" s="185" t="s">
        <v>357</v>
      </c>
      <c r="F46" s="185" t="s">
        <v>358</v>
      </c>
      <c r="G46" s="185" t="s">
        <v>42</v>
      </c>
      <c r="H46" s="187" t="s">
        <v>155</v>
      </c>
      <c r="I46" s="187" t="s">
        <v>153</v>
      </c>
      <c r="J46" s="185" t="s">
        <v>38</v>
      </c>
      <c r="K46" s="187" t="s">
        <v>154</v>
      </c>
      <c r="L46" s="187">
        <v>3</v>
      </c>
      <c r="M46" s="187"/>
      <c r="N46" s="187">
        <v>4</v>
      </c>
      <c r="O46" s="187">
        <v>0.8</v>
      </c>
      <c r="P46" s="187">
        <v>0.8</v>
      </c>
      <c r="Q46" s="188">
        <f t="shared" si="0"/>
        <v>0.8</v>
      </c>
      <c r="R46" s="187">
        <v>15.8</v>
      </c>
      <c r="S46" s="187">
        <v>99</v>
      </c>
      <c r="T46" s="189">
        <f t="shared" si="1"/>
        <v>33</v>
      </c>
      <c r="U46" s="187">
        <v>321</v>
      </c>
      <c r="V46" s="190">
        <f t="shared" si="2"/>
        <v>2648.25</v>
      </c>
      <c r="W46" s="187">
        <v>8</v>
      </c>
      <c r="X46" s="185" t="s">
        <v>39</v>
      </c>
      <c r="Y46" s="187" t="s">
        <v>84</v>
      </c>
      <c r="Z46" s="187" t="s">
        <v>50</v>
      </c>
      <c r="AA46" s="187" t="s">
        <v>69</v>
      </c>
      <c r="AB46" s="185" t="s">
        <v>393</v>
      </c>
      <c r="AC46" s="191"/>
    </row>
    <row r="47" spans="1:29" x14ac:dyDescent="0.15">
      <c r="A47" s="185" t="s">
        <v>61</v>
      </c>
      <c r="B47" s="185" t="s">
        <v>391</v>
      </c>
      <c r="C47" s="185">
        <v>2018</v>
      </c>
      <c r="D47" s="186" t="s">
        <v>392</v>
      </c>
      <c r="E47" s="185" t="s">
        <v>357</v>
      </c>
      <c r="F47" s="185" t="s">
        <v>358</v>
      </c>
      <c r="G47" s="185" t="s">
        <v>42</v>
      </c>
      <c r="H47" s="187" t="s">
        <v>158</v>
      </c>
      <c r="I47" s="187" t="s">
        <v>153</v>
      </c>
      <c r="J47" s="185" t="s">
        <v>38</v>
      </c>
      <c r="K47" s="187" t="s">
        <v>154</v>
      </c>
      <c r="L47" s="187">
        <v>1</v>
      </c>
      <c r="M47" s="187"/>
      <c r="N47" s="187">
        <v>3</v>
      </c>
      <c r="O47" s="187">
        <v>0.6</v>
      </c>
      <c r="P47" s="187">
        <v>0.6</v>
      </c>
      <c r="Q47" s="188">
        <f t="shared" si="0"/>
        <v>0.6</v>
      </c>
      <c r="R47" s="187">
        <v>17.399999999999999</v>
      </c>
      <c r="S47" s="187">
        <v>135</v>
      </c>
      <c r="T47" s="189">
        <f t="shared" si="1"/>
        <v>25</v>
      </c>
      <c r="U47" s="187">
        <v>429</v>
      </c>
      <c r="V47" s="190">
        <f t="shared" si="2"/>
        <v>3575</v>
      </c>
      <c r="W47" s="187">
        <v>8</v>
      </c>
      <c r="X47" s="185" t="s">
        <v>39</v>
      </c>
      <c r="Y47" s="187" t="s">
        <v>84</v>
      </c>
      <c r="Z47" s="187" t="s">
        <v>50</v>
      </c>
      <c r="AA47" s="187" t="s">
        <v>69</v>
      </c>
      <c r="AB47" s="185" t="s">
        <v>393</v>
      </c>
      <c r="AC47" s="191"/>
    </row>
    <row r="48" spans="1:29" x14ac:dyDescent="0.15">
      <c r="A48" s="185" t="s">
        <v>61</v>
      </c>
      <c r="B48" s="185" t="s">
        <v>391</v>
      </c>
      <c r="C48" s="185">
        <v>2018</v>
      </c>
      <c r="D48" s="186" t="s">
        <v>392</v>
      </c>
      <c r="E48" s="185" t="s">
        <v>357</v>
      </c>
      <c r="F48" s="185" t="s">
        <v>358</v>
      </c>
      <c r="G48" s="185" t="s">
        <v>42</v>
      </c>
      <c r="H48" s="187" t="s">
        <v>158</v>
      </c>
      <c r="I48" s="187" t="s">
        <v>153</v>
      </c>
      <c r="J48" s="185" t="s">
        <v>38</v>
      </c>
      <c r="K48" s="187" t="s">
        <v>154</v>
      </c>
      <c r="L48" s="187">
        <v>2</v>
      </c>
      <c r="M48" s="187"/>
      <c r="N48" s="187">
        <v>3</v>
      </c>
      <c r="O48" s="187">
        <v>0.5</v>
      </c>
      <c r="P48" s="187">
        <v>0.5</v>
      </c>
      <c r="Q48" s="188">
        <f t="shared" si="0"/>
        <v>0.5</v>
      </c>
      <c r="R48" s="187">
        <v>17.399999999999999</v>
      </c>
      <c r="S48" s="187">
        <v>131</v>
      </c>
      <c r="T48" s="189">
        <f t="shared" si="1"/>
        <v>25</v>
      </c>
      <c r="U48" s="187">
        <v>429</v>
      </c>
      <c r="V48" s="190">
        <f t="shared" si="2"/>
        <v>3575</v>
      </c>
      <c r="W48" s="187">
        <v>8</v>
      </c>
      <c r="X48" s="185" t="s">
        <v>39</v>
      </c>
      <c r="Y48" s="187" t="s">
        <v>84</v>
      </c>
      <c r="Z48" s="187" t="s">
        <v>50</v>
      </c>
      <c r="AA48" s="187" t="s">
        <v>69</v>
      </c>
      <c r="AB48" s="185" t="s">
        <v>393</v>
      </c>
      <c r="AC48" s="191"/>
    </row>
    <row r="49" spans="1:29" x14ac:dyDescent="0.15">
      <c r="A49" s="185" t="s">
        <v>61</v>
      </c>
      <c r="B49" s="185" t="s">
        <v>391</v>
      </c>
      <c r="C49" s="185">
        <v>2018</v>
      </c>
      <c r="D49" s="186" t="s">
        <v>392</v>
      </c>
      <c r="E49" s="185" t="s">
        <v>357</v>
      </c>
      <c r="F49" s="185" t="s">
        <v>358</v>
      </c>
      <c r="G49" s="185" t="s">
        <v>42</v>
      </c>
      <c r="H49" s="187" t="s">
        <v>158</v>
      </c>
      <c r="I49" s="187" t="s">
        <v>153</v>
      </c>
      <c r="J49" s="185" t="s">
        <v>38</v>
      </c>
      <c r="K49" s="187" t="s">
        <v>154</v>
      </c>
      <c r="L49" s="187">
        <v>3</v>
      </c>
      <c r="M49" s="187"/>
      <c r="N49" s="187">
        <v>3</v>
      </c>
      <c r="O49" s="187">
        <v>0.6</v>
      </c>
      <c r="P49" s="187">
        <v>0.55000000000000004</v>
      </c>
      <c r="Q49" s="188">
        <f t="shared" si="0"/>
        <v>0.57499999999999996</v>
      </c>
      <c r="R49" s="187">
        <v>17.8</v>
      </c>
      <c r="S49" s="187">
        <v>135</v>
      </c>
      <c r="T49" s="189">
        <f t="shared" si="1"/>
        <v>25</v>
      </c>
      <c r="U49" s="187">
        <v>429</v>
      </c>
      <c r="V49" s="190">
        <f t="shared" si="2"/>
        <v>3575</v>
      </c>
      <c r="W49" s="187">
        <v>8</v>
      </c>
      <c r="X49" s="185" t="s">
        <v>39</v>
      </c>
      <c r="Y49" s="187" t="s">
        <v>84</v>
      </c>
      <c r="Z49" s="187" t="s">
        <v>50</v>
      </c>
      <c r="AA49" s="187" t="s">
        <v>69</v>
      </c>
      <c r="AB49" s="185" t="s">
        <v>393</v>
      </c>
      <c r="AC49" s="191"/>
    </row>
    <row r="50" spans="1:29" x14ac:dyDescent="0.15">
      <c r="A50" s="185" t="s">
        <v>61</v>
      </c>
      <c r="B50" s="185" t="s">
        <v>391</v>
      </c>
      <c r="C50" s="185">
        <v>2018</v>
      </c>
      <c r="D50" s="186" t="s">
        <v>392</v>
      </c>
      <c r="E50" s="185" t="s">
        <v>133</v>
      </c>
      <c r="F50" s="185" t="s">
        <v>360</v>
      </c>
      <c r="G50" s="185" t="s">
        <v>42</v>
      </c>
      <c r="H50" s="187" t="s">
        <v>155</v>
      </c>
      <c r="I50" s="187" t="s">
        <v>153</v>
      </c>
      <c r="J50" s="185" t="s">
        <v>38</v>
      </c>
      <c r="K50" s="187" t="s">
        <v>154</v>
      </c>
      <c r="L50" s="187">
        <v>1</v>
      </c>
      <c r="M50" s="187"/>
      <c r="N50" s="187">
        <v>1</v>
      </c>
      <c r="O50" s="187">
        <v>0.5</v>
      </c>
      <c r="P50" s="187">
        <v>0.5</v>
      </c>
      <c r="Q50" s="188">
        <f t="shared" si="0"/>
        <v>0.5</v>
      </c>
      <c r="R50" s="187">
        <v>17.3</v>
      </c>
      <c r="S50" s="187">
        <v>153</v>
      </c>
      <c r="T50" s="189">
        <f t="shared" si="1"/>
        <v>18</v>
      </c>
      <c r="U50" s="187">
        <v>105</v>
      </c>
      <c r="V50" s="190">
        <f t="shared" si="2"/>
        <v>1890</v>
      </c>
      <c r="W50" s="187">
        <v>15</v>
      </c>
      <c r="X50" s="185" t="s">
        <v>46</v>
      </c>
      <c r="Y50" s="187" t="s">
        <v>90</v>
      </c>
      <c r="Z50" s="187" t="s">
        <v>84</v>
      </c>
      <c r="AA50" s="187" t="s">
        <v>50</v>
      </c>
      <c r="AB50" s="185" t="s">
        <v>393</v>
      </c>
      <c r="AC50" s="191"/>
    </row>
    <row r="51" spans="1:29" x14ac:dyDescent="0.15">
      <c r="A51" s="185" t="s">
        <v>61</v>
      </c>
      <c r="B51" s="185" t="s">
        <v>391</v>
      </c>
      <c r="C51" s="185">
        <v>2018</v>
      </c>
      <c r="D51" s="186" t="s">
        <v>392</v>
      </c>
      <c r="E51" s="185" t="s">
        <v>133</v>
      </c>
      <c r="F51" s="185" t="s">
        <v>360</v>
      </c>
      <c r="G51" s="185" t="s">
        <v>42</v>
      </c>
      <c r="H51" s="187" t="s">
        <v>155</v>
      </c>
      <c r="I51" s="187" t="s">
        <v>153</v>
      </c>
      <c r="J51" s="185" t="s">
        <v>38</v>
      </c>
      <c r="K51" s="187" t="s">
        <v>154</v>
      </c>
      <c r="L51" s="187">
        <v>2</v>
      </c>
      <c r="M51" s="187"/>
      <c r="N51" s="187">
        <v>1</v>
      </c>
      <c r="O51" s="187">
        <v>0.6</v>
      </c>
      <c r="P51" s="187">
        <v>0.5</v>
      </c>
      <c r="Q51" s="188">
        <f t="shared" si="0"/>
        <v>0.55000000000000004</v>
      </c>
      <c r="R51" s="187">
        <v>17.100000000000001</v>
      </c>
      <c r="S51" s="187">
        <v>165</v>
      </c>
      <c r="T51" s="189">
        <f t="shared" si="1"/>
        <v>18</v>
      </c>
      <c r="U51" s="187">
        <v>105</v>
      </c>
      <c r="V51" s="190">
        <f t="shared" si="2"/>
        <v>1890</v>
      </c>
      <c r="W51" s="187">
        <v>15</v>
      </c>
      <c r="X51" s="185" t="s">
        <v>46</v>
      </c>
      <c r="Y51" s="187" t="s">
        <v>90</v>
      </c>
      <c r="Z51" s="187" t="s">
        <v>84</v>
      </c>
      <c r="AA51" s="187" t="s">
        <v>50</v>
      </c>
      <c r="AB51" s="185" t="s">
        <v>393</v>
      </c>
      <c r="AC51" s="191"/>
    </row>
    <row r="52" spans="1:29" x14ac:dyDescent="0.15">
      <c r="A52" s="185" t="s">
        <v>61</v>
      </c>
      <c r="B52" s="185" t="s">
        <v>391</v>
      </c>
      <c r="C52" s="185">
        <v>2018</v>
      </c>
      <c r="D52" s="186" t="s">
        <v>392</v>
      </c>
      <c r="E52" s="185" t="s">
        <v>133</v>
      </c>
      <c r="F52" s="185" t="s">
        <v>360</v>
      </c>
      <c r="G52" s="185" t="s">
        <v>42</v>
      </c>
      <c r="H52" s="187" t="s">
        <v>155</v>
      </c>
      <c r="I52" s="187" t="s">
        <v>153</v>
      </c>
      <c r="J52" s="185" t="s">
        <v>38</v>
      </c>
      <c r="K52" s="187" t="s">
        <v>154</v>
      </c>
      <c r="L52" s="187">
        <v>3</v>
      </c>
      <c r="M52" s="187"/>
      <c r="N52" s="187">
        <v>1</v>
      </c>
      <c r="O52" s="187">
        <v>0.6</v>
      </c>
      <c r="P52" s="187">
        <v>0.6</v>
      </c>
      <c r="Q52" s="188">
        <f t="shared" si="0"/>
        <v>0.6</v>
      </c>
      <c r="R52" s="187">
        <v>17</v>
      </c>
      <c r="S52" s="187">
        <v>145</v>
      </c>
      <c r="T52" s="189">
        <f t="shared" si="1"/>
        <v>22</v>
      </c>
      <c r="U52" s="187">
        <v>105</v>
      </c>
      <c r="V52" s="190">
        <f t="shared" si="2"/>
        <v>2310</v>
      </c>
      <c r="W52" s="187">
        <v>15</v>
      </c>
      <c r="X52" s="185" t="s">
        <v>46</v>
      </c>
      <c r="Y52" s="187" t="s">
        <v>90</v>
      </c>
      <c r="Z52" s="187" t="s">
        <v>84</v>
      </c>
      <c r="AA52" s="187" t="s">
        <v>50</v>
      </c>
      <c r="AB52" s="185" t="s">
        <v>393</v>
      </c>
      <c r="AC52" s="191"/>
    </row>
    <row r="53" spans="1:29" x14ac:dyDescent="0.15">
      <c r="A53" s="185" t="s">
        <v>61</v>
      </c>
      <c r="B53" s="185" t="s">
        <v>391</v>
      </c>
      <c r="C53" s="185">
        <v>2018</v>
      </c>
      <c r="D53" s="186" t="s">
        <v>392</v>
      </c>
      <c r="E53" s="185" t="s">
        <v>133</v>
      </c>
      <c r="F53" s="185" t="s">
        <v>360</v>
      </c>
      <c r="G53" s="185" t="s">
        <v>42</v>
      </c>
      <c r="H53" s="187" t="s">
        <v>158</v>
      </c>
      <c r="I53" s="187" t="s">
        <v>153</v>
      </c>
      <c r="J53" s="185" t="s">
        <v>38</v>
      </c>
      <c r="K53" s="187" t="s">
        <v>154</v>
      </c>
      <c r="L53" s="187">
        <v>1</v>
      </c>
      <c r="M53" s="187"/>
      <c r="N53" s="187">
        <v>1</v>
      </c>
      <c r="O53" s="187">
        <v>0.65</v>
      </c>
      <c r="P53" s="187">
        <v>0.6</v>
      </c>
      <c r="Q53" s="188">
        <f t="shared" si="0"/>
        <v>0.625</v>
      </c>
      <c r="R53" s="187">
        <v>16.600000000000001</v>
      </c>
      <c r="S53" s="187">
        <v>153</v>
      </c>
      <c r="T53" s="189">
        <f t="shared" si="1"/>
        <v>18</v>
      </c>
      <c r="U53" s="187">
        <v>149</v>
      </c>
      <c r="V53" s="190">
        <f t="shared" si="2"/>
        <v>2682</v>
      </c>
      <c r="W53" s="187">
        <v>15</v>
      </c>
      <c r="X53" s="185" t="s">
        <v>46</v>
      </c>
      <c r="Y53" s="187" t="s">
        <v>90</v>
      </c>
      <c r="Z53" s="187" t="s">
        <v>84</v>
      </c>
      <c r="AA53" s="187" t="s">
        <v>50</v>
      </c>
      <c r="AB53" s="185" t="s">
        <v>393</v>
      </c>
      <c r="AC53" s="187"/>
    </row>
    <row r="54" spans="1:29" x14ac:dyDescent="0.15">
      <c r="A54" s="185" t="s">
        <v>61</v>
      </c>
      <c r="B54" s="185" t="s">
        <v>391</v>
      </c>
      <c r="C54" s="185">
        <v>2018</v>
      </c>
      <c r="D54" s="186" t="s">
        <v>392</v>
      </c>
      <c r="E54" s="185" t="s">
        <v>133</v>
      </c>
      <c r="F54" s="185" t="s">
        <v>360</v>
      </c>
      <c r="G54" s="185" t="s">
        <v>42</v>
      </c>
      <c r="H54" s="187" t="s">
        <v>158</v>
      </c>
      <c r="I54" s="187" t="s">
        <v>153</v>
      </c>
      <c r="J54" s="185" t="s">
        <v>38</v>
      </c>
      <c r="K54" s="187" t="s">
        <v>154</v>
      </c>
      <c r="L54" s="187">
        <v>2</v>
      </c>
      <c r="M54" s="187"/>
      <c r="N54" s="187">
        <v>1</v>
      </c>
      <c r="O54" s="187">
        <v>0.5</v>
      </c>
      <c r="P54" s="187">
        <v>0.5</v>
      </c>
      <c r="Q54" s="188">
        <f t="shared" si="0"/>
        <v>0.5</v>
      </c>
      <c r="R54" s="187">
        <v>17.399999999999999</v>
      </c>
      <c r="S54" s="187">
        <v>148</v>
      </c>
      <c r="T54" s="189">
        <f t="shared" si="1"/>
        <v>22</v>
      </c>
      <c r="U54" s="187">
        <v>149</v>
      </c>
      <c r="V54" s="190">
        <f t="shared" si="2"/>
        <v>3278</v>
      </c>
      <c r="W54" s="187">
        <v>15</v>
      </c>
      <c r="X54" s="185" t="s">
        <v>46</v>
      </c>
      <c r="Y54" s="187" t="s">
        <v>90</v>
      </c>
      <c r="Z54" s="187" t="s">
        <v>84</v>
      </c>
      <c r="AA54" s="187" t="s">
        <v>50</v>
      </c>
      <c r="AB54" s="185" t="s">
        <v>393</v>
      </c>
      <c r="AC54" s="187"/>
    </row>
    <row r="55" spans="1:29" x14ac:dyDescent="0.15">
      <c r="A55" s="185" t="s">
        <v>61</v>
      </c>
      <c r="B55" s="185" t="s">
        <v>391</v>
      </c>
      <c r="C55" s="185">
        <v>2018</v>
      </c>
      <c r="D55" s="186" t="s">
        <v>392</v>
      </c>
      <c r="E55" s="185" t="s">
        <v>133</v>
      </c>
      <c r="F55" s="185" t="s">
        <v>360</v>
      </c>
      <c r="G55" s="185" t="s">
        <v>42</v>
      </c>
      <c r="H55" s="187" t="s">
        <v>158</v>
      </c>
      <c r="I55" s="187" t="s">
        <v>153</v>
      </c>
      <c r="J55" s="185" t="s">
        <v>38</v>
      </c>
      <c r="K55" s="187" t="s">
        <v>154</v>
      </c>
      <c r="L55" s="187">
        <v>3</v>
      </c>
      <c r="M55" s="187"/>
      <c r="N55" s="187">
        <v>1</v>
      </c>
      <c r="O55" s="187">
        <v>0.5</v>
      </c>
      <c r="P55" s="187">
        <v>0.55000000000000004</v>
      </c>
      <c r="Q55" s="188">
        <f t="shared" si="0"/>
        <v>0.52500000000000002</v>
      </c>
      <c r="R55" s="187">
        <v>17.100000000000001</v>
      </c>
      <c r="S55" s="187">
        <v>168</v>
      </c>
      <c r="T55" s="189">
        <f t="shared" si="1"/>
        <v>18</v>
      </c>
      <c r="U55" s="187">
        <v>149</v>
      </c>
      <c r="V55" s="190">
        <f t="shared" si="2"/>
        <v>2682</v>
      </c>
      <c r="W55" s="187">
        <v>15</v>
      </c>
      <c r="X55" s="185" t="s">
        <v>46</v>
      </c>
      <c r="Y55" s="187" t="s">
        <v>90</v>
      </c>
      <c r="Z55" s="187" t="s">
        <v>84</v>
      </c>
      <c r="AA55" s="187" t="s">
        <v>50</v>
      </c>
      <c r="AB55" s="185" t="s">
        <v>393</v>
      </c>
      <c r="AC55" s="187"/>
    </row>
    <row r="56" spans="1:29" x14ac:dyDescent="0.15">
      <c r="A56" s="185" t="s">
        <v>61</v>
      </c>
      <c r="B56" s="185" t="s">
        <v>391</v>
      </c>
      <c r="C56" s="185">
        <v>2018</v>
      </c>
      <c r="D56" s="186" t="s">
        <v>392</v>
      </c>
      <c r="E56" s="185" t="s">
        <v>133</v>
      </c>
      <c r="F56" s="185" t="s">
        <v>360</v>
      </c>
      <c r="G56" s="185" t="s">
        <v>42</v>
      </c>
      <c r="H56" s="187" t="s">
        <v>128</v>
      </c>
      <c r="I56" s="187" t="s">
        <v>153</v>
      </c>
      <c r="J56" s="185" t="s">
        <v>80</v>
      </c>
      <c r="K56" s="187" t="s">
        <v>45</v>
      </c>
      <c r="L56" s="187">
        <v>1</v>
      </c>
      <c r="M56" s="187"/>
      <c r="N56" s="187">
        <v>5</v>
      </c>
      <c r="O56" s="187">
        <v>0.7</v>
      </c>
      <c r="P56" s="187">
        <v>0.7</v>
      </c>
      <c r="Q56" s="188">
        <f t="shared" si="0"/>
        <v>0.7</v>
      </c>
      <c r="R56" s="187">
        <v>15.8</v>
      </c>
      <c r="S56" s="187">
        <v>78</v>
      </c>
      <c r="T56" s="189">
        <f t="shared" si="1"/>
        <v>39</v>
      </c>
      <c r="U56" s="187">
        <v>429</v>
      </c>
      <c r="V56" s="190">
        <f t="shared" si="2"/>
        <v>3346.2</v>
      </c>
      <c r="W56" s="187">
        <v>15</v>
      </c>
      <c r="X56" s="185" t="s">
        <v>46</v>
      </c>
      <c r="Y56" s="187" t="s">
        <v>90</v>
      </c>
      <c r="Z56" s="187" t="s">
        <v>84</v>
      </c>
      <c r="AA56" s="187" t="s">
        <v>50</v>
      </c>
      <c r="AB56" s="185" t="s">
        <v>393</v>
      </c>
      <c r="AC56" s="187"/>
    </row>
    <row r="57" spans="1:29" x14ac:dyDescent="0.15">
      <c r="A57" s="185" t="s">
        <v>61</v>
      </c>
      <c r="B57" s="185" t="s">
        <v>391</v>
      </c>
      <c r="C57" s="185">
        <v>2018</v>
      </c>
      <c r="D57" s="186" t="s">
        <v>392</v>
      </c>
      <c r="E57" s="185" t="s">
        <v>133</v>
      </c>
      <c r="F57" s="185" t="s">
        <v>360</v>
      </c>
      <c r="G57" s="185" t="s">
        <v>42</v>
      </c>
      <c r="H57" s="187" t="s">
        <v>128</v>
      </c>
      <c r="I57" s="187" t="s">
        <v>153</v>
      </c>
      <c r="J57" s="185" t="s">
        <v>80</v>
      </c>
      <c r="K57" s="187" t="s">
        <v>45</v>
      </c>
      <c r="L57" s="187">
        <v>2</v>
      </c>
      <c r="M57" s="187"/>
      <c r="N57" s="187">
        <v>5</v>
      </c>
      <c r="O57" s="187">
        <v>0.6</v>
      </c>
      <c r="P57" s="187">
        <v>0.6</v>
      </c>
      <c r="Q57" s="188">
        <f t="shared" si="0"/>
        <v>0.6</v>
      </c>
      <c r="R57" s="187">
        <v>16.100000000000001</v>
      </c>
      <c r="S57" s="187">
        <v>91</v>
      </c>
      <c r="T57" s="189">
        <f t="shared" si="1"/>
        <v>36</v>
      </c>
      <c r="U57" s="187">
        <v>429</v>
      </c>
      <c r="V57" s="190">
        <f t="shared" si="2"/>
        <v>3088.7999999999997</v>
      </c>
      <c r="W57" s="187">
        <v>15</v>
      </c>
      <c r="X57" s="185" t="s">
        <v>46</v>
      </c>
      <c r="Y57" s="187" t="s">
        <v>90</v>
      </c>
      <c r="Z57" s="187" t="s">
        <v>84</v>
      </c>
      <c r="AA57" s="187" t="s">
        <v>50</v>
      </c>
      <c r="AB57" s="185" t="s">
        <v>393</v>
      </c>
      <c r="AC57" s="187"/>
    </row>
    <row r="58" spans="1:29" x14ac:dyDescent="0.15">
      <c r="A58" s="185" t="s">
        <v>61</v>
      </c>
      <c r="B58" s="185" t="s">
        <v>391</v>
      </c>
      <c r="C58" s="185">
        <v>2018</v>
      </c>
      <c r="D58" s="186" t="s">
        <v>392</v>
      </c>
      <c r="E58" s="185" t="s">
        <v>133</v>
      </c>
      <c r="F58" s="185" t="s">
        <v>360</v>
      </c>
      <c r="G58" s="185" t="s">
        <v>42</v>
      </c>
      <c r="H58" s="187" t="s">
        <v>128</v>
      </c>
      <c r="I58" s="187" t="s">
        <v>153</v>
      </c>
      <c r="J58" s="185" t="s">
        <v>80</v>
      </c>
      <c r="K58" s="187" t="s">
        <v>45</v>
      </c>
      <c r="L58" s="187">
        <v>3</v>
      </c>
      <c r="M58" s="187"/>
      <c r="N58" s="187">
        <v>5</v>
      </c>
      <c r="O58" s="187">
        <v>0.6</v>
      </c>
      <c r="P58" s="187">
        <v>0.65</v>
      </c>
      <c r="Q58" s="188">
        <f t="shared" si="0"/>
        <v>0.625</v>
      </c>
      <c r="R58" s="187">
        <v>16.100000000000001</v>
      </c>
      <c r="S58" s="187">
        <v>86</v>
      </c>
      <c r="T58" s="189">
        <f t="shared" si="1"/>
        <v>36</v>
      </c>
      <c r="U58" s="187">
        <v>429</v>
      </c>
      <c r="V58" s="190">
        <f t="shared" si="2"/>
        <v>3088.7999999999997</v>
      </c>
      <c r="W58" s="187">
        <v>15</v>
      </c>
      <c r="X58" s="185" t="s">
        <v>46</v>
      </c>
      <c r="Y58" s="187" t="s">
        <v>90</v>
      </c>
      <c r="Z58" s="187" t="s">
        <v>84</v>
      </c>
      <c r="AA58" s="187" t="s">
        <v>50</v>
      </c>
      <c r="AB58" s="185" t="s">
        <v>393</v>
      </c>
      <c r="AC58" s="187"/>
    </row>
    <row r="59" spans="1:29" x14ac:dyDescent="0.15">
      <c r="A59" s="185" t="s">
        <v>61</v>
      </c>
      <c r="B59" s="185" t="s">
        <v>391</v>
      </c>
      <c r="C59" s="185">
        <v>2018</v>
      </c>
      <c r="D59" s="186" t="s">
        <v>392</v>
      </c>
      <c r="E59" s="185" t="s">
        <v>364</v>
      </c>
      <c r="F59" s="185" t="s">
        <v>365</v>
      </c>
      <c r="G59" s="185" t="s">
        <v>42</v>
      </c>
      <c r="H59" s="187" t="s">
        <v>155</v>
      </c>
      <c r="I59" s="187" t="s">
        <v>153</v>
      </c>
      <c r="J59" s="185" t="s">
        <v>38</v>
      </c>
      <c r="K59" s="187" t="s">
        <v>154</v>
      </c>
      <c r="L59" s="187">
        <v>1</v>
      </c>
      <c r="M59" s="187"/>
      <c r="N59" s="187">
        <v>4</v>
      </c>
      <c r="O59" s="187">
        <v>0.7</v>
      </c>
      <c r="P59" s="187">
        <v>0.7</v>
      </c>
      <c r="Q59" s="188">
        <f t="shared" si="0"/>
        <v>0.7</v>
      </c>
      <c r="R59" s="187">
        <v>17.100000000000001</v>
      </c>
      <c r="S59" s="187">
        <v>94</v>
      </c>
      <c r="T59" s="189">
        <f t="shared" si="1"/>
        <v>36</v>
      </c>
      <c r="U59" s="187">
        <v>298</v>
      </c>
      <c r="V59" s="190">
        <f t="shared" si="2"/>
        <v>2682</v>
      </c>
      <c r="W59" s="187">
        <v>30</v>
      </c>
      <c r="X59" s="185" t="s">
        <v>46</v>
      </c>
      <c r="Y59" s="187" t="s">
        <v>90</v>
      </c>
      <c r="Z59" s="187" t="s">
        <v>69</v>
      </c>
      <c r="AA59" s="187" t="s">
        <v>102</v>
      </c>
      <c r="AB59" s="185" t="s">
        <v>393</v>
      </c>
      <c r="AC59" s="191"/>
    </row>
    <row r="60" spans="1:29" x14ac:dyDescent="0.15">
      <c r="A60" s="185" t="s">
        <v>61</v>
      </c>
      <c r="B60" s="185" t="s">
        <v>391</v>
      </c>
      <c r="C60" s="185">
        <v>2018</v>
      </c>
      <c r="D60" s="186" t="s">
        <v>392</v>
      </c>
      <c r="E60" s="185" t="s">
        <v>364</v>
      </c>
      <c r="F60" s="185" t="s">
        <v>365</v>
      </c>
      <c r="G60" s="185" t="s">
        <v>42</v>
      </c>
      <c r="H60" s="187" t="s">
        <v>155</v>
      </c>
      <c r="I60" s="187" t="s">
        <v>153</v>
      </c>
      <c r="J60" s="185" t="s">
        <v>38</v>
      </c>
      <c r="K60" s="187" t="s">
        <v>154</v>
      </c>
      <c r="L60" s="187">
        <v>2</v>
      </c>
      <c r="M60" s="187"/>
      <c r="N60" s="187">
        <v>4</v>
      </c>
      <c r="O60" s="187">
        <v>0.75</v>
      </c>
      <c r="P60" s="187">
        <v>0.7</v>
      </c>
      <c r="Q60" s="188">
        <f t="shared" si="0"/>
        <v>0.72499999999999998</v>
      </c>
      <c r="R60" s="187">
        <v>17.100000000000001</v>
      </c>
      <c r="S60" s="187">
        <v>98</v>
      </c>
      <c r="T60" s="189">
        <f t="shared" si="1"/>
        <v>36</v>
      </c>
      <c r="U60" s="187">
        <v>298</v>
      </c>
      <c r="V60" s="190">
        <f t="shared" si="2"/>
        <v>2682</v>
      </c>
      <c r="W60" s="187">
        <v>30</v>
      </c>
      <c r="X60" s="185" t="s">
        <v>46</v>
      </c>
      <c r="Y60" s="187" t="s">
        <v>90</v>
      </c>
      <c r="Z60" s="187" t="s">
        <v>69</v>
      </c>
      <c r="AA60" s="187" t="s">
        <v>102</v>
      </c>
      <c r="AB60" s="185" t="s">
        <v>393</v>
      </c>
      <c r="AC60" s="191"/>
    </row>
    <row r="61" spans="1:29" x14ac:dyDescent="0.15">
      <c r="A61" s="185" t="s">
        <v>61</v>
      </c>
      <c r="B61" s="185" t="s">
        <v>391</v>
      </c>
      <c r="C61" s="185">
        <v>2018</v>
      </c>
      <c r="D61" s="186" t="s">
        <v>392</v>
      </c>
      <c r="E61" s="185" t="s">
        <v>364</v>
      </c>
      <c r="F61" s="185" t="s">
        <v>365</v>
      </c>
      <c r="G61" s="185" t="s">
        <v>42</v>
      </c>
      <c r="H61" s="187" t="s">
        <v>155</v>
      </c>
      <c r="I61" s="187" t="s">
        <v>153</v>
      </c>
      <c r="J61" s="185" t="s">
        <v>38</v>
      </c>
      <c r="K61" s="187" t="s">
        <v>154</v>
      </c>
      <c r="L61" s="187">
        <v>3</v>
      </c>
      <c r="M61" s="187"/>
      <c r="N61" s="187">
        <v>4</v>
      </c>
      <c r="O61" s="187">
        <v>0.6</v>
      </c>
      <c r="P61" s="187">
        <v>0.6</v>
      </c>
      <c r="Q61" s="188">
        <f t="shared" si="0"/>
        <v>0.6</v>
      </c>
      <c r="R61" s="187">
        <v>17.3</v>
      </c>
      <c r="S61" s="187">
        <v>100</v>
      </c>
      <c r="T61" s="189">
        <f t="shared" si="1"/>
        <v>33</v>
      </c>
      <c r="U61" s="187">
        <v>298</v>
      </c>
      <c r="V61" s="190">
        <f t="shared" si="2"/>
        <v>2458.5</v>
      </c>
      <c r="W61" s="187">
        <v>30</v>
      </c>
      <c r="X61" s="185" t="s">
        <v>46</v>
      </c>
      <c r="Y61" s="187" t="s">
        <v>90</v>
      </c>
      <c r="Z61" s="187" t="s">
        <v>69</v>
      </c>
      <c r="AA61" s="187" t="s">
        <v>102</v>
      </c>
      <c r="AB61" s="185" t="s">
        <v>393</v>
      </c>
      <c r="AC61" s="191"/>
    </row>
    <row r="62" spans="1:29" x14ac:dyDescent="0.15">
      <c r="A62" s="185" t="s">
        <v>61</v>
      </c>
      <c r="B62" s="185" t="s">
        <v>391</v>
      </c>
      <c r="C62" s="185">
        <v>2018</v>
      </c>
      <c r="D62" s="186" t="s">
        <v>392</v>
      </c>
      <c r="E62" s="185" t="s">
        <v>366</v>
      </c>
      <c r="F62" s="185" t="s">
        <v>365</v>
      </c>
      <c r="G62" s="185" t="s">
        <v>42</v>
      </c>
      <c r="H62" s="187" t="s">
        <v>155</v>
      </c>
      <c r="I62" s="187" t="s">
        <v>153</v>
      </c>
      <c r="J62" s="185" t="s">
        <v>38</v>
      </c>
      <c r="K62" s="187" t="s">
        <v>154</v>
      </c>
      <c r="L62" s="187">
        <v>1</v>
      </c>
      <c r="M62" s="187"/>
      <c r="N62" s="187">
        <v>4</v>
      </c>
      <c r="O62" s="187">
        <v>0.9</v>
      </c>
      <c r="P62" s="187">
        <v>0.85</v>
      </c>
      <c r="Q62" s="188">
        <f t="shared" si="0"/>
        <v>0.875</v>
      </c>
      <c r="R62" s="187">
        <v>16.3</v>
      </c>
      <c r="S62" s="187">
        <v>97</v>
      </c>
      <c r="T62" s="189">
        <f t="shared" si="1"/>
        <v>36</v>
      </c>
      <c r="U62" s="187">
        <v>300</v>
      </c>
      <c r="V62" s="190">
        <f t="shared" si="2"/>
        <v>2700</v>
      </c>
      <c r="W62" s="187">
        <v>17</v>
      </c>
      <c r="X62" s="185" t="s">
        <v>46</v>
      </c>
      <c r="Y62" s="187" t="s">
        <v>90</v>
      </c>
      <c r="Z62" s="187" t="s">
        <v>50</v>
      </c>
      <c r="AA62" s="187" t="s">
        <v>78</v>
      </c>
      <c r="AB62" s="185" t="s">
        <v>393</v>
      </c>
      <c r="AC62" s="191"/>
    </row>
    <row r="63" spans="1:29" x14ac:dyDescent="0.15">
      <c r="A63" s="185" t="s">
        <v>61</v>
      </c>
      <c r="B63" s="185" t="s">
        <v>391</v>
      </c>
      <c r="C63" s="185">
        <v>2018</v>
      </c>
      <c r="D63" s="186" t="s">
        <v>392</v>
      </c>
      <c r="E63" s="185" t="s">
        <v>366</v>
      </c>
      <c r="F63" s="185" t="s">
        <v>365</v>
      </c>
      <c r="G63" s="185" t="s">
        <v>42</v>
      </c>
      <c r="H63" s="187" t="s">
        <v>155</v>
      </c>
      <c r="I63" s="187" t="s">
        <v>153</v>
      </c>
      <c r="J63" s="185" t="s">
        <v>38</v>
      </c>
      <c r="K63" s="187" t="s">
        <v>154</v>
      </c>
      <c r="L63" s="187">
        <v>2</v>
      </c>
      <c r="M63" s="187"/>
      <c r="N63" s="187">
        <v>4</v>
      </c>
      <c r="O63" s="187">
        <v>0.85</v>
      </c>
      <c r="P63" s="187">
        <v>0.7</v>
      </c>
      <c r="Q63" s="188">
        <f t="shared" si="0"/>
        <v>0.77499999999999991</v>
      </c>
      <c r="R63" s="187">
        <v>17</v>
      </c>
      <c r="S63" s="187">
        <v>103</v>
      </c>
      <c r="T63" s="189">
        <f t="shared" si="1"/>
        <v>33</v>
      </c>
      <c r="U63" s="187">
        <v>300</v>
      </c>
      <c r="V63" s="190">
        <f t="shared" si="2"/>
        <v>2475</v>
      </c>
      <c r="W63" s="187">
        <v>17</v>
      </c>
      <c r="X63" s="185" t="s">
        <v>46</v>
      </c>
      <c r="Y63" s="187" t="s">
        <v>90</v>
      </c>
      <c r="Z63" s="187" t="s">
        <v>50</v>
      </c>
      <c r="AA63" s="187" t="s">
        <v>78</v>
      </c>
      <c r="AB63" s="185" t="s">
        <v>393</v>
      </c>
      <c r="AC63" s="191"/>
    </row>
    <row r="64" spans="1:29" x14ac:dyDescent="0.15">
      <c r="A64" s="185" t="s">
        <v>61</v>
      </c>
      <c r="B64" s="185" t="s">
        <v>391</v>
      </c>
      <c r="C64" s="185">
        <v>2018</v>
      </c>
      <c r="D64" s="186" t="s">
        <v>392</v>
      </c>
      <c r="E64" s="185" t="s">
        <v>366</v>
      </c>
      <c r="F64" s="185" t="s">
        <v>365</v>
      </c>
      <c r="G64" s="185" t="s">
        <v>42</v>
      </c>
      <c r="H64" s="187" t="s">
        <v>155</v>
      </c>
      <c r="I64" s="187" t="s">
        <v>153</v>
      </c>
      <c r="J64" s="185" t="s">
        <v>38</v>
      </c>
      <c r="K64" s="187" t="s">
        <v>154</v>
      </c>
      <c r="L64" s="187">
        <v>3</v>
      </c>
      <c r="M64" s="187"/>
      <c r="N64" s="187">
        <v>4</v>
      </c>
      <c r="O64" s="187">
        <v>0.8</v>
      </c>
      <c r="P64" s="187">
        <v>0.8</v>
      </c>
      <c r="Q64" s="188">
        <f t="shared" si="0"/>
        <v>0.8</v>
      </c>
      <c r="R64" s="187">
        <v>16.8</v>
      </c>
      <c r="S64" s="187">
        <v>98</v>
      </c>
      <c r="T64" s="189">
        <f t="shared" si="1"/>
        <v>36</v>
      </c>
      <c r="U64" s="187">
        <v>300</v>
      </c>
      <c r="V64" s="190">
        <f t="shared" si="2"/>
        <v>2700</v>
      </c>
      <c r="W64" s="187">
        <v>17</v>
      </c>
      <c r="X64" s="185" t="s">
        <v>46</v>
      </c>
      <c r="Y64" s="187" t="s">
        <v>90</v>
      </c>
      <c r="Z64" s="187" t="s">
        <v>50</v>
      </c>
      <c r="AA64" s="187" t="s">
        <v>78</v>
      </c>
      <c r="AB64" s="185" t="s">
        <v>393</v>
      </c>
      <c r="AC64" s="191"/>
    </row>
    <row r="65" spans="1:29" x14ac:dyDescent="0.15">
      <c r="A65" s="185" t="s">
        <v>61</v>
      </c>
      <c r="B65" s="185" t="s">
        <v>391</v>
      </c>
      <c r="C65" s="185">
        <v>2018</v>
      </c>
      <c r="D65" s="186" t="s">
        <v>392</v>
      </c>
      <c r="E65" s="185" t="s">
        <v>366</v>
      </c>
      <c r="F65" s="185" t="s">
        <v>365</v>
      </c>
      <c r="G65" s="185" t="s">
        <v>42</v>
      </c>
      <c r="H65" s="187" t="s">
        <v>158</v>
      </c>
      <c r="I65" s="187" t="s">
        <v>153</v>
      </c>
      <c r="J65" s="185" t="s">
        <v>38</v>
      </c>
      <c r="K65" s="187" t="s">
        <v>154</v>
      </c>
      <c r="L65" s="187">
        <v>1</v>
      </c>
      <c r="M65" s="187"/>
      <c r="N65" s="187">
        <v>3</v>
      </c>
      <c r="O65" s="187">
        <v>0.6</v>
      </c>
      <c r="P65" s="187">
        <v>0.55000000000000004</v>
      </c>
      <c r="Q65" s="188">
        <f t="shared" si="0"/>
        <v>0.57499999999999996</v>
      </c>
      <c r="R65" s="187">
        <v>17.8</v>
      </c>
      <c r="S65" s="187">
        <v>129</v>
      </c>
      <c r="T65" s="189">
        <f t="shared" si="1"/>
        <v>25</v>
      </c>
      <c r="U65" s="187">
        <v>494</v>
      </c>
      <c r="V65" s="190">
        <f t="shared" si="2"/>
        <v>4116.6666666666661</v>
      </c>
      <c r="W65" s="187">
        <v>17</v>
      </c>
      <c r="X65" s="185" t="s">
        <v>46</v>
      </c>
      <c r="Y65" s="187" t="s">
        <v>90</v>
      </c>
      <c r="Z65" s="187" t="s">
        <v>50</v>
      </c>
      <c r="AA65" s="187" t="s">
        <v>78</v>
      </c>
      <c r="AB65" s="185" t="s">
        <v>393</v>
      </c>
      <c r="AC65" s="191"/>
    </row>
    <row r="66" spans="1:29" x14ac:dyDescent="0.15">
      <c r="A66" s="185" t="s">
        <v>61</v>
      </c>
      <c r="B66" s="185" t="s">
        <v>391</v>
      </c>
      <c r="C66" s="185">
        <v>2018</v>
      </c>
      <c r="D66" s="186" t="s">
        <v>392</v>
      </c>
      <c r="E66" s="185" t="s">
        <v>366</v>
      </c>
      <c r="F66" s="185" t="s">
        <v>365</v>
      </c>
      <c r="G66" s="185" t="s">
        <v>42</v>
      </c>
      <c r="H66" s="187" t="s">
        <v>158</v>
      </c>
      <c r="I66" s="187" t="s">
        <v>153</v>
      </c>
      <c r="J66" s="185" t="s">
        <v>38</v>
      </c>
      <c r="K66" s="187" t="s">
        <v>154</v>
      </c>
      <c r="L66" s="187">
        <v>2</v>
      </c>
      <c r="M66" s="187"/>
      <c r="N66" s="187">
        <v>3</v>
      </c>
      <c r="O66" s="187">
        <v>0.5</v>
      </c>
      <c r="P66" s="187">
        <v>0.5</v>
      </c>
      <c r="Q66" s="188">
        <f t="shared" ref="Q66:Q108" si="3">IF(OR(O66="",P66=""),"",AVERAGE(O66,P66))</f>
        <v>0.5</v>
      </c>
      <c r="R66" s="187">
        <v>17.399999999999999</v>
      </c>
      <c r="S66" s="187">
        <v>135</v>
      </c>
      <c r="T66" s="189">
        <f t="shared" ref="T66:T108" si="4">IF(H66="","",IF(OR(H66="GREEN",H66="GK"),IF(S66&gt;=$AX$2,VLOOKUP(S66,$AX$2:$AY$15,2,1),""),IF(S66&gt;=$AZ$2,VLOOKUP(S66,$AZ$2:$BA$15,2,1),"")))</f>
        <v>25</v>
      </c>
      <c r="U66" s="187">
        <v>494</v>
      </c>
      <c r="V66" s="190">
        <f t="shared" ref="V66:V108" si="5">IF(OR(N66="",U66="",T66=""),"",U66/N66*T66)</f>
        <v>4116.6666666666661</v>
      </c>
      <c r="W66" s="187">
        <v>17</v>
      </c>
      <c r="X66" s="185" t="s">
        <v>46</v>
      </c>
      <c r="Y66" s="187" t="s">
        <v>90</v>
      </c>
      <c r="Z66" s="187" t="s">
        <v>50</v>
      </c>
      <c r="AA66" s="187" t="s">
        <v>78</v>
      </c>
      <c r="AB66" s="185" t="s">
        <v>393</v>
      </c>
      <c r="AC66" s="191"/>
    </row>
    <row r="67" spans="1:29" x14ac:dyDescent="0.15">
      <c r="A67" s="185" t="s">
        <v>61</v>
      </c>
      <c r="B67" s="185" t="s">
        <v>391</v>
      </c>
      <c r="C67" s="185">
        <v>2018</v>
      </c>
      <c r="D67" s="186" t="s">
        <v>392</v>
      </c>
      <c r="E67" s="185" t="s">
        <v>366</v>
      </c>
      <c r="F67" s="185" t="s">
        <v>365</v>
      </c>
      <c r="G67" s="185" t="s">
        <v>42</v>
      </c>
      <c r="H67" s="187" t="s">
        <v>158</v>
      </c>
      <c r="I67" s="187" t="s">
        <v>153</v>
      </c>
      <c r="J67" s="185" t="s">
        <v>38</v>
      </c>
      <c r="K67" s="187" t="s">
        <v>154</v>
      </c>
      <c r="L67" s="187">
        <v>3</v>
      </c>
      <c r="M67" s="187"/>
      <c r="N67" s="187">
        <v>3</v>
      </c>
      <c r="O67" s="187">
        <v>0.65</v>
      </c>
      <c r="P67" s="187">
        <v>0.7</v>
      </c>
      <c r="Q67" s="188">
        <f t="shared" si="3"/>
        <v>0.67500000000000004</v>
      </c>
      <c r="R67" s="187">
        <v>17.399999999999999</v>
      </c>
      <c r="S67" s="187">
        <v>134</v>
      </c>
      <c r="T67" s="189">
        <f t="shared" si="4"/>
        <v>25</v>
      </c>
      <c r="U67" s="187">
        <v>494</v>
      </c>
      <c r="V67" s="190">
        <f t="shared" si="5"/>
        <v>4116.6666666666661</v>
      </c>
      <c r="W67" s="187">
        <v>17</v>
      </c>
      <c r="X67" s="185" t="s">
        <v>46</v>
      </c>
      <c r="Y67" s="187" t="s">
        <v>90</v>
      </c>
      <c r="Z67" s="187" t="s">
        <v>50</v>
      </c>
      <c r="AA67" s="187" t="s">
        <v>78</v>
      </c>
      <c r="AB67" s="185" t="s">
        <v>393</v>
      </c>
      <c r="AC67" s="191"/>
    </row>
    <row r="68" spans="1:29" x14ac:dyDescent="0.15">
      <c r="A68" s="185"/>
      <c r="B68" s="185"/>
      <c r="C68" s="185"/>
      <c r="D68" s="186"/>
      <c r="E68" s="185"/>
      <c r="F68" s="185"/>
      <c r="G68" s="185"/>
      <c r="H68" s="187"/>
      <c r="I68" s="187"/>
      <c r="J68" s="185"/>
      <c r="K68" s="187"/>
      <c r="L68" s="187"/>
      <c r="M68" s="187"/>
      <c r="N68" s="187"/>
      <c r="O68" s="187"/>
      <c r="P68" s="187"/>
      <c r="Q68" s="188" t="str">
        <f t="shared" si="3"/>
        <v/>
      </c>
      <c r="R68" s="187"/>
      <c r="S68" s="187"/>
      <c r="T68" s="189" t="str">
        <f t="shared" si="4"/>
        <v/>
      </c>
      <c r="U68" s="187"/>
      <c r="V68" s="190" t="str">
        <f t="shared" si="5"/>
        <v/>
      </c>
      <c r="W68" s="187"/>
      <c r="X68" s="185"/>
      <c r="Y68" s="187"/>
      <c r="Z68" s="187"/>
      <c r="AA68" s="187"/>
      <c r="AB68" s="185"/>
      <c r="AC68" s="187"/>
    </row>
    <row r="69" spans="1:29" x14ac:dyDescent="0.15">
      <c r="A69" s="185"/>
      <c r="B69" s="185"/>
      <c r="C69" s="185"/>
      <c r="D69" s="186"/>
      <c r="E69" s="185"/>
      <c r="F69" s="185"/>
      <c r="G69" s="185"/>
      <c r="H69" s="187"/>
      <c r="I69" s="187"/>
      <c r="J69" s="185"/>
      <c r="K69" s="187"/>
      <c r="L69" s="187"/>
      <c r="M69" s="187"/>
      <c r="N69" s="187"/>
      <c r="O69" s="187"/>
      <c r="P69" s="187"/>
      <c r="Q69" s="188" t="str">
        <f t="shared" si="3"/>
        <v/>
      </c>
      <c r="R69" s="187"/>
      <c r="S69" s="187"/>
      <c r="T69" s="189" t="str">
        <f t="shared" si="4"/>
        <v/>
      </c>
      <c r="U69" s="187"/>
      <c r="V69" s="190" t="str">
        <f t="shared" si="5"/>
        <v/>
      </c>
      <c r="W69" s="187"/>
      <c r="X69" s="185"/>
      <c r="Y69" s="187"/>
      <c r="Z69" s="187"/>
      <c r="AA69" s="187"/>
      <c r="AB69" s="185"/>
      <c r="AC69" s="187"/>
    </row>
    <row r="70" spans="1:29" x14ac:dyDescent="0.15">
      <c r="A70" s="185"/>
      <c r="B70" s="185"/>
      <c r="C70" s="185"/>
      <c r="D70" s="186"/>
      <c r="E70" s="185"/>
      <c r="F70" s="185"/>
      <c r="G70" s="185"/>
      <c r="H70" s="187"/>
      <c r="I70" s="187"/>
      <c r="J70" s="185"/>
      <c r="K70" s="187"/>
      <c r="L70" s="187"/>
      <c r="M70" s="187"/>
      <c r="N70" s="187"/>
      <c r="O70" s="187"/>
      <c r="P70" s="187"/>
      <c r="Q70" s="188" t="str">
        <f t="shared" si="3"/>
        <v/>
      </c>
      <c r="R70" s="187"/>
      <c r="S70" s="187"/>
      <c r="T70" s="189" t="str">
        <f t="shared" si="4"/>
        <v/>
      </c>
      <c r="U70" s="187"/>
      <c r="V70" s="190" t="str">
        <f t="shared" si="5"/>
        <v/>
      </c>
      <c r="W70" s="187"/>
      <c r="X70" s="185"/>
      <c r="Y70" s="187"/>
      <c r="Z70" s="187"/>
      <c r="AA70" s="187"/>
      <c r="AB70" s="185"/>
      <c r="AC70" s="187"/>
    </row>
    <row r="71" spans="1:29" x14ac:dyDescent="0.15">
      <c r="A71" s="185"/>
      <c r="B71" s="185"/>
      <c r="C71" s="185"/>
      <c r="D71" s="186"/>
      <c r="E71" s="185"/>
      <c r="F71" s="185"/>
      <c r="G71" s="185"/>
      <c r="H71" s="187"/>
      <c r="I71" s="187"/>
      <c r="J71" s="185"/>
      <c r="K71" s="187"/>
      <c r="L71" s="187"/>
      <c r="M71" s="187"/>
      <c r="N71" s="187"/>
      <c r="O71" s="187"/>
      <c r="P71" s="187"/>
      <c r="Q71" s="188" t="str">
        <f t="shared" si="3"/>
        <v/>
      </c>
      <c r="R71" s="187"/>
      <c r="S71" s="187"/>
      <c r="T71" s="189" t="str">
        <f t="shared" si="4"/>
        <v/>
      </c>
      <c r="U71" s="187"/>
      <c r="V71" s="190" t="str">
        <f t="shared" si="5"/>
        <v/>
      </c>
      <c r="W71" s="187"/>
      <c r="X71" s="185"/>
      <c r="Y71" s="187"/>
      <c r="Z71" s="187"/>
      <c r="AA71" s="187"/>
      <c r="AB71" s="185"/>
      <c r="AC71" s="187"/>
    </row>
    <row r="72" spans="1:29" x14ac:dyDescent="0.15">
      <c r="A72" s="185"/>
      <c r="B72" s="185"/>
      <c r="C72" s="185"/>
      <c r="D72" s="186"/>
      <c r="E72" s="185"/>
      <c r="F72" s="185"/>
      <c r="G72" s="185"/>
      <c r="H72" s="187"/>
      <c r="I72" s="187"/>
      <c r="J72" s="185"/>
      <c r="K72" s="187"/>
      <c r="L72" s="187"/>
      <c r="M72" s="187"/>
      <c r="N72" s="187"/>
      <c r="O72" s="187"/>
      <c r="P72" s="187"/>
      <c r="Q72" s="188" t="str">
        <f t="shared" si="3"/>
        <v/>
      </c>
      <c r="R72" s="187"/>
      <c r="S72" s="187"/>
      <c r="T72" s="189" t="str">
        <f t="shared" si="4"/>
        <v/>
      </c>
      <c r="U72" s="187"/>
      <c r="V72" s="190" t="str">
        <f t="shared" si="5"/>
        <v/>
      </c>
      <c r="W72" s="187"/>
      <c r="X72" s="185"/>
      <c r="Y72" s="187"/>
      <c r="Z72" s="187"/>
      <c r="AA72" s="187"/>
      <c r="AB72" s="185"/>
      <c r="AC72" s="187"/>
    </row>
    <row r="73" spans="1:29" x14ac:dyDescent="0.15">
      <c r="A73" s="185"/>
      <c r="B73" s="185"/>
      <c r="C73" s="185"/>
      <c r="D73" s="186"/>
      <c r="E73" s="185"/>
      <c r="F73" s="185"/>
      <c r="G73" s="185"/>
      <c r="H73" s="187"/>
      <c r="I73" s="187"/>
      <c r="J73" s="185"/>
      <c r="K73" s="187"/>
      <c r="L73" s="187"/>
      <c r="M73" s="187"/>
      <c r="N73" s="187"/>
      <c r="O73" s="187"/>
      <c r="P73" s="187"/>
      <c r="Q73" s="188" t="str">
        <f t="shared" si="3"/>
        <v/>
      </c>
      <c r="R73" s="187"/>
      <c r="S73" s="187"/>
      <c r="T73" s="189" t="str">
        <f t="shared" si="4"/>
        <v/>
      </c>
      <c r="U73" s="187"/>
      <c r="V73" s="190" t="str">
        <f t="shared" si="5"/>
        <v/>
      </c>
      <c r="W73" s="187"/>
      <c r="X73" s="185"/>
      <c r="Y73" s="187"/>
      <c r="Z73" s="187"/>
      <c r="AA73" s="187"/>
      <c r="AB73" s="185"/>
      <c r="AC73" s="187"/>
    </row>
    <row r="74" spans="1:29" x14ac:dyDescent="0.15">
      <c r="A74" s="185"/>
      <c r="B74" s="185"/>
      <c r="C74" s="185"/>
      <c r="D74" s="186"/>
      <c r="E74" s="185"/>
      <c r="F74" s="185"/>
      <c r="G74" s="185"/>
      <c r="H74" s="187"/>
      <c r="I74" s="187"/>
      <c r="J74" s="185"/>
      <c r="K74" s="187"/>
      <c r="L74" s="187"/>
      <c r="M74" s="187"/>
      <c r="N74" s="187"/>
      <c r="O74" s="187"/>
      <c r="P74" s="187"/>
      <c r="Q74" s="188" t="str">
        <f t="shared" si="3"/>
        <v/>
      </c>
      <c r="R74" s="187"/>
      <c r="S74" s="187"/>
      <c r="T74" s="189" t="str">
        <f t="shared" si="4"/>
        <v/>
      </c>
      <c r="U74" s="187"/>
      <c r="V74" s="190" t="str">
        <f t="shared" si="5"/>
        <v/>
      </c>
      <c r="W74" s="187"/>
      <c r="X74" s="185"/>
      <c r="Y74" s="187"/>
      <c r="Z74" s="187"/>
      <c r="AA74" s="187"/>
      <c r="AB74" s="185"/>
      <c r="AC74" s="187"/>
    </row>
    <row r="75" spans="1:29" x14ac:dyDescent="0.15">
      <c r="A75" s="185"/>
      <c r="B75" s="185"/>
      <c r="C75" s="185"/>
      <c r="D75" s="186"/>
      <c r="E75" s="185"/>
      <c r="F75" s="185"/>
      <c r="G75" s="185"/>
      <c r="H75" s="187"/>
      <c r="I75" s="187"/>
      <c r="J75" s="185"/>
      <c r="K75" s="187"/>
      <c r="L75" s="187"/>
      <c r="M75" s="187"/>
      <c r="N75" s="187"/>
      <c r="O75" s="187"/>
      <c r="P75" s="187"/>
      <c r="Q75" s="188" t="str">
        <f t="shared" si="3"/>
        <v/>
      </c>
      <c r="R75" s="187"/>
      <c r="S75" s="187"/>
      <c r="T75" s="189" t="str">
        <f t="shared" si="4"/>
        <v/>
      </c>
      <c r="U75" s="187"/>
      <c r="V75" s="190" t="str">
        <f t="shared" si="5"/>
        <v/>
      </c>
      <c r="W75" s="187"/>
      <c r="X75" s="185"/>
      <c r="Y75" s="187"/>
      <c r="Z75" s="187"/>
      <c r="AA75" s="187"/>
      <c r="AB75" s="185"/>
      <c r="AC75" s="187"/>
    </row>
    <row r="76" spans="1:29" x14ac:dyDescent="0.15">
      <c r="A76" s="185"/>
      <c r="B76" s="185"/>
      <c r="C76" s="185"/>
      <c r="D76" s="186"/>
      <c r="E76" s="185"/>
      <c r="F76" s="185"/>
      <c r="G76" s="185"/>
      <c r="H76" s="187"/>
      <c r="I76" s="187"/>
      <c r="J76" s="185"/>
      <c r="K76" s="187"/>
      <c r="L76" s="187"/>
      <c r="M76" s="187"/>
      <c r="N76" s="187"/>
      <c r="O76" s="187"/>
      <c r="P76" s="187"/>
      <c r="Q76" s="188" t="str">
        <f t="shared" si="3"/>
        <v/>
      </c>
      <c r="R76" s="187"/>
      <c r="S76" s="187"/>
      <c r="T76" s="189" t="str">
        <f t="shared" si="4"/>
        <v/>
      </c>
      <c r="U76" s="187"/>
      <c r="V76" s="190" t="str">
        <f t="shared" si="5"/>
        <v/>
      </c>
      <c r="W76" s="187"/>
      <c r="X76" s="185"/>
      <c r="Y76" s="187"/>
      <c r="Z76" s="187"/>
      <c r="AA76" s="187"/>
      <c r="AB76" s="185"/>
      <c r="AC76" s="187"/>
    </row>
    <row r="77" spans="1:29" x14ac:dyDescent="0.15">
      <c r="A77" s="185"/>
      <c r="B77" s="185"/>
      <c r="C77" s="185"/>
      <c r="D77" s="186"/>
      <c r="E77" s="185"/>
      <c r="F77" s="185"/>
      <c r="G77" s="185"/>
      <c r="H77" s="187"/>
      <c r="I77" s="187"/>
      <c r="J77" s="185"/>
      <c r="K77" s="187"/>
      <c r="L77" s="187"/>
      <c r="M77" s="187"/>
      <c r="N77" s="187"/>
      <c r="O77" s="187"/>
      <c r="P77" s="187"/>
      <c r="Q77" s="188" t="str">
        <f t="shared" si="3"/>
        <v/>
      </c>
      <c r="R77" s="187"/>
      <c r="S77" s="187"/>
      <c r="T77" s="189" t="str">
        <f t="shared" si="4"/>
        <v/>
      </c>
      <c r="U77" s="187"/>
      <c r="V77" s="190" t="str">
        <f t="shared" si="5"/>
        <v/>
      </c>
      <c r="W77" s="187"/>
      <c r="X77" s="185"/>
      <c r="Y77" s="187"/>
      <c r="Z77" s="187"/>
      <c r="AA77" s="187"/>
      <c r="AB77" s="185"/>
      <c r="AC77" s="187"/>
    </row>
    <row r="78" spans="1:29" x14ac:dyDescent="0.15">
      <c r="A78" s="185"/>
      <c r="B78" s="185"/>
      <c r="C78" s="185"/>
      <c r="D78" s="186"/>
      <c r="E78" s="185"/>
      <c r="F78" s="185"/>
      <c r="G78" s="185"/>
      <c r="H78" s="187"/>
      <c r="I78" s="187"/>
      <c r="J78" s="185"/>
      <c r="K78" s="187"/>
      <c r="L78" s="187"/>
      <c r="M78" s="187"/>
      <c r="N78" s="187"/>
      <c r="O78" s="187"/>
      <c r="P78" s="187"/>
      <c r="Q78" s="188" t="str">
        <f t="shared" si="3"/>
        <v/>
      </c>
      <c r="R78" s="187"/>
      <c r="S78" s="187"/>
      <c r="T78" s="189" t="str">
        <f t="shared" si="4"/>
        <v/>
      </c>
      <c r="U78" s="187"/>
      <c r="V78" s="190" t="str">
        <f t="shared" si="5"/>
        <v/>
      </c>
      <c r="W78" s="187"/>
      <c r="X78" s="185"/>
      <c r="Y78" s="187"/>
      <c r="Z78" s="187"/>
      <c r="AA78" s="187"/>
      <c r="AB78" s="185"/>
      <c r="AC78" s="187"/>
    </row>
    <row r="79" spans="1:29" x14ac:dyDescent="0.15">
      <c r="A79" s="185"/>
      <c r="B79" s="185"/>
      <c r="C79" s="185"/>
      <c r="D79" s="186"/>
      <c r="E79" s="185"/>
      <c r="F79" s="185"/>
      <c r="G79" s="185"/>
      <c r="H79" s="187"/>
      <c r="I79" s="187"/>
      <c r="J79" s="185"/>
      <c r="K79" s="187"/>
      <c r="L79" s="187"/>
      <c r="M79" s="187"/>
      <c r="N79" s="187"/>
      <c r="O79" s="187"/>
      <c r="P79" s="187"/>
      <c r="Q79" s="188" t="str">
        <f t="shared" si="3"/>
        <v/>
      </c>
      <c r="R79" s="187"/>
      <c r="S79" s="187"/>
      <c r="T79" s="189" t="str">
        <f t="shared" si="4"/>
        <v/>
      </c>
      <c r="U79" s="187"/>
      <c r="V79" s="190" t="str">
        <f t="shared" si="5"/>
        <v/>
      </c>
      <c r="W79" s="187"/>
      <c r="X79" s="185"/>
      <c r="Y79" s="187"/>
      <c r="Z79" s="187"/>
      <c r="AA79" s="187"/>
      <c r="AB79" s="185"/>
      <c r="AC79" s="187"/>
    </row>
    <row r="80" spans="1:29" x14ac:dyDescent="0.15">
      <c r="A80" s="185"/>
      <c r="B80" s="185"/>
      <c r="C80" s="185"/>
      <c r="D80" s="186"/>
      <c r="E80" s="187"/>
      <c r="F80" s="187"/>
      <c r="G80" s="185"/>
      <c r="H80" s="187"/>
      <c r="I80" s="187"/>
      <c r="J80" s="185"/>
      <c r="K80" s="187"/>
      <c r="L80" s="187"/>
      <c r="M80" s="187"/>
      <c r="N80" s="187"/>
      <c r="O80" s="187"/>
      <c r="P80" s="187"/>
      <c r="Q80" s="188"/>
      <c r="R80" s="187"/>
      <c r="S80" s="187"/>
      <c r="T80" s="189"/>
      <c r="U80" s="187"/>
      <c r="V80" s="190"/>
      <c r="W80" s="187"/>
      <c r="X80" s="185"/>
      <c r="Y80" s="187"/>
      <c r="Z80" s="187"/>
      <c r="AA80" s="187"/>
      <c r="AB80" s="185"/>
      <c r="AC80" s="187"/>
    </row>
    <row r="81" spans="1:29" x14ac:dyDescent="0.15">
      <c r="A81" s="185"/>
      <c r="B81" s="185"/>
      <c r="C81" s="185"/>
      <c r="D81" s="186"/>
      <c r="E81" s="187"/>
      <c r="F81" s="187"/>
      <c r="G81" s="185"/>
      <c r="H81" s="187"/>
      <c r="I81" s="187"/>
      <c r="J81" s="185"/>
      <c r="K81" s="187"/>
      <c r="L81" s="187"/>
      <c r="M81" s="187"/>
      <c r="N81" s="187"/>
      <c r="O81" s="187"/>
      <c r="P81" s="187"/>
      <c r="Q81" s="188"/>
      <c r="R81" s="187"/>
      <c r="S81" s="187"/>
      <c r="T81" s="189"/>
      <c r="U81" s="187"/>
      <c r="V81" s="190"/>
      <c r="W81" s="187"/>
      <c r="X81" s="185"/>
      <c r="Y81" s="187"/>
      <c r="Z81" s="187"/>
      <c r="AA81" s="187"/>
      <c r="AB81" s="185"/>
      <c r="AC81" s="187"/>
    </row>
    <row r="82" spans="1:29" x14ac:dyDescent="0.15">
      <c r="A82" s="185"/>
      <c r="B82" s="185"/>
      <c r="C82" s="185"/>
      <c r="D82" s="186"/>
      <c r="E82" s="187"/>
      <c r="F82" s="187"/>
      <c r="G82" s="185"/>
      <c r="H82" s="187"/>
      <c r="I82" s="187"/>
      <c r="J82" s="185"/>
      <c r="K82" s="187"/>
      <c r="L82" s="187"/>
      <c r="M82" s="187"/>
      <c r="N82" s="187"/>
      <c r="O82" s="187"/>
      <c r="P82" s="187"/>
      <c r="Q82" s="188"/>
      <c r="R82" s="187"/>
      <c r="S82" s="187"/>
      <c r="T82" s="189"/>
      <c r="U82" s="187"/>
      <c r="V82" s="190"/>
      <c r="W82" s="187"/>
      <c r="X82" s="185"/>
      <c r="Y82" s="187"/>
      <c r="Z82" s="187"/>
      <c r="AA82" s="187"/>
      <c r="AB82" s="185"/>
      <c r="AC82" s="187"/>
    </row>
    <row r="83" spans="1:29" x14ac:dyDescent="0.15">
      <c r="A83" s="185"/>
      <c r="B83" s="185"/>
      <c r="C83" s="185"/>
      <c r="D83" s="186"/>
      <c r="E83" s="187"/>
      <c r="F83" s="187"/>
      <c r="G83" s="185"/>
      <c r="H83" s="187"/>
      <c r="I83" s="187"/>
      <c r="J83" s="185"/>
      <c r="K83" s="187"/>
      <c r="L83" s="187"/>
      <c r="M83" s="187"/>
      <c r="N83" s="187"/>
      <c r="O83" s="187"/>
      <c r="P83" s="187"/>
      <c r="Q83" s="188"/>
      <c r="R83" s="187"/>
      <c r="S83" s="187"/>
      <c r="T83" s="189"/>
      <c r="U83" s="187"/>
      <c r="V83" s="190"/>
      <c r="W83" s="187"/>
      <c r="X83" s="185"/>
      <c r="Y83" s="187"/>
      <c r="Z83" s="187"/>
      <c r="AA83" s="187"/>
      <c r="AB83" s="185"/>
      <c r="AC83" s="187"/>
    </row>
    <row r="84" spans="1:29" x14ac:dyDescent="0.15">
      <c r="A84" s="185"/>
      <c r="B84" s="185"/>
      <c r="C84" s="185"/>
      <c r="D84" s="186"/>
      <c r="E84" s="187"/>
      <c r="F84" s="187"/>
      <c r="G84" s="185"/>
      <c r="H84" s="187"/>
      <c r="I84" s="187"/>
      <c r="J84" s="185"/>
      <c r="K84" s="187"/>
      <c r="L84" s="187"/>
      <c r="M84" s="187"/>
      <c r="N84" s="187"/>
      <c r="O84" s="187"/>
      <c r="P84" s="187"/>
      <c r="Q84" s="188"/>
      <c r="R84" s="187"/>
      <c r="S84" s="187"/>
      <c r="T84" s="189"/>
      <c r="U84" s="187"/>
      <c r="V84" s="190"/>
      <c r="W84" s="187"/>
      <c r="X84" s="185"/>
      <c r="Y84" s="187"/>
      <c r="Z84" s="187"/>
      <c r="AA84" s="187"/>
      <c r="AB84" s="185"/>
      <c r="AC84" s="187"/>
    </row>
    <row r="85" spans="1:29" x14ac:dyDescent="0.15">
      <c r="A85" s="185"/>
      <c r="B85" s="185"/>
      <c r="C85" s="185"/>
      <c r="D85" s="186"/>
      <c r="E85" s="187"/>
      <c r="F85" s="187"/>
      <c r="G85" s="185"/>
      <c r="H85" s="187"/>
      <c r="I85" s="187"/>
      <c r="J85" s="185"/>
      <c r="K85" s="187"/>
      <c r="L85" s="187"/>
      <c r="M85" s="187"/>
      <c r="N85" s="187"/>
      <c r="O85" s="187"/>
      <c r="P85" s="187"/>
      <c r="Q85" s="188"/>
      <c r="R85" s="187"/>
      <c r="S85" s="187"/>
      <c r="T85" s="189"/>
      <c r="U85" s="187"/>
      <c r="V85" s="190"/>
      <c r="W85" s="187"/>
      <c r="X85" s="185"/>
      <c r="Y85" s="187"/>
      <c r="Z85" s="187"/>
      <c r="AA85" s="187"/>
      <c r="AB85" s="185"/>
      <c r="AC85" s="187"/>
    </row>
    <row r="86" spans="1:29" x14ac:dyDescent="0.15">
      <c r="A86" s="185"/>
      <c r="B86" s="185"/>
      <c r="C86" s="185"/>
      <c r="D86" s="186"/>
      <c r="E86" s="187"/>
      <c r="F86" s="187"/>
      <c r="G86" s="185"/>
      <c r="H86" s="187"/>
      <c r="I86" s="187"/>
      <c r="J86" s="185"/>
      <c r="K86" s="187"/>
      <c r="L86" s="187"/>
      <c r="M86" s="187"/>
      <c r="N86" s="187"/>
      <c r="O86" s="187"/>
      <c r="P86" s="187"/>
      <c r="Q86" s="188"/>
      <c r="R86" s="187"/>
      <c r="S86" s="187"/>
      <c r="T86" s="189"/>
      <c r="U86" s="187"/>
      <c r="V86" s="190"/>
      <c r="W86" s="187"/>
      <c r="X86" s="185"/>
      <c r="Y86" s="187"/>
      <c r="Z86" s="187"/>
      <c r="AA86" s="187"/>
      <c r="AB86" s="185"/>
      <c r="AC86" s="187"/>
    </row>
    <row r="87" spans="1:29" x14ac:dyDescent="0.15">
      <c r="A87" s="185"/>
      <c r="B87" s="185"/>
      <c r="C87" s="185"/>
      <c r="D87" s="186"/>
      <c r="E87" s="187"/>
      <c r="F87" s="187"/>
      <c r="G87" s="185"/>
      <c r="H87" s="187"/>
      <c r="I87" s="187"/>
      <c r="J87" s="185"/>
      <c r="K87" s="187"/>
      <c r="L87" s="187"/>
      <c r="M87" s="187"/>
      <c r="N87" s="187"/>
      <c r="O87" s="187"/>
      <c r="P87" s="187"/>
      <c r="Q87" s="188"/>
      <c r="R87" s="187"/>
      <c r="S87" s="187"/>
      <c r="T87" s="189"/>
      <c r="U87" s="187"/>
      <c r="V87" s="190"/>
      <c r="W87" s="187"/>
      <c r="X87" s="185"/>
      <c r="Y87" s="187"/>
      <c r="Z87" s="187"/>
      <c r="AA87" s="187"/>
      <c r="AB87" s="185"/>
      <c r="AC87" s="187"/>
    </row>
    <row r="88" spans="1:29" x14ac:dyDescent="0.15">
      <c r="A88" s="185"/>
      <c r="B88" s="185"/>
      <c r="C88" s="185"/>
      <c r="D88" s="186"/>
      <c r="E88" s="187"/>
      <c r="F88" s="187"/>
      <c r="G88" s="185"/>
      <c r="H88" s="187"/>
      <c r="I88" s="187"/>
      <c r="J88" s="185"/>
      <c r="K88" s="187"/>
      <c r="L88" s="187"/>
      <c r="M88" s="187"/>
      <c r="N88" s="187"/>
      <c r="O88" s="187"/>
      <c r="P88" s="187"/>
      <c r="Q88" s="188"/>
      <c r="R88" s="187"/>
      <c r="S88" s="187"/>
      <c r="T88" s="189"/>
      <c r="U88" s="187"/>
      <c r="V88" s="190"/>
      <c r="W88" s="187"/>
      <c r="X88" s="185"/>
      <c r="Y88" s="187"/>
      <c r="Z88" s="187"/>
      <c r="AA88" s="187"/>
      <c r="AB88" s="185"/>
      <c r="AC88" s="187"/>
    </row>
    <row r="89" spans="1:29" x14ac:dyDescent="0.15">
      <c r="K89" s="187"/>
      <c r="AC89" s="187"/>
    </row>
    <row r="90" spans="1:29" x14ac:dyDescent="0.15">
      <c r="A90" s="185"/>
      <c r="B90" s="185"/>
      <c r="C90" s="185"/>
      <c r="D90" s="186"/>
      <c r="E90" s="187"/>
      <c r="F90" s="187"/>
      <c r="G90" s="185"/>
      <c r="H90" s="187"/>
      <c r="I90" s="187"/>
      <c r="J90" s="185"/>
      <c r="K90" s="187"/>
      <c r="L90" s="187"/>
      <c r="M90" s="187"/>
      <c r="N90" s="187"/>
      <c r="O90" s="187"/>
      <c r="P90" s="187"/>
      <c r="Q90" s="188"/>
      <c r="R90" s="187"/>
      <c r="S90" s="187"/>
      <c r="T90" s="189"/>
      <c r="U90" s="187"/>
      <c r="V90" s="190"/>
      <c r="W90" s="187"/>
      <c r="X90" s="185"/>
      <c r="Y90" s="187"/>
      <c r="Z90" s="187"/>
      <c r="AA90" s="187"/>
      <c r="AB90" s="185"/>
      <c r="AC90" s="187"/>
    </row>
    <row r="91" spans="1:29" x14ac:dyDescent="0.15">
      <c r="A91" s="185"/>
      <c r="B91" s="185"/>
      <c r="C91" s="185"/>
      <c r="D91" s="186"/>
      <c r="E91" s="187"/>
      <c r="F91" s="187"/>
      <c r="G91" s="185"/>
      <c r="H91" s="187"/>
      <c r="I91" s="187"/>
      <c r="J91" s="185"/>
      <c r="K91" s="187"/>
      <c r="L91" s="187"/>
      <c r="M91" s="187"/>
      <c r="N91" s="187"/>
      <c r="O91" s="187"/>
      <c r="P91" s="187"/>
      <c r="Q91" s="188"/>
      <c r="R91" s="187"/>
      <c r="S91" s="187"/>
      <c r="T91" s="189"/>
      <c r="U91" s="187"/>
      <c r="V91" s="190"/>
      <c r="W91" s="187"/>
      <c r="X91" s="185"/>
      <c r="Y91" s="187"/>
      <c r="Z91" s="187"/>
      <c r="AA91" s="187"/>
      <c r="AB91" s="185"/>
      <c r="AC91" s="187"/>
    </row>
    <row r="92" spans="1:29" x14ac:dyDescent="0.15">
      <c r="A92" s="185"/>
      <c r="B92" s="185"/>
      <c r="C92" s="185"/>
      <c r="D92" s="186"/>
      <c r="E92" s="187"/>
      <c r="F92" s="187"/>
      <c r="G92" s="185"/>
      <c r="H92" s="187"/>
      <c r="I92" s="187"/>
      <c r="J92" s="185"/>
      <c r="K92" s="187"/>
      <c r="L92" s="187"/>
      <c r="M92" s="187"/>
      <c r="N92" s="187"/>
      <c r="O92" s="187"/>
      <c r="P92" s="187"/>
      <c r="Q92" s="188"/>
      <c r="R92" s="187"/>
      <c r="S92" s="187"/>
      <c r="T92" s="189"/>
      <c r="U92" s="187"/>
      <c r="V92" s="190"/>
      <c r="W92" s="187"/>
      <c r="X92" s="185"/>
      <c r="Y92" s="187"/>
      <c r="Z92" s="187"/>
      <c r="AA92" s="187"/>
      <c r="AB92" s="185"/>
      <c r="AC92" s="187"/>
    </row>
    <row r="93" spans="1:29" x14ac:dyDescent="0.15">
      <c r="A93" s="185"/>
      <c r="B93" s="185"/>
      <c r="C93" s="185"/>
      <c r="D93" s="186"/>
      <c r="E93" s="187"/>
      <c r="F93" s="187"/>
      <c r="G93" s="185"/>
      <c r="H93" s="187"/>
      <c r="I93" s="187"/>
      <c r="J93" s="185"/>
      <c r="K93" s="187"/>
      <c r="L93" s="187"/>
      <c r="M93" s="187"/>
      <c r="N93" s="187"/>
      <c r="O93" s="187"/>
      <c r="P93" s="187"/>
      <c r="Q93" s="188"/>
      <c r="R93" s="187"/>
      <c r="S93" s="187"/>
      <c r="T93" s="189"/>
      <c r="U93" s="187"/>
      <c r="V93" s="190"/>
      <c r="W93" s="187"/>
      <c r="X93" s="185"/>
      <c r="Y93" s="187"/>
      <c r="Z93" s="187"/>
      <c r="AA93" s="187"/>
      <c r="AB93" s="185"/>
      <c r="AC93" s="187"/>
    </row>
    <row r="94" spans="1:29" x14ac:dyDescent="0.15">
      <c r="A94" s="185"/>
      <c r="B94" s="185"/>
      <c r="C94" s="185"/>
      <c r="D94" s="186"/>
      <c r="E94" s="187"/>
      <c r="F94" s="187"/>
      <c r="G94" s="185"/>
      <c r="H94" s="187"/>
      <c r="I94" s="187"/>
      <c r="J94" s="185"/>
      <c r="K94" s="187"/>
      <c r="L94" s="187"/>
      <c r="M94" s="187"/>
      <c r="N94" s="187"/>
      <c r="O94" s="187"/>
      <c r="P94" s="187"/>
      <c r="Q94" s="188"/>
      <c r="R94" s="187"/>
      <c r="S94" s="187"/>
      <c r="T94" s="189"/>
      <c r="U94" s="187"/>
      <c r="V94" s="190"/>
      <c r="W94" s="187"/>
      <c r="X94" s="185"/>
      <c r="Y94" s="187"/>
      <c r="Z94" s="187"/>
      <c r="AA94" s="187"/>
      <c r="AB94" s="185"/>
      <c r="AC94" s="187"/>
    </row>
    <row r="95" spans="1:29" x14ac:dyDescent="0.15">
      <c r="A95" s="185"/>
      <c r="B95" s="185"/>
      <c r="C95" s="185"/>
      <c r="D95" s="186"/>
      <c r="E95" s="187"/>
      <c r="F95" s="187"/>
      <c r="G95" s="185"/>
      <c r="H95" s="187"/>
      <c r="I95" s="187"/>
      <c r="J95" s="185"/>
      <c r="K95" s="187"/>
      <c r="L95" s="187"/>
      <c r="M95" s="187"/>
      <c r="N95" s="187"/>
      <c r="O95" s="187"/>
      <c r="P95" s="187"/>
      <c r="Q95" s="188"/>
      <c r="R95" s="187"/>
      <c r="S95" s="187"/>
      <c r="T95" s="189"/>
      <c r="U95" s="187"/>
      <c r="V95" s="190"/>
      <c r="W95" s="187"/>
      <c r="X95" s="185"/>
      <c r="Y95" s="187"/>
      <c r="Z95" s="187"/>
      <c r="AA95" s="187"/>
      <c r="AB95" s="185"/>
      <c r="AC95" s="187"/>
    </row>
    <row r="96" spans="1:29" x14ac:dyDescent="0.15">
      <c r="A96" s="185"/>
      <c r="B96" s="185"/>
      <c r="C96" s="185"/>
      <c r="D96" s="186"/>
      <c r="E96" s="187"/>
      <c r="F96" s="187"/>
      <c r="G96" s="185"/>
      <c r="H96" s="187"/>
      <c r="I96" s="187"/>
      <c r="J96" s="185"/>
      <c r="K96" s="187"/>
      <c r="L96" s="187"/>
      <c r="M96" s="187"/>
      <c r="N96" s="187"/>
      <c r="O96" s="187"/>
      <c r="P96" s="187"/>
      <c r="Q96" s="188"/>
      <c r="R96" s="187"/>
      <c r="S96" s="187"/>
      <c r="T96" s="189"/>
      <c r="U96" s="187"/>
      <c r="V96" s="190"/>
      <c r="W96" s="187"/>
      <c r="X96" s="185"/>
      <c r="Y96" s="187"/>
      <c r="Z96" s="187"/>
      <c r="AA96" s="187"/>
      <c r="AB96" s="185"/>
      <c r="AC96" s="187"/>
    </row>
    <row r="97" spans="1:29" x14ac:dyDescent="0.15">
      <c r="A97" s="185"/>
      <c r="B97" s="185"/>
      <c r="C97" s="185"/>
      <c r="D97" s="186"/>
      <c r="E97" s="187"/>
      <c r="F97" s="187"/>
      <c r="G97" s="185"/>
      <c r="H97" s="187"/>
      <c r="I97" s="187"/>
      <c r="J97" s="185"/>
      <c r="K97" s="187"/>
      <c r="L97" s="187"/>
      <c r="M97" s="187"/>
      <c r="N97" s="187"/>
      <c r="O97" s="187"/>
      <c r="P97" s="187"/>
      <c r="Q97" s="188"/>
      <c r="R97" s="187"/>
      <c r="S97" s="187"/>
      <c r="T97" s="189"/>
      <c r="U97" s="187"/>
      <c r="V97" s="190"/>
      <c r="W97" s="187"/>
      <c r="X97" s="185"/>
      <c r="Y97" s="187"/>
      <c r="Z97" s="187"/>
      <c r="AA97" s="187"/>
      <c r="AB97" s="185"/>
      <c r="AC97" s="187"/>
    </row>
    <row r="98" spans="1:29" x14ac:dyDescent="0.15">
      <c r="A98" s="185"/>
      <c r="B98" s="185"/>
      <c r="C98" s="185"/>
      <c r="D98" s="186"/>
      <c r="E98" s="187"/>
      <c r="F98" s="187"/>
      <c r="G98" s="185"/>
      <c r="H98" s="187"/>
      <c r="I98" s="187"/>
      <c r="J98" s="185"/>
      <c r="K98" s="187"/>
      <c r="L98" s="187"/>
      <c r="M98" s="187"/>
      <c r="N98" s="187"/>
      <c r="O98" s="187"/>
      <c r="P98" s="187"/>
      <c r="Q98" s="188"/>
      <c r="R98" s="187"/>
      <c r="S98" s="187"/>
      <c r="T98" s="189"/>
      <c r="U98" s="187"/>
      <c r="V98" s="190"/>
      <c r="W98" s="187"/>
      <c r="X98" s="185"/>
      <c r="Y98" s="187"/>
      <c r="Z98" s="187"/>
      <c r="AA98" s="187"/>
      <c r="AB98" s="185"/>
      <c r="AC98" s="187"/>
    </row>
    <row r="99" spans="1:29" x14ac:dyDescent="0.15">
      <c r="A99" s="185"/>
      <c r="B99" s="185"/>
      <c r="C99" s="185"/>
      <c r="D99" s="186"/>
      <c r="E99" s="187"/>
      <c r="F99" s="187"/>
      <c r="G99" s="185"/>
      <c r="H99" s="187"/>
      <c r="I99" s="187"/>
      <c r="J99" s="185"/>
      <c r="K99" s="187"/>
      <c r="L99" s="187"/>
      <c r="M99" s="187"/>
      <c r="N99" s="187"/>
      <c r="O99" s="187"/>
      <c r="P99" s="187"/>
      <c r="Q99" s="188"/>
      <c r="R99" s="187"/>
      <c r="S99" s="187"/>
      <c r="T99" s="189"/>
      <c r="U99" s="187"/>
      <c r="V99" s="190"/>
      <c r="W99" s="187"/>
      <c r="X99" s="185"/>
      <c r="Y99" s="187"/>
      <c r="Z99" s="187"/>
      <c r="AA99" s="187"/>
      <c r="AB99" s="185"/>
      <c r="AC99" s="187"/>
    </row>
    <row r="100" spans="1:29" x14ac:dyDescent="0.15">
      <c r="A100" s="185"/>
      <c r="B100" s="185"/>
      <c r="C100" s="185"/>
      <c r="D100" s="186"/>
      <c r="E100" s="187"/>
      <c r="F100" s="187"/>
      <c r="G100" s="185"/>
      <c r="H100" s="187"/>
      <c r="I100" s="187"/>
      <c r="J100" s="185"/>
      <c r="K100" s="187"/>
      <c r="L100" s="187"/>
      <c r="M100" s="187"/>
      <c r="N100" s="187"/>
      <c r="O100" s="187"/>
      <c r="P100" s="187"/>
      <c r="Q100" s="188"/>
      <c r="R100" s="187"/>
      <c r="S100" s="187"/>
      <c r="T100" s="189"/>
      <c r="U100" s="187"/>
      <c r="V100" s="190"/>
      <c r="W100" s="187"/>
      <c r="X100" s="185"/>
      <c r="Y100" s="187"/>
      <c r="Z100" s="187"/>
      <c r="AA100" s="187"/>
      <c r="AB100" s="185"/>
      <c r="AC100" s="187"/>
    </row>
    <row r="101" spans="1:29" x14ac:dyDescent="0.15">
      <c r="A101" s="185"/>
      <c r="B101" s="185"/>
      <c r="C101" s="185"/>
      <c r="D101" s="186"/>
      <c r="E101" s="187"/>
      <c r="F101" s="187"/>
      <c r="G101" s="185"/>
      <c r="H101" s="187"/>
      <c r="I101" s="187"/>
      <c r="J101" s="185"/>
      <c r="K101" s="187"/>
      <c r="L101" s="187"/>
      <c r="M101" s="187"/>
      <c r="N101" s="187"/>
      <c r="O101" s="187"/>
      <c r="P101" s="187"/>
      <c r="Q101" s="188"/>
      <c r="R101" s="187"/>
      <c r="S101" s="187"/>
      <c r="T101" s="189"/>
      <c r="U101" s="187"/>
      <c r="V101" s="190"/>
      <c r="W101" s="187"/>
      <c r="X101" s="185"/>
      <c r="Y101" s="187"/>
      <c r="Z101" s="187"/>
      <c r="AA101" s="187"/>
      <c r="AB101" s="185"/>
      <c r="AC101" s="187"/>
    </row>
    <row r="102" spans="1:29" x14ac:dyDescent="0.15">
      <c r="A102" s="185"/>
      <c r="B102" s="185"/>
      <c r="C102" s="185"/>
      <c r="D102" s="186"/>
      <c r="E102" s="187"/>
      <c r="F102" s="187"/>
      <c r="G102" s="185"/>
      <c r="H102" s="187"/>
      <c r="I102" s="187"/>
      <c r="J102" s="185"/>
      <c r="K102" s="187"/>
      <c r="L102" s="187"/>
      <c r="M102" s="187"/>
      <c r="N102" s="187"/>
      <c r="O102" s="187"/>
      <c r="P102" s="187"/>
      <c r="Q102" s="188"/>
      <c r="R102" s="187"/>
      <c r="S102" s="187"/>
      <c r="T102" s="189"/>
      <c r="U102" s="187"/>
      <c r="V102" s="190"/>
      <c r="W102" s="187"/>
      <c r="X102" s="185"/>
      <c r="Y102" s="187"/>
      <c r="Z102" s="187"/>
      <c r="AA102" s="187"/>
      <c r="AB102" s="185"/>
      <c r="AC102" s="187"/>
    </row>
    <row r="103" spans="1:29" x14ac:dyDescent="0.15">
      <c r="A103" s="185"/>
      <c r="B103" s="185"/>
      <c r="C103" s="185"/>
      <c r="D103" s="186"/>
      <c r="E103" s="187"/>
      <c r="F103" s="187"/>
      <c r="G103" s="185"/>
      <c r="H103" s="187"/>
      <c r="I103" s="187"/>
      <c r="J103" s="185"/>
      <c r="K103" s="187"/>
      <c r="L103" s="187"/>
      <c r="M103" s="187"/>
      <c r="N103" s="187"/>
      <c r="O103" s="187"/>
      <c r="P103" s="187"/>
      <c r="Q103" s="188"/>
      <c r="R103" s="187"/>
      <c r="S103" s="187"/>
      <c r="T103" s="189"/>
      <c r="U103" s="187"/>
      <c r="V103" s="190"/>
      <c r="W103" s="187"/>
      <c r="X103" s="185"/>
      <c r="Y103" s="187"/>
      <c r="Z103" s="187"/>
      <c r="AA103" s="187"/>
      <c r="AB103" s="185"/>
      <c r="AC103" s="187"/>
    </row>
    <row r="104" spans="1:29" x14ac:dyDescent="0.15">
      <c r="A104" s="185"/>
      <c r="B104" s="185"/>
      <c r="C104" s="185"/>
      <c r="D104" s="186"/>
      <c r="E104" s="187"/>
      <c r="F104" s="187"/>
      <c r="G104" s="185"/>
      <c r="H104" s="187"/>
      <c r="I104" s="187"/>
      <c r="J104" s="185"/>
      <c r="K104" s="187"/>
      <c r="L104" s="187"/>
      <c r="M104" s="187"/>
      <c r="N104" s="187"/>
      <c r="O104" s="187"/>
      <c r="P104" s="187"/>
      <c r="Q104" s="188"/>
      <c r="R104" s="187"/>
      <c r="S104" s="187"/>
      <c r="T104" s="189"/>
      <c r="U104" s="187"/>
      <c r="V104" s="190"/>
      <c r="W104" s="187"/>
      <c r="X104" s="185"/>
      <c r="Y104" s="187"/>
      <c r="Z104" s="187"/>
      <c r="AA104" s="187"/>
      <c r="AB104" s="185"/>
      <c r="AC104" s="187"/>
    </row>
    <row r="105" spans="1:29" x14ac:dyDescent="0.15">
      <c r="A105" s="185"/>
      <c r="B105" s="185"/>
      <c r="C105" s="185"/>
      <c r="D105" s="186"/>
      <c r="E105" s="187"/>
      <c r="F105" s="187"/>
      <c r="G105" s="185"/>
      <c r="H105" s="187"/>
      <c r="I105" s="187"/>
      <c r="J105" s="185"/>
      <c r="K105" s="187"/>
      <c r="L105" s="187"/>
      <c r="M105" s="187"/>
      <c r="N105" s="187"/>
      <c r="O105" s="187"/>
      <c r="P105" s="187"/>
      <c r="Q105" s="188"/>
      <c r="R105" s="187"/>
      <c r="S105" s="187"/>
      <c r="T105" s="189"/>
      <c r="U105" s="187"/>
      <c r="V105" s="190"/>
      <c r="W105" s="187"/>
      <c r="X105" s="185"/>
      <c r="Y105" s="187"/>
      <c r="Z105" s="187"/>
      <c r="AA105" s="187"/>
      <c r="AB105" s="185"/>
      <c r="AC105" s="187"/>
    </row>
    <row r="106" spans="1:29" x14ac:dyDescent="0.15">
      <c r="A106" s="185"/>
      <c r="B106" s="185"/>
      <c r="C106" s="185"/>
      <c r="D106" s="186"/>
      <c r="E106" s="187"/>
      <c r="F106" s="187"/>
      <c r="G106" s="185"/>
      <c r="H106" s="187"/>
      <c r="I106" s="187"/>
      <c r="J106" s="185"/>
      <c r="K106" s="187"/>
      <c r="L106" s="187"/>
      <c r="M106" s="187"/>
      <c r="N106" s="187"/>
      <c r="O106" s="187"/>
      <c r="P106" s="187"/>
      <c r="Q106" s="188"/>
      <c r="R106" s="187"/>
      <c r="S106" s="187"/>
      <c r="T106" s="189"/>
      <c r="U106" s="187"/>
      <c r="V106" s="190"/>
      <c r="W106" s="187"/>
      <c r="X106" s="185"/>
      <c r="Y106" s="187"/>
      <c r="Z106" s="187"/>
      <c r="AA106" s="187"/>
      <c r="AB106" s="185"/>
      <c r="AC106" s="187"/>
    </row>
    <row r="107" spans="1:29" x14ac:dyDescent="0.15">
      <c r="A107" s="187"/>
      <c r="B107" s="187"/>
      <c r="C107" s="187"/>
      <c r="D107" s="187"/>
      <c r="E107" s="187"/>
      <c r="F107" s="187"/>
      <c r="G107" s="187"/>
      <c r="H107" s="187"/>
      <c r="I107" s="187"/>
      <c r="J107" s="187"/>
      <c r="K107" s="187"/>
      <c r="L107" s="187"/>
      <c r="M107" s="187"/>
      <c r="N107" s="187"/>
      <c r="O107" s="187"/>
      <c r="P107" s="187"/>
      <c r="Q107" s="189"/>
      <c r="R107" s="187"/>
      <c r="S107" s="187"/>
      <c r="T107" s="189"/>
      <c r="U107" s="187"/>
      <c r="V107" s="189"/>
      <c r="W107" s="187"/>
      <c r="X107" s="187"/>
      <c r="Y107" s="187"/>
      <c r="Z107" s="187"/>
      <c r="AA107" s="187"/>
      <c r="AB107" s="187"/>
      <c r="AC107" s="187"/>
    </row>
    <row r="108" spans="1:29" x14ac:dyDescent="0.15">
      <c r="A108" s="187"/>
      <c r="B108" s="187"/>
      <c r="C108" s="187"/>
      <c r="D108" s="187"/>
      <c r="E108" s="187"/>
      <c r="F108" s="187"/>
      <c r="G108" s="187"/>
      <c r="H108" s="187"/>
      <c r="I108" s="187"/>
      <c r="J108" s="187"/>
      <c r="K108" s="187"/>
      <c r="L108" s="187" t="s">
        <v>395</v>
      </c>
      <c r="M108" s="187"/>
      <c r="N108" s="187"/>
      <c r="O108" s="187"/>
      <c r="P108" s="187"/>
      <c r="Q108" s="189"/>
      <c r="R108" s="187"/>
      <c r="S108" s="187"/>
      <c r="T108" s="189"/>
      <c r="U108" s="187"/>
      <c r="V108" s="189"/>
      <c r="W108" s="187"/>
      <c r="X108" s="187"/>
      <c r="Y108" s="187"/>
      <c r="Z108" s="187"/>
      <c r="AA108" s="187"/>
      <c r="AB108" s="187"/>
      <c r="AC108" s="187"/>
    </row>
    <row r="109" spans="1:29" x14ac:dyDescent="0.15">
      <c r="K109" s="187"/>
    </row>
    <row r="110" spans="1:29" x14ac:dyDescent="0.15">
      <c r="K110" s="187"/>
    </row>
    <row r="111" spans="1:29" x14ac:dyDescent="0.15">
      <c r="K111" s="187"/>
    </row>
    <row r="112" spans="1:29" x14ac:dyDescent="0.15">
      <c r="K112" s="187"/>
    </row>
    <row r="113" spans="11:11" x14ac:dyDescent="0.15">
      <c r="K113" s="187"/>
    </row>
    <row r="114" spans="11:11" x14ac:dyDescent="0.15">
      <c r="K114" s="187"/>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O14:O22 N68:N72 N11:N13 N17:N22 P5:P37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zoomScale="70" zoomScaleNormal="70" workbookViewId="0">
      <selection activeCell="M25" sqref="M25"/>
    </sheetView>
  </sheetViews>
  <sheetFormatPr defaultColWidth="8.875" defaultRowHeight="13.5" x14ac:dyDescent="0.15"/>
  <cols>
    <col min="1" max="3" width="8.875" style="140"/>
    <col min="4" max="4" width="13.5" style="140" bestFit="1" customWidth="1"/>
    <col min="5" max="5" width="9.625" style="140" bestFit="1" customWidth="1"/>
    <col min="6" max="16" width="8.875" style="140"/>
    <col min="17" max="17" width="8.875" style="149"/>
    <col min="18" max="19" width="8.875" style="140"/>
    <col min="20" max="20" width="8.875" style="149"/>
    <col min="21" max="21" width="8.875" style="140"/>
    <col min="22" max="22" width="8.875" style="149"/>
    <col min="23" max="32" width="8.875" style="140"/>
    <col min="33" max="33" width="19.625" style="140" bestFit="1" customWidth="1"/>
    <col min="34" max="259" width="8.875" style="140"/>
    <col min="260" max="260" width="10.5" style="140" bestFit="1" customWidth="1"/>
    <col min="261" max="261" width="9.625" style="140" bestFit="1" customWidth="1"/>
    <col min="262" max="515" width="8.875" style="140"/>
    <col min="516" max="516" width="10.5" style="140" bestFit="1" customWidth="1"/>
    <col min="517" max="517" width="9.625" style="140" bestFit="1" customWidth="1"/>
    <col min="518" max="771" width="8.875" style="140"/>
    <col min="772" max="772" width="10.5" style="140" bestFit="1" customWidth="1"/>
    <col min="773" max="773" width="9.625" style="140" bestFit="1" customWidth="1"/>
    <col min="774" max="1027" width="8.875" style="140"/>
    <col min="1028" max="1028" width="10.5" style="140" bestFit="1" customWidth="1"/>
    <col min="1029" max="1029" width="9.625" style="140" bestFit="1" customWidth="1"/>
    <col min="1030" max="1283" width="8.875" style="140"/>
    <col min="1284" max="1284" width="10.5" style="140" bestFit="1" customWidth="1"/>
    <col min="1285" max="1285" width="9.625" style="140" bestFit="1" customWidth="1"/>
    <col min="1286" max="1539" width="8.875" style="140"/>
    <col min="1540" max="1540" width="10.5" style="140" bestFit="1" customWidth="1"/>
    <col min="1541" max="1541" width="9.625" style="140" bestFit="1" customWidth="1"/>
    <col min="1542" max="1795" width="8.875" style="140"/>
    <col min="1796" max="1796" width="10.5" style="140" bestFit="1" customWidth="1"/>
    <col min="1797" max="1797" width="9.625" style="140" bestFit="1" customWidth="1"/>
    <col min="1798" max="2051" width="8.875" style="140"/>
    <col min="2052" max="2052" width="10.5" style="140" bestFit="1" customWidth="1"/>
    <col min="2053" max="2053" width="9.625" style="140" bestFit="1" customWidth="1"/>
    <col min="2054" max="2307" width="8.875" style="140"/>
    <col min="2308" max="2308" width="10.5" style="140" bestFit="1" customWidth="1"/>
    <col min="2309" max="2309" width="9.625" style="140" bestFit="1" customWidth="1"/>
    <col min="2310" max="2563" width="8.875" style="140"/>
    <col min="2564" max="2564" width="10.5" style="140" bestFit="1" customWidth="1"/>
    <col min="2565" max="2565" width="9.625" style="140" bestFit="1" customWidth="1"/>
    <col min="2566" max="2819" width="8.875" style="140"/>
    <col min="2820" max="2820" width="10.5" style="140" bestFit="1" customWidth="1"/>
    <col min="2821" max="2821" width="9.625" style="140" bestFit="1" customWidth="1"/>
    <col min="2822" max="3075" width="8.875" style="140"/>
    <col min="3076" max="3076" width="10.5" style="140" bestFit="1" customWidth="1"/>
    <col min="3077" max="3077" width="9.625" style="140" bestFit="1" customWidth="1"/>
    <col min="3078" max="3331" width="8.875" style="140"/>
    <col min="3332" max="3332" width="10.5" style="140" bestFit="1" customWidth="1"/>
    <col min="3333" max="3333" width="9.625" style="140" bestFit="1" customWidth="1"/>
    <col min="3334" max="3587" width="8.875" style="140"/>
    <col min="3588" max="3588" width="10.5" style="140" bestFit="1" customWidth="1"/>
    <col min="3589" max="3589" width="9.625" style="140" bestFit="1" customWidth="1"/>
    <col min="3590" max="3843" width="8.875" style="140"/>
    <col min="3844" max="3844" width="10.5" style="140" bestFit="1" customWidth="1"/>
    <col min="3845" max="3845" width="9.625" style="140" bestFit="1" customWidth="1"/>
    <col min="3846" max="4099" width="8.875" style="140"/>
    <col min="4100" max="4100" width="10.5" style="140" bestFit="1" customWidth="1"/>
    <col min="4101" max="4101" width="9.625" style="140" bestFit="1" customWidth="1"/>
    <col min="4102" max="4355" width="8.875" style="140"/>
    <col min="4356" max="4356" width="10.5" style="140" bestFit="1" customWidth="1"/>
    <col min="4357" max="4357" width="9.625" style="140" bestFit="1" customWidth="1"/>
    <col min="4358" max="4611" width="8.875" style="140"/>
    <col min="4612" max="4612" width="10.5" style="140" bestFit="1" customWidth="1"/>
    <col min="4613" max="4613" width="9.625" style="140" bestFit="1" customWidth="1"/>
    <col min="4614" max="4867" width="8.875" style="140"/>
    <col min="4868" max="4868" width="10.5" style="140" bestFit="1" customWidth="1"/>
    <col min="4869" max="4869" width="9.625" style="140" bestFit="1" customWidth="1"/>
    <col min="4870" max="5123" width="8.875" style="140"/>
    <col min="5124" max="5124" width="10.5" style="140" bestFit="1" customWidth="1"/>
    <col min="5125" max="5125" width="9.625" style="140" bestFit="1" customWidth="1"/>
    <col min="5126" max="5379" width="8.875" style="140"/>
    <col min="5380" max="5380" width="10.5" style="140" bestFit="1" customWidth="1"/>
    <col min="5381" max="5381" width="9.625" style="140" bestFit="1" customWidth="1"/>
    <col min="5382" max="5635" width="8.875" style="140"/>
    <col min="5636" max="5636" width="10.5" style="140" bestFit="1" customWidth="1"/>
    <col min="5637" max="5637" width="9.625" style="140" bestFit="1" customWidth="1"/>
    <col min="5638" max="5891" width="8.875" style="140"/>
    <col min="5892" max="5892" width="10.5" style="140" bestFit="1" customWidth="1"/>
    <col min="5893" max="5893" width="9.625" style="140" bestFit="1" customWidth="1"/>
    <col min="5894" max="6147" width="8.875" style="140"/>
    <col min="6148" max="6148" width="10.5" style="140" bestFit="1" customWidth="1"/>
    <col min="6149" max="6149" width="9.625" style="140" bestFit="1" customWidth="1"/>
    <col min="6150" max="6403" width="8.875" style="140"/>
    <col min="6404" max="6404" width="10.5" style="140" bestFit="1" customWidth="1"/>
    <col min="6405" max="6405" width="9.625" style="140" bestFit="1" customWidth="1"/>
    <col min="6406" max="6659" width="8.875" style="140"/>
    <col min="6660" max="6660" width="10.5" style="140" bestFit="1" customWidth="1"/>
    <col min="6661" max="6661" width="9.625" style="140" bestFit="1" customWidth="1"/>
    <col min="6662" max="6915" width="8.875" style="140"/>
    <col min="6916" max="6916" width="10.5" style="140" bestFit="1" customWidth="1"/>
    <col min="6917" max="6917" width="9.625" style="140" bestFit="1" customWidth="1"/>
    <col min="6918" max="7171" width="8.875" style="140"/>
    <col min="7172" max="7172" width="10.5" style="140" bestFit="1" customWidth="1"/>
    <col min="7173" max="7173" width="9.625" style="140" bestFit="1" customWidth="1"/>
    <col min="7174" max="7427" width="8.875" style="140"/>
    <col min="7428" max="7428" width="10.5" style="140" bestFit="1" customWidth="1"/>
    <col min="7429" max="7429" width="9.625" style="140" bestFit="1" customWidth="1"/>
    <col min="7430" max="7683" width="8.875" style="140"/>
    <col min="7684" max="7684" width="10.5" style="140" bestFit="1" customWidth="1"/>
    <col min="7685" max="7685" width="9.625" style="140" bestFit="1" customWidth="1"/>
    <col min="7686" max="7939" width="8.875" style="140"/>
    <col min="7940" max="7940" width="10.5" style="140" bestFit="1" customWidth="1"/>
    <col min="7941" max="7941" width="9.625" style="140" bestFit="1" customWidth="1"/>
    <col min="7942" max="8195" width="8.875" style="140"/>
    <col min="8196" max="8196" width="10.5" style="140" bestFit="1" customWidth="1"/>
    <col min="8197" max="8197" width="9.625" style="140" bestFit="1" customWidth="1"/>
    <col min="8198" max="8451" width="8.875" style="140"/>
    <col min="8452" max="8452" width="10.5" style="140" bestFit="1" customWidth="1"/>
    <col min="8453" max="8453" width="9.625" style="140" bestFit="1" customWidth="1"/>
    <col min="8454" max="8707" width="8.875" style="140"/>
    <col min="8708" max="8708" width="10.5" style="140" bestFit="1" customWidth="1"/>
    <col min="8709" max="8709" width="9.625" style="140" bestFit="1" customWidth="1"/>
    <col min="8710" max="8963" width="8.875" style="140"/>
    <col min="8964" max="8964" width="10.5" style="140" bestFit="1" customWidth="1"/>
    <col min="8965" max="8965" width="9.625" style="140" bestFit="1" customWidth="1"/>
    <col min="8966" max="9219" width="8.875" style="140"/>
    <col min="9220" max="9220" width="10.5" style="140" bestFit="1" customWidth="1"/>
    <col min="9221" max="9221" width="9.625" style="140" bestFit="1" customWidth="1"/>
    <col min="9222" max="9475" width="8.875" style="140"/>
    <col min="9476" max="9476" width="10.5" style="140" bestFit="1" customWidth="1"/>
    <col min="9477" max="9477" width="9.625" style="140" bestFit="1" customWidth="1"/>
    <col min="9478" max="9731" width="8.875" style="140"/>
    <col min="9732" max="9732" width="10.5" style="140" bestFit="1" customWidth="1"/>
    <col min="9733" max="9733" width="9.625" style="140" bestFit="1" customWidth="1"/>
    <col min="9734" max="9987" width="8.875" style="140"/>
    <col min="9988" max="9988" width="10.5" style="140" bestFit="1" customWidth="1"/>
    <col min="9989" max="9989" width="9.625" style="140" bestFit="1" customWidth="1"/>
    <col min="9990" max="10243" width="8.875" style="140"/>
    <col min="10244" max="10244" width="10.5" style="140" bestFit="1" customWidth="1"/>
    <col min="10245" max="10245" width="9.625" style="140" bestFit="1" customWidth="1"/>
    <col min="10246" max="10499" width="8.875" style="140"/>
    <col min="10500" max="10500" width="10.5" style="140" bestFit="1" customWidth="1"/>
    <col min="10501" max="10501" width="9.625" style="140" bestFit="1" customWidth="1"/>
    <col min="10502" max="10755" width="8.875" style="140"/>
    <col min="10756" max="10756" width="10.5" style="140" bestFit="1" customWidth="1"/>
    <col min="10757" max="10757" width="9.625" style="140" bestFit="1" customWidth="1"/>
    <col min="10758" max="11011" width="8.875" style="140"/>
    <col min="11012" max="11012" width="10.5" style="140" bestFit="1" customWidth="1"/>
    <col min="11013" max="11013" width="9.625" style="140" bestFit="1" customWidth="1"/>
    <col min="11014" max="11267" width="8.875" style="140"/>
    <col min="11268" max="11268" width="10.5" style="140" bestFit="1" customWidth="1"/>
    <col min="11269" max="11269" width="9.625" style="140" bestFit="1" customWidth="1"/>
    <col min="11270" max="11523" width="8.875" style="140"/>
    <col min="11524" max="11524" width="10.5" style="140" bestFit="1" customWidth="1"/>
    <col min="11525" max="11525" width="9.625" style="140" bestFit="1" customWidth="1"/>
    <col min="11526" max="11779" width="8.875" style="140"/>
    <col min="11780" max="11780" width="10.5" style="140" bestFit="1" customWidth="1"/>
    <col min="11781" max="11781" width="9.625" style="140" bestFit="1" customWidth="1"/>
    <col min="11782" max="12035" width="8.875" style="140"/>
    <col min="12036" max="12036" width="10.5" style="140" bestFit="1" customWidth="1"/>
    <col min="12037" max="12037" width="9.625" style="140" bestFit="1" customWidth="1"/>
    <col min="12038" max="12291" width="8.875" style="140"/>
    <col min="12292" max="12292" width="10.5" style="140" bestFit="1" customWidth="1"/>
    <col min="12293" max="12293" width="9.625" style="140" bestFit="1" customWidth="1"/>
    <col min="12294" max="12547" width="8.875" style="140"/>
    <col min="12548" max="12548" width="10.5" style="140" bestFit="1" customWidth="1"/>
    <col min="12549" max="12549" width="9.625" style="140" bestFit="1" customWidth="1"/>
    <col min="12550" max="12803" width="8.875" style="140"/>
    <col min="12804" max="12804" width="10.5" style="140" bestFit="1" customWidth="1"/>
    <col min="12805" max="12805" width="9.625" style="140" bestFit="1" customWidth="1"/>
    <col min="12806" max="13059" width="8.875" style="140"/>
    <col min="13060" max="13060" width="10.5" style="140" bestFit="1" customWidth="1"/>
    <col min="13061" max="13061" width="9.625" style="140" bestFit="1" customWidth="1"/>
    <col min="13062" max="13315" width="8.875" style="140"/>
    <col min="13316" max="13316" width="10.5" style="140" bestFit="1" customWidth="1"/>
    <col min="13317" max="13317" width="9.625" style="140" bestFit="1" customWidth="1"/>
    <col min="13318" max="13571" width="8.875" style="140"/>
    <col min="13572" max="13572" width="10.5" style="140" bestFit="1" customWidth="1"/>
    <col min="13573" max="13573" width="9.625" style="140" bestFit="1" customWidth="1"/>
    <col min="13574" max="13827" width="8.875" style="140"/>
    <col min="13828" max="13828" width="10.5" style="140" bestFit="1" customWidth="1"/>
    <col min="13829" max="13829" width="9.625" style="140" bestFit="1" customWidth="1"/>
    <col min="13830" max="14083" width="8.875" style="140"/>
    <col min="14084" max="14084" width="10.5" style="140" bestFit="1" customWidth="1"/>
    <col min="14085" max="14085" width="9.625" style="140" bestFit="1" customWidth="1"/>
    <col min="14086" max="14339" width="8.875" style="140"/>
    <col min="14340" max="14340" width="10.5" style="140" bestFit="1" customWidth="1"/>
    <col min="14341" max="14341" width="9.625" style="140" bestFit="1" customWidth="1"/>
    <col min="14342" max="14595" width="8.875" style="140"/>
    <col min="14596" max="14596" width="10.5" style="140" bestFit="1" customWidth="1"/>
    <col min="14597" max="14597" width="9.625" style="140" bestFit="1" customWidth="1"/>
    <col min="14598" max="14851" width="8.875" style="140"/>
    <col min="14852" max="14852" width="10.5" style="140" bestFit="1" customWidth="1"/>
    <col min="14853" max="14853" width="9.625" style="140" bestFit="1" customWidth="1"/>
    <col min="14854" max="15107" width="8.875" style="140"/>
    <col min="15108" max="15108" width="10.5" style="140" bestFit="1" customWidth="1"/>
    <col min="15109" max="15109" width="9.625" style="140" bestFit="1" customWidth="1"/>
    <col min="15110" max="15363" width="8.875" style="140"/>
    <col min="15364" max="15364" width="10.5" style="140" bestFit="1" customWidth="1"/>
    <col min="15365" max="15365" width="9.625" style="140" bestFit="1" customWidth="1"/>
    <col min="15366" max="15619" width="8.875" style="140"/>
    <col min="15620" max="15620" width="10.5" style="140" bestFit="1" customWidth="1"/>
    <col min="15621" max="15621" width="9.625" style="140" bestFit="1" customWidth="1"/>
    <col min="15622" max="15875" width="8.875" style="140"/>
    <col min="15876" max="15876" width="10.5" style="140" bestFit="1" customWidth="1"/>
    <col min="15877" max="15877" width="9.625" style="140" bestFit="1" customWidth="1"/>
    <col min="15878" max="16131" width="8.875" style="140"/>
    <col min="16132" max="16132" width="10.5" style="140" bestFit="1" customWidth="1"/>
    <col min="16133" max="16133" width="9.625" style="140" bestFit="1" customWidth="1"/>
    <col min="16134" max="16384" width="8.875" style="140"/>
  </cols>
  <sheetData>
    <row r="1" spans="1:53" ht="45" x14ac:dyDescent="0.15">
      <c r="A1" s="168" t="s">
        <v>0</v>
      </c>
      <c r="B1" s="134" t="s">
        <v>1</v>
      </c>
      <c r="C1" s="134" t="s">
        <v>2</v>
      </c>
      <c r="D1" s="135" t="s">
        <v>3</v>
      </c>
      <c r="E1" s="169" t="s">
        <v>4</v>
      </c>
      <c r="F1" s="169" t="s">
        <v>5</v>
      </c>
      <c r="G1" s="169" t="s">
        <v>6</v>
      </c>
      <c r="H1" s="169" t="s">
        <v>7</v>
      </c>
      <c r="I1" s="169" t="s">
        <v>8</v>
      </c>
      <c r="J1" s="169" t="s">
        <v>9</v>
      </c>
      <c r="K1" s="169" t="s">
        <v>10</v>
      </c>
      <c r="L1" s="135" t="s">
        <v>11</v>
      </c>
      <c r="M1" s="135" t="s">
        <v>12</v>
      </c>
      <c r="N1" s="135" t="s">
        <v>396</v>
      </c>
      <c r="O1" s="135" t="s">
        <v>14</v>
      </c>
      <c r="P1" s="135" t="s">
        <v>15</v>
      </c>
      <c r="Q1" s="136" t="s">
        <v>16</v>
      </c>
      <c r="R1" s="135" t="s">
        <v>17</v>
      </c>
      <c r="S1" s="135" t="s">
        <v>320</v>
      </c>
      <c r="T1" s="136" t="s">
        <v>19</v>
      </c>
      <c r="U1" s="137" t="s">
        <v>397</v>
      </c>
      <c r="V1" s="138" t="s">
        <v>20</v>
      </c>
      <c r="W1" s="135" t="s">
        <v>21</v>
      </c>
      <c r="X1" s="169" t="s">
        <v>22</v>
      </c>
      <c r="Y1" s="169" t="s">
        <v>23</v>
      </c>
      <c r="Z1" s="169" t="s">
        <v>24</v>
      </c>
      <c r="AA1" s="170" t="s">
        <v>25</v>
      </c>
      <c r="AB1" s="139" t="s">
        <v>26</v>
      </c>
      <c r="AE1" s="141" t="s">
        <v>0</v>
      </c>
      <c r="AF1" s="142"/>
      <c r="AG1" s="141" t="s">
        <v>4</v>
      </c>
      <c r="AH1" s="141" t="s">
        <v>5</v>
      </c>
      <c r="AI1" s="142"/>
      <c r="AJ1" s="141" t="s">
        <v>6</v>
      </c>
      <c r="AK1" s="142"/>
      <c r="AL1" s="143" t="s">
        <v>7</v>
      </c>
      <c r="AM1" s="142"/>
      <c r="AN1" s="143" t="s">
        <v>8</v>
      </c>
      <c r="AO1" s="142"/>
      <c r="AP1" s="143" t="s">
        <v>27</v>
      </c>
      <c r="AQ1" s="142"/>
      <c r="AR1" s="143" t="s">
        <v>10</v>
      </c>
      <c r="AS1" s="142"/>
      <c r="AT1" s="144" t="s">
        <v>28</v>
      </c>
      <c r="AU1" s="142"/>
      <c r="AV1" s="143" t="s">
        <v>29</v>
      </c>
      <c r="AX1" s="145" t="s">
        <v>398</v>
      </c>
      <c r="AY1" s="146" t="s">
        <v>31</v>
      </c>
      <c r="AZ1" s="146" t="s">
        <v>32</v>
      </c>
      <c r="BA1" s="147" t="s">
        <v>33</v>
      </c>
    </row>
    <row r="2" spans="1:53" x14ac:dyDescent="0.15">
      <c r="A2" s="140" t="s">
        <v>59</v>
      </c>
      <c r="B2" s="165" t="s">
        <v>273</v>
      </c>
      <c r="C2" s="133">
        <v>2018</v>
      </c>
      <c r="D2" s="201" t="s">
        <v>399</v>
      </c>
      <c r="E2" s="140" t="s">
        <v>400</v>
      </c>
      <c r="F2" s="140" t="s">
        <v>401</v>
      </c>
      <c r="G2" s="140" t="s">
        <v>36</v>
      </c>
      <c r="H2" s="140" t="s">
        <v>158</v>
      </c>
      <c r="I2" s="140" t="s">
        <v>153</v>
      </c>
      <c r="J2" s="140" t="s">
        <v>38</v>
      </c>
      <c r="K2" s="140" t="s">
        <v>154</v>
      </c>
      <c r="L2" s="140">
        <v>1</v>
      </c>
      <c r="N2" s="140">
        <v>4</v>
      </c>
      <c r="O2" s="140">
        <v>0.57999999999999996</v>
      </c>
      <c r="P2" s="140">
        <v>0.39</v>
      </c>
      <c r="Q2" s="173">
        <f>IF(OR(O2="",P2=""),"",AVERAGE(O2,P2))</f>
        <v>0.48499999999999999</v>
      </c>
      <c r="R2" s="140">
        <v>14.5</v>
      </c>
      <c r="S2" s="140">
        <v>124</v>
      </c>
      <c r="T2" s="149">
        <f t="shared" ref="T2:T67" si="0">IF(H2="","",IF(OR(H2="GREEN",H2="GK"),IF(S2&gt;=$AX$2,VLOOKUP(S2,$AX$2:$AY$12,2,1),""),IF(S2&gt;=$AZ$2,VLOOKUP(S2,$AZ$2:$BA$12,2,1),"")))</f>
        <v>27</v>
      </c>
      <c r="U2" s="140">
        <v>480</v>
      </c>
      <c r="V2" s="149">
        <f t="shared" ref="V2:V64" si="1">IF(J2="","",IF(OR(J2="GREEN",J2="GK"),IF(U2&gt;=$AX$2,VLOOKUP(U2,$AX$2:$AY$12,2,1),""),IF(U2&gt;=$AZ$2,VLOOKUP(U2,$AZ$2:$BA$12,2,1),"")))</f>
        <v>16</v>
      </c>
      <c r="W2" s="140">
        <v>4</v>
      </c>
      <c r="X2" s="140" t="s">
        <v>39</v>
      </c>
      <c r="Y2" s="140" t="s">
        <v>402</v>
      </c>
      <c r="Z2" s="140" t="s">
        <v>90</v>
      </c>
      <c r="AA2" s="140" t="s">
        <v>84</v>
      </c>
      <c r="AB2" s="165" t="s">
        <v>403</v>
      </c>
      <c r="AE2" s="150" t="s">
        <v>35</v>
      </c>
      <c r="AG2" s="202" t="s">
        <v>404</v>
      </c>
      <c r="AH2" s="203" t="s">
        <v>405</v>
      </c>
      <c r="AJ2" s="204" t="s">
        <v>36</v>
      </c>
      <c r="AL2" s="151" t="s">
        <v>127</v>
      </c>
      <c r="AN2" s="205" t="s">
        <v>406</v>
      </c>
      <c r="AP2" s="151" t="s">
        <v>38</v>
      </c>
      <c r="AR2" s="151" t="s">
        <v>407</v>
      </c>
      <c r="AT2" s="204" t="s">
        <v>39</v>
      </c>
      <c r="AV2" s="156" t="s">
        <v>55</v>
      </c>
      <c r="AX2" s="206">
        <v>1</v>
      </c>
      <c r="AY2" s="207">
        <v>50</v>
      </c>
      <c r="AZ2" s="207">
        <v>1</v>
      </c>
      <c r="BA2" s="208">
        <v>50</v>
      </c>
    </row>
    <row r="3" spans="1:53" x14ac:dyDescent="0.15">
      <c r="A3" s="140" t="s">
        <v>59</v>
      </c>
      <c r="B3" s="165" t="s">
        <v>408</v>
      </c>
      <c r="C3" s="133">
        <v>2018</v>
      </c>
      <c r="D3" s="201" t="s">
        <v>409</v>
      </c>
      <c r="E3" s="140" t="s">
        <v>410</v>
      </c>
      <c r="F3" s="140" t="s">
        <v>401</v>
      </c>
      <c r="G3" s="140" t="s">
        <v>36</v>
      </c>
      <c r="H3" s="140" t="s">
        <v>158</v>
      </c>
      <c r="I3" s="140" t="s">
        <v>153</v>
      </c>
      <c r="J3" s="140" t="s">
        <v>38</v>
      </c>
      <c r="K3" s="140" t="s">
        <v>154</v>
      </c>
      <c r="L3" s="140">
        <v>2</v>
      </c>
      <c r="N3" s="140">
        <v>4</v>
      </c>
      <c r="O3" s="140">
        <v>0.46</v>
      </c>
      <c r="P3" s="140">
        <v>0.45</v>
      </c>
      <c r="Q3" s="173">
        <f t="shared" ref="Q3:Q67" si="2">IF(OR(O3="",P3=""),"",AVERAGE(O3,P3))</f>
        <v>0.45500000000000002</v>
      </c>
      <c r="R3" s="140">
        <v>15.5</v>
      </c>
      <c r="S3" s="140">
        <v>122</v>
      </c>
      <c r="T3" s="149">
        <f t="shared" si="0"/>
        <v>27</v>
      </c>
      <c r="U3" s="140">
        <v>480</v>
      </c>
      <c r="V3" s="149">
        <f t="shared" si="1"/>
        <v>16</v>
      </c>
      <c r="W3" s="140">
        <v>4</v>
      </c>
      <c r="X3" s="140" t="s">
        <v>39</v>
      </c>
      <c r="Y3" s="140" t="s">
        <v>402</v>
      </c>
      <c r="Z3" s="140" t="s">
        <v>90</v>
      </c>
      <c r="AA3" s="140" t="s">
        <v>84</v>
      </c>
      <c r="AB3" s="165" t="s">
        <v>403</v>
      </c>
      <c r="AE3" s="155" t="s">
        <v>41</v>
      </c>
      <c r="AG3" s="202" t="s">
        <v>411</v>
      </c>
      <c r="AH3" s="203" t="s">
        <v>401</v>
      </c>
      <c r="AJ3" s="156" t="s">
        <v>42</v>
      </c>
      <c r="AL3" s="156" t="s">
        <v>128</v>
      </c>
      <c r="AN3" s="156" t="s">
        <v>43</v>
      </c>
      <c r="AP3" s="156" t="s">
        <v>44</v>
      </c>
      <c r="AR3" s="166" t="s">
        <v>45</v>
      </c>
      <c r="AT3" s="156" t="s">
        <v>46</v>
      </c>
      <c r="AV3" s="156" t="s">
        <v>412</v>
      </c>
      <c r="AX3" s="157">
        <v>72</v>
      </c>
      <c r="AY3" s="158">
        <v>46</v>
      </c>
      <c r="AZ3" s="158">
        <v>71</v>
      </c>
      <c r="BA3" s="159">
        <v>42</v>
      </c>
    </row>
    <row r="4" spans="1:53" x14ac:dyDescent="0.15">
      <c r="A4" s="140" t="s">
        <v>59</v>
      </c>
      <c r="B4" s="165" t="s">
        <v>413</v>
      </c>
      <c r="C4" s="133">
        <v>2018</v>
      </c>
      <c r="D4" s="201" t="s">
        <v>414</v>
      </c>
      <c r="E4" s="140" t="s">
        <v>415</v>
      </c>
      <c r="F4" s="140" t="s">
        <v>401</v>
      </c>
      <c r="G4" s="140" t="s">
        <v>36</v>
      </c>
      <c r="H4" s="140" t="s">
        <v>158</v>
      </c>
      <c r="I4" s="140" t="s">
        <v>416</v>
      </c>
      <c r="J4" s="140" t="s">
        <v>38</v>
      </c>
      <c r="K4" s="140" t="s">
        <v>154</v>
      </c>
      <c r="L4" s="140">
        <v>3</v>
      </c>
      <c r="N4" s="140">
        <v>4</v>
      </c>
      <c r="O4" s="140">
        <v>0.56999999999999995</v>
      </c>
      <c r="P4" s="140">
        <v>0.51</v>
      </c>
      <c r="Q4" s="173">
        <f t="shared" si="2"/>
        <v>0.54</v>
      </c>
      <c r="R4" s="140">
        <v>14.9</v>
      </c>
      <c r="S4" s="140">
        <v>121</v>
      </c>
      <c r="T4" s="149">
        <f t="shared" si="0"/>
        <v>27</v>
      </c>
      <c r="U4" s="140">
        <v>480</v>
      </c>
      <c r="V4" s="149">
        <f t="shared" si="1"/>
        <v>16</v>
      </c>
      <c r="W4" s="140">
        <v>4</v>
      </c>
      <c r="X4" s="140" t="s">
        <v>39</v>
      </c>
      <c r="Y4" s="140" t="s">
        <v>402</v>
      </c>
      <c r="Z4" s="140" t="s">
        <v>90</v>
      </c>
      <c r="AA4" s="140" t="s">
        <v>84</v>
      </c>
      <c r="AB4" s="165" t="s">
        <v>403</v>
      </c>
      <c r="AE4" s="155" t="s">
        <v>34</v>
      </c>
      <c r="AG4" s="202" t="s">
        <v>417</v>
      </c>
      <c r="AH4" s="203" t="s">
        <v>418</v>
      </c>
      <c r="AJ4" s="160" t="s">
        <v>48</v>
      </c>
      <c r="AL4" s="160" t="s">
        <v>129</v>
      </c>
      <c r="AN4" s="161" t="s">
        <v>49</v>
      </c>
      <c r="AP4" s="156" t="s">
        <v>419</v>
      </c>
      <c r="AR4" s="166" t="s">
        <v>420</v>
      </c>
      <c r="AT4" s="161"/>
      <c r="AV4" s="156" t="s">
        <v>421</v>
      </c>
      <c r="AX4" s="157">
        <v>75</v>
      </c>
      <c r="AY4" s="158">
        <v>42</v>
      </c>
      <c r="AZ4" s="158">
        <v>76</v>
      </c>
      <c r="BA4" s="159">
        <v>39</v>
      </c>
    </row>
    <row r="5" spans="1:53" x14ac:dyDescent="0.15">
      <c r="A5" s="140" t="s">
        <v>59</v>
      </c>
      <c r="B5" s="165" t="s">
        <v>413</v>
      </c>
      <c r="C5" s="133">
        <v>2018</v>
      </c>
      <c r="D5" s="201" t="s">
        <v>414</v>
      </c>
      <c r="E5" s="140" t="s">
        <v>415</v>
      </c>
      <c r="F5" s="140" t="s">
        <v>401</v>
      </c>
      <c r="G5" s="140" t="s">
        <v>36</v>
      </c>
      <c r="H5" s="140" t="s">
        <v>155</v>
      </c>
      <c r="I5" s="140" t="s">
        <v>153</v>
      </c>
      <c r="J5" s="140" t="s">
        <v>38</v>
      </c>
      <c r="K5" s="140" t="s">
        <v>154</v>
      </c>
      <c r="L5" s="140">
        <v>1</v>
      </c>
      <c r="N5" s="140">
        <v>1</v>
      </c>
      <c r="O5" s="140">
        <v>0.85</v>
      </c>
      <c r="P5" s="140">
        <v>0.75</v>
      </c>
      <c r="Q5" s="173">
        <f t="shared" si="2"/>
        <v>0.8</v>
      </c>
      <c r="R5" s="140">
        <v>13.7</v>
      </c>
      <c r="S5" s="140">
        <v>142</v>
      </c>
      <c r="T5" s="149">
        <f t="shared" si="0"/>
        <v>22</v>
      </c>
      <c r="U5" s="140">
        <v>128</v>
      </c>
      <c r="V5" s="149">
        <f t="shared" si="1"/>
        <v>27</v>
      </c>
      <c r="W5" s="140">
        <v>4</v>
      </c>
      <c r="X5" s="140" t="s">
        <v>39</v>
      </c>
      <c r="Y5" s="140" t="s">
        <v>402</v>
      </c>
      <c r="Z5" s="140" t="s">
        <v>90</v>
      </c>
      <c r="AA5" s="140" t="s">
        <v>84</v>
      </c>
      <c r="AB5" s="165" t="s">
        <v>403</v>
      </c>
      <c r="AE5" s="155" t="s">
        <v>51</v>
      </c>
      <c r="AG5" s="202" t="s">
        <v>422</v>
      </c>
      <c r="AH5" s="203" t="s">
        <v>423</v>
      </c>
      <c r="AJ5" s="161"/>
      <c r="AL5" s="162" t="s">
        <v>424</v>
      </c>
      <c r="AN5" s="72" t="s">
        <v>425</v>
      </c>
      <c r="AP5" s="156" t="s">
        <v>426</v>
      </c>
      <c r="AR5" s="166" t="s">
        <v>54</v>
      </c>
      <c r="AV5" s="156" t="s">
        <v>427</v>
      </c>
      <c r="AX5" s="157">
        <v>84</v>
      </c>
      <c r="AY5" s="158">
        <v>39</v>
      </c>
      <c r="AZ5" s="158">
        <v>84</v>
      </c>
      <c r="BA5" s="159">
        <v>36</v>
      </c>
    </row>
    <row r="6" spans="1:53" x14ac:dyDescent="0.15">
      <c r="A6" s="140" t="s">
        <v>59</v>
      </c>
      <c r="B6" s="165" t="s">
        <v>413</v>
      </c>
      <c r="C6" s="133">
        <v>2018</v>
      </c>
      <c r="D6" s="201" t="s">
        <v>414</v>
      </c>
      <c r="E6" s="140" t="s">
        <v>415</v>
      </c>
      <c r="F6" s="140" t="s">
        <v>401</v>
      </c>
      <c r="G6" s="140" t="s">
        <v>36</v>
      </c>
      <c r="H6" s="140" t="s">
        <v>155</v>
      </c>
      <c r="I6" s="140" t="s">
        <v>153</v>
      </c>
      <c r="J6" s="140" t="s">
        <v>38</v>
      </c>
      <c r="K6" s="140" t="s">
        <v>154</v>
      </c>
      <c r="L6" s="140">
        <v>2</v>
      </c>
      <c r="N6" s="140">
        <v>1</v>
      </c>
      <c r="O6" s="140">
        <v>0.6</v>
      </c>
      <c r="P6" s="140">
        <v>0.6</v>
      </c>
      <c r="Q6" s="173">
        <f t="shared" si="2"/>
        <v>0.6</v>
      </c>
      <c r="R6" s="140">
        <v>14.3</v>
      </c>
      <c r="S6" s="140">
        <v>150</v>
      </c>
      <c r="T6" s="149">
        <f t="shared" si="0"/>
        <v>22</v>
      </c>
      <c r="U6" s="140">
        <v>128</v>
      </c>
      <c r="V6" s="149">
        <f t="shared" si="1"/>
        <v>27</v>
      </c>
      <c r="W6" s="140">
        <v>4</v>
      </c>
      <c r="X6" s="140" t="s">
        <v>39</v>
      </c>
      <c r="Y6" s="140" t="s">
        <v>402</v>
      </c>
      <c r="Z6" s="140" t="s">
        <v>90</v>
      </c>
      <c r="AA6" s="140" t="s">
        <v>84</v>
      </c>
      <c r="AB6" s="165" t="s">
        <v>403</v>
      </c>
      <c r="AE6" s="155" t="s">
        <v>56</v>
      </c>
      <c r="AG6" s="202" t="s">
        <v>428</v>
      </c>
      <c r="AH6" s="203" t="s">
        <v>429</v>
      </c>
      <c r="AL6" s="162" t="s">
        <v>430</v>
      </c>
      <c r="AN6" s="162" t="s">
        <v>431</v>
      </c>
      <c r="AP6" s="156" t="s">
        <v>53</v>
      </c>
      <c r="AR6" s="166" t="s">
        <v>432</v>
      </c>
      <c r="AV6" s="156" t="s">
        <v>60</v>
      </c>
      <c r="AX6" s="157">
        <v>97</v>
      </c>
      <c r="AY6" s="158">
        <v>36</v>
      </c>
      <c r="AZ6" s="158">
        <v>99</v>
      </c>
      <c r="BA6" s="159">
        <v>33</v>
      </c>
    </row>
    <row r="7" spans="1:53" x14ac:dyDescent="0.15">
      <c r="A7" s="140" t="s">
        <v>59</v>
      </c>
      <c r="B7" s="165" t="s">
        <v>368</v>
      </c>
      <c r="C7" s="133">
        <v>2018</v>
      </c>
      <c r="D7" s="201" t="s">
        <v>433</v>
      </c>
      <c r="E7" s="140" t="s">
        <v>434</v>
      </c>
      <c r="F7" s="140" t="s">
        <v>401</v>
      </c>
      <c r="G7" s="140" t="s">
        <v>36</v>
      </c>
      <c r="H7" s="140" t="s">
        <v>435</v>
      </c>
      <c r="I7" s="140" t="s">
        <v>153</v>
      </c>
      <c r="J7" s="140" t="s">
        <v>38</v>
      </c>
      <c r="K7" s="140" t="s">
        <v>154</v>
      </c>
      <c r="L7" s="140">
        <v>3</v>
      </c>
      <c r="N7" s="140">
        <v>1</v>
      </c>
      <c r="O7" s="140">
        <v>0.7</v>
      </c>
      <c r="P7" s="140">
        <v>0.68</v>
      </c>
      <c r="Q7" s="173">
        <f t="shared" si="2"/>
        <v>0.69</v>
      </c>
      <c r="R7" s="140">
        <v>13.9</v>
      </c>
      <c r="S7" s="140">
        <v>132</v>
      </c>
      <c r="T7" s="149">
        <f t="shared" si="0"/>
        <v>25</v>
      </c>
      <c r="U7" s="140">
        <v>128</v>
      </c>
      <c r="V7" s="149">
        <f t="shared" si="1"/>
        <v>27</v>
      </c>
      <c r="W7" s="140">
        <v>4</v>
      </c>
      <c r="X7" s="140" t="s">
        <v>39</v>
      </c>
      <c r="Y7" s="140" t="s">
        <v>402</v>
      </c>
      <c r="Z7" s="140" t="s">
        <v>90</v>
      </c>
      <c r="AA7" s="140" t="s">
        <v>84</v>
      </c>
      <c r="AB7" s="165" t="s">
        <v>403</v>
      </c>
      <c r="AE7" s="155" t="s">
        <v>61</v>
      </c>
      <c r="AG7" s="202" t="s">
        <v>436</v>
      </c>
      <c r="AH7" s="203" t="s">
        <v>437</v>
      </c>
      <c r="AL7" s="34" t="s">
        <v>438</v>
      </c>
      <c r="AP7" s="156" t="s">
        <v>58</v>
      </c>
      <c r="AR7" s="163" t="s">
        <v>439</v>
      </c>
      <c r="AV7" s="156" t="s">
        <v>64</v>
      </c>
      <c r="AX7" s="157">
        <v>109</v>
      </c>
      <c r="AY7" s="158">
        <v>33</v>
      </c>
      <c r="AZ7" s="158">
        <v>113</v>
      </c>
      <c r="BA7" s="159">
        <v>30</v>
      </c>
    </row>
    <row r="8" spans="1:53" x14ac:dyDescent="0.15">
      <c r="A8" s="140" t="s">
        <v>59</v>
      </c>
      <c r="B8" s="165" t="s">
        <v>440</v>
      </c>
      <c r="C8" s="133">
        <v>2018</v>
      </c>
      <c r="D8" s="201" t="s">
        <v>441</v>
      </c>
      <c r="E8" s="140" t="s">
        <v>404</v>
      </c>
      <c r="F8" s="140" t="s">
        <v>405</v>
      </c>
      <c r="G8" s="140" t="s">
        <v>36</v>
      </c>
      <c r="H8" s="140" t="s">
        <v>158</v>
      </c>
      <c r="I8" s="140" t="s">
        <v>153</v>
      </c>
      <c r="J8" s="140" t="s">
        <v>38</v>
      </c>
      <c r="K8" s="140" t="s">
        <v>154</v>
      </c>
      <c r="L8" s="140">
        <v>1</v>
      </c>
      <c r="N8" s="140">
        <v>4</v>
      </c>
      <c r="O8" s="140">
        <v>0.25</v>
      </c>
      <c r="P8" s="140">
        <v>0.22</v>
      </c>
      <c r="Q8" s="173">
        <f t="shared" si="2"/>
        <v>0.23499999999999999</v>
      </c>
      <c r="R8" s="140">
        <v>15.6</v>
      </c>
      <c r="S8" s="140">
        <v>111</v>
      </c>
      <c r="T8" s="149">
        <f t="shared" si="0"/>
        <v>33</v>
      </c>
      <c r="U8" s="140">
        <v>297</v>
      </c>
      <c r="V8" s="149">
        <f t="shared" si="1"/>
        <v>16</v>
      </c>
      <c r="W8" s="140">
        <v>6</v>
      </c>
      <c r="X8" s="140" t="s">
        <v>46</v>
      </c>
      <c r="Y8" s="140" t="s">
        <v>84</v>
      </c>
      <c r="Z8" s="140" t="s">
        <v>90</v>
      </c>
      <c r="AA8" s="140" t="s">
        <v>402</v>
      </c>
      <c r="AB8" s="165" t="s">
        <v>403</v>
      </c>
      <c r="AE8" s="155" t="s">
        <v>59</v>
      </c>
      <c r="AG8" s="209" t="s">
        <v>251</v>
      </c>
      <c r="AH8" s="203" t="s">
        <v>442</v>
      </c>
      <c r="AL8" s="34" t="s">
        <v>443</v>
      </c>
      <c r="AP8" s="156" t="s">
        <v>62</v>
      </c>
      <c r="AR8" s="166" t="s">
        <v>81</v>
      </c>
      <c r="AV8" s="156" t="s">
        <v>97</v>
      </c>
      <c r="AX8" s="157">
        <v>119</v>
      </c>
      <c r="AY8" s="158">
        <v>30</v>
      </c>
      <c r="AZ8" s="158">
        <v>121</v>
      </c>
      <c r="BA8" s="159">
        <v>27</v>
      </c>
    </row>
    <row r="9" spans="1:53" x14ac:dyDescent="0.15">
      <c r="A9" s="140" t="s">
        <v>59</v>
      </c>
      <c r="B9" s="165" t="s">
        <v>413</v>
      </c>
      <c r="C9" s="133">
        <v>2018</v>
      </c>
      <c r="D9" s="201" t="s">
        <v>414</v>
      </c>
      <c r="E9" s="140" t="s">
        <v>404</v>
      </c>
      <c r="F9" s="140" t="s">
        <v>405</v>
      </c>
      <c r="G9" s="140" t="s">
        <v>36</v>
      </c>
      <c r="H9" s="140" t="s">
        <v>158</v>
      </c>
      <c r="I9" s="140" t="s">
        <v>153</v>
      </c>
      <c r="J9" s="140" t="s">
        <v>38</v>
      </c>
      <c r="K9" s="140" t="s">
        <v>154</v>
      </c>
      <c r="L9" s="140">
        <v>2</v>
      </c>
      <c r="N9" s="140">
        <v>4</v>
      </c>
      <c r="O9" s="140">
        <v>0.26</v>
      </c>
      <c r="P9" s="140">
        <v>0.24</v>
      </c>
      <c r="Q9" s="173">
        <f t="shared" si="2"/>
        <v>0.25</v>
      </c>
      <c r="R9" s="140">
        <v>14.9</v>
      </c>
      <c r="S9" s="140">
        <v>110</v>
      </c>
      <c r="T9" s="149">
        <f t="shared" si="0"/>
        <v>33</v>
      </c>
      <c r="U9" s="140">
        <v>297</v>
      </c>
      <c r="V9" s="149">
        <f t="shared" si="1"/>
        <v>16</v>
      </c>
      <c r="W9" s="140">
        <v>6</v>
      </c>
      <c r="X9" s="140" t="s">
        <v>46</v>
      </c>
      <c r="Y9" s="140" t="s">
        <v>84</v>
      </c>
      <c r="Z9" s="140" t="s">
        <v>90</v>
      </c>
      <c r="AA9" s="140" t="s">
        <v>402</v>
      </c>
      <c r="AB9" s="165" t="s">
        <v>403</v>
      </c>
      <c r="AE9" s="155" t="s">
        <v>98</v>
      </c>
      <c r="AG9" s="209" t="s">
        <v>444</v>
      </c>
      <c r="AH9" s="203" t="s">
        <v>442</v>
      </c>
      <c r="AL9" s="162"/>
      <c r="AP9" s="156" t="s">
        <v>445</v>
      </c>
      <c r="AR9" s="163" t="s">
        <v>89</v>
      </c>
      <c r="AV9" s="156" t="s">
        <v>102</v>
      </c>
      <c r="AX9" s="157">
        <v>128</v>
      </c>
      <c r="AY9" s="158">
        <v>27</v>
      </c>
      <c r="AZ9" s="158">
        <v>129</v>
      </c>
      <c r="BA9" s="159">
        <v>25</v>
      </c>
    </row>
    <row r="10" spans="1:53" x14ac:dyDescent="0.15">
      <c r="A10" s="140" t="s">
        <v>59</v>
      </c>
      <c r="B10" s="165" t="s">
        <v>361</v>
      </c>
      <c r="C10" s="133">
        <v>2018</v>
      </c>
      <c r="D10" s="201" t="s">
        <v>446</v>
      </c>
      <c r="E10" s="140" t="s">
        <v>404</v>
      </c>
      <c r="F10" s="140" t="s">
        <v>405</v>
      </c>
      <c r="G10" s="140" t="s">
        <v>36</v>
      </c>
      <c r="H10" s="140" t="s">
        <v>158</v>
      </c>
      <c r="I10" s="140" t="s">
        <v>153</v>
      </c>
      <c r="J10" s="140" t="s">
        <v>38</v>
      </c>
      <c r="K10" s="140" t="s">
        <v>154</v>
      </c>
      <c r="L10" s="140">
        <v>3</v>
      </c>
      <c r="N10" s="140">
        <v>4</v>
      </c>
      <c r="O10" s="140">
        <v>0.27</v>
      </c>
      <c r="P10" s="140">
        <v>0.22</v>
      </c>
      <c r="Q10" s="173">
        <f t="shared" si="2"/>
        <v>0.245</v>
      </c>
      <c r="R10" s="140">
        <v>15.3</v>
      </c>
      <c r="S10" s="140">
        <v>108</v>
      </c>
      <c r="T10" s="149">
        <f t="shared" si="0"/>
        <v>33</v>
      </c>
      <c r="U10" s="140">
        <v>297</v>
      </c>
      <c r="V10" s="149">
        <f t="shared" si="1"/>
        <v>16</v>
      </c>
      <c r="W10" s="140">
        <v>6</v>
      </c>
      <c r="X10" s="140" t="s">
        <v>46</v>
      </c>
      <c r="Y10" s="140" t="s">
        <v>84</v>
      </c>
      <c r="Z10" s="140" t="s">
        <v>90</v>
      </c>
      <c r="AA10" s="140" t="s">
        <v>402</v>
      </c>
      <c r="AB10" s="165" t="s">
        <v>403</v>
      </c>
      <c r="AE10" s="155" t="s">
        <v>103</v>
      </c>
      <c r="AG10" s="202" t="s">
        <v>447</v>
      </c>
      <c r="AH10" s="203" t="s">
        <v>423</v>
      </c>
      <c r="AL10" s="88"/>
      <c r="AP10" s="156" t="s">
        <v>100</v>
      </c>
      <c r="AR10" s="163" t="s">
        <v>123</v>
      </c>
      <c r="AV10" s="156" t="s">
        <v>106</v>
      </c>
      <c r="AX10" s="157">
        <v>138</v>
      </c>
      <c r="AY10" s="158">
        <v>25</v>
      </c>
      <c r="AZ10" s="158">
        <v>138</v>
      </c>
      <c r="BA10" s="159">
        <v>22</v>
      </c>
    </row>
    <row r="11" spans="1:53" x14ac:dyDescent="0.15">
      <c r="A11" s="140" t="s">
        <v>59</v>
      </c>
      <c r="B11" s="165" t="s">
        <v>413</v>
      </c>
      <c r="C11" s="133">
        <v>2018</v>
      </c>
      <c r="D11" s="201" t="s">
        <v>414</v>
      </c>
      <c r="E11" s="140" t="s">
        <v>404</v>
      </c>
      <c r="F11" s="140" t="s">
        <v>405</v>
      </c>
      <c r="G11" s="140" t="s">
        <v>36</v>
      </c>
      <c r="H11" s="140" t="s">
        <v>155</v>
      </c>
      <c r="I11" s="140" t="s">
        <v>153</v>
      </c>
      <c r="J11" s="140" t="s">
        <v>38</v>
      </c>
      <c r="K11" s="140" t="s">
        <v>154</v>
      </c>
      <c r="L11" s="140">
        <v>1</v>
      </c>
      <c r="N11" s="140">
        <v>4</v>
      </c>
      <c r="O11" s="140">
        <v>0.53</v>
      </c>
      <c r="P11" s="140">
        <v>0.55000000000000004</v>
      </c>
      <c r="Q11" s="173">
        <f t="shared" si="2"/>
        <v>0.54</v>
      </c>
      <c r="R11" s="140">
        <v>15.1</v>
      </c>
      <c r="S11" s="140">
        <v>105</v>
      </c>
      <c r="T11" s="149">
        <f t="shared" si="0"/>
        <v>33</v>
      </c>
      <c r="U11" s="140">
        <v>297</v>
      </c>
      <c r="V11" s="149">
        <f t="shared" si="1"/>
        <v>16</v>
      </c>
      <c r="W11" s="140">
        <v>6</v>
      </c>
      <c r="X11" s="140" t="s">
        <v>39</v>
      </c>
      <c r="Y11" s="140" t="s">
        <v>84</v>
      </c>
      <c r="Z11" s="140" t="s">
        <v>90</v>
      </c>
      <c r="AA11" s="140" t="s">
        <v>402</v>
      </c>
      <c r="AB11" s="165" t="s">
        <v>403</v>
      </c>
      <c r="AE11" s="155" t="s">
        <v>65</v>
      </c>
      <c r="AG11" s="209" t="s">
        <v>448</v>
      </c>
      <c r="AH11" s="203" t="s">
        <v>449</v>
      </c>
      <c r="AL11" s="88"/>
      <c r="AP11" s="156" t="s">
        <v>450</v>
      </c>
      <c r="AR11" s="163" t="s">
        <v>451</v>
      </c>
      <c r="AV11" s="156" t="s">
        <v>452</v>
      </c>
      <c r="AX11" s="157">
        <v>151</v>
      </c>
      <c r="AY11" s="158">
        <v>22</v>
      </c>
      <c r="AZ11" s="158">
        <v>152</v>
      </c>
      <c r="BA11" s="159">
        <v>18</v>
      </c>
    </row>
    <row r="12" spans="1:53" x14ac:dyDescent="0.15">
      <c r="A12" s="140" t="s">
        <v>59</v>
      </c>
      <c r="B12" s="165" t="s">
        <v>453</v>
      </c>
      <c r="C12" s="133">
        <v>2018</v>
      </c>
      <c r="D12" s="201" t="s">
        <v>454</v>
      </c>
      <c r="E12" s="140" t="s">
        <v>404</v>
      </c>
      <c r="F12" s="140" t="s">
        <v>405</v>
      </c>
      <c r="G12" s="140" t="s">
        <v>36</v>
      </c>
      <c r="H12" s="140" t="s">
        <v>155</v>
      </c>
      <c r="I12" s="140" t="s">
        <v>153</v>
      </c>
      <c r="J12" s="140" t="s">
        <v>38</v>
      </c>
      <c r="K12" s="140" t="s">
        <v>154</v>
      </c>
      <c r="L12" s="140">
        <v>2</v>
      </c>
      <c r="N12" s="140">
        <v>4</v>
      </c>
      <c r="O12" s="140">
        <v>0.78</v>
      </c>
      <c r="P12" s="140">
        <v>0.82</v>
      </c>
      <c r="Q12" s="173">
        <f t="shared" si="2"/>
        <v>0.8</v>
      </c>
      <c r="R12" s="140">
        <v>14.9</v>
      </c>
      <c r="S12" s="140">
        <v>94</v>
      </c>
      <c r="T12" s="149">
        <f t="shared" si="0"/>
        <v>36</v>
      </c>
      <c r="U12" s="140">
        <v>297</v>
      </c>
      <c r="V12" s="149">
        <f t="shared" si="1"/>
        <v>16</v>
      </c>
      <c r="W12" s="140">
        <v>6</v>
      </c>
      <c r="X12" s="140" t="s">
        <v>39</v>
      </c>
      <c r="Y12" s="140" t="s">
        <v>84</v>
      </c>
      <c r="Z12" s="140" t="s">
        <v>90</v>
      </c>
      <c r="AA12" s="140" t="s">
        <v>402</v>
      </c>
      <c r="AB12" s="165" t="s">
        <v>403</v>
      </c>
      <c r="AE12" s="155" t="s">
        <v>70</v>
      </c>
      <c r="AG12" s="163"/>
      <c r="AH12" s="210"/>
      <c r="AL12" s="88"/>
      <c r="AP12" s="156" t="s">
        <v>67</v>
      </c>
      <c r="AR12" s="163" t="s">
        <v>124</v>
      </c>
      <c r="AV12" s="156" t="s">
        <v>72</v>
      </c>
      <c r="AX12" s="31">
        <v>180</v>
      </c>
      <c r="AY12" s="32">
        <v>18</v>
      </c>
      <c r="AZ12" s="32">
        <v>181</v>
      </c>
      <c r="BA12" s="33">
        <v>16</v>
      </c>
    </row>
    <row r="13" spans="1:53" x14ac:dyDescent="0.15">
      <c r="A13" s="140" t="s">
        <v>59</v>
      </c>
      <c r="B13" s="165" t="s">
        <v>372</v>
      </c>
      <c r="C13" s="133">
        <v>2018</v>
      </c>
      <c r="D13" s="201" t="s">
        <v>455</v>
      </c>
      <c r="E13" s="140" t="s">
        <v>404</v>
      </c>
      <c r="F13" s="140" t="s">
        <v>405</v>
      </c>
      <c r="G13" s="140" t="s">
        <v>36</v>
      </c>
      <c r="H13" s="140" t="s">
        <v>155</v>
      </c>
      <c r="I13" s="140" t="s">
        <v>153</v>
      </c>
      <c r="J13" s="140" t="s">
        <v>38</v>
      </c>
      <c r="K13" s="140" t="s">
        <v>154</v>
      </c>
      <c r="L13" s="140">
        <v>3</v>
      </c>
      <c r="N13" s="140">
        <v>4</v>
      </c>
      <c r="O13" s="140">
        <v>0.7</v>
      </c>
      <c r="P13" s="140">
        <v>0.65</v>
      </c>
      <c r="Q13" s="173">
        <f t="shared" si="2"/>
        <v>0.67500000000000004</v>
      </c>
      <c r="R13" s="140">
        <v>14.6</v>
      </c>
      <c r="S13" s="140">
        <v>85</v>
      </c>
      <c r="T13" s="149">
        <f t="shared" si="0"/>
        <v>36</v>
      </c>
      <c r="U13" s="140">
        <v>297</v>
      </c>
      <c r="V13" s="149">
        <f t="shared" si="1"/>
        <v>16</v>
      </c>
      <c r="W13" s="140">
        <v>6</v>
      </c>
      <c r="X13" s="140" t="s">
        <v>39</v>
      </c>
      <c r="Y13" s="140" t="s">
        <v>84</v>
      </c>
      <c r="Z13" s="140" t="s">
        <v>90</v>
      </c>
      <c r="AA13" s="140" t="s">
        <v>402</v>
      </c>
      <c r="AB13" s="165" t="s">
        <v>403</v>
      </c>
      <c r="AE13" s="155" t="s">
        <v>73</v>
      </c>
      <c r="AG13" s="156"/>
      <c r="AH13" s="156"/>
      <c r="AP13" s="156" t="s">
        <v>71</v>
      </c>
      <c r="AR13" s="163" t="s">
        <v>103</v>
      </c>
      <c r="AV13" s="156" t="s">
        <v>75</v>
      </c>
    </row>
    <row r="14" spans="1:53" x14ac:dyDescent="0.15">
      <c r="A14" s="140" t="s">
        <v>59</v>
      </c>
      <c r="B14" s="165" t="s">
        <v>376</v>
      </c>
      <c r="C14" s="133">
        <v>2018</v>
      </c>
      <c r="D14" s="201" t="s">
        <v>456</v>
      </c>
      <c r="E14" s="140" t="s">
        <v>404</v>
      </c>
      <c r="F14" s="140" t="s">
        <v>405</v>
      </c>
      <c r="G14" s="140" t="s">
        <v>36</v>
      </c>
      <c r="H14" s="140" t="s">
        <v>129</v>
      </c>
      <c r="I14" s="140" t="s">
        <v>153</v>
      </c>
      <c r="J14" s="140" t="s">
        <v>457</v>
      </c>
      <c r="K14" s="140" t="s">
        <v>420</v>
      </c>
      <c r="L14" s="140">
        <v>1</v>
      </c>
      <c r="N14" s="140">
        <v>4</v>
      </c>
      <c r="O14" s="140">
        <v>0.42</v>
      </c>
      <c r="P14" s="140">
        <v>0.5</v>
      </c>
      <c r="Q14" s="173">
        <f t="shared" si="2"/>
        <v>0.45999999999999996</v>
      </c>
      <c r="R14" s="140">
        <v>14.5</v>
      </c>
      <c r="S14" s="140">
        <v>87</v>
      </c>
      <c r="T14" s="149">
        <f t="shared" si="0"/>
        <v>36</v>
      </c>
      <c r="U14" s="140">
        <v>357</v>
      </c>
      <c r="V14" s="149">
        <f t="shared" si="1"/>
        <v>16</v>
      </c>
      <c r="W14" s="140">
        <v>1</v>
      </c>
      <c r="X14" s="140" t="s">
        <v>39</v>
      </c>
      <c r="Y14" s="140" t="s">
        <v>84</v>
      </c>
      <c r="Z14" s="140" t="s">
        <v>90</v>
      </c>
      <c r="AA14" s="140" t="s">
        <v>402</v>
      </c>
      <c r="AB14" s="165" t="s">
        <v>403</v>
      </c>
      <c r="AE14" s="155" t="s">
        <v>76</v>
      </c>
      <c r="AG14" s="156"/>
      <c r="AH14" s="156"/>
      <c r="AP14" s="156" t="s">
        <v>458</v>
      </c>
      <c r="AR14" s="163" t="s">
        <v>125</v>
      </c>
      <c r="AV14" s="156" t="s">
        <v>78</v>
      </c>
    </row>
    <row r="15" spans="1:53" x14ac:dyDescent="0.15">
      <c r="A15" s="140" t="s">
        <v>59</v>
      </c>
      <c r="B15" s="165" t="s">
        <v>413</v>
      </c>
      <c r="C15" s="133">
        <v>2018</v>
      </c>
      <c r="D15" s="201" t="s">
        <v>414</v>
      </c>
      <c r="E15" s="140" t="s">
        <v>404</v>
      </c>
      <c r="F15" s="140" t="s">
        <v>405</v>
      </c>
      <c r="G15" s="140" t="s">
        <v>36</v>
      </c>
      <c r="H15" s="140" t="s">
        <v>129</v>
      </c>
      <c r="I15" s="140" t="s">
        <v>153</v>
      </c>
      <c r="J15" s="140" t="s">
        <v>457</v>
      </c>
      <c r="K15" s="140" t="s">
        <v>420</v>
      </c>
      <c r="L15" s="140">
        <v>2</v>
      </c>
      <c r="N15" s="140">
        <v>4</v>
      </c>
      <c r="O15" s="140">
        <v>0.42</v>
      </c>
      <c r="P15" s="140">
        <v>0.44</v>
      </c>
      <c r="Q15" s="173">
        <f t="shared" si="2"/>
        <v>0.43</v>
      </c>
      <c r="R15" s="140">
        <v>15</v>
      </c>
      <c r="S15" s="140">
        <v>83</v>
      </c>
      <c r="T15" s="149">
        <f t="shared" si="0"/>
        <v>39</v>
      </c>
      <c r="U15" s="140">
        <v>357</v>
      </c>
      <c r="V15" s="149">
        <f t="shared" si="1"/>
        <v>16</v>
      </c>
      <c r="W15" s="140">
        <v>1</v>
      </c>
      <c r="X15" s="140" t="s">
        <v>39</v>
      </c>
      <c r="Y15" s="140" t="s">
        <v>84</v>
      </c>
      <c r="Z15" s="140" t="s">
        <v>90</v>
      </c>
      <c r="AA15" s="140" t="s">
        <v>402</v>
      </c>
      <c r="AB15" s="165" t="s">
        <v>403</v>
      </c>
      <c r="AE15" s="155" t="s">
        <v>79</v>
      </c>
      <c r="AG15" s="156"/>
      <c r="AH15" s="156"/>
      <c r="AP15" s="156" t="s">
        <v>459</v>
      </c>
      <c r="AR15" s="163" t="s">
        <v>94</v>
      </c>
      <c r="AV15" s="156" t="s">
        <v>107</v>
      </c>
    </row>
    <row r="16" spans="1:53" x14ac:dyDescent="0.15">
      <c r="A16" s="140" t="s">
        <v>59</v>
      </c>
      <c r="B16" s="165" t="s">
        <v>381</v>
      </c>
      <c r="C16" s="133">
        <v>2018</v>
      </c>
      <c r="D16" s="201" t="s">
        <v>460</v>
      </c>
      <c r="E16" s="140" t="s">
        <v>404</v>
      </c>
      <c r="F16" s="140" t="s">
        <v>405</v>
      </c>
      <c r="G16" s="140" t="s">
        <v>36</v>
      </c>
      <c r="H16" s="140" t="s">
        <v>129</v>
      </c>
      <c r="I16" s="140" t="s">
        <v>153</v>
      </c>
      <c r="J16" s="140" t="s">
        <v>457</v>
      </c>
      <c r="K16" s="140" t="s">
        <v>420</v>
      </c>
      <c r="L16" s="140">
        <v>3</v>
      </c>
      <c r="N16" s="140">
        <v>4</v>
      </c>
      <c r="O16" s="140">
        <v>0.56999999999999995</v>
      </c>
      <c r="P16" s="140">
        <v>0.59</v>
      </c>
      <c r="Q16" s="173">
        <f t="shared" si="2"/>
        <v>0.57999999999999996</v>
      </c>
      <c r="R16" s="140">
        <v>14.6</v>
      </c>
      <c r="S16" s="140">
        <v>81</v>
      </c>
      <c r="T16" s="149">
        <f t="shared" si="0"/>
        <v>39</v>
      </c>
      <c r="U16" s="140">
        <v>357</v>
      </c>
      <c r="V16" s="149">
        <f t="shared" si="1"/>
        <v>16</v>
      </c>
      <c r="W16" s="140">
        <v>1</v>
      </c>
      <c r="X16" s="140" t="s">
        <v>39</v>
      </c>
      <c r="Y16" s="140" t="s">
        <v>84</v>
      </c>
      <c r="Z16" s="140" t="s">
        <v>90</v>
      </c>
      <c r="AA16" s="140" t="s">
        <v>402</v>
      </c>
      <c r="AB16" s="165" t="s">
        <v>403</v>
      </c>
      <c r="AE16" s="155" t="s">
        <v>82</v>
      </c>
      <c r="AG16" s="161"/>
      <c r="AH16" s="161"/>
      <c r="AP16" s="156" t="s">
        <v>80</v>
      </c>
      <c r="AR16" s="166" t="s">
        <v>63</v>
      </c>
      <c r="AV16" s="156" t="s">
        <v>84</v>
      </c>
    </row>
    <row r="17" spans="1:48" x14ac:dyDescent="0.15">
      <c r="A17" s="140" t="s">
        <v>59</v>
      </c>
      <c r="B17" s="165" t="s">
        <v>413</v>
      </c>
      <c r="C17" s="133">
        <v>2018</v>
      </c>
      <c r="D17" s="201" t="s">
        <v>414</v>
      </c>
      <c r="E17" s="140" t="s">
        <v>422</v>
      </c>
      <c r="F17" s="140" t="s">
        <v>423</v>
      </c>
      <c r="G17" s="140" t="s">
        <v>36</v>
      </c>
      <c r="H17" s="140" t="s">
        <v>158</v>
      </c>
      <c r="I17" s="140" t="s">
        <v>153</v>
      </c>
      <c r="J17" s="140" t="s">
        <v>38</v>
      </c>
      <c r="K17" s="140" t="s">
        <v>154</v>
      </c>
      <c r="L17" s="140">
        <v>1</v>
      </c>
      <c r="N17" s="140">
        <v>3</v>
      </c>
      <c r="O17" s="140">
        <v>0.46</v>
      </c>
      <c r="P17" s="140">
        <v>0.57999999999999996</v>
      </c>
      <c r="Q17" s="173">
        <f t="shared" si="2"/>
        <v>0.52</v>
      </c>
      <c r="R17" s="140">
        <v>15</v>
      </c>
      <c r="S17" s="140">
        <v>129</v>
      </c>
      <c r="T17" s="149">
        <f t="shared" si="0"/>
        <v>25</v>
      </c>
      <c r="U17" s="140">
        <v>399</v>
      </c>
      <c r="V17" s="149">
        <f t="shared" si="1"/>
        <v>16</v>
      </c>
      <c r="W17" s="140">
        <v>4</v>
      </c>
      <c r="X17" s="140" t="s">
        <v>39</v>
      </c>
      <c r="Y17" s="140" t="s">
        <v>90</v>
      </c>
      <c r="Z17" s="140" t="s">
        <v>84</v>
      </c>
      <c r="AA17" s="140" t="s">
        <v>102</v>
      </c>
      <c r="AB17" s="165" t="s">
        <v>403</v>
      </c>
      <c r="AE17" s="155" t="s">
        <v>85</v>
      </c>
      <c r="AP17" s="167" t="s">
        <v>110</v>
      </c>
      <c r="AR17" s="166" t="s">
        <v>96</v>
      </c>
      <c r="AV17" s="156" t="s">
        <v>86</v>
      </c>
    </row>
    <row r="18" spans="1:48" x14ac:dyDescent="0.15">
      <c r="A18" s="140" t="s">
        <v>59</v>
      </c>
      <c r="B18" s="165" t="s">
        <v>413</v>
      </c>
      <c r="C18" s="133">
        <v>2018</v>
      </c>
      <c r="D18" s="201" t="s">
        <v>414</v>
      </c>
      <c r="E18" s="140" t="s">
        <v>422</v>
      </c>
      <c r="F18" s="140" t="s">
        <v>423</v>
      </c>
      <c r="G18" s="140" t="s">
        <v>36</v>
      </c>
      <c r="H18" s="140" t="s">
        <v>158</v>
      </c>
      <c r="I18" s="140" t="s">
        <v>153</v>
      </c>
      <c r="J18" s="140" t="s">
        <v>38</v>
      </c>
      <c r="K18" s="140" t="s">
        <v>154</v>
      </c>
      <c r="L18" s="140">
        <v>2</v>
      </c>
      <c r="N18" s="140">
        <v>3</v>
      </c>
      <c r="O18" s="140">
        <v>0.37</v>
      </c>
      <c r="P18" s="140">
        <v>0.5</v>
      </c>
      <c r="Q18" s="173">
        <f t="shared" si="2"/>
        <v>0.435</v>
      </c>
      <c r="R18" s="140">
        <v>14.7</v>
      </c>
      <c r="S18" s="140">
        <v>124</v>
      </c>
      <c r="T18" s="149">
        <f t="shared" si="0"/>
        <v>27</v>
      </c>
      <c r="U18" s="140">
        <v>399</v>
      </c>
      <c r="V18" s="149">
        <f t="shared" si="1"/>
        <v>16</v>
      </c>
      <c r="W18" s="140">
        <v>4</v>
      </c>
      <c r="X18" s="140" t="s">
        <v>39</v>
      </c>
      <c r="Y18" s="140" t="s">
        <v>90</v>
      </c>
      <c r="Z18" s="140" t="s">
        <v>84</v>
      </c>
      <c r="AA18" s="140" t="s">
        <v>102</v>
      </c>
      <c r="AB18" s="165" t="s">
        <v>403</v>
      </c>
      <c r="AE18" s="155" t="s">
        <v>87</v>
      </c>
      <c r="AP18" s="167" t="s">
        <v>461</v>
      </c>
      <c r="AR18" s="166" t="s">
        <v>101</v>
      </c>
      <c r="AV18" s="156" t="s">
        <v>88</v>
      </c>
    </row>
    <row r="19" spans="1:48" x14ac:dyDescent="0.15">
      <c r="A19" s="140" t="s">
        <v>59</v>
      </c>
      <c r="B19" s="165" t="s">
        <v>368</v>
      </c>
      <c r="C19" s="133">
        <v>2018</v>
      </c>
      <c r="D19" s="201" t="s">
        <v>433</v>
      </c>
      <c r="E19" s="140" t="s">
        <v>422</v>
      </c>
      <c r="F19" s="140" t="s">
        <v>423</v>
      </c>
      <c r="G19" s="140" t="s">
        <v>36</v>
      </c>
      <c r="H19" s="140" t="s">
        <v>158</v>
      </c>
      <c r="I19" s="140" t="s">
        <v>153</v>
      </c>
      <c r="J19" s="140" t="s">
        <v>38</v>
      </c>
      <c r="K19" s="140" t="s">
        <v>154</v>
      </c>
      <c r="L19" s="140">
        <v>3</v>
      </c>
      <c r="N19" s="140">
        <v>3</v>
      </c>
      <c r="O19" s="140">
        <v>0.47</v>
      </c>
      <c r="P19" s="140">
        <v>0.51</v>
      </c>
      <c r="Q19" s="173">
        <f t="shared" si="2"/>
        <v>0.49</v>
      </c>
      <c r="R19" s="140">
        <v>15.1</v>
      </c>
      <c r="S19" s="140">
        <v>125</v>
      </c>
      <c r="T19" s="149">
        <f t="shared" si="0"/>
        <v>27</v>
      </c>
      <c r="U19" s="140">
        <v>399</v>
      </c>
      <c r="V19" s="149">
        <f t="shared" si="1"/>
        <v>16</v>
      </c>
      <c r="W19" s="140">
        <v>4</v>
      </c>
      <c r="X19" s="140" t="s">
        <v>39</v>
      </c>
      <c r="Y19" s="140" t="s">
        <v>90</v>
      </c>
      <c r="Z19" s="140" t="s">
        <v>84</v>
      </c>
      <c r="AA19" s="140" t="s">
        <v>102</v>
      </c>
      <c r="AB19" s="165" t="s">
        <v>462</v>
      </c>
      <c r="AD19" s="165"/>
      <c r="AE19" s="164" t="s">
        <v>89</v>
      </c>
      <c r="AP19" s="167" t="s">
        <v>112</v>
      </c>
      <c r="AR19" s="163" t="s">
        <v>126</v>
      </c>
      <c r="AV19" s="156" t="s">
        <v>402</v>
      </c>
    </row>
    <row r="20" spans="1:48" x14ac:dyDescent="0.15">
      <c r="A20" s="140" t="s">
        <v>59</v>
      </c>
      <c r="B20" s="165" t="s">
        <v>413</v>
      </c>
      <c r="C20" s="133">
        <v>2018</v>
      </c>
      <c r="D20" s="201" t="s">
        <v>414</v>
      </c>
      <c r="E20" s="140" t="s">
        <v>422</v>
      </c>
      <c r="F20" s="140" t="s">
        <v>423</v>
      </c>
      <c r="G20" s="140" t="s">
        <v>36</v>
      </c>
      <c r="H20" s="140" t="s">
        <v>155</v>
      </c>
      <c r="I20" s="140" t="s">
        <v>153</v>
      </c>
      <c r="J20" s="140" t="s">
        <v>38</v>
      </c>
      <c r="K20" s="140" t="s">
        <v>154</v>
      </c>
      <c r="L20" s="140">
        <v>1</v>
      </c>
      <c r="N20" s="140">
        <v>4</v>
      </c>
      <c r="O20" s="140">
        <v>0.72</v>
      </c>
      <c r="P20" s="140">
        <v>0.6</v>
      </c>
      <c r="Q20" s="173">
        <f t="shared" si="2"/>
        <v>0.65999999999999992</v>
      </c>
      <c r="R20" s="140">
        <v>13.5</v>
      </c>
      <c r="S20" s="140">
        <v>104</v>
      </c>
      <c r="T20" s="149">
        <f t="shared" si="0"/>
        <v>33</v>
      </c>
      <c r="U20" s="140">
        <v>399</v>
      </c>
      <c r="V20" s="149">
        <f t="shared" si="1"/>
        <v>16</v>
      </c>
      <c r="W20" s="140">
        <v>4</v>
      </c>
      <c r="X20" s="140" t="s">
        <v>39</v>
      </c>
      <c r="Y20" s="140" t="s">
        <v>90</v>
      </c>
      <c r="Z20" s="140" t="s">
        <v>84</v>
      </c>
      <c r="AA20" s="140" t="s">
        <v>102</v>
      </c>
      <c r="AB20" s="165" t="s">
        <v>403</v>
      </c>
      <c r="AD20" s="165"/>
      <c r="AE20" s="164"/>
      <c r="AP20" s="167" t="s">
        <v>113</v>
      </c>
      <c r="AR20" s="166" t="s">
        <v>105</v>
      </c>
      <c r="AV20" s="160" t="s">
        <v>463</v>
      </c>
    </row>
    <row r="21" spans="1:48" x14ac:dyDescent="0.15">
      <c r="A21" s="140" t="s">
        <v>59</v>
      </c>
      <c r="B21" s="165" t="s">
        <v>413</v>
      </c>
      <c r="C21" s="133">
        <v>2018</v>
      </c>
      <c r="D21" s="201" t="s">
        <v>414</v>
      </c>
      <c r="E21" s="140" t="s">
        <v>422</v>
      </c>
      <c r="F21" s="140" t="s">
        <v>423</v>
      </c>
      <c r="G21" s="140" t="s">
        <v>36</v>
      </c>
      <c r="H21" s="140" t="s">
        <v>155</v>
      </c>
      <c r="I21" s="140" t="s">
        <v>153</v>
      </c>
      <c r="J21" s="140" t="s">
        <v>38</v>
      </c>
      <c r="K21" s="140" t="s">
        <v>154</v>
      </c>
      <c r="L21" s="140">
        <v>2</v>
      </c>
      <c r="N21" s="140">
        <v>4</v>
      </c>
      <c r="O21" s="140">
        <v>0.7</v>
      </c>
      <c r="P21" s="140">
        <v>0.6</v>
      </c>
      <c r="Q21" s="173">
        <f t="shared" si="2"/>
        <v>0.64999999999999991</v>
      </c>
      <c r="R21" s="140">
        <v>14.7</v>
      </c>
      <c r="S21" s="140">
        <v>101</v>
      </c>
      <c r="T21" s="149">
        <f t="shared" si="0"/>
        <v>33</v>
      </c>
      <c r="U21" s="140">
        <v>399</v>
      </c>
      <c r="V21" s="149">
        <f t="shared" si="1"/>
        <v>16</v>
      </c>
      <c r="W21" s="140">
        <v>4</v>
      </c>
      <c r="X21" s="140" t="s">
        <v>39</v>
      </c>
      <c r="Y21" s="140" t="s">
        <v>90</v>
      </c>
      <c r="Z21" s="140" t="s">
        <v>84</v>
      </c>
      <c r="AA21" s="140" t="s">
        <v>102</v>
      </c>
      <c r="AB21" s="165" t="s">
        <v>403</v>
      </c>
      <c r="AD21" s="165"/>
      <c r="AE21" s="161"/>
      <c r="AP21" s="167" t="s">
        <v>464</v>
      </c>
      <c r="AR21" s="166" t="s">
        <v>68</v>
      </c>
      <c r="AV21" s="160" t="s">
        <v>465</v>
      </c>
    </row>
    <row r="22" spans="1:48" x14ac:dyDescent="0.15">
      <c r="A22" s="140" t="s">
        <v>59</v>
      </c>
      <c r="B22" s="165" t="s">
        <v>413</v>
      </c>
      <c r="C22" s="133">
        <v>2018</v>
      </c>
      <c r="D22" s="201" t="s">
        <v>414</v>
      </c>
      <c r="E22" s="140" t="s">
        <v>422</v>
      </c>
      <c r="F22" s="140" t="s">
        <v>423</v>
      </c>
      <c r="G22" s="140" t="s">
        <v>36</v>
      </c>
      <c r="H22" s="140" t="s">
        <v>155</v>
      </c>
      <c r="I22" s="140" t="s">
        <v>153</v>
      </c>
      <c r="J22" s="140" t="s">
        <v>38</v>
      </c>
      <c r="K22" s="140" t="s">
        <v>154</v>
      </c>
      <c r="L22" s="140">
        <v>3</v>
      </c>
      <c r="N22" s="140">
        <v>4</v>
      </c>
      <c r="O22" s="140">
        <v>0.72</v>
      </c>
      <c r="P22" s="140">
        <v>0.67</v>
      </c>
      <c r="Q22" s="173">
        <f t="shared" si="2"/>
        <v>0.69500000000000006</v>
      </c>
      <c r="R22" s="140">
        <v>13.8</v>
      </c>
      <c r="S22" s="140">
        <v>106</v>
      </c>
      <c r="T22" s="149">
        <f t="shared" si="0"/>
        <v>33</v>
      </c>
      <c r="U22" s="140">
        <v>399</v>
      </c>
      <c r="V22" s="149">
        <f t="shared" si="1"/>
        <v>16</v>
      </c>
      <c r="W22" s="140">
        <v>4</v>
      </c>
      <c r="X22" s="140" t="s">
        <v>39</v>
      </c>
      <c r="Y22" s="140" t="s">
        <v>90</v>
      </c>
      <c r="Z22" s="140" t="s">
        <v>84</v>
      </c>
      <c r="AA22" s="140" t="s">
        <v>102</v>
      </c>
      <c r="AB22" s="165" t="s">
        <v>403</v>
      </c>
      <c r="AD22" s="165"/>
      <c r="AP22" s="167" t="s">
        <v>457</v>
      </c>
      <c r="AR22" s="166" t="s">
        <v>83</v>
      </c>
      <c r="AV22" s="160" t="s">
        <v>466</v>
      </c>
    </row>
    <row r="23" spans="1:48" x14ac:dyDescent="0.15">
      <c r="A23" s="140" t="s">
        <v>59</v>
      </c>
      <c r="B23" s="165" t="s">
        <v>413</v>
      </c>
      <c r="C23" s="133">
        <v>2018</v>
      </c>
      <c r="D23" s="201" t="s">
        <v>414</v>
      </c>
      <c r="E23" s="140" t="s">
        <v>447</v>
      </c>
      <c r="F23" s="140" t="s">
        <v>423</v>
      </c>
      <c r="G23" s="140" t="s">
        <v>36</v>
      </c>
      <c r="H23" s="140" t="s">
        <v>158</v>
      </c>
      <c r="I23" s="140" t="s">
        <v>153</v>
      </c>
      <c r="J23" s="140" t="s">
        <v>38</v>
      </c>
      <c r="K23" s="140" t="s">
        <v>154</v>
      </c>
      <c r="L23" s="140">
        <v>1</v>
      </c>
      <c r="N23" s="140">
        <v>4</v>
      </c>
      <c r="O23" s="140">
        <v>0.35</v>
      </c>
      <c r="P23" s="140">
        <v>0.34</v>
      </c>
      <c r="Q23" s="173">
        <f t="shared" si="2"/>
        <v>0.34499999999999997</v>
      </c>
      <c r="R23" s="140">
        <v>14.8</v>
      </c>
      <c r="S23" s="140">
        <v>135</v>
      </c>
      <c r="T23" s="149">
        <f t="shared" si="0"/>
        <v>25</v>
      </c>
      <c r="U23" s="140">
        <v>645</v>
      </c>
      <c r="V23" s="149">
        <f t="shared" si="1"/>
        <v>16</v>
      </c>
      <c r="W23" s="140">
        <v>3</v>
      </c>
      <c r="X23" s="140" t="s">
        <v>46</v>
      </c>
      <c r="Y23" s="140" t="s">
        <v>90</v>
      </c>
      <c r="Z23" s="140" t="s">
        <v>84</v>
      </c>
      <c r="AA23" s="140" t="s">
        <v>78</v>
      </c>
      <c r="AB23" s="165" t="s">
        <v>403</v>
      </c>
      <c r="AP23" s="167" t="s">
        <v>467</v>
      </c>
      <c r="AR23" s="166" t="s">
        <v>61</v>
      </c>
      <c r="AV23" s="160" t="s">
        <v>468</v>
      </c>
    </row>
    <row r="24" spans="1:48" x14ac:dyDescent="0.15">
      <c r="A24" s="140" t="s">
        <v>59</v>
      </c>
      <c r="B24" s="165" t="s">
        <v>413</v>
      </c>
      <c r="C24" s="133">
        <v>2018</v>
      </c>
      <c r="D24" s="201" t="s">
        <v>414</v>
      </c>
      <c r="E24" s="140" t="s">
        <v>447</v>
      </c>
      <c r="F24" s="140" t="s">
        <v>423</v>
      </c>
      <c r="G24" s="140" t="s">
        <v>36</v>
      </c>
      <c r="H24" s="140" t="s">
        <v>158</v>
      </c>
      <c r="I24" s="140" t="s">
        <v>153</v>
      </c>
      <c r="J24" s="140" t="s">
        <v>38</v>
      </c>
      <c r="K24" s="140" t="s">
        <v>154</v>
      </c>
      <c r="L24" s="140">
        <v>2</v>
      </c>
      <c r="N24" s="140">
        <v>4</v>
      </c>
      <c r="O24" s="140">
        <v>0.36</v>
      </c>
      <c r="P24" s="140">
        <v>0.35</v>
      </c>
      <c r="Q24" s="173">
        <f t="shared" si="2"/>
        <v>0.35499999999999998</v>
      </c>
      <c r="R24" s="140">
        <v>16</v>
      </c>
      <c r="S24" s="140">
        <v>128</v>
      </c>
      <c r="T24" s="149">
        <f t="shared" si="0"/>
        <v>27</v>
      </c>
      <c r="U24" s="140">
        <v>645</v>
      </c>
      <c r="V24" s="149">
        <f t="shared" si="1"/>
        <v>16</v>
      </c>
      <c r="W24" s="140">
        <v>3</v>
      </c>
      <c r="X24" s="140" t="s">
        <v>46</v>
      </c>
      <c r="Y24" s="140" t="s">
        <v>90</v>
      </c>
      <c r="Z24" s="140" t="s">
        <v>84</v>
      </c>
      <c r="AA24" s="140" t="s">
        <v>78</v>
      </c>
      <c r="AB24" s="165" t="s">
        <v>403</v>
      </c>
      <c r="AP24" s="167" t="s">
        <v>469</v>
      </c>
      <c r="AR24" s="166" t="s">
        <v>91</v>
      </c>
      <c r="AV24" s="160" t="s">
        <v>470</v>
      </c>
    </row>
    <row r="25" spans="1:48" x14ac:dyDescent="0.15">
      <c r="A25" s="140" t="s">
        <v>59</v>
      </c>
      <c r="B25" s="165" t="s">
        <v>413</v>
      </c>
      <c r="C25" s="133">
        <v>2018</v>
      </c>
      <c r="D25" s="201" t="s">
        <v>414</v>
      </c>
      <c r="E25" s="140" t="s">
        <v>447</v>
      </c>
      <c r="F25" s="140" t="s">
        <v>423</v>
      </c>
      <c r="G25" s="140" t="s">
        <v>36</v>
      </c>
      <c r="H25" s="140" t="s">
        <v>158</v>
      </c>
      <c r="I25" s="140" t="s">
        <v>153</v>
      </c>
      <c r="J25" s="140" t="s">
        <v>38</v>
      </c>
      <c r="K25" s="140" t="s">
        <v>154</v>
      </c>
      <c r="L25" s="140">
        <v>3</v>
      </c>
      <c r="N25" s="140">
        <v>4</v>
      </c>
      <c r="O25" s="140">
        <v>0.44</v>
      </c>
      <c r="P25" s="140">
        <v>0.4</v>
      </c>
      <c r="Q25" s="173">
        <f t="shared" si="2"/>
        <v>0.42000000000000004</v>
      </c>
      <c r="R25" s="140">
        <v>14.7</v>
      </c>
      <c r="S25" s="140">
        <v>131</v>
      </c>
      <c r="T25" s="149">
        <f t="shared" si="0"/>
        <v>25</v>
      </c>
      <c r="U25" s="140">
        <v>645</v>
      </c>
      <c r="V25" s="149">
        <f t="shared" si="1"/>
        <v>16</v>
      </c>
      <c r="W25" s="140">
        <v>3</v>
      </c>
      <c r="X25" s="140" t="s">
        <v>46</v>
      </c>
      <c r="Y25" s="140" t="s">
        <v>90</v>
      </c>
      <c r="Z25" s="140" t="s">
        <v>84</v>
      </c>
      <c r="AA25" s="140" t="s">
        <v>78</v>
      </c>
      <c r="AB25" s="165" t="s">
        <v>403</v>
      </c>
      <c r="AD25" s="165"/>
      <c r="AP25" s="167" t="s">
        <v>116</v>
      </c>
      <c r="AR25" s="42" t="s">
        <v>92</v>
      </c>
      <c r="AV25" s="160" t="s">
        <v>471</v>
      </c>
    </row>
    <row r="26" spans="1:48" x14ac:dyDescent="0.15">
      <c r="A26" s="140" t="s">
        <v>59</v>
      </c>
      <c r="B26" s="165" t="s">
        <v>413</v>
      </c>
      <c r="C26" s="133">
        <v>2018</v>
      </c>
      <c r="D26" s="201" t="s">
        <v>414</v>
      </c>
      <c r="E26" s="140" t="s">
        <v>444</v>
      </c>
      <c r="F26" s="140" t="s">
        <v>442</v>
      </c>
      <c r="G26" s="140" t="s">
        <v>36</v>
      </c>
      <c r="H26" s="140" t="s">
        <v>158</v>
      </c>
      <c r="I26" s="140" t="s">
        <v>153</v>
      </c>
      <c r="J26" s="140" t="s">
        <v>38</v>
      </c>
      <c r="K26" s="140" t="s">
        <v>154</v>
      </c>
      <c r="L26" s="140">
        <v>1</v>
      </c>
      <c r="N26" s="140">
        <v>1</v>
      </c>
      <c r="O26" s="140">
        <v>0.3</v>
      </c>
      <c r="P26" s="140">
        <v>0.35</v>
      </c>
      <c r="Q26" s="173">
        <f t="shared" si="2"/>
        <v>0.32499999999999996</v>
      </c>
      <c r="R26" s="140">
        <v>16.2</v>
      </c>
      <c r="S26" s="140">
        <v>146</v>
      </c>
      <c r="T26" s="149">
        <f t="shared" si="0"/>
        <v>22</v>
      </c>
      <c r="U26" s="140">
        <v>138</v>
      </c>
      <c r="V26" s="149">
        <f t="shared" si="1"/>
        <v>22</v>
      </c>
      <c r="W26" s="140">
        <v>2</v>
      </c>
      <c r="X26" s="140" t="s">
        <v>39</v>
      </c>
      <c r="Y26" s="140" t="s">
        <v>84</v>
      </c>
      <c r="Z26" s="140" t="s">
        <v>402</v>
      </c>
      <c r="AA26" s="140" t="s">
        <v>90</v>
      </c>
      <c r="AB26" s="165" t="s">
        <v>403</v>
      </c>
      <c r="AD26" s="165"/>
      <c r="AP26" s="167" t="s">
        <v>117</v>
      </c>
      <c r="AR26" s="160" t="s">
        <v>472</v>
      </c>
      <c r="AV26" s="160"/>
    </row>
    <row r="27" spans="1:48" x14ac:dyDescent="0.15">
      <c r="A27" s="140" t="s">
        <v>59</v>
      </c>
      <c r="B27" s="165" t="s">
        <v>413</v>
      </c>
      <c r="C27" s="133">
        <v>2018</v>
      </c>
      <c r="D27" s="201" t="s">
        <v>414</v>
      </c>
      <c r="E27" s="140" t="s">
        <v>444</v>
      </c>
      <c r="F27" s="140" t="s">
        <v>442</v>
      </c>
      <c r="G27" s="140" t="s">
        <v>36</v>
      </c>
      <c r="H27" s="140" t="s">
        <v>158</v>
      </c>
      <c r="I27" s="140" t="s">
        <v>153</v>
      </c>
      <c r="J27" s="140" t="s">
        <v>38</v>
      </c>
      <c r="K27" s="140" t="s">
        <v>154</v>
      </c>
      <c r="L27" s="140">
        <v>2</v>
      </c>
      <c r="N27" s="140">
        <v>1</v>
      </c>
      <c r="O27" s="140">
        <v>0.34</v>
      </c>
      <c r="P27" s="140">
        <v>0.46</v>
      </c>
      <c r="Q27" s="173">
        <f t="shared" si="2"/>
        <v>0.4</v>
      </c>
      <c r="R27" s="140">
        <v>16</v>
      </c>
      <c r="S27" s="140">
        <v>144</v>
      </c>
      <c r="T27" s="149">
        <f t="shared" si="0"/>
        <v>22</v>
      </c>
      <c r="U27" s="140">
        <v>138</v>
      </c>
      <c r="V27" s="149">
        <f t="shared" si="1"/>
        <v>22</v>
      </c>
      <c r="W27" s="140">
        <v>2</v>
      </c>
      <c r="X27" s="140" t="s">
        <v>39</v>
      </c>
      <c r="Y27" s="140" t="s">
        <v>84</v>
      </c>
      <c r="Z27" s="140" t="s">
        <v>402</v>
      </c>
      <c r="AA27" s="140" t="s">
        <v>90</v>
      </c>
      <c r="AB27" s="165" t="s">
        <v>403</v>
      </c>
      <c r="AD27" s="165"/>
      <c r="AP27" s="167" t="s">
        <v>118</v>
      </c>
      <c r="AR27" s="161" t="s">
        <v>238</v>
      </c>
      <c r="AV27" s="160"/>
    </row>
    <row r="28" spans="1:48" x14ac:dyDescent="0.15">
      <c r="A28" s="140" t="s">
        <v>59</v>
      </c>
      <c r="B28" s="165" t="s">
        <v>413</v>
      </c>
      <c r="C28" s="133">
        <v>2018</v>
      </c>
      <c r="D28" s="201" t="s">
        <v>414</v>
      </c>
      <c r="E28" s="140" t="s">
        <v>444</v>
      </c>
      <c r="F28" s="140" t="s">
        <v>442</v>
      </c>
      <c r="G28" s="140" t="s">
        <v>36</v>
      </c>
      <c r="H28" s="140" t="s">
        <v>158</v>
      </c>
      <c r="I28" s="140" t="s">
        <v>153</v>
      </c>
      <c r="J28" s="140" t="s">
        <v>38</v>
      </c>
      <c r="K28" s="140" t="s">
        <v>154</v>
      </c>
      <c r="L28" s="140">
        <v>3</v>
      </c>
      <c r="N28" s="140">
        <v>1</v>
      </c>
      <c r="O28" s="140">
        <v>0.32</v>
      </c>
      <c r="P28" s="140">
        <v>0.38</v>
      </c>
      <c r="Q28" s="173">
        <f t="shared" si="2"/>
        <v>0.35</v>
      </c>
      <c r="R28" s="140">
        <v>16</v>
      </c>
      <c r="S28" s="140">
        <v>147</v>
      </c>
      <c r="T28" s="149">
        <f t="shared" si="0"/>
        <v>22</v>
      </c>
      <c r="U28" s="140">
        <v>138</v>
      </c>
      <c r="V28" s="149">
        <f t="shared" si="1"/>
        <v>22</v>
      </c>
      <c r="W28" s="140">
        <v>2</v>
      </c>
      <c r="X28" s="140" t="s">
        <v>39</v>
      </c>
      <c r="Y28" s="140" t="s">
        <v>84</v>
      </c>
      <c r="Z28" s="140" t="s">
        <v>402</v>
      </c>
      <c r="AA28" s="140" t="s">
        <v>90</v>
      </c>
      <c r="AB28" s="165" t="s">
        <v>403</v>
      </c>
      <c r="AD28" s="165"/>
      <c r="AV28" s="160"/>
    </row>
    <row r="29" spans="1:48" x14ac:dyDescent="0.15">
      <c r="A29" s="140" t="s">
        <v>59</v>
      </c>
      <c r="B29" s="165" t="s">
        <v>413</v>
      </c>
      <c r="C29" s="133">
        <v>2018</v>
      </c>
      <c r="D29" s="201" t="s">
        <v>414</v>
      </c>
      <c r="E29" s="140" t="s">
        <v>444</v>
      </c>
      <c r="F29" s="140" t="s">
        <v>442</v>
      </c>
      <c r="G29" s="140" t="s">
        <v>36</v>
      </c>
      <c r="H29" s="140" t="s">
        <v>155</v>
      </c>
      <c r="I29" s="140" t="s">
        <v>153</v>
      </c>
      <c r="J29" s="140" t="s">
        <v>38</v>
      </c>
      <c r="K29" s="140" t="s">
        <v>154</v>
      </c>
      <c r="L29" s="140">
        <v>1</v>
      </c>
      <c r="N29" s="140">
        <v>1</v>
      </c>
      <c r="O29" s="140">
        <v>0.38</v>
      </c>
      <c r="P29" s="140">
        <v>0.4</v>
      </c>
      <c r="Q29" s="173">
        <f t="shared" si="2"/>
        <v>0.39</v>
      </c>
      <c r="R29" s="140">
        <v>13.5</v>
      </c>
      <c r="S29" s="140">
        <v>150</v>
      </c>
      <c r="T29" s="149">
        <f t="shared" si="0"/>
        <v>22</v>
      </c>
      <c r="U29" s="140">
        <v>138</v>
      </c>
      <c r="V29" s="149">
        <f t="shared" si="1"/>
        <v>22</v>
      </c>
      <c r="W29" s="140">
        <v>2</v>
      </c>
      <c r="X29" s="140" t="s">
        <v>39</v>
      </c>
      <c r="Y29" s="140" t="s">
        <v>84</v>
      </c>
      <c r="Z29" s="140" t="s">
        <v>402</v>
      </c>
      <c r="AA29" s="140" t="s">
        <v>90</v>
      </c>
      <c r="AB29" s="165" t="s">
        <v>403</v>
      </c>
      <c r="AV29" s="160"/>
    </row>
    <row r="30" spans="1:48" x14ac:dyDescent="0.15">
      <c r="A30" s="140" t="s">
        <v>59</v>
      </c>
      <c r="B30" s="165" t="s">
        <v>413</v>
      </c>
      <c r="C30" s="133">
        <v>2018</v>
      </c>
      <c r="D30" s="201" t="s">
        <v>414</v>
      </c>
      <c r="E30" s="140" t="s">
        <v>444</v>
      </c>
      <c r="F30" s="140" t="s">
        <v>442</v>
      </c>
      <c r="G30" s="140" t="s">
        <v>36</v>
      </c>
      <c r="H30" s="140" t="s">
        <v>155</v>
      </c>
      <c r="I30" s="140" t="s">
        <v>153</v>
      </c>
      <c r="J30" s="140" t="s">
        <v>38</v>
      </c>
      <c r="K30" s="140" t="s">
        <v>154</v>
      </c>
      <c r="L30" s="140">
        <v>2</v>
      </c>
      <c r="N30" s="140">
        <v>1</v>
      </c>
      <c r="O30" s="140">
        <v>0.28000000000000003</v>
      </c>
      <c r="P30" s="140">
        <v>0.36</v>
      </c>
      <c r="Q30" s="173">
        <f t="shared" si="2"/>
        <v>0.32</v>
      </c>
      <c r="R30" s="140">
        <v>15</v>
      </c>
      <c r="S30" s="140">
        <v>122</v>
      </c>
      <c r="T30" s="149">
        <f t="shared" si="0"/>
        <v>27</v>
      </c>
      <c r="U30" s="140">
        <v>138</v>
      </c>
      <c r="V30" s="149">
        <f t="shared" si="1"/>
        <v>22</v>
      </c>
      <c r="W30" s="140">
        <v>2</v>
      </c>
      <c r="X30" s="140" t="s">
        <v>39</v>
      </c>
      <c r="Y30" s="140" t="s">
        <v>84</v>
      </c>
      <c r="Z30" s="140" t="s">
        <v>402</v>
      </c>
      <c r="AA30" s="140" t="s">
        <v>90</v>
      </c>
      <c r="AB30" s="165" t="s">
        <v>403</v>
      </c>
      <c r="AV30" s="160"/>
    </row>
    <row r="31" spans="1:48" x14ac:dyDescent="0.15">
      <c r="A31" s="140" t="s">
        <v>59</v>
      </c>
      <c r="B31" s="165" t="s">
        <v>413</v>
      </c>
      <c r="C31" s="133">
        <v>2018</v>
      </c>
      <c r="D31" s="201" t="s">
        <v>414</v>
      </c>
      <c r="E31" s="140" t="s">
        <v>444</v>
      </c>
      <c r="F31" s="140" t="s">
        <v>442</v>
      </c>
      <c r="G31" s="140" t="s">
        <v>36</v>
      </c>
      <c r="H31" s="140" t="s">
        <v>155</v>
      </c>
      <c r="I31" s="140" t="s">
        <v>153</v>
      </c>
      <c r="J31" s="140" t="s">
        <v>38</v>
      </c>
      <c r="K31" s="140" t="s">
        <v>154</v>
      </c>
      <c r="L31" s="140">
        <v>3</v>
      </c>
      <c r="N31" s="140">
        <v>1</v>
      </c>
      <c r="O31" s="140">
        <v>0.37</v>
      </c>
      <c r="P31" s="140">
        <v>0.39</v>
      </c>
      <c r="Q31" s="173">
        <f t="shared" si="2"/>
        <v>0.38</v>
      </c>
      <c r="R31" s="140">
        <v>14.1</v>
      </c>
      <c r="S31" s="140">
        <v>145</v>
      </c>
      <c r="T31" s="149">
        <f t="shared" si="0"/>
        <v>22</v>
      </c>
      <c r="U31" s="140">
        <v>138</v>
      </c>
      <c r="V31" s="149">
        <f t="shared" si="1"/>
        <v>22</v>
      </c>
      <c r="W31" s="140">
        <v>2</v>
      </c>
      <c r="X31" s="140" t="s">
        <v>39</v>
      </c>
      <c r="Y31" s="140" t="s">
        <v>84</v>
      </c>
      <c r="Z31" s="140" t="s">
        <v>402</v>
      </c>
      <c r="AA31" s="140" t="s">
        <v>90</v>
      </c>
      <c r="AB31" s="165" t="s">
        <v>403</v>
      </c>
      <c r="AV31" s="160"/>
    </row>
    <row r="32" spans="1:48" x14ac:dyDescent="0.15">
      <c r="A32" s="140" t="s">
        <v>59</v>
      </c>
      <c r="B32" s="165" t="s">
        <v>413</v>
      </c>
      <c r="C32" s="133">
        <v>2018</v>
      </c>
      <c r="D32" s="201" t="s">
        <v>414</v>
      </c>
      <c r="E32" s="140" t="s">
        <v>251</v>
      </c>
      <c r="F32" s="140" t="s">
        <v>442</v>
      </c>
      <c r="G32" s="140" t="s">
        <v>36</v>
      </c>
      <c r="H32" s="140" t="s">
        <v>155</v>
      </c>
      <c r="I32" s="140" t="s">
        <v>153</v>
      </c>
      <c r="J32" s="140" t="s">
        <v>38</v>
      </c>
      <c r="K32" s="140" t="s">
        <v>154</v>
      </c>
      <c r="L32" s="140">
        <v>1</v>
      </c>
      <c r="N32" s="140">
        <v>3</v>
      </c>
      <c r="O32" s="140">
        <v>0.62</v>
      </c>
      <c r="P32" s="140">
        <v>0.66</v>
      </c>
      <c r="Q32" s="173">
        <f t="shared" si="2"/>
        <v>0.64</v>
      </c>
      <c r="R32" s="140">
        <v>16.2</v>
      </c>
      <c r="S32" s="140">
        <v>104</v>
      </c>
      <c r="T32" s="149">
        <f t="shared" si="0"/>
        <v>33</v>
      </c>
      <c r="U32" s="140">
        <v>321</v>
      </c>
      <c r="V32" s="149">
        <f t="shared" si="1"/>
        <v>16</v>
      </c>
      <c r="W32" s="140">
        <v>4</v>
      </c>
      <c r="X32" s="140" t="s">
        <v>39</v>
      </c>
      <c r="Y32" s="140" t="s">
        <v>84</v>
      </c>
      <c r="Z32" s="140" t="s">
        <v>90</v>
      </c>
      <c r="AA32" s="140" t="s">
        <v>69</v>
      </c>
      <c r="AB32" s="165" t="s">
        <v>403</v>
      </c>
      <c r="AV32" s="160"/>
    </row>
    <row r="33" spans="1:48" x14ac:dyDescent="0.15">
      <c r="A33" s="140" t="s">
        <v>59</v>
      </c>
      <c r="B33" s="165" t="s">
        <v>413</v>
      </c>
      <c r="C33" s="133">
        <v>2018</v>
      </c>
      <c r="D33" s="201" t="s">
        <v>414</v>
      </c>
      <c r="E33" s="140" t="s">
        <v>251</v>
      </c>
      <c r="F33" s="140" t="s">
        <v>442</v>
      </c>
      <c r="G33" s="140" t="s">
        <v>36</v>
      </c>
      <c r="H33" s="140" t="s">
        <v>155</v>
      </c>
      <c r="I33" s="140" t="s">
        <v>153</v>
      </c>
      <c r="J33" s="140" t="s">
        <v>38</v>
      </c>
      <c r="K33" s="140" t="s">
        <v>154</v>
      </c>
      <c r="L33" s="140">
        <v>2</v>
      </c>
      <c r="N33" s="140">
        <v>3</v>
      </c>
      <c r="O33" s="140">
        <v>0.69</v>
      </c>
      <c r="P33" s="140">
        <v>0.85</v>
      </c>
      <c r="Q33" s="173">
        <f t="shared" si="2"/>
        <v>0.77</v>
      </c>
      <c r="R33" s="140">
        <v>15.9</v>
      </c>
      <c r="S33" s="140">
        <v>105</v>
      </c>
      <c r="T33" s="149">
        <f t="shared" si="0"/>
        <v>33</v>
      </c>
      <c r="U33" s="140">
        <v>321</v>
      </c>
      <c r="V33" s="149">
        <f t="shared" si="1"/>
        <v>16</v>
      </c>
      <c r="W33" s="140">
        <v>4</v>
      </c>
      <c r="X33" s="140" t="s">
        <v>39</v>
      </c>
      <c r="Y33" s="140" t="s">
        <v>84</v>
      </c>
      <c r="Z33" s="140" t="s">
        <v>90</v>
      </c>
      <c r="AA33" s="140" t="s">
        <v>69</v>
      </c>
      <c r="AB33" s="165" t="s">
        <v>403</v>
      </c>
      <c r="AV33" s="160"/>
    </row>
    <row r="34" spans="1:48" x14ac:dyDescent="0.15">
      <c r="A34" s="140" t="s">
        <v>59</v>
      </c>
      <c r="B34" s="165" t="s">
        <v>413</v>
      </c>
      <c r="C34" s="133">
        <v>2018</v>
      </c>
      <c r="D34" s="201" t="s">
        <v>414</v>
      </c>
      <c r="E34" s="140" t="s">
        <v>251</v>
      </c>
      <c r="F34" s="140" t="s">
        <v>442</v>
      </c>
      <c r="G34" s="140" t="s">
        <v>36</v>
      </c>
      <c r="H34" s="140" t="s">
        <v>155</v>
      </c>
      <c r="I34" s="140" t="s">
        <v>153</v>
      </c>
      <c r="J34" s="140" t="s">
        <v>38</v>
      </c>
      <c r="K34" s="140" t="s">
        <v>154</v>
      </c>
      <c r="L34" s="140">
        <v>3</v>
      </c>
      <c r="N34" s="140">
        <v>3</v>
      </c>
      <c r="O34" s="140">
        <v>0.6</v>
      </c>
      <c r="P34" s="140">
        <v>0.67</v>
      </c>
      <c r="Q34" s="173">
        <f t="shared" si="2"/>
        <v>0.63500000000000001</v>
      </c>
      <c r="R34" s="140">
        <v>15.6</v>
      </c>
      <c r="S34" s="140">
        <v>101</v>
      </c>
      <c r="T34" s="149">
        <f t="shared" si="0"/>
        <v>33</v>
      </c>
      <c r="U34" s="140">
        <v>321</v>
      </c>
      <c r="V34" s="149">
        <f t="shared" si="1"/>
        <v>16</v>
      </c>
      <c r="W34" s="140">
        <v>4</v>
      </c>
      <c r="X34" s="140" t="s">
        <v>39</v>
      </c>
      <c r="Y34" s="140" t="s">
        <v>84</v>
      </c>
      <c r="Z34" s="140" t="s">
        <v>90</v>
      </c>
      <c r="AA34" s="140" t="s">
        <v>69</v>
      </c>
      <c r="AB34" s="165" t="s">
        <v>403</v>
      </c>
      <c r="AV34" s="160"/>
    </row>
    <row r="35" spans="1:48" x14ac:dyDescent="0.15">
      <c r="A35" s="140" t="s">
        <v>59</v>
      </c>
      <c r="B35" s="165" t="s">
        <v>413</v>
      </c>
      <c r="C35" s="133">
        <v>2018</v>
      </c>
      <c r="D35" s="201" t="s">
        <v>414</v>
      </c>
      <c r="E35" s="140" t="s">
        <v>251</v>
      </c>
      <c r="F35" s="140" t="s">
        <v>442</v>
      </c>
      <c r="G35" s="140" t="s">
        <v>36</v>
      </c>
      <c r="H35" s="140" t="s">
        <v>129</v>
      </c>
      <c r="I35" s="140" t="s">
        <v>153</v>
      </c>
      <c r="J35" s="140" t="s">
        <v>457</v>
      </c>
      <c r="K35" s="140" t="s">
        <v>420</v>
      </c>
      <c r="L35" s="140">
        <v>1</v>
      </c>
      <c r="N35" s="140">
        <v>5</v>
      </c>
      <c r="O35" s="140">
        <v>0.3</v>
      </c>
      <c r="P35" s="140">
        <v>0.28000000000000003</v>
      </c>
      <c r="Q35" s="173">
        <f t="shared" si="2"/>
        <v>0.29000000000000004</v>
      </c>
      <c r="R35" s="140">
        <v>16.600000000000001</v>
      </c>
      <c r="S35" s="140">
        <v>57</v>
      </c>
      <c r="T35" s="149">
        <f t="shared" si="0"/>
        <v>50</v>
      </c>
      <c r="U35" s="140">
        <v>429</v>
      </c>
      <c r="V35" s="149">
        <f t="shared" si="1"/>
        <v>16</v>
      </c>
      <c r="W35" s="140">
        <v>2</v>
      </c>
      <c r="X35" s="140" t="s">
        <v>39</v>
      </c>
      <c r="Y35" s="140" t="s">
        <v>84</v>
      </c>
      <c r="Z35" s="140" t="s">
        <v>90</v>
      </c>
      <c r="AA35" s="140" t="s">
        <v>69</v>
      </c>
      <c r="AB35" s="165" t="s">
        <v>403</v>
      </c>
      <c r="AV35" s="160"/>
    </row>
    <row r="36" spans="1:48" x14ac:dyDescent="0.15">
      <c r="A36" s="140" t="s">
        <v>59</v>
      </c>
      <c r="B36" s="165" t="s">
        <v>413</v>
      </c>
      <c r="C36" s="133">
        <v>2018</v>
      </c>
      <c r="D36" s="201" t="s">
        <v>414</v>
      </c>
      <c r="E36" s="140" t="s">
        <v>251</v>
      </c>
      <c r="F36" s="140" t="s">
        <v>442</v>
      </c>
      <c r="G36" s="140" t="s">
        <v>36</v>
      </c>
      <c r="H36" s="140" t="s">
        <v>129</v>
      </c>
      <c r="I36" s="140" t="s">
        <v>153</v>
      </c>
      <c r="J36" s="140" t="s">
        <v>457</v>
      </c>
      <c r="K36" s="140" t="s">
        <v>420</v>
      </c>
      <c r="L36" s="140">
        <v>2</v>
      </c>
      <c r="N36" s="140">
        <v>5</v>
      </c>
      <c r="O36" s="140">
        <v>0.38</v>
      </c>
      <c r="P36" s="140">
        <v>0.5</v>
      </c>
      <c r="Q36" s="173">
        <f t="shared" si="2"/>
        <v>0.44</v>
      </c>
      <c r="R36" s="140">
        <v>17.600000000000001</v>
      </c>
      <c r="S36" s="140">
        <v>70</v>
      </c>
      <c r="T36" s="149">
        <f t="shared" si="0"/>
        <v>50</v>
      </c>
      <c r="U36" s="140">
        <v>429</v>
      </c>
      <c r="V36" s="149">
        <f t="shared" si="1"/>
        <v>16</v>
      </c>
      <c r="W36" s="140">
        <v>2</v>
      </c>
      <c r="X36" s="140" t="s">
        <v>39</v>
      </c>
      <c r="Y36" s="140" t="s">
        <v>84</v>
      </c>
      <c r="Z36" s="140" t="s">
        <v>90</v>
      </c>
      <c r="AA36" s="140" t="s">
        <v>69</v>
      </c>
      <c r="AB36" s="165" t="s">
        <v>403</v>
      </c>
      <c r="AV36" s="160"/>
    </row>
    <row r="37" spans="1:48" x14ac:dyDescent="0.15">
      <c r="A37" s="140" t="s">
        <v>59</v>
      </c>
      <c r="B37" s="165" t="s">
        <v>413</v>
      </c>
      <c r="C37" s="133">
        <v>2018</v>
      </c>
      <c r="D37" s="201" t="s">
        <v>414</v>
      </c>
      <c r="E37" s="140" t="s">
        <v>251</v>
      </c>
      <c r="F37" s="140" t="s">
        <v>442</v>
      </c>
      <c r="G37" s="140" t="s">
        <v>36</v>
      </c>
      <c r="H37" s="140" t="s">
        <v>129</v>
      </c>
      <c r="I37" s="140" t="s">
        <v>153</v>
      </c>
      <c r="J37" s="140" t="s">
        <v>457</v>
      </c>
      <c r="K37" s="140" t="s">
        <v>420</v>
      </c>
      <c r="L37" s="140">
        <v>3</v>
      </c>
      <c r="N37" s="140">
        <v>5</v>
      </c>
      <c r="O37" s="140">
        <v>0.28000000000000003</v>
      </c>
      <c r="P37" s="140">
        <v>0.28000000000000003</v>
      </c>
      <c r="Q37" s="173">
        <f t="shared" si="2"/>
        <v>0.28000000000000003</v>
      </c>
      <c r="R37" s="140">
        <v>16.7</v>
      </c>
      <c r="S37" s="140">
        <v>70</v>
      </c>
      <c r="T37" s="149">
        <f t="shared" si="0"/>
        <v>50</v>
      </c>
      <c r="U37" s="140">
        <v>429</v>
      </c>
      <c r="V37" s="149">
        <f t="shared" si="1"/>
        <v>16</v>
      </c>
      <c r="W37" s="140">
        <v>2</v>
      </c>
      <c r="X37" s="140" t="s">
        <v>39</v>
      </c>
      <c r="Y37" s="140" t="s">
        <v>84</v>
      </c>
      <c r="Z37" s="140" t="s">
        <v>90</v>
      </c>
      <c r="AA37" s="140" t="s">
        <v>69</v>
      </c>
      <c r="AB37" s="165" t="s">
        <v>403</v>
      </c>
      <c r="AV37" s="160"/>
    </row>
    <row r="38" spans="1:48" x14ac:dyDescent="0.15">
      <c r="A38" s="140" t="s">
        <v>59</v>
      </c>
      <c r="B38" s="165" t="s">
        <v>413</v>
      </c>
      <c r="C38" s="133">
        <v>2018</v>
      </c>
      <c r="D38" s="201" t="s">
        <v>414</v>
      </c>
      <c r="E38" s="140" t="s">
        <v>436</v>
      </c>
      <c r="F38" s="140" t="s">
        <v>437</v>
      </c>
      <c r="G38" s="140" t="s">
        <v>36</v>
      </c>
      <c r="H38" s="140" t="s">
        <v>158</v>
      </c>
      <c r="I38" s="140" t="s">
        <v>153</v>
      </c>
      <c r="J38" s="140" t="s">
        <v>38</v>
      </c>
      <c r="K38" s="140" t="s">
        <v>154</v>
      </c>
      <c r="L38" s="140">
        <v>1</v>
      </c>
      <c r="N38" s="140">
        <v>1</v>
      </c>
      <c r="O38" s="140">
        <v>0.35</v>
      </c>
      <c r="P38" s="140">
        <v>0.39</v>
      </c>
      <c r="Q38" s="173">
        <f t="shared" si="2"/>
        <v>0.37</v>
      </c>
      <c r="R38" s="140">
        <v>16.100000000000001</v>
      </c>
      <c r="S38" s="140">
        <v>162</v>
      </c>
      <c r="T38" s="149">
        <f t="shared" si="0"/>
        <v>18</v>
      </c>
      <c r="U38" s="140">
        <v>99</v>
      </c>
      <c r="V38" s="149">
        <f t="shared" si="1"/>
        <v>33</v>
      </c>
      <c r="W38" s="140">
        <v>3</v>
      </c>
      <c r="X38" s="140" t="s">
        <v>46</v>
      </c>
      <c r="Y38" s="140" t="s">
        <v>90</v>
      </c>
      <c r="Z38" s="140" t="s">
        <v>402</v>
      </c>
      <c r="AA38" s="140" t="s">
        <v>69</v>
      </c>
      <c r="AB38" s="165" t="s">
        <v>403</v>
      </c>
      <c r="AV38" s="161"/>
    </row>
    <row r="39" spans="1:48" x14ac:dyDescent="0.15">
      <c r="A39" s="140" t="s">
        <v>59</v>
      </c>
      <c r="B39" s="165" t="s">
        <v>413</v>
      </c>
      <c r="C39" s="133">
        <v>2018</v>
      </c>
      <c r="D39" s="201" t="s">
        <v>414</v>
      </c>
      <c r="E39" s="140" t="s">
        <v>436</v>
      </c>
      <c r="F39" s="140" t="s">
        <v>437</v>
      </c>
      <c r="G39" s="140" t="s">
        <v>36</v>
      </c>
      <c r="H39" s="140" t="s">
        <v>158</v>
      </c>
      <c r="I39" s="140" t="s">
        <v>153</v>
      </c>
      <c r="J39" s="140" t="s">
        <v>38</v>
      </c>
      <c r="K39" s="140" t="s">
        <v>154</v>
      </c>
      <c r="L39" s="140">
        <v>2</v>
      </c>
      <c r="N39" s="140">
        <v>1</v>
      </c>
      <c r="O39" s="140">
        <v>0.4</v>
      </c>
      <c r="P39" s="140">
        <v>0.42</v>
      </c>
      <c r="Q39" s="173">
        <f t="shared" si="2"/>
        <v>0.41000000000000003</v>
      </c>
      <c r="R39" s="140">
        <v>16.3</v>
      </c>
      <c r="S39" s="140">
        <v>166</v>
      </c>
      <c r="T39" s="149">
        <f t="shared" si="0"/>
        <v>18</v>
      </c>
      <c r="U39" s="140">
        <v>99</v>
      </c>
      <c r="V39" s="149">
        <f t="shared" si="1"/>
        <v>33</v>
      </c>
      <c r="W39" s="140">
        <v>3</v>
      </c>
      <c r="X39" s="140" t="s">
        <v>46</v>
      </c>
      <c r="Y39" s="140" t="s">
        <v>90</v>
      </c>
      <c r="Z39" s="140" t="s">
        <v>402</v>
      </c>
      <c r="AA39" s="140" t="s">
        <v>69</v>
      </c>
      <c r="AB39" s="165" t="s">
        <v>403</v>
      </c>
    </row>
    <row r="40" spans="1:48" x14ac:dyDescent="0.15">
      <c r="A40" s="140" t="s">
        <v>59</v>
      </c>
      <c r="B40" s="165" t="s">
        <v>413</v>
      </c>
      <c r="C40" s="133">
        <v>2018</v>
      </c>
      <c r="D40" s="201" t="s">
        <v>414</v>
      </c>
      <c r="E40" s="140" t="s">
        <v>436</v>
      </c>
      <c r="F40" s="140" t="s">
        <v>437</v>
      </c>
      <c r="G40" s="140" t="s">
        <v>36</v>
      </c>
      <c r="H40" s="140" t="s">
        <v>158</v>
      </c>
      <c r="I40" s="140" t="s">
        <v>153</v>
      </c>
      <c r="J40" s="140" t="s">
        <v>38</v>
      </c>
      <c r="K40" s="140" t="s">
        <v>154</v>
      </c>
      <c r="L40" s="140">
        <v>3</v>
      </c>
      <c r="N40" s="140">
        <v>1</v>
      </c>
      <c r="O40" s="140">
        <v>0.38</v>
      </c>
      <c r="P40" s="140">
        <v>0.43</v>
      </c>
      <c r="Q40" s="173">
        <f t="shared" si="2"/>
        <v>0.40500000000000003</v>
      </c>
      <c r="R40" s="140">
        <v>16.600000000000001</v>
      </c>
      <c r="S40" s="140">
        <v>164</v>
      </c>
      <c r="T40" s="149">
        <f t="shared" si="0"/>
        <v>18</v>
      </c>
      <c r="U40" s="140">
        <v>99</v>
      </c>
      <c r="V40" s="149">
        <f t="shared" si="1"/>
        <v>33</v>
      </c>
      <c r="W40" s="140">
        <v>3</v>
      </c>
      <c r="X40" s="140" t="s">
        <v>46</v>
      </c>
      <c r="Y40" s="140" t="s">
        <v>90</v>
      </c>
      <c r="Z40" s="140" t="s">
        <v>402</v>
      </c>
      <c r="AA40" s="140" t="s">
        <v>69</v>
      </c>
      <c r="AB40" s="165" t="s">
        <v>403</v>
      </c>
    </row>
    <row r="41" spans="1:48" x14ac:dyDescent="0.15">
      <c r="A41" s="140" t="s">
        <v>59</v>
      </c>
      <c r="B41" s="165" t="s">
        <v>413</v>
      </c>
      <c r="C41" s="133">
        <v>2018</v>
      </c>
      <c r="D41" s="201" t="s">
        <v>414</v>
      </c>
      <c r="E41" s="140" t="s">
        <v>436</v>
      </c>
      <c r="F41" s="140" t="s">
        <v>437</v>
      </c>
      <c r="G41" s="140" t="s">
        <v>36</v>
      </c>
      <c r="H41" s="140" t="s">
        <v>155</v>
      </c>
      <c r="I41" s="140" t="s">
        <v>153</v>
      </c>
      <c r="J41" s="140" t="s">
        <v>38</v>
      </c>
      <c r="K41" s="140" t="s">
        <v>154</v>
      </c>
      <c r="L41" s="140">
        <v>1</v>
      </c>
      <c r="N41" s="140">
        <v>3</v>
      </c>
      <c r="O41" s="140">
        <v>0.55000000000000004</v>
      </c>
      <c r="P41" s="140">
        <v>0.55000000000000004</v>
      </c>
      <c r="Q41" s="173">
        <f t="shared" si="2"/>
        <v>0.55000000000000004</v>
      </c>
      <c r="R41" s="140">
        <v>14.3</v>
      </c>
      <c r="S41" s="140">
        <v>135</v>
      </c>
      <c r="T41" s="149">
        <f t="shared" si="0"/>
        <v>25</v>
      </c>
      <c r="U41" s="140">
        <v>399</v>
      </c>
      <c r="V41" s="149">
        <f t="shared" si="1"/>
        <v>16</v>
      </c>
      <c r="W41" s="140">
        <v>6</v>
      </c>
      <c r="X41" s="140" t="s">
        <v>46</v>
      </c>
      <c r="Y41" s="140" t="s">
        <v>90</v>
      </c>
      <c r="Z41" s="140" t="s">
        <v>402</v>
      </c>
      <c r="AA41" s="140" t="s">
        <v>69</v>
      </c>
      <c r="AB41" s="165" t="s">
        <v>403</v>
      </c>
    </row>
    <row r="42" spans="1:48" x14ac:dyDescent="0.15">
      <c r="A42" s="140" t="s">
        <v>59</v>
      </c>
      <c r="B42" s="165" t="s">
        <v>413</v>
      </c>
      <c r="C42" s="133">
        <v>2018</v>
      </c>
      <c r="D42" s="201" t="s">
        <v>414</v>
      </c>
      <c r="E42" s="140" t="s">
        <v>436</v>
      </c>
      <c r="F42" s="140" t="s">
        <v>437</v>
      </c>
      <c r="G42" s="140" t="s">
        <v>36</v>
      </c>
      <c r="H42" s="140" t="s">
        <v>155</v>
      </c>
      <c r="I42" s="140" t="s">
        <v>153</v>
      </c>
      <c r="J42" s="140" t="s">
        <v>38</v>
      </c>
      <c r="K42" s="140" t="s">
        <v>154</v>
      </c>
      <c r="L42" s="140">
        <v>2</v>
      </c>
      <c r="N42" s="140">
        <v>3</v>
      </c>
      <c r="O42" s="140">
        <v>0.5</v>
      </c>
      <c r="P42" s="140">
        <v>0.56999999999999995</v>
      </c>
      <c r="Q42" s="173">
        <f t="shared" si="2"/>
        <v>0.53499999999999992</v>
      </c>
      <c r="R42" s="140">
        <v>15.9</v>
      </c>
      <c r="S42" s="140">
        <v>132</v>
      </c>
      <c r="T42" s="149">
        <f t="shared" si="0"/>
        <v>25</v>
      </c>
      <c r="U42" s="140">
        <v>399</v>
      </c>
      <c r="V42" s="149">
        <f t="shared" si="1"/>
        <v>16</v>
      </c>
      <c r="W42" s="140">
        <v>6</v>
      </c>
      <c r="X42" s="140" t="s">
        <v>46</v>
      </c>
      <c r="Y42" s="140" t="s">
        <v>90</v>
      </c>
      <c r="Z42" s="140" t="s">
        <v>402</v>
      </c>
      <c r="AA42" s="140" t="s">
        <v>69</v>
      </c>
      <c r="AB42" s="165" t="s">
        <v>403</v>
      </c>
    </row>
    <row r="43" spans="1:48" x14ac:dyDescent="0.15">
      <c r="A43" s="140" t="s">
        <v>59</v>
      </c>
      <c r="B43" s="165" t="s">
        <v>413</v>
      </c>
      <c r="C43" s="133">
        <v>2018</v>
      </c>
      <c r="D43" s="201" t="s">
        <v>414</v>
      </c>
      <c r="E43" s="140" t="s">
        <v>436</v>
      </c>
      <c r="F43" s="140" t="s">
        <v>437</v>
      </c>
      <c r="G43" s="140" t="s">
        <v>36</v>
      </c>
      <c r="H43" s="140" t="s">
        <v>155</v>
      </c>
      <c r="I43" s="140" t="s">
        <v>153</v>
      </c>
      <c r="J43" s="140" t="s">
        <v>38</v>
      </c>
      <c r="K43" s="140" t="s">
        <v>154</v>
      </c>
      <c r="L43" s="140">
        <v>3</v>
      </c>
      <c r="N43" s="140">
        <v>3</v>
      </c>
      <c r="O43" s="140">
        <v>0.52</v>
      </c>
      <c r="P43" s="140">
        <v>0.53</v>
      </c>
      <c r="Q43" s="173">
        <f t="shared" si="2"/>
        <v>0.52500000000000002</v>
      </c>
      <c r="R43" s="140">
        <v>14.9</v>
      </c>
      <c r="S43" s="140">
        <v>135</v>
      </c>
      <c r="T43" s="149">
        <f t="shared" si="0"/>
        <v>25</v>
      </c>
      <c r="U43" s="140">
        <v>399</v>
      </c>
      <c r="V43" s="149">
        <f t="shared" si="1"/>
        <v>16</v>
      </c>
      <c r="W43" s="140">
        <v>6</v>
      </c>
      <c r="X43" s="140" t="s">
        <v>46</v>
      </c>
      <c r="Y43" s="140" t="s">
        <v>90</v>
      </c>
      <c r="Z43" s="140" t="s">
        <v>402</v>
      </c>
      <c r="AA43" s="140" t="s">
        <v>69</v>
      </c>
      <c r="AB43" s="165" t="s">
        <v>403</v>
      </c>
    </row>
    <row r="44" spans="1:48" x14ac:dyDescent="0.15">
      <c r="A44" s="140" t="s">
        <v>59</v>
      </c>
      <c r="B44" s="165" t="s">
        <v>413</v>
      </c>
      <c r="C44" s="133">
        <v>2018</v>
      </c>
      <c r="D44" s="201" t="s">
        <v>414</v>
      </c>
      <c r="E44" s="140" t="s">
        <v>417</v>
      </c>
      <c r="F44" s="140" t="s">
        <v>418</v>
      </c>
      <c r="G44" s="140" t="s">
        <v>36</v>
      </c>
      <c r="H44" s="140" t="s">
        <v>158</v>
      </c>
      <c r="I44" s="140" t="s">
        <v>153</v>
      </c>
      <c r="J44" s="140" t="s">
        <v>38</v>
      </c>
      <c r="K44" s="140" t="s">
        <v>154</v>
      </c>
      <c r="L44" s="140">
        <v>1</v>
      </c>
      <c r="N44" s="140">
        <v>4</v>
      </c>
      <c r="O44" s="140">
        <v>0.3</v>
      </c>
      <c r="P44" s="140">
        <v>0.31</v>
      </c>
      <c r="Q44" s="173">
        <f t="shared" si="2"/>
        <v>0.30499999999999999</v>
      </c>
      <c r="R44" s="140">
        <v>15.8</v>
      </c>
      <c r="S44" s="140">
        <v>94</v>
      </c>
      <c r="T44" s="149">
        <f t="shared" si="0"/>
        <v>36</v>
      </c>
      <c r="U44" s="140">
        <v>518</v>
      </c>
      <c r="V44" s="149">
        <f t="shared" si="1"/>
        <v>16</v>
      </c>
      <c r="W44" s="140">
        <v>1</v>
      </c>
      <c r="X44" s="140" t="s">
        <v>46</v>
      </c>
      <c r="Y44" s="140" t="s">
        <v>90</v>
      </c>
      <c r="Z44" s="140" t="s">
        <v>402</v>
      </c>
      <c r="AA44" s="140" t="s">
        <v>84</v>
      </c>
      <c r="AB44" s="165" t="s">
        <v>403</v>
      </c>
    </row>
    <row r="45" spans="1:48" x14ac:dyDescent="0.15">
      <c r="A45" s="140" t="s">
        <v>59</v>
      </c>
      <c r="B45" s="165" t="s">
        <v>413</v>
      </c>
      <c r="C45" s="133">
        <v>2018</v>
      </c>
      <c r="D45" s="201" t="s">
        <v>414</v>
      </c>
      <c r="E45" s="140" t="s">
        <v>417</v>
      </c>
      <c r="F45" s="140" t="s">
        <v>418</v>
      </c>
      <c r="G45" s="140" t="s">
        <v>36</v>
      </c>
      <c r="H45" s="140" t="s">
        <v>158</v>
      </c>
      <c r="I45" s="140" t="s">
        <v>153</v>
      </c>
      <c r="J45" s="140" t="s">
        <v>38</v>
      </c>
      <c r="K45" s="140" t="s">
        <v>154</v>
      </c>
      <c r="L45" s="140">
        <v>2</v>
      </c>
      <c r="N45" s="140">
        <v>4</v>
      </c>
      <c r="O45" s="140">
        <v>0.23</v>
      </c>
      <c r="P45" s="140">
        <v>0.22</v>
      </c>
      <c r="Q45" s="173">
        <f t="shared" si="2"/>
        <v>0.22500000000000001</v>
      </c>
      <c r="R45" s="140">
        <v>15</v>
      </c>
      <c r="S45" s="140">
        <v>97</v>
      </c>
      <c r="T45" s="149">
        <f t="shared" si="0"/>
        <v>36</v>
      </c>
      <c r="U45" s="140">
        <v>518</v>
      </c>
      <c r="V45" s="149">
        <f t="shared" si="1"/>
        <v>16</v>
      </c>
      <c r="W45" s="140">
        <v>1</v>
      </c>
      <c r="X45" s="140" t="s">
        <v>46</v>
      </c>
      <c r="Y45" s="140" t="s">
        <v>90</v>
      </c>
      <c r="Z45" s="140" t="s">
        <v>402</v>
      </c>
      <c r="AA45" s="140" t="s">
        <v>84</v>
      </c>
      <c r="AB45" s="165" t="s">
        <v>403</v>
      </c>
    </row>
    <row r="46" spans="1:48" x14ac:dyDescent="0.15">
      <c r="A46" s="140" t="s">
        <v>59</v>
      </c>
      <c r="B46" s="165" t="s">
        <v>413</v>
      </c>
      <c r="C46" s="133">
        <v>2018</v>
      </c>
      <c r="D46" s="201" t="s">
        <v>414</v>
      </c>
      <c r="E46" s="140" t="s">
        <v>417</v>
      </c>
      <c r="F46" s="140" t="s">
        <v>418</v>
      </c>
      <c r="G46" s="140" t="s">
        <v>36</v>
      </c>
      <c r="H46" s="140" t="s">
        <v>158</v>
      </c>
      <c r="I46" s="140" t="s">
        <v>153</v>
      </c>
      <c r="J46" s="140" t="s">
        <v>38</v>
      </c>
      <c r="K46" s="140" t="s">
        <v>154</v>
      </c>
      <c r="L46" s="140">
        <v>3</v>
      </c>
      <c r="N46" s="140">
        <v>4</v>
      </c>
      <c r="O46" s="140">
        <v>0.32</v>
      </c>
      <c r="P46" s="140">
        <v>0.27</v>
      </c>
      <c r="Q46" s="173">
        <f t="shared" si="2"/>
        <v>0.29500000000000004</v>
      </c>
      <c r="R46" s="140">
        <v>15.4</v>
      </c>
      <c r="S46" s="140">
        <v>95</v>
      </c>
      <c r="T46" s="149">
        <f t="shared" si="0"/>
        <v>36</v>
      </c>
      <c r="U46" s="140">
        <v>518</v>
      </c>
      <c r="V46" s="149">
        <f t="shared" si="1"/>
        <v>16</v>
      </c>
      <c r="W46" s="140">
        <v>1</v>
      </c>
      <c r="X46" s="140" t="s">
        <v>46</v>
      </c>
      <c r="Y46" s="140" t="s">
        <v>90</v>
      </c>
      <c r="Z46" s="140" t="s">
        <v>402</v>
      </c>
      <c r="AA46" s="140" t="s">
        <v>84</v>
      </c>
      <c r="AB46" s="165" t="s">
        <v>403</v>
      </c>
    </row>
    <row r="47" spans="1:48" x14ac:dyDescent="0.15">
      <c r="A47" s="140" t="s">
        <v>59</v>
      </c>
      <c r="B47" s="165" t="s">
        <v>413</v>
      </c>
      <c r="C47" s="133">
        <v>2018</v>
      </c>
      <c r="D47" s="201" t="s">
        <v>414</v>
      </c>
      <c r="E47" s="140" t="s">
        <v>417</v>
      </c>
      <c r="F47" s="140" t="s">
        <v>418</v>
      </c>
      <c r="G47" s="140" t="s">
        <v>36</v>
      </c>
      <c r="H47" s="140" t="s">
        <v>155</v>
      </c>
      <c r="I47" s="140" t="s">
        <v>153</v>
      </c>
      <c r="J47" s="140" t="s">
        <v>38</v>
      </c>
      <c r="K47" s="140" t="s">
        <v>154</v>
      </c>
      <c r="L47" s="140">
        <v>1</v>
      </c>
      <c r="N47" s="140">
        <v>1</v>
      </c>
      <c r="O47" s="140">
        <v>0.75</v>
      </c>
      <c r="P47" s="140">
        <v>0.85</v>
      </c>
      <c r="Q47" s="173">
        <f t="shared" si="2"/>
        <v>0.8</v>
      </c>
      <c r="R47" s="140">
        <v>13.3</v>
      </c>
      <c r="S47" s="140">
        <v>149</v>
      </c>
      <c r="T47" s="149">
        <f t="shared" si="0"/>
        <v>22</v>
      </c>
      <c r="U47" s="140">
        <v>138</v>
      </c>
      <c r="V47" s="149">
        <f t="shared" si="1"/>
        <v>22</v>
      </c>
      <c r="W47" s="140">
        <v>1</v>
      </c>
      <c r="X47" s="140" t="s">
        <v>46</v>
      </c>
      <c r="Y47" s="140" t="s">
        <v>90</v>
      </c>
      <c r="Z47" s="140" t="s">
        <v>402</v>
      </c>
      <c r="AA47" s="140" t="s">
        <v>84</v>
      </c>
      <c r="AB47" s="165" t="s">
        <v>403</v>
      </c>
    </row>
    <row r="48" spans="1:48" x14ac:dyDescent="0.15">
      <c r="A48" s="140" t="s">
        <v>59</v>
      </c>
      <c r="B48" s="165" t="s">
        <v>413</v>
      </c>
      <c r="C48" s="133">
        <v>2018</v>
      </c>
      <c r="D48" s="201" t="s">
        <v>414</v>
      </c>
      <c r="E48" s="140" t="s">
        <v>417</v>
      </c>
      <c r="F48" s="140" t="s">
        <v>418</v>
      </c>
      <c r="G48" s="140" t="s">
        <v>36</v>
      </c>
      <c r="H48" s="140" t="s">
        <v>155</v>
      </c>
      <c r="I48" s="140" t="s">
        <v>153</v>
      </c>
      <c r="J48" s="140" t="s">
        <v>38</v>
      </c>
      <c r="K48" s="140" t="s">
        <v>154</v>
      </c>
      <c r="L48" s="140">
        <v>2</v>
      </c>
      <c r="N48" s="140">
        <v>1</v>
      </c>
      <c r="O48" s="140">
        <v>0.45</v>
      </c>
      <c r="P48" s="140">
        <v>0.44</v>
      </c>
      <c r="Q48" s="173">
        <f t="shared" si="2"/>
        <v>0.44500000000000001</v>
      </c>
      <c r="R48" s="140">
        <v>13.5</v>
      </c>
      <c r="S48" s="140">
        <v>143</v>
      </c>
      <c r="T48" s="149">
        <f t="shared" si="0"/>
        <v>22</v>
      </c>
      <c r="U48" s="140">
        <v>138</v>
      </c>
      <c r="V48" s="149">
        <f t="shared" si="1"/>
        <v>22</v>
      </c>
      <c r="W48" s="140">
        <v>1</v>
      </c>
      <c r="X48" s="140" t="s">
        <v>46</v>
      </c>
      <c r="Y48" s="140" t="s">
        <v>90</v>
      </c>
      <c r="Z48" s="140" t="s">
        <v>402</v>
      </c>
      <c r="AA48" s="140" t="s">
        <v>84</v>
      </c>
      <c r="AB48" s="165" t="s">
        <v>403</v>
      </c>
    </row>
    <row r="49" spans="1:28" x14ac:dyDescent="0.15">
      <c r="A49" s="140" t="s">
        <v>59</v>
      </c>
      <c r="B49" s="165" t="s">
        <v>413</v>
      </c>
      <c r="C49" s="133">
        <v>2018</v>
      </c>
      <c r="D49" s="201" t="s">
        <v>414</v>
      </c>
      <c r="E49" s="140" t="s">
        <v>417</v>
      </c>
      <c r="F49" s="140" t="s">
        <v>418</v>
      </c>
      <c r="G49" s="140" t="s">
        <v>36</v>
      </c>
      <c r="H49" s="140" t="s">
        <v>155</v>
      </c>
      <c r="I49" s="140" t="s">
        <v>153</v>
      </c>
      <c r="J49" s="140" t="s">
        <v>38</v>
      </c>
      <c r="K49" s="140" t="s">
        <v>154</v>
      </c>
      <c r="L49" s="140">
        <v>3</v>
      </c>
      <c r="N49" s="140">
        <v>1</v>
      </c>
      <c r="O49" s="140">
        <v>0.8</v>
      </c>
      <c r="P49" s="140">
        <v>0.72</v>
      </c>
      <c r="Q49" s="173">
        <f t="shared" si="2"/>
        <v>0.76</v>
      </c>
      <c r="R49" s="140">
        <v>13.2</v>
      </c>
      <c r="S49" s="140">
        <v>138</v>
      </c>
      <c r="T49" s="149">
        <f t="shared" si="0"/>
        <v>22</v>
      </c>
      <c r="U49" s="140">
        <v>138</v>
      </c>
      <c r="V49" s="149">
        <f t="shared" si="1"/>
        <v>22</v>
      </c>
      <c r="W49" s="140">
        <v>1</v>
      </c>
      <c r="X49" s="140" t="s">
        <v>46</v>
      </c>
      <c r="Y49" s="140" t="s">
        <v>90</v>
      </c>
      <c r="Z49" s="140" t="s">
        <v>402</v>
      </c>
      <c r="AA49" s="140" t="s">
        <v>84</v>
      </c>
      <c r="AB49" s="165" t="s">
        <v>403</v>
      </c>
    </row>
    <row r="50" spans="1:28" x14ac:dyDescent="0.15">
      <c r="A50" s="140" t="s">
        <v>59</v>
      </c>
      <c r="B50" s="165" t="s">
        <v>413</v>
      </c>
      <c r="C50" s="133">
        <v>2018</v>
      </c>
      <c r="D50" s="201" t="s">
        <v>414</v>
      </c>
      <c r="E50" s="140" t="s">
        <v>448</v>
      </c>
      <c r="F50" s="140" t="s">
        <v>449</v>
      </c>
      <c r="G50" s="140" t="s">
        <v>36</v>
      </c>
      <c r="H50" s="140" t="s">
        <v>158</v>
      </c>
      <c r="I50" s="140" t="s">
        <v>153</v>
      </c>
      <c r="J50" s="140" t="s">
        <v>38</v>
      </c>
      <c r="K50" s="140" t="s">
        <v>154</v>
      </c>
      <c r="L50" s="140">
        <v>1</v>
      </c>
      <c r="N50" s="140">
        <v>4</v>
      </c>
      <c r="O50" s="140">
        <v>0.35</v>
      </c>
      <c r="P50" s="140">
        <v>0.27</v>
      </c>
      <c r="Q50" s="173">
        <f t="shared" si="2"/>
        <v>0.31</v>
      </c>
      <c r="R50" s="140">
        <v>15</v>
      </c>
      <c r="S50" s="140">
        <v>100</v>
      </c>
      <c r="T50" s="149">
        <f t="shared" si="0"/>
        <v>33</v>
      </c>
      <c r="U50" s="140">
        <v>480</v>
      </c>
      <c r="V50" s="149">
        <f t="shared" si="1"/>
        <v>16</v>
      </c>
      <c r="W50" s="140">
        <v>3</v>
      </c>
      <c r="X50" s="140" t="s">
        <v>46</v>
      </c>
      <c r="Y50" s="140" t="s">
        <v>84</v>
      </c>
      <c r="Z50" s="140" t="s">
        <v>402</v>
      </c>
      <c r="AA50" s="140" t="s">
        <v>90</v>
      </c>
      <c r="AB50" s="165" t="s">
        <v>403</v>
      </c>
    </row>
    <row r="51" spans="1:28" x14ac:dyDescent="0.15">
      <c r="A51" s="140" t="s">
        <v>59</v>
      </c>
      <c r="B51" s="165" t="s">
        <v>413</v>
      </c>
      <c r="C51" s="133">
        <v>2018</v>
      </c>
      <c r="D51" s="201" t="s">
        <v>414</v>
      </c>
      <c r="E51" s="140" t="s">
        <v>448</v>
      </c>
      <c r="F51" s="140" t="s">
        <v>449</v>
      </c>
      <c r="G51" s="140" t="s">
        <v>36</v>
      </c>
      <c r="H51" s="140" t="s">
        <v>158</v>
      </c>
      <c r="I51" s="140" t="s">
        <v>153</v>
      </c>
      <c r="J51" s="140" t="s">
        <v>38</v>
      </c>
      <c r="K51" s="140" t="s">
        <v>154</v>
      </c>
      <c r="L51" s="140">
        <v>2</v>
      </c>
      <c r="N51" s="140">
        <v>4</v>
      </c>
      <c r="O51" s="140">
        <v>0.24</v>
      </c>
      <c r="P51" s="140">
        <v>0.28000000000000003</v>
      </c>
      <c r="Q51" s="173">
        <f t="shared" si="2"/>
        <v>0.26</v>
      </c>
      <c r="R51" s="140">
        <v>15.1</v>
      </c>
      <c r="S51" s="140">
        <v>104</v>
      </c>
      <c r="T51" s="149">
        <f t="shared" si="0"/>
        <v>33</v>
      </c>
      <c r="U51" s="140">
        <v>480</v>
      </c>
      <c r="V51" s="149">
        <f t="shared" si="1"/>
        <v>16</v>
      </c>
      <c r="W51" s="140">
        <v>3</v>
      </c>
      <c r="X51" s="140" t="s">
        <v>46</v>
      </c>
      <c r="Y51" s="140" t="s">
        <v>84</v>
      </c>
      <c r="Z51" s="140" t="s">
        <v>402</v>
      </c>
      <c r="AA51" s="140" t="s">
        <v>90</v>
      </c>
      <c r="AB51" s="165" t="s">
        <v>403</v>
      </c>
    </row>
    <row r="52" spans="1:28" x14ac:dyDescent="0.15">
      <c r="A52" s="140" t="s">
        <v>59</v>
      </c>
      <c r="B52" s="165" t="s">
        <v>413</v>
      </c>
      <c r="C52" s="133">
        <v>2018</v>
      </c>
      <c r="D52" s="201" t="s">
        <v>414</v>
      </c>
      <c r="E52" s="140" t="s">
        <v>448</v>
      </c>
      <c r="F52" s="140" t="s">
        <v>449</v>
      </c>
      <c r="G52" s="140" t="s">
        <v>36</v>
      </c>
      <c r="H52" s="140" t="s">
        <v>158</v>
      </c>
      <c r="I52" s="140" t="s">
        <v>153</v>
      </c>
      <c r="J52" s="140" t="s">
        <v>38</v>
      </c>
      <c r="K52" s="140" t="s">
        <v>154</v>
      </c>
      <c r="L52" s="140">
        <v>3</v>
      </c>
      <c r="N52" s="140">
        <v>4</v>
      </c>
      <c r="O52" s="140">
        <v>0.33</v>
      </c>
      <c r="P52" s="140">
        <v>0.31</v>
      </c>
      <c r="Q52" s="173">
        <f t="shared" si="2"/>
        <v>0.32</v>
      </c>
      <c r="R52" s="140">
        <v>15.5</v>
      </c>
      <c r="S52" s="140">
        <v>105</v>
      </c>
      <c r="T52" s="149">
        <f t="shared" si="0"/>
        <v>33</v>
      </c>
      <c r="U52" s="140">
        <v>480</v>
      </c>
      <c r="V52" s="149">
        <f t="shared" si="1"/>
        <v>16</v>
      </c>
      <c r="W52" s="140">
        <v>3</v>
      </c>
      <c r="X52" s="140" t="s">
        <v>46</v>
      </c>
      <c r="Y52" s="140" t="s">
        <v>84</v>
      </c>
      <c r="Z52" s="140" t="s">
        <v>402</v>
      </c>
      <c r="AA52" s="140" t="s">
        <v>90</v>
      </c>
      <c r="AB52" s="165" t="s">
        <v>403</v>
      </c>
    </row>
    <row r="53" spans="1:28" x14ac:dyDescent="0.15">
      <c r="A53" s="140" t="s">
        <v>59</v>
      </c>
      <c r="B53" s="165" t="s">
        <v>413</v>
      </c>
      <c r="C53" s="133">
        <v>2018</v>
      </c>
      <c r="D53" s="201" t="s">
        <v>414</v>
      </c>
      <c r="E53" s="140" t="s">
        <v>448</v>
      </c>
      <c r="F53" s="140" t="s">
        <v>449</v>
      </c>
      <c r="G53" s="140" t="s">
        <v>36</v>
      </c>
      <c r="H53" s="140" t="s">
        <v>155</v>
      </c>
      <c r="I53" s="140" t="s">
        <v>153</v>
      </c>
      <c r="J53" s="140" t="s">
        <v>38</v>
      </c>
      <c r="K53" s="140" t="s">
        <v>154</v>
      </c>
      <c r="L53" s="140">
        <v>1</v>
      </c>
      <c r="N53" s="140">
        <v>4</v>
      </c>
      <c r="O53" s="140">
        <v>0.92</v>
      </c>
      <c r="P53" s="140">
        <v>0.89</v>
      </c>
      <c r="Q53" s="173">
        <f t="shared" si="2"/>
        <v>0.90500000000000003</v>
      </c>
      <c r="R53" s="140">
        <v>14</v>
      </c>
      <c r="S53" s="140">
        <v>152</v>
      </c>
      <c r="T53" s="149">
        <f t="shared" si="0"/>
        <v>18</v>
      </c>
      <c r="U53" s="140">
        <v>348</v>
      </c>
      <c r="V53" s="149">
        <f t="shared" si="1"/>
        <v>16</v>
      </c>
      <c r="W53" s="140">
        <v>3</v>
      </c>
      <c r="X53" s="140" t="s">
        <v>46</v>
      </c>
      <c r="Y53" s="140" t="s">
        <v>84</v>
      </c>
      <c r="Z53" s="140" t="s">
        <v>402</v>
      </c>
      <c r="AA53" s="140" t="s">
        <v>90</v>
      </c>
      <c r="AB53" s="165" t="s">
        <v>403</v>
      </c>
    </row>
    <row r="54" spans="1:28" x14ac:dyDescent="0.15">
      <c r="A54" s="140" t="s">
        <v>59</v>
      </c>
      <c r="B54" s="165" t="s">
        <v>413</v>
      </c>
      <c r="C54" s="133">
        <v>2018</v>
      </c>
      <c r="D54" s="201" t="s">
        <v>414</v>
      </c>
      <c r="E54" s="140" t="s">
        <v>448</v>
      </c>
      <c r="F54" s="140" t="s">
        <v>449</v>
      </c>
      <c r="G54" s="140" t="s">
        <v>36</v>
      </c>
      <c r="H54" s="140" t="s">
        <v>155</v>
      </c>
      <c r="I54" s="140" t="s">
        <v>153</v>
      </c>
      <c r="J54" s="140" t="s">
        <v>38</v>
      </c>
      <c r="K54" s="140" t="s">
        <v>154</v>
      </c>
      <c r="L54" s="140">
        <v>2</v>
      </c>
      <c r="N54" s="140">
        <v>4</v>
      </c>
      <c r="O54" s="140">
        <v>0.77</v>
      </c>
      <c r="P54" s="140">
        <v>0.83</v>
      </c>
      <c r="Q54" s="173">
        <f t="shared" si="2"/>
        <v>0.8</v>
      </c>
      <c r="R54" s="140">
        <v>14.6</v>
      </c>
      <c r="S54" s="140">
        <v>150</v>
      </c>
      <c r="T54" s="149">
        <f t="shared" si="0"/>
        <v>22</v>
      </c>
      <c r="U54" s="140">
        <v>348</v>
      </c>
      <c r="V54" s="149">
        <f t="shared" si="1"/>
        <v>16</v>
      </c>
      <c r="W54" s="140">
        <v>3</v>
      </c>
      <c r="X54" s="140" t="s">
        <v>46</v>
      </c>
      <c r="Y54" s="140" t="s">
        <v>84</v>
      </c>
      <c r="Z54" s="140" t="s">
        <v>402</v>
      </c>
      <c r="AA54" s="140" t="s">
        <v>90</v>
      </c>
      <c r="AB54" s="165" t="s">
        <v>403</v>
      </c>
    </row>
    <row r="55" spans="1:28" x14ac:dyDescent="0.15">
      <c r="A55" s="140" t="s">
        <v>59</v>
      </c>
      <c r="B55" s="165" t="s">
        <v>413</v>
      </c>
      <c r="C55" s="133">
        <v>2018</v>
      </c>
      <c r="D55" s="201" t="s">
        <v>414</v>
      </c>
      <c r="E55" s="140" t="s">
        <v>448</v>
      </c>
      <c r="F55" s="140" t="s">
        <v>449</v>
      </c>
      <c r="G55" s="140" t="s">
        <v>36</v>
      </c>
      <c r="H55" s="140" t="s">
        <v>155</v>
      </c>
      <c r="I55" s="140" t="s">
        <v>153</v>
      </c>
      <c r="J55" s="140" t="s">
        <v>38</v>
      </c>
      <c r="K55" s="140" t="s">
        <v>154</v>
      </c>
      <c r="L55" s="140">
        <v>3</v>
      </c>
      <c r="N55" s="140">
        <v>4</v>
      </c>
      <c r="O55" s="140">
        <v>0.78</v>
      </c>
      <c r="P55" s="140">
        <v>0.81</v>
      </c>
      <c r="Q55" s="173">
        <f t="shared" si="2"/>
        <v>0.79500000000000004</v>
      </c>
      <c r="R55" s="140">
        <v>14.2</v>
      </c>
      <c r="S55" s="140">
        <v>149</v>
      </c>
      <c r="T55" s="149">
        <f t="shared" si="0"/>
        <v>22</v>
      </c>
      <c r="U55" s="140">
        <v>348</v>
      </c>
      <c r="V55" s="149">
        <f t="shared" si="1"/>
        <v>16</v>
      </c>
      <c r="W55" s="140">
        <v>3</v>
      </c>
      <c r="X55" s="140" t="s">
        <v>46</v>
      </c>
      <c r="Y55" s="140" t="s">
        <v>84</v>
      </c>
      <c r="Z55" s="140" t="s">
        <v>402</v>
      </c>
      <c r="AA55" s="140" t="s">
        <v>90</v>
      </c>
      <c r="AB55" s="165" t="s">
        <v>403</v>
      </c>
    </row>
    <row r="56" spans="1:28" x14ac:dyDescent="0.15">
      <c r="A56" s="140" t="s">
        <v>59</v>
      </c>
      <c r="B56" s="165" t="s">
        <v>413</v>
      </c>
      <c r="C56" s="133">
        <v>2018</v>
      </c>
      <c r="D56" s="201" t="s">
        <v>414</v>
      </c>
      <c r="E56" s="140" t="s">
        <v>428</v>
      </c>
      <c r="F56" s="140" t="s">
        <v>429</v>
      </c>
      <c r="G56" s="140" t="s">
        <v>36</v>
      </c>
      <c r="H56" s="140" t="s">
        <v>158</v>
      </c>
      <c r="I56" s="140" t="s">
        <v>153</v>
      </c>
      <c r="J56" s="140" t="s">
        <v>38</v>
      </c>
      <c r="K56" s="140" t="s">
        <v>154</v>
      </c>
      <c r="L56" s="140">
        <v>1</v>
      </c>
      <c r="N56" s="140">
        <v>3</v>
      </c>
      <c r="O56" s="140">
        <v>0.23</v>
      </c>
      <c r="P56" s="140">
        <v>0.25</v>
      </c>
      <c r="Q56" s="173">
        <f t="shared" si="2"/>
        <v>0.24</v>
      </c>
      <c r="R56" s="140">
        <v>16.899999999999999</v>
      </c>
      <c r="S56" s="140">
        <v>160</v>
      </c>
      <c r="T56" s="149">
        <f t="shared" si="0"/>
        <v>18</v>
      </c>
      <c r="U56" s="140">
        <v>494</v>
      </c>
      <c r="V56" s="149">
        <f t="shared" si="1"/>
        <v>16</v>
      </c>
      <c r="W56" s="140">
        <v>2</v>
      </c>
      <c r="X56" s="140" t="s">
        <v>46</v>
      </c>
      <c r="Y56" s="140" t="s">
        <v>90</v>
      </c>
      <c r="Z56" s="140" t="s">
        <v>84</v>
      </c>
      <c r="AA56" s="140" t="s">
        <v>402</v>
      </c>
      <c r="AB56" s="165" t="s">
        <v>403</v>
      </c>
    </row>
    <row r="57" spans="1:28" x14ac:dyDescent="0.15">
      <c r="A57" s="140" t="s">
        <v>59</v>
      </c>
      <c r="B57" s="165" t="s">
        <v>413</v>
      </c>
      <c r="C57" s="133">
        <v>2018</v>
      </c>
      <c r="D57" s="201" t="s">
        <v>414</v>
      </c>
      <c r="E57" s="140" t="s">
        <v>428</v>
      </c>
      <c r="F57" s="140" t="s">
        <v>429</v>
      </c>
      <c r="G57" s="140" t="s">
        <v>36</v>
      </c>
      <c r="H57" s="140" t="s">
        <v>158</v>
      </c>
      <c r="I57" s="140" t="s">
        <v>153</v>
      </c>
      <c r="J57" s="140" t="s">
        <v>38</v>
      </c>
      <c r="K57" s="140" t="s">
        <v>154</v>
      </c>
      <c r="L57" s="140">
        <v>2</v>
      </c>
      <c r="N57" s="140">
        <v>3</v>
      </c>
      <c r="O57" s="140">
        <v>0.28000000000000003</v>
      </c>
      <c r="P57" s="140">
        <v>0.35</v>
      </c>
      <c r="Q57" s="173">
        <f t="shared" si="2"/>
        <v>0.315</v>
      </c>
      <c r="R57" s="140">
        <v>14.9</v>
      </c>
      <c r="S57" s="140">
        <v>157</v>
      </c>
      <c r="T57" s="149">
        <f t="shared" si="0"/>
        <v>18</v>
      </c>
      <c r="U57" s="140">
        <v>494</v>
      </c>
      <c r="V57" s="149">
        <f t="shared" si="1"/>
        <v>16</v>
      </c>
      <c r="W57" s="140">
        <v>2</v>
      </c>
      <c r="X57" s="140" t="s">
        <v>46</v>
      </c>
      <c r="Y57" s="140" t="s">
        <v>90</v>
      </c>
      <c r="Z57" s="140" t="s">
        <v>84</v>
      </c>
      <c r="AA57" s="140" t="s">
        <v>402</v>
      </c>
      <c r="AB57" s="165" t="s">
        <v>403</v>
      </c>
    </row>
    <row r="58" spans="1:28" x14ac:dyDescent="0.15">
      <c r="A58" s="140" t="s">
        <v>59</v>
      </c>
      <c r="B58" s="165" t="s">
        <v>413</v>
      </c>
      <c r="C58" s="133">
        <v>2018</v>
      </c>
      <c r="D58" s="201" t="s">
        <v>414</v>
      </c>
      <c r="E58" s="140" t="s">
        <v>428</v>
      </c>
      <c r="F58" s="140" t="s">
        <v>429</v>
      </c>
      <c r="G58" s="140" t="s">
        <v>36</v>
      </c>
      <c r="H58" s="140" t="s">
        <v>158</v>
      </c>
      <c r="I58" s="140" t="s">
        <v>153</v>
      </c>
      <c r="J58" s="140" t="s">
        <v>38</v>
      </c>
      <c r="K58" s="140" t="s">
        <v>154</v>
      </c>
      <c r="L58" s="140">
        <v>3</v>
      </c>
      <c r="N58" s="140">
        <v>3</v>
      </c>
      <c r="O58" s="140">
        <v>0.28000000000000003</v>
      </c>
      <c r="P58" s="140">
        <v>0.26</v>
      </c>
      <c r="Q58" s="173">
        <f t="shared" si="2"/>
        <v>0.27</v>
      </c>
      <c r="R58" s="140">
        <v>16.100000000000001</v>
      </c>
      <c r="S58" s="140">
        <v>159</v>
      </c>
      <c r="T58" s="149">
        <f t="shared" si="0"/>
        <v>18</v>
      </c>
      <c r="U58" s="140">
        <v>494</v>
      </c>
      <c r="V58" s="149">
        <f t="shared" si="1"/>
        <v>16</v>
      </c>
      <c r="W58" s="140">
        <v>2</v>
      </c>
      <c r="X58" s="140" t="s">
        <v>46</v>
      </c>
      <c r="Y58" s="140" t="s">
        <v>90</v>
      </c>
      <c r="Z58" s="140" t="s">
        <v>84</v>
      </c>
      <c r="AA58" s="140" t="s">
        <v>402</v>
      </c>
      <c r="AB58" s="165" t="s">
        <v>403</v>
      </c>
    </row>
    <row r="59" spans="1:28" x14ac:dyDescent="0.15">
      <c r="A59" s="140" t="s">
        <v>59</v>
      </c>
      <c r="B59" s="165" t="s">
        <v>413</v>
      </c>
      <c r="C59" s="133">
        <v>2018</v>
      </c>
      <c r="D59" s="201" t="s">
        <v>414</v>
      </c>
      <c r="E59" s="140" t="s">
        <v>428</v>
      </c>
      <c r="F59" s="140" t="s">
        <v>429</v>
      </c>
      <c r="G59" s="140" t="s">
        <v>36</v>
      </c>
      <c r="H59" s="140" t="s">
        <v>155</v>
      </c>
      <c r="I59" s="140" t="s">
        <v>153</v>
      </c>
      <c r="J59" s="140" t="s">
        <v>38</v>
      </c>
      <c r="K59" s="140" t="s">
        <v>154</v>
      </c>
      <c r="L59" s="140">
        <v>1</v>
      </c>
      <c r="N59" s="140">
        <v>4</v>
      </c>
      <c r="O59" s="140">
        <v>0.52</v>
      </c>
      <c r="P59" s="140">
        <v>0.6</v>
      </c>
      <c r="Q59" s="173">
        <f t="shared" si="2"/>
        <v>0.56000000000000005</v>
      </c>
      <c r="R59" s="140">
        <v>14.5</v>
      </c>
      <c r="S59" s="140">
        <v>95</v>
      </c>
      <c r="T59" s="149">
        <f t="shared" si="0"/>
        <v>36</v>
      </c>
      <c r="U59" s="140">
        <v>321</v>
      </c>
      <c r="V59" s="149">
        <f t="shared" si="1"/>
        <v>16</v>
      </c>
      <c r="W59" s="140">
        <v>4</v>
      </c>
      <c r="X59" s="140" t="s">
        <v>46</v>
      </c>
      <c r="Y59" s="140" t="s">
        <v>90</v>
      </c>
      <c r="Z59" s="140" t="s">
        <v>84</v>
      </c>
      <c r="AA59" s="140" t="s">
        <v>402</v>
      </c>
      <c r="AB59" s="165" t="s">
        <v>403</v>
      </c>
    </row>
    <row r="60" spans="1:28" x14ac:dyDescent="0.15">
      <c r="A60" s="140" t="s">
        <v>59</v>
      </c>
      <c r="B60" s="165" t="s">
        <v>413</v>
      </c>
      <c r="C60" s="133">
        <v>2018</v>
      </c>
      <c r="D60" s="201" t="s">
        <v>414</v>
      </c>
      <c r="E60" s="140" t="s">
        <v>428</v>
      </c>
      <c r="F60" s="140" t="s">
        <v>429</v>
      </c>
      <c r="G60" s="140" t="s">
        <v>36</v>
      </c>
      <c r="H60" s="140" t="s">
        <v>155</v>
      </c>
      <c r="I60" s="140" t="s">
        <v>153</v>
      </c>
      <c r="J60" s="140" t="s">
        <v>38</v>
      </c>
      <c r="K60" s="140" t="s">
        <v>154</v>
      </c>
      <c r="L60" s="140">
        <v>2</v>
      </c>
      <c r="N60" s="140">
        <v>4</v>
      </c>
      <c r="O60" s="140">
        <v>0.41</v>
      </c>
      <c r="P60" s="140">
        <v>0.35</v>
      </c>
      <c r="Q60" s="173">
        <f t="shared" si="2"/>
        <v>0.38</v>
      </c>
      <c r="R60" s="140">
        <v>14.8</v>
      </c>
      <c r="S60" s="140">
        <v>91</v>
      </c>
      <c r="T60" s="149">
        <f t="shared" si="0"/>
        <v>36</v>
      </c>
      <c r="U60" s="140">
        <v>321</v>
      </c>
      <c r="V60" s="149">
        <f t="shared" si="1"/>
        <v>16</v>
      </c>
      <c r="W60" s="140">
        <v>4</v>
      </c>
      <c r="X60" s="140" t="s">
        <v>46</v>
      </c>
      <c r="Y60" s="140" t="s">
        <v>90</v>
      </c>
      <c r="Z60" s="140" t="s">
        <v>84</v>
      </c>
      <c r="AA60" s="140" t="s">
        <v>402</v>
      </c>
      <c r="AB60" s="165" t="s">
        <v>403</v>
      </c>
    </row>
    <row r="61" spans="1:28" x14ac:dyDescent="0.15">
      <c r="A61" s="140" t="s">
        <v>59</v>
      </c>
      <c r="B61" s="165" t="s">
        <v>413</v>
      </c>
      <c r="C61" s="133">
        <v>2018</v>
      </c>
      <c r="D61" s="201" t="s">
        <v>414</v>
      </c>
      <c r="E61" s="140" t="s">
        <v>428</v>
      </c>
      <c r="F61" s="140" t="s">
        <v>429</v>
      </c>
      <c r="G61" s="140" t="s">
        <v>36</v>
      </c>
      <c r="H61" s="140" t="s">
        <v>155</v>
      </c>
      <c r="I61" s="140" t="s">
        <v>153</v>
      </c>
      <c r="J61" s="140" t="s">
        <v>38</v>
      </c>
      <c r="K61" s="140" t="s">
        <v>154</v>
      </c>
      <c r="L61" s="140">
        <v>3</v>
      </c>
      <c r="N61" s="140">
        <v>4</v>
      </c>
      <c r="O61" s="140">
        <v>0.45</v>
      </c>
      <c r="P61" s="140">
        <v>0.44</v>
      </c>
      <c r="Q61" s="173">
        <f t="shared" si="2"/>
        <v>0.44500000000000001</v>
      </c>
      <c r="R61" s="140">
        <v>14.3</v>
      </c>
      <c r="S61" s="140">
        <v>98</v>
      </c>
      <c r="T61" s="149">
        <f t="shared" si="0"/>
        <v>36</v>
      </c>
      <c r="U61" s="140">
        <v>321</v>
      </c>
      <c r="V61" s="149">
        <f t="shared" si="1"/>
        <v>16</v>
      </c>
      <c r="W61" s="140">
        <v>4</v>
      </c>
      <c r="X61" s="140" t="s">
        <v>46</v>
      </c>
      <c r="Y61" s="140" t="s">
        <v>90</v>
      </c>
      <c r="Z61" s="140" t="s">
        <v>84</v>
      </c>
      <c r="AA61" s="140" t="s">
        <v>402</v>
      </c>
      <c r="AB61" s="165" t="s">
        <v>403</v>
      </c>
    </row>
    <row r="62" spans="1:28" x14ac:dyDescent="0.15">
      <c r="B62" s="165"/>
      <c r="C62" s="133"/>
      <c r="D62" s="201"/>
      <c r="Q62" s="173" t="str">
        <f t="shared" si="2"/>
        <v/>
      </c>
      <c r="T62" s="149" t="str">
        <f t="shared" si="0"/>
        <v/>
      </c>
      <c r="V62" s="149" t="str">
        <f t="shared" si="1"/>
        <v/>
      </c>
      <c r="AB62" s="165"/>
    </row>
    <row r="63" spans="1:28" x14ac:dyDescent="0.15">
      <c r="B63" s="165"/>
      <c r="C63" s="133"/>
      <c r="D63" s="201"/>
      <c r="Q63" s="173" t="str">
        <f t="shared" si="2"/>
        <v/>
      </c>
      <c r="T63" s="149" t="str">
        <f t="shared" si="0"/>
        <v/>
      </c>
      <c r="V63" s="149" t="str">
        <f t="shared" si="1"/>
        <v/>
      </c>
      <c r="AB63" s="165"/>
    </row>
    <row r="64" spans="1:28" x14ac:dyDescent="0.15">
      <c r="B64" s="165"/>
      <c r="C64" s="133"/>
      <c r="D64" s="201"/>
      <c r="Q64" s="173" t="str">
        <f t="shared" si="2"/>
        <v/>
      </c>
      <c r="T64" s="149" t="str">
        <f t="shared" si="0"/>
        <v/>
      </c>
      <c r="V64" s="149" t="str">
        <f t="shared" si="1"/>
        <v/>
      </c>
      <c r="AB64" s="165"/>
    </row>
    <row r="65" spans="2:28" x14ac:dyDescent="0.15">
      <c r="B65" s="165"/>
      <c r="C65" s="133"/>
      <c r="D65" s="201"/>
      <c r="Q65" s="173" t="str">
        <f t="shared" si="2"/>
        <v/>
      </c>
      <c r="T65" s="149" t="str">
        <f t="shared" si="0"/>
        <v/>
      </c>
      <c r="AB65" s="165"/>
    </row>
    <row r="66" spans="2:28" x14ac:dyDescent="0.15">
      <c r="B66" s="165"/>
      <c r="C66" s="133"/>
      <c r="D66" s="201"/>
      <c r="Q66" s="173" t="str">
        <f t="shared" si="2"/>
        <v/>
      </c>
      <c r="T66" s="149" t="str">
        <f t="shared" si="0"/>
        <v/>
      </c>
      <c r="AB66" s="165"/>
    </row>
    <row r="67" spans="2:28" x14ac:dyDescent="0.15">
      <c r="B67" s="165"/>
      <c r="C67" s="133"/>
      <c r="D67" s="201"/>
      <c r="Q67" s="173" t="str">
        <f t="shared" si="2"/>
        <v/>
      </c>
      <c r="T67" s="149" t="str">
        <f t="shared" si="0"/>
        <v/>
      </c>
      <c r="AB67" s="165"/>
    </row>
    <row r="68" spans="2:28" x14ac:dyDescent="0.15">
      <c r="B68" s="165"/>
      <c r="C68" s="133"/>
      <c r="D68" s="201"/>
      <c r="Q68" s="173"/>
      <c r="AB68" s="165"/>
    </row>
    <row r="69" spans="2:28" x14ac:dyDescent="0.15">
      <c r="B69" s="165"/>
      <c r="C69" s="133"/>
      <c r="D69" s="201"/>
      <c r="Q69" s="173"/>
      <c r="AB69" s="165"/>
    </row>
    <row r="70" spans="2:28" x14ac:dyDescent="0.15">
      <c r="B70" s="165"/>
      <c r="C70" s="133"/>
      <c r="D70" s="201"/>
      <c r="Q70" s="173"/>
      <c r="AB70" s="165"/>
    </row>
    <row r="71" spans="2:28" x14ac:dyDescent="0.15">
      <c r="B71" s="165"/>
      <c r="C71" s="133"/>
      <c r="D71" s="201"/>
      <c r="Q71" s="173"/>
      <c r="AB71" s="165"/>
    </row>
    <row r="72" spans="2:28" x14ac:dyDescent="0.15">
      <c r="B72" s="165"/>
      <c r="C72" s="133"/>
      <c r="D72" s="201"/>
      <c r="Q72" s="173"/>
      <c r="AB72" s="165"/>
    </row>
    <row r="73" spans="2:28" x14ac:dyDescent="0.15">
      <c r="B73" s="165"/>
      <c r="C73" s="133"/>
      <c r="D73" s="201"/>
      <c r="Q73" s="173"/>
      <c r="AB73" s="165"/>
    </row>
    <row r="74" spans="2:28" x14ac:dyDescent="0.15">
      <c r="B74" s="165"/>
      <c r="C74" s="133"/>
      <c r="D74" s="201"/>
      <c r="Q74" s="173"/>
      <c r="AB74" s="165"/>
    </row>
    <row r="75" spans="2:28" x14ac:dyDescent="0.15">
      <c r="B75" s="165"/>
      <c r="C75" s="133"/>
      <c r="D75" s="201"/>
      <c r="Q75" s="173"/>
      <c r="AB75" s="165"/>
    </row>
    <row r="76" spans="2:28" x14ac:dyDescent="0.15">
      <c r="B76" s="165"/>
      <c r="C76" s="133"/>
      <c r="D76" s="201"/>
      <c r="Q76" s="173"/>
      <c r="AB76" s="165"/>
    </row>
    <row r="77" spans="2:28" x14ac:dyDescent="0.15">
      <c r="B77" s="165"/>
      <c r="C77" s="133"/>
      <c r="Q77" s="173"/>
      <c r="AB77" s="165"/>
    </row>
    <row r="78" spans="2:28" x14ac:dyDescent="0.15">
      <c r="B78" s="165"/>
      <c r="C78" s="133"/>
      <c r="Q78" s="173"/>
      <c r="AB78" s="165"/>
    </row>
    <row r="79" spans="2:28" x14ac:dyDescent="0.15">
      <c r="B79" s="165"/>
      <c r="C79" s="133"/>
      <c r="Q79" s="173"/>
      <c r="AB79" s="165"/>
    </row>
    <row r="80" spans="2:28" x14ac:dyDescent="0.15">
      <c r="B80" s="165"/>
      <c r="C80" s="133"/>
      <c r="Q80" s="173"/>
      <c r="AB80" s="165"/>
    </row>
    <row r="81" spans="2:28" x14ac:dyDescent="0.15">
      <c r="B81" s="165"/>
      <c r="C81" s="133"/>
      <c r="Q81" s="173"/>
      <c r="AB81" s="165"/>
    </row>
    <row r="82" spans="2:28" x14ac:dyDescent="0.15">
      <c r="B82" s="165"/>
      <c r="C82" s="133"/>
      <c r="Q82" s="173"/>
      <c r="AB82" s="165"/>
    </row>
    <row r="83" spans="2:28" x14ac:dyDescent="0.15">
      <c r="B83" s="165"/>
      <c r="C83" s="133"/>
      <c r="Q83" s="173"/>
      <c r="AB83" s="165"/>
    </row>
    <row r="84" spans="2:28" x14ac:dyDescent="0.15">
      <c r="B84" s="165"/>
      <c r="C84" s="133"/>
      <c r="Q84" s="173"/>
      <c r="AB84" s="165"/>
    </row>
    <row r="85" spans="2:28" x14ac:dyDescent="0.15">
      <c r="B85" s="165"/>
      <c r="C85" s="133"/>
      <c r="Q85" s="173"/>
      <c r="AB85" s="165"/>
    </row>
    <row r="86" spans="2:28" x14ac:dyDescent="0.15">
      <c r="B86" s="165"/>
      <c r="C86" s="133"/>
      <c r="Q86" s="173"/>
      <c r="AB86" s="165"/>
    </row>
    <row r="87" spans="2:28" x14ac:dyDescent="0.15">
      <c r="B87" s="165"/>
      <c r="C87" s="133"/>
      <c r="Q87" s="173"/>
      <c r="AB87" s="165"/>
    </row>
    <row r="88" spans="2:28" x14ac:dyDescent="0.15">
      <c r="B88" s="165"/>
      <c r="C88" s="133"/>
      <c r="Q88" s="173"/>
      <c r="AB88" s="165"/>
    </row>
    <row r="89" spans="2:28" x14ac:dyDescent="0.15">
      <c r="B89" s="165"/>
      <c r="C89" s="133"/>
      <c r="Q89" s="173"/>
      <c r="AB89" s="165"/>
    </row>
    <row r="90" spans="2:28" x14ac:dyDescent="0.15">
      <c r="B90" s="165"/>
      <c r="C90" s="133"/>
      <c r="Q90" s="173"/>
      <c r="AB90" s="165"/>
    </row>
    <row r="91" spans="2:28" x14ac:dyDescent="0.15">
      <c r="B91" s="165"/>
      <c r="C91" s="133"/>
      <c r="Q91" s="173"/>
      <c r="AB91" s="165"/>
    </row>
    <row r="92" spans="2:28" x14ac:dyDescent="0.15">
      <c r="B92" s="165"/>
      <c r="C92" s="133"/>
      <c r="Q92" s="173"/>
      <c r="AB92" s="165"/>
    </row>
    <row r="93" spans="2:28" x14ac:dyDescent="0.15">
      <c r="B93" s="165"/>
      <c r="C93" s="133"/>
      <c r="AB93" s="165"/>
    </row>
    <row r="94" spans="2:28" x14ac:dyDescent="0.15">
      <c r="B94" s="165"/>
      <c r="C94" s="133"/>
      <c r="AB94" s="165"/>
    </row>
    <row r="95" spans="2:28" x14ac:dyDescent="0.15">
      <c r="Q95" s="149" t="str">
        <f t="shared" ref="Q95:Q146" si="3">IF(OR(O95="",P95=""),"",AVERAGE(O95,P95))</f>
        <v/>
      </c>
      <c r="T95" s="149" t="str">
        <f t="shared" ref="T95:T146" si="4">IF(H95="","",IF(OR(H95="GREEN",H95="GK"),IF(S95&gt;=$AX$2,VLOOKUP(S95,$AX$2:$AY$12,2,1),""),IF(S95&gt;=$AZ$2,VLOOKUP(S95,$AZ$2:$BA$12,2,1),"")))</f>
        <v/>
      </c>
      <c r="V95" s="149" t="str">
        <f t="shared" ref="V95:V146" si="5">IF(J95="","",IF(OR(J95="GREEN",J95="GK"),IF(U95&gt;=$AX$2,VLOOKUP(U95,$AX$2:$AY$12,2,1),""),IF(U95&gt;=$AZ$2,VLOOKUP(U95,$AZ$2:$BA$12,2,1),"")))</f>
        <v/>
      </c>
      <c r="AB95" s="165"/>
    </row>
    <row r="96" spans="2:28" x14ac:dyDescent="0.15">
      <c r="Q96" s="149" t="str">
        <f t="shared" si="3"/>
        <v/>
      </c>
      <c r="T96" s="149" t="str">
        <f t="shared" si="4"/>
        <v/>
      </c>
      <c r="V96" s="149" t="str">
        <f t="shared" si="5"/>
        <v/>
      </c>
    </row>
    <row r="97" spans="17:22" x14ac:dyDescent="0.15">
      <c r="Q97" s="149" t="str">
        <f t="shared" si="3"/>
        <v/>
      </c>
      <c r="T97" s="149" t="str">
        <f t="shared" si="4"/>
        <v/>
      </c>
      <c r="V97" s="149" t="str">
        <f t="shared" si="5"/>
        <v/>
      </c>
    </row>
    <row r="98" spans="17:22" x14ac:dyDescent="0.15">
      <c r="Q98" s="149" t="str">
        <f t="shared" si="3"/>
        <v/>
      </c>
      <c r="T98" s="149" t="str">
        <f t="shared" si="4"/>
        <v/>
      </c>
      <c r="V98" s="149" t="str">
        <f t="shared" si="5"/>
        <v/>
      </c>
    </row>
    <row r="99" spans="17:22" x14ac:dyDescent="0.15">
      <c r="Q99" s="149" t="str">
        <f t="shared" si="3"/>
        <v/>
      </c>
      <c r="T99" s="149" t="str">
        <f t="shared" si="4"/>
        <v/>
      </c>
      <c r="V99" s="149" t="str">
        <f t="shared" si="5"/>
        <v/>
      </c>
    </row>
    <row r="100" spans="17:22" x14ac:dyDescent="0.15">
      <c r="Q100" s="149" t="str">
        <f t="shared" si="3"/>
        <v/>
      </c>
      <c r="T100" s="149" t="str">
        <f t="shared" si="4"/>
        <v/>
      </c>
      <c r="V100" s="149" t="str">
        <f t="shared" si="5"/>
        <v/>
      </c>
    </row>
    <row r="101" spans="17:22" x14ac:dyDescent="0.15">
      <c r="Q101" s="149" t="str">
        <f t="shared" si="3"/>
        <v/>
      </c>
      <c r="T101" s="149" t="str">
        <f t="shared" si="4"/>
        <v/>
      </c>
      <c r="V101" s="149" t="str">
        <f t="shared" si="5"/>
        <v/>
      </c>
    </row>
    <row r="102" spans="17:22" x14ac:dyDescent="0.15">
      <c r="Q102" s="149" t="str">
        <f t="shared" si="3"/>
        <v/>
      </c>
      <c r="T102" s="149" t="str">
        <f t="shared" si="4"/>
        <v/>
      </c>
      <c r="V102" s="149" t="str">
        <f t="shared" si="5"/>
        <v/>
      </c>
    </row>
    <row r="103" spans="17:22" x14ac:dyDescent="0.15">
      <c r="Q103" s="149" t="str">
        <f t="shared" si="3"/>
        <v/>
      </c>
      <c r="T103" s="149" t="str">
        <f t="shared" si="4"/>
        <v/>
      </c>
      <c r="V103" s="149" t="str">
        <f t="shared" si="5"/>
        <v/>
      </c>
    </row>
    <row r="104" spans="17:22" x14ac:dyDescent="0.15">
      <c r="Q104" s="149" t="str">
        <f t="shared" si="3"/>
        <v/>
      </c>
      <c r="T104" s="149" t="str">
        <f t="shared" si="4"/>
        <v/>
      </c>
      <c r="V104" s="149" t="str">
        <f t="shared" si="5"/>
        <v/>
      </c>
    </row>
    <row r="105" spans="17:22" x14ac:dyDescent="0.15">
      <c r="Q105" s="149" t="str">
        <f t="shared" si="3"/>
        <v/>
      </c>
      <c r="T105" s="149" t="str">
        <f t="shared" si="4"/>
        <v/>
      </c>
      <c r="V105" s="149" t="str">
        <f t="shared" si="5"/>
        <v/>
      </c>
    </row>
    <row r="106" spans="17:22" x14ac:dyDescent="0.15">
      <c r="Q106" s="149" t="str">
        <f t="shared" si="3"/>
        <v/>
      </c>
      <c r="T106" s="149" t="str">
        <f t="shared" si="4"/>
        <v/>
      </c>
      <c r="V106" s="149" t="str">
        <f t="shared" si="5"/>
        <v/>
      </c>
    </row>
    <row r="107" spans="17:22" x14ac:dyDescent="0.15">
      <c r="Q107" s="149" t="str">
        <f t="shared" si="3"/>
        <v/>
      </c>
      <c r="T107" s="149" t="str">
        <f t="shared" si="4"/>
        <v/>
      </c>
      <c r="V107" s="149" t="str">
        <f t="shared" si="5"/>
        <v/>
      </c>
    </row>
    <row r="108" spans="17:22" x14ac:dyDescent="0.15">
      <c r="Q108" s="149" t="str">
        <f t="shared" si="3"/>
        <v/>
      </c>
      <c r="T108" s="149" t="str">
        <f t="shared" si="4"/>
        <v/>
      </c>
      <c r="V108" s="149" t="str">
        <f t="shared" si="5"/>
        <v/>
      </c>
    </row>
    <row r="109" spans="17:22" x14ac:dyDescent="0.15">
      <c r="Q109" s="149" t="str">
        <f t="shared" si="3"/>
        <v/>
      </c>
      <c r="T109" s="149" t="str">
        <f t="shared" si="4"/>
        <v/>
      </c>
      <c r="V109" s="149" t="str">
        <f t="shared" si="5"/>
        <v/>
      </c>
    </row>
    <row r="110" spans="17:22" x14ac:dyDescent="0.15">
      <c r="Q110" s="149" t="str">
        <f t="shared" si="3"/>
        <v/>
      </c>
      <c r="T110" s="149" t="str">
        <f t="shared" si="4"/>
        <v/>
      </c>
      <c r="V110" s="149" t="str">
        <f t="shared" si="5"/>
        <v/>
      </c>
    </row>
    <row r="111" spans="17:22" x14ac:dyDescent="0.15">
      <c r="Q111" s="149" t="str">
        <f t="shared" si="3"/>
        <v/>
      </c>
      <c r="T111" s="149" t="str">
        <f t="shared" si="4"/>
        <v/>
      </c>
      <c r="V111" s="149" t="str">
        <f t="shared" si="5"/>
        <v/>
      </c>
    </row>
    <row r="112" spans="17:22" x14ac:dyDescent="0.15">
      <c r="Q112" s="149" t="str">
        <f t="shared" si="3"/>
        <v/>
      </c>
      <c r="T112" s="149" t="str">
        <f t="shared" si="4"/>
        <v/>
      </c>
      <c r="V112" s="149" t="str">
        <f t="shared" si="5"/>
        <v/>
      </c>
    </row>
    <row r="113" spans="17:22" x14ac:dyDescent="0.15">
      <c r="Q113" s="149" t="str">
        <f t="shared" si="3"/>
        <v/>
      </c>
      <c r="T113" s="149" t="str">
        <f t="shared" si="4"/>
        <v/>
      </c>
      <c r="V113" s="149" t="str">
        <f t="shared" si="5"/>
        <v/>
      </c>
    </row>
    <row r="114" spans="17:22" x14ac:dyDescent="0.15">
      <c r="Q114" s="149" t="str">
        <f t="shared" si="3"/>
        <v/>
      </c>
      <c r="T114" s="149" t="str">
        <f t="shared" si="4"/>
        <v/>
      </c>
      <c r="V114" s="149" t="str">
        <f t="shared" si="5"/>
        <v/>
      </c>
    </row>
    <row r="115" spans="17:22" x14ac:dyDescent="0.15">
      <c r="Q115" s="149" t="str">
        <f t="shared" si="3"/>
        <v/>
      </c>
      <c r="T115" s="149" t="str">
        <f t="shared" si="4"/>
        <v/>
      </c>
      <c r="V115" s="149" t="str">
        <f t="shared" si="5"/>
        <v/>
      </c>
    </row>
    <row r="116" spans="17:22" x14ac:dyDescent="0.15">
      <c r="Q116" s="149" t="str">
        <f t="shared" si="3"/>
        <v/>
      </c>
      <c r="T116" s="149" t="str">
        <f t="shared" si="4"/>
        <v/>
      </c>
      <c r="V116" s="149" t="str">
        <f t="shared" si="5"/>
        <v/>
      </c>
    </row>
    <row r="117" spans="17:22" x14ac:dyDescent="0.15">
      <c r="Q117" s="149" t="str">
        <f t="shared" si="3"/>
        <v/>
      </c>
      <c r="T117" s="149" t="str">
        <f t="shared" si="4"/>
        <v/>
      </c>
      <c r="V117" s="149" t="str">
        <f t="shared" si="5"/>
        <v/>
      </c>
    </row>
    <row r="118" spans="17:22" x14ac:dyDescent="0.15">
      <c r="Q118" s="149" t="str">
        <f t="shared" si="3"/>
        <v/>
      </c>
      <c r="T118" s="149" t="str">
        <f t="shared" si="4"/>
        <v/>
      </c>
      <c r="V118" s="149" t="str">
        <f t="shared" si="5"/>
        <v/>
      </c>
    </row>
    <row r="119" spans="17:22" x14ac:dyDescent="0.15">
      <c r="Q119" s="149" t="str">
        <f t="shared" si="3"/>
        <v/>
      </c>
      <c r="T119" s="149" t="str">
        <f t="shared" si="4"/>
        <v/>
      </c>
      <c r="V119" s="149" t="str">
        <f t="shared" si="5"/>
        <v/>
      </c>
    </row>
    <row r="120" spans="17:22" x14ac:dyDescent="0.15">
      <c r="Q120" s="149" t="str">
        <f t="shared" si="3"/>
        <v/>
      </c>
      <c r="T120" s="149" t="str">
        <f t="shared" si="4"/>
        <v/>
      </c>
      <c r="V120" s="149" t="str">
        <f t="shared" si="5"/>
        <v/>
      </c>
    </row>
    <row r="121" spans="17:22" x14ac:dyDescent="0.15">
      <c r="Q121" s="149" t="str">
        <f t="shared" si="3"/>
        <v/>
      </c>
      <c r="T121" s="149" t="str">
        <f t="shared" si="4"/>
        <v/>
      </c>
      <c r="V121" s="149" t="str">
        <f t="shared" si="5"/>
        <v/>
      </c>
    </row>
    <row r="122" spans="17:22" x14ac:dyDescent="0.15">
      <c r="Q122" s="149" t="str">
        <f t="shared" si="3"/>
        <v/>
      </c>
      <c r="T122" s="149" t="str">
        <f t="shared" si="4"/>
        <v/>
      </c>
      <c r="V122" s="149" t="str">
        <f t="shared" si="5"/>
        <v/>
      </c>
    </row>
    <row r="123" spans="17:22" x14ac:dyDescent="0.15">
      <c r="Q123" s="149" t="str">
        <f t="shared" si="3"/>
        <v/>
      </c>
      <c r="T123" s="149" t="str">
        <f t="shared" si="4"/>
        <v/>
      </c>
      <c r="V123" s="149" t="str">
        <f t="shared" si="5"/>
        <v/>
      </c>
    </row>
    <row r="124" spans="17:22" x14ac:dyDescent="0.15">
      <c r="Q124" s="149" t="str">
        <f t="shared" si="3"/>
        <v/>
      </c>
      <c r="T124" s="149" t="str">
        <f t="shared" si="4"/>
        <v/>
      </c>
      <c r="V124" s="149" t="str">
        <f t="shared" si="5"/>
        <v/>
      </c>
    </row>
    <row r="125" spans="17:22" x14ac:dyDescent="0.15">
      <c r="Q125" s="149" t="str">
        <f t="shared" si="3"/>
        <v/>
      </c>
      <c r="T125" s="149" t="str">
        <f t="shared" si="4"/>
        <v/>
      </c>
      <c r="V125" s="149" t="str">
        <f t="shared" si="5"/>
        <v/>
      </c>
    </row>
    <row r="126" spans="17:22" x14ac:dyDescent="0.15">
      <c r="Q126" s="149" t="str">
        <f t="shared" si="3"/>
        <v/>
      </c>
      <c r="T126" s="149" t="str">
        <f t="shared" si="4"/>
        <v/>
      </c>
      <c r="V126" s="149" t="str">
        <f t="shared" si="5"/>
        <v/>
      </c>
    </row>
    <row r="127" spans="17:22" x14ac:dyDescent="0.15">
      <c r="Q127" s="149" t="str">
        <f t="shared" si="3"/>
        <v/>
      </c>
      <c r="T127" s="149" t="str">
        <f t="shared" si="4"/>
        <v/>
      </c>
      <c r="V127" s="149" t="str">
        <f t="shared" si="5"/>
        <v/>
      </c>
    </row>
    <row r="128" spans="17:22" x14ac:dyDescent="0.15">
      <c r="Q128" s="149" t="str">
        <f t="shared" si="3"/>
        <v/>
      </c>
      <c r="T128" s="149" t="str">
        <f t="shared" si="4"/>
        <v/>
      </c>
      <c r="V128" s="149" t="str">
        <f t="shared" si="5"/>
        <v/>
      </c>
    </row>
    <row r="129" spans="17:22" x14ac:dyDescent="0.15">
      <c r="Q129" s="149" t="str">
        <f t="shared" si="3"/>
        <v/>
      </c>
      <c r="T129" s="149" t="str">
        <f t="shared" si="4"/>
        <v/>
      </c>
      <c r="V129" s="149" t="str">
        <f t="shared" si="5"/>
        <v/>
      </c>
    </row>
    <row r="130" spans="17:22" x14ac:dyDescent="0.15">
      <c r="Q130" s="149" t="str">
        <f t="shared" si="3"/>
        <v/>
      </c>
      <c r="T130" s="149" t="str">
        <f t="shared" si="4"/>
        <v/>
      </c>
      <c r="V130" s="149" t="str">
        <f t="shared" si="5"/>
        <v/>
      </c>
    </row>
    <row r="131" spans="17:22" x14ac:dyDescent="0.15">
      <c r="Q131" s="149" t="str">
        <f t="shared" si="3"/>
        <v/>
      </c>
      <c r="T131" s="149" t="str">
        <f t="shared" si="4"/>
        <v/>
      </c>
      <c r="V131" s="149" t="str">
        <f t="shared" si="5"/>
        <v/>
      </c>
    </row>
    <row r="132" spans="17:22" x14ac:dyDescent="0.15">
      <c r="Q132" s="149" t="str">
        <f t="shared" si="3"/>
        <v/>
      </c>
      <c r="T132" s="149" t="str">
        <f t="shared" si="4"/>
        <v/>
      </c>
      <c r="V132" s="149" t="str">
        <f t="shared" si="5"/>
        <v/>
      </c>
    </row>
    <row r="133" spans="17:22" x14ac:dyDescent="0.15">
      <c r="Q133" s="149" t="str">
        <f t="shared" si="3"/>
        <v/>
      </c>
      <c r="T133" s="149" t="str">
        <f t="shared" si="4"/>
        <v/>
      </c>
      <c r="V133" s="149" t="str">
        <f t="shared" si="5"/>
        <v/>
      </c>
    </row>
    <row r="134" spans="17:22" x14ac:dyDescent="0.15">
      <c r="Q134" s="149" t="str">
        <f t="shared" si="3"/>
        <v/>
      </c>
      <c r="T134" s="149" t="str">
        <f t="shared" si="4"/>
        <v/>
      </c>
      <c r="V134" s="149" t="str">
        <f t="shared" si="5"/>
        <v/>
      </c>
    </row>
    <row r="135" spans="17:22" x14ac:dyDescent="0.15">
      <c r="Q135" s="149" t="str">
        <f t="shared" si="3"/>
        <v/>
      </c>
      <c r="T135" s="149" t="str">
        <f t="shared" si="4"/>
        <v/>
      </c>
      <c r="V135" s="149" t="str">
        <f t="shared" si="5"/>
        <v/>
      </c>
    </row>
    <row r="136" spans="17:22" x14ac:dyDescent="0.15">
      <c r="Q136" s="149" t="str">
        <f t="shared" si="3"/>
        <v/>
      </c>
      <c r="T136" s="149" t="str">
        <f t="shared" si="4"/>
        <v/>
      </c>
      <c r="V136" s="149" t="str">
        <f t="shared" si="5"/>
        <v/>
      </c>
    </row>
    <row r="137" spans="17:22" x14ac:dyDescent="0.15">
      <c r="Q137" s="149" t="str">
        <f t="shared" si="3"/>
        <v/>
      </c>
      <c r="T137" s="149" t="str">
        <f t="shared" si="4"/>
        <v/>
      </c>
      <c r="V137" s="149" t="str">
        <f t="shared" si="5"/>
        <v/>
      </c>
    </row>
    <row r="138" spans="17:22" x14ac:dyDescent="0.15">
      <c r="Q138" s="149" t="str">
        <f t="shared" si="3"/>
        <v/>
      </c>
      <c r="T138" s="149" t="str">
        <f t="shared" si="4"/>
        <v/>
      </c>
      <c r="V138" s="149" t="str">
        <f t="shared" si="5"/>
        <v/>
      </c>
    </row>
    <row r="139" spans="17:22" x14ac:dyDescent="0.15">
      <c r="Q139" s="149" t="str">
        <f t="shared" si="3"/>
        <v/>
      </c>
      <c r="T139" s="149" t="str">
        <f t="shared" si="4"/>
        <v/>
      </c>
      <c r="V139" s="149" t="str">
        <f t="shared" si="5"/>
        <v/>
      </c>
    </row>
    <row r="140" spans="17:22" x14ac:dyDescent="0.15">
      <c r="Q140" s="149" t="str">
        <f t="shared" si="3"/>
        <v/>
      </c>
      <c r="T140" s="149" t="str">
        <f t="shared" si="4"/>
        <v/>
      </c>
      <c r="V140" s="149" t="str">
        <f t="shared" si="5"/>
        <v/>
      </c>
    </row>
    <row r="141" spans="17:22" x14ac:dyDescent="0.15">
      <c r="Q141" s="149" t="str">
        <f t="shared" si="3"/>
        <v/>
      </c>
      <c r="T141" s="149" t="str">
        <f t="shared" si="4"/>
        <v/>
      </c>
      <c r="V141" s="149" t="str">
        <f t="shared" si="5"/>
        <v/>
      </c>
    </row>
    <row r="142" spans="17:22" x14ac:dyDescent="0.15">
      <c r="Q142" s="149" t="str">
        <f t="shared" si="3"/>
        <v/>
      </c>
      <c r="T142" s="149" t="str">
        <f t="shared" si="4"/>
        <v/>
      </c>
      <c r="V142" s="149" t="str">
        <f t="shared" si="5"/>
        <v/>
      </c>
    </row>
    <row r="143" spans="17:22" x14ac:dyDescent="0.15">
      <c r="Q143" s="149" t="str">
        <f t="shared" si="3"/>
        <v/>
      </c>
      <c r="T143" s="149" t="str">
        <f t="shared" si="4"/>
        <v/>
      </c>
      <c r="V143" s="149" t="str">
        <f t="shared" si="5"/>
        <v/>
      </c>
    </row>
    <row r="144" spans="17:22" x14ac:dyDescent="0.15">
      <c r="Q144" s="149" t="str">
        <f t="shared" si="3"/>
        <v/>
      </c>
      <c r="T144" s="149" t="str">
        <f t="shared" si="4"/>
        <v/>
      </c>
      <c r="V144" s="149" t="str">
        <f t="shared" si="5"/>
        <v/>
      </c>
    </row>
    <row r="145" spans="17:22" x14ac:dyDescent="0.15">
      <c r="Q145" s="149" t="str">
        <f t="shared" si="3"/>
        <v/>
      </c>
      <c r="T145" s="149" t="str">
        <f t="shared" si="4"/>
        <v/>
      </c>
      <c r="V145" s="149" t="str">
        <f t="shared" si="5"/>
        <v/>
      </c>
    </row>
    <row r="146" spans="17:22" x14ac:dyDescent="0.15">
      <c r="Q146" s="149" t="str">
        <f t="shared" si="3"/>
        <v/>
      </c>
      <c r="T146" s="149" t="str">
        <f t="shared" si="4"/>
        <v/>
      </c>
      <c r="V146" s="149"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AC38 Y2:AA577">
      <formula1>$AV$2:$AV$38</formula1>
    </dataValidation>
    <dataValidation type="list" allowBlank="1" showInputMessage="1" showErrorMessage="1" sqref="J2:J43">
      <formula1>$AP$2:$AP$38</formula1>
    </dataValidation>
    <dataValidation type="list" allowBlank="1" showInputMessage="1" showErrorMessage="1" sqref="WVS983028:WVS983093 K429:K486 K65524:K65589 WLW983028:WLW983093 WCA983028:WCA983093 VSE983028:VSE983093 VII983028:VII983093 UYM983028:UYM983093 UOQ983028:UOQ983093 UEU983028:UEU983093 TUY983028:TUY983093 TLC983028:TLC983093 TBG983028:TBG983093 SRK983028:SRK983093 SHO983028:SHO983093 RXS983028:RXS983093 RNW983028:RNW983093 REA983028:REA983093 QUE983028:QUE983093 QKI983028:QKI983093 QAM983028:QAM983093 PQQ983028:PQQ983093 PGU983028:PGU983093 OWY983028:OWY983093 ONC983028:ONC983093 ODG983028:ODG983093 NTK983028:NTK983093 NJO983028:NJO983093 MZS983028:MZS983093 MPW983028:MPW983093 MGA983028:MGA983093 LWE983028:LWE983093 LMI983028:LMI983093 LCM983028:LCM983093 KSQ983028:KSQ983093 KIU983028:KIU983093 JYY983028:JYY983093 JPC983028:JPC983093 JFG983028:JFG983093 IVK983028:IVK983093 ILO983028:ILO983093 IBS983028:IBS983093 HRW983028:HRW983093 HIA983028:HIA983093 GYE983028:GYE983093 GOI983028:GOI983093 GEM983028:GEM983093 FUQ983028:FUQ983093 FKU983028:FKU983093 FAY983028:FAY983093 ERC983028:ERC983093 EHG983028:EHG983093 DXK983028:DXK983093 DNO983028:DNO983093 DDS983028:DDS983093 CTW983028:CTW983093 CKA983028:CKA983093 CAE983028:CAE983093 BQI983028:BQI983093 BGM983028:BGM983093 AWQ983028:AWQ983093 AMU983028:AMU983093 ACY983028:ACY983093 TC983028:TC983093 JG983028:JG983093 K983028:K983093 WVS917492:WVS917557 WLW917492:WLW917557 WCA917492:WCA917557 VSE917492:VSE917557 VII917492:VII917557 UYM917492:UYM917557 UOQ917492:UOQ917557 UEU917492:UEU917557 TUY917492:TUY917557 TLC917492:TLC917557 TBG917492:TBG917557 SRK917492:SRK917557 SHO917492:SHO917557 RXS917492:RXS917557 RNW917492:RNW917557 REA917492:REA917557 QUE917492:QUE917557 QKI917492:QKI917557 QAM917492:QAM917557 PQQ917492:PQQ917557 PGU917492:PGU917557 OWY917492:OWY917557 ONC917492:ONC917557 ODG917492:ODG917557 NTK917492:NTK917557 NJO917492:NJO917557 MZS917492:MZS917557 MPW917492:MPW917557 MGA917492:MGA917557 LWE917492:LWE917557 LMI917492:LMI917557 LCM917492:LCM917557 KSQ917492:KSQ917557 KIU917492:KIU917557 JYY917492:JYY917557 JPC917492:JPC917557 JFG917492:JFG917557 IVK917492:IVK917557 ILO917492:ILO917557 IBS917492:IBS917557 HRW917492:HRW917557 HIA917492:HIA917557 GYE917492:GYE917557 GOI917492:GOI917557 GEM917492:GEM917557 FUQ917492:FUQ917557 FKU917492:FKU917557 FAY917492:FAY917557 ERC917492:ERC917557 EHG917492:EHG917557 DXK917492:DXK917557 DNO917492:DNO917557 DDS917492:DDS917557 CTW917492:CTW917557 CKA917492:CKA917557 CAE917492:CAE917557 BQI917492:BQI917557 BGM917492:BGM917557 AWQ917492:AWQ917557 AMU917492:AMU917557 ACY917492:ACY917557 TC917492:TC917557 JG917492:JG917557 K917492:K917557 WVS851956:WVS852021 WLW851956:WLW852021 WCA851956:WCA852021 VSE851956:VSE852021 VII851956:VII852021 UYM851956:UYM852021 UOQ851956:UOQ852021 UEU851956:UEU852021 TUY851956:TUY852021 TLC851956:TLC852021 TBG851956:TBG852021 SRK851956:SRK852021 SHO851956:SHO852021 RXS851956:RXS852021 RNW851956:RNW852021 REA851956:REA852021 QUE851956:QUE852021 QKI851956:QKI852021 QAM851956:QAM852021 PQQ851956:PQQ852021 PGU851956:PGU852021 OWY851956:OWY852021 ONC851956:ONC852021 ODG851956:ODG852021 NTK851956:NTK852021 NJO851956:NJO852021 MZS851956:MZS852021 MPW851956:MPW852021 MGA851956:MGA852021 LWE851956:LWE852021 LMI851956:LMI852021 LCM851956:LCM852021 KSQ851956:KSQ852021 KIU851956:KIU852021 JYY851956:JYY852021 JPC851956:JPC852021 JFG851956:JFG852021 IVK851956:IVK852021 ILO851956:ILO852021 IBS851956:IBS852021 HRW851956:HRW852021 HIA851956:HIA852021 GYE851956:GYE852021 GOI851956:GOI852021 GEM851956:GEM852021 FUQ851956:FUQ852021 FKU851956:FKU852021 FAY851956:FAY852021 ERC851956:ERC852021 EHG851956:EHG852021 DXK851956:DXK852021 DNO851956:DNO852021 DDS851956:DDS852021 CTW851956:CTW852021 CKA851956:CKA852021 CAE851956:CAE852021 BQI851956:BQI852021 BGM851956:BGM852021 AWQ851956:AWQ852021 AMU851956:AMU852021 ACY851956:ACY852021 TC851956:TC852021 JG851956:JG852021 K851956:K852021 WVS786420:WVS786485 WLW786420:WLW786485 WCA786420:WCA786485 VSE786420:VSE786485 VII786420:VII786485 UYM786420:UYM786485 UOQ786420:UOQ786485 UEU786420:UEU786485 TUY786420:TUY786485 TLC786420:TLC786485 TBG786420:TBG786485 SRK786420:SRK786485 SHO786420:SHO786485 RXS786420:RXS786485 RNW786420:RNW786485 REA786420:REA786485 QUE786420:QUE786485 QKI786420:QKI786485 QAM786420:QAM786485 PQQ786420:PQQ786485 PGU786420:PGU786485 OWY786420:OWY786485 ONC786420:ONC786485 ODG786420:ODG786485 NTK786420:NTK786485 NJO786420:NJO786485 MZS786420:MZS786485 MPW786420:MPW786485 MGA786420:MGA786485 LWE786420:LWE786485 LMI786420:LMI786485 LCM786420:LCM786485 KSQ786420:KSQ786485 KIU786420:KIU786485 JYY786420:JYY786485 JPC786420:JPC786485 JFG786420:JFG786485 IVK786420:IVK786485 ILO786420:ILO786485 IBS786420:IBS786485 HRW786420:HRW786485 HIA786420:HIA786485 GYE786420:GYE786485 GOI786420:GOI786485 GEM786420:GEM786485 FUQ786420:FUQ786485 FKU786420:FKU786485 FAY786420:FAY786485 ERC786420:ERC786485 EHG786420:EHG786485 DXK786420:DXK786485 DNO786420:DNO786485 DDS786420:DDS786485 CTW786420:CTW786485 CKA786420:CKA786485 CAE786420:CAE786485 BQI786420:BQI786485 BGM786420:BGM786485 AWQ786420:AWQ786485 AMU786420:AMU786485 ACY786420:ACY786485 TC786420:TC786485 JG786420:JG786485 K786420:K786485 WVS720884:WVS720949 WLW720884:WLW720949 WCA720884:WCA720949 VSE720884:VSE720949 VII720884:VII720949 UYM720884:UYM720949 UOQ720884:UOQ720949 UEU720884:UEU720949 TUY720884:TUY720949 TLC720884:TLC720949 TBG720884:TBG720949 SRK720884:SRK720949 SHO720884:SHO720949 RXS720884:RXS720949 RNW720884:RNW720949 REA720884:REA720949 QUE720884:QUE720949 QKI720884:QKI720949 QAM720884:QAM720949 PQQ720884:PQQ720949 PGU720884:PGU720949 OWY720884:OWY720949 ONC720884:ONC720949 ODG720884:ODG720949 NTK720884:NTK720949 NJO720884:NJO720949 MZS720884:MZS720949 MPW720884:MPW720949 MGA720884:MGA720949 LWE720884:LWE720949 LMI720884:LMI720949 LCM720884:LCM720949 KSQ720884:KSQ720949 KIU720884:KIU720949 JYY720884:JYY720949 JPC720884:JPC720949 JFG720884:JFG720949 IVK720884:IVK720949 ILO720884:ILO720949 IBS720884:IBS720949 HRW720884:HRW720949 HIA720884:HIA720949 GYE720884:GYE720949 GOI720884:GOI720949 GEM720884:GEM720949 FUQ720884:FUQ720949 FKU720884:FKU720949 FAY720884:FAY720949 ERC720884:ERC720949 EHG720884:EHG720949 DXK720884:DXK720949 DNO720884:DNO720949 DDS720884:DDS720949 CTW720884:CTW720949 CKA720884:CKA720949 CAE720884:CAE720949 BQI720884:BQI720949 BGM720884:BGM720949 AWQ720884:AWQ720949 AMU720884:AMU720949 ACY720884:ACY720949 TC720884:TC720949 JG720884:JG720949 K720884:K720949 WVS655348:WVS655413 WLW655348:WLW655413 WCA655348:WCA655413 VSE655348:VSE655413 VII655348:VII655413 UYM655348:UYM655413 UOQ655348:UOQ655413 UEU655348:UEU655413 TUY655348:TUY655413 TLC655348:TLC655413 TBG655348:TBG655413 SRK655348:SRK655413 SHO655348:SHO655413 RXS655348:RXS655413 RNW655348:RNW655413 REA655348:REA655413 QUE655348:QUE655413 QKI655348:QKI655413 QAM655348:QAM655413 PQQ655348:PQQ655413 PGU655348:PGU655413 OWY655348:OWY655413 ONC655348:ONC655413 ODG655348:ODG655413 NTK655348:NTK655413 NJO655348:NJO655413 MZS655348:MZS655413 MPW655348:MPW655413 MGA655348:MGA655413 LWE655348:LWE655413 LMI655348:LMI655413 LCM655348:LCM655413 KSQ655348:KSQ655413 KIU655348:KIU655413 JYY655348:JYY655413 JPC655348:JPC655413 JFG655348:JFG655413 IVK655348:IVK655413 ILO655348:ILO655413 IBS655348:IBS655413 HRW655348:HRW655413 HIA655348:HIA655413 GYE655348:GYE655413 GOI655348:GOI655413 GEM655348:GEM655413 FUQ655348:FUQ655413 FKU655348:FKU655413 FAY655348:FAY655413 ERC655348:ERC655413 EHG655348:EHG655413 DXK655348:DXK655413 DNO655348:DNO655413 DDS655348:DDS655413 CTW655348:CTW655413 CKA655348:CKA655413 CAE655348:CAE655413 BQI655348:BQI655413 BGM655348:BGM655413 AWQ655348:AWQ655413 AMU655348:AMU655413 ACY655348:ACY655413 TC655348:TC655413 JG655348:JG655413 K655348:K655413 WVS589812:WVS589877 WLW589812:WLW589877 WCA589812:WCA589877 VSE589812:VSE589877 VII589812:VII589877 UYM589812:UYM589877 UOQ589812:UOQ589877 UEU589812:UEU589877 TUY589812:TUY589877 TLC589812:TLC589877 TBG589812:TBG589877 SRK589812:SRK589877 SHO589812:SHO589877 RXS589812:RXS589877 RNW589812:RNW589877 REA589812:REA589877 QUE589812:QUE589877 QKI589812:QKI589877 QAM589812:QAM589877 PQQ589812:PQQ589877 PGU589812:PGU589877 OWY589812:OWY589877 ONC589812:ONC589877 ODG589812:ODG589877 NTK589812:NTK589877 NJO589812:NJO589877 MZS589812:MZS589877 MPW589812:MPW589877 MGA589812:MGA589877 LWE589812:LWE589877 LMI589812:LMI589877 LCM589812:LCM589877 KSQ589812:KSQ589877 KIU589812:KIU589877 JYY589812:JYY589877 JPC589812:JPC589877 JFG589812:JFG589877 IVK589812:IVK589877 ILO589812:ILO589877 IBS589812:IBS589877 HRW589812:HRW589877 HIA589812:HIA589877 GYE589812:GYE589877 GOI589812:GOI589877 GEM589812:GEM589877 FUQ589812:FUQ589877 FKU589812:FKU589877 FAY589812:FAY589877 ERC589812:ERC589877 EHG589812:EHG589877 DXK589812:DXK589877 DNO589812:DNO589877 DDS589812:DDS589877 CTW589812:CTW589877 CKA589812:CKA589877 CAE589812:CAE589877 BQI589812:BQI589877 BGM589812:BGM589877 AWQ589812:AWQ589877 AMU589812:AMU589877 ACY589812:ACY589877 TC589812:TC589877 JG589812:JG589877 K589812:K589877 WVS524276:WVS524341 WLW524276:WLW524341 WCA524276:WCA524341 VSE524276:VSE524341 VII524276:VII524341 UYM524276:UYM524341 UOQ524276:UOQ524341 UEU524276:UEU524341 TUY524276:TUY524341 TLC524276:TLC524341 TBG524276:TBG524341 SRK524276:SRK524341 SHO524276:SHO524341 RXS524276:RXS524341 RNW524276:RNW524341 REA524276:REA524341 QUE524276:QUE524341 QKI524276:QKI524341 QAM524276:QAM524341 PQQ524276:PQQ524341 PGU524276:PGU524341 OWY524276:OWY524341 ONC524276:ONC524341 ODG524276:ODG524341 NTK524276:NTK524341 NJO524276:NJO524341 MZS524276:MZS524341 MPW524276:MPW524341 MGA524276:MGA524341 LWE524276:LWE524341 LMI524276:LMI524341 LCM524276:LCM524341 KSQ524276:KSQ524341 KIU524276:KIU524341 JYY524276:JYY524341 JPC524276:JPC524341 JFG524276:JFG524341 IVK524276:IVK524341 ILO524276:ILO524341 IBS524276:IBS524341 HRW524276:HRW524341 HIA524276:HIA524341 GYE524276:GYE524341 GOI524276:GOI524341 GEM524276:GEM524341 FUQ524276:FUQ524341 FKU524276:FKU524341 FAY524276:FAY524341 ERC524276:ERC524341 EHG524276:EHG524341 DXK524276:DXK524341 DNO524276:DNO524341 DDS524276:DDS524341 CTW524276:CTW524341 CKA524276:CKA524341 CAE524276:CAE524341 BQI524276:BQI524341 BGM524276:BGM524341 AWQ524276:AWQ524341 AMU524276:AMU524341 ACY524276:ACY524341 TC524276:TC524341 JG524276:JG524341 K524276:K524341 WVS458740:WVS458805 WLW458740:WLW458805 WCA458740:WCA458805 VSE458740:VSE458805 VII458740:VII458805 UYM458740:UYM458805 UOQ458740:UOQ458805 UEU458740:UEU458805 TUY458740:TUY458805 TLC458740:TLC458805 TBG458740:TBG458805 SRK458740:SRK458805 SHO458740:SHO458805 RXS458740:RXS458805 RNW458740:RNW458805 REA458740:REA458805 QUE458740:QUE458805 QKI458740:QKI458805 QAM458740:QAM458805 PQQ458740:PQQ458805 PGU458740:PGU458805 OWY458740:OWY458805 ONC458740:ONC458805 ODG458740:ODG458805 NTK458740:NTK458805 NJO458740:NJO458805 MZS458740:MZS458805 MPW458740:MPW458805 MGA458740:MGA458805 LWE458740:LWE458805 LMI458740:LMI458805 LCM458740:LCM458805 KSQ458740:KSQ458805 KIU458740:KIU458805 JYY458740:JYY458805 JPC458740:JPC458805 JFG458740:JFG458805 IVK458740:IVK458805 ILO458740:ILO458805 IBS458740:IBS458805 HRW458740:HRW458805 HIA458740:HIA458805 GYE458740:GYE458805 GOI458740:GOI458805 GEM458740:GEM458805 FUQ458740:FUQ458805 FKU458740:FKU458805 FAY458740:FAY458805 ERC458740:ERC458805 EHG458740:EHG458805 DXK458740:DXK458805 DNO458740:DNO458805 DDS458740:DDS458805 CTW458740:CTW458805 CKA458740:CKA458805 CAE458740:CAE458805 BQI458740:BQI458805 BGM458740:BGM458805 AWQ458740:AWQ458805 AMU458740:AMU458805 ACY458740:ACY458805 TC458740:TC458805 JG458740:JG458805 K458740:K458805 WVS393204:WVS393269 WLW393204:WLW393269 WCA393204:WCA393269 VSE393204:VSE393269 VII393204:VII393269 UYM393204:UYM393269 UOQ393204:UOQ393269 UEU393204:UEU393269 TUY393204:TUY393269 TLC393204:TLC393269 TBG393204:TBG393269 SRK393204:SRK393269 SHO393204:SHO393269 RXS393204:RXS393269 RNW393204:RNW393269 REA393204:REA393269 QUE393204:QUE393269 QKI393204:QKI393269 QAM393204:QAM393269 PQQ393204:PQQ393269 PGU393204:PGU393269 OWY393204:OWY393269 ONC393204:ONC393269 ODG393204:ODG393269 NTK393204:NTK393269 NJO393204:NJO393269 MZS393204:MZS393269 MPW393204:MPW393269 MGA393204:MGA393269 LWE393204:LWE393269 LMI393204:LMI393269 LCM393204:LCM393269 KSQ393204:KSQ393269 KIU393204:KIU393269 JYY393204:JYY393269 JPC393204:JPC393269 JFG393204:JFG393269 IVK393204:IVK393269 ILO393204:ILO393269 IBS393204:IBS393269 HRW393204:HRW393269 HIA393204:HIA393269 GYE393204:GYE393269 GOI393204:GOI393269 GEM393204:GEM393269 FUQ393204:FUQ393269 FKU393204:FKU393269 FAY393204:FAY393269 ERC393204:ERC393269 EHG393204:EHG393269 DXK393204:DXK393269 DNO393204:DNO393269 DDS393204:DDS393269 CTW393204:CTW393269 CKA393204:CKA393269 CAE393204:CAE393269 BQI393204:BQI393269 BGM393204:BGM393269 AWQ393204:AWQ393269 AMU393204:AMU393269 ACY393204:ACY393269 TC393204:TC393269 JG393204:JG393269 K393204:K393269 WVS327668:WVS327733 WLW327668:WLW327733 WCA327668:WCA327733 VSE327668:VSE327733 VII327668:VII327733 UYM327668:UYM327733 UOQ327668:UOQ327733 UEU327668:UEU327733 TUY327668:TUY327733 TLC327668:TLC327733 TBG327668:TBG327733 SRK327668:SRK327733 SHO327668:SHO327733 RXS327668:RXS327733 RNW327668:RNW327733 REA327668:REA327733 QUE327668:QUE327733 QKI327668:QKI327733 QAM327668:QAM327733 PQQ327668:PQQ327733 PGU327668:PGU327733 OWY327668:OWY327733 ONC327668:ONC327733 ODG327668:ODG327733 NTK327668:NTK327733 NJO327668:NJO327733 MZS327668:MZS327733 MPW327668:MPW327733 MGA327668:MGA327733 LWE327668:LWE327733 LMI327668:LMI327733 LCM327668:LCM327733 KSQ327668:KSQ327733 KIU327668:KIU327733 JYY327668:JYY327733 JPC327668:JPC327733 JFG327668:JFG327733 IVK327668:IVK327733 ILO327668:ILO327733 IBS327668:IBS327733 HRW327668:HRW327733 HIA327668:HIA327733 GYE327668:GYE327733 GOI327668:GOI327733 GEM327668:GEM327733 FUQ327668:FUQ327733 FKU327668:FKU327733 FAY327668:FAY327733 ERC327668:ERC327733 EHG327668:EHG327733 DXK327668:DXK327733 DNO327668:DNO327733 DDS327668:DDS327733 CTW327668:CTW327733 CKA327668:CKA327733 CAE327668:CAE327733 BQI327668:BQI327733 BGM327668:BGM327733 AWQ327668:AWQ327733 AMU327668:AMU327733 ACY327668:ACY327733 TC327668:TC327733 JG327668:JG327733 K327668:K327733 WVS262132:WVS262197 WLW262132:WLW262197 WCA262132:WCA262197 VSE262132:VSE262197 VII262132:VII262197 UYM262132:UYM262197 UOQ262132:UOQ262197 UEU262132:UEU262197 TUY262132:TUY262197 TLC262132:TLC262197 TBG262132:TBG262197 SRK262132:SRK262197 SHO262132:SHO262197 RXS262132:RXS262197 RNW262132:RNW262197 REA262132:REA262197 QUE262132:QUE262197 QKI262132:QKI262197 QAM262132:QAM262197 PQQ262132:PQQ262197 PGU262132:PGU262197 OWY262132:OWY262197 ONC262132:ONC262197 ODG262132:ODG262197 NTK262132:NTK262197 NJO262132:NJO262197 MZS262132:MZS262197 MPW262132:MPW262197 MGA262132:MGA262197 LWE262132:LWE262197 LMI262132:LMI262197 LCM262132:LCM262197 KSQ262132:KSQ262197 KIU262132:KIU262197 JYY262132:JYY262197 JPC262132:JPC262197 JFG262132:JFG262197 IVK262132:IVK262197 ILO262132:ILO262197 IBS262132:IBS262197 HRW262132:HRW262197 HIA262132:HIA262197 GYE262132:GYE262197 GOI262132:GOI262197 GEM262132:GEM262197 FUQ262132:FUQ262197 FKU262132:FKU262197 FAY262132:FAY262197 ERC262132:ERC262197 EHG262132:EHG262197 DXK262132:DXK262197 DNO262132:DNO262197 DDS262132:DDS262197 CTW262132:CTW262197 CKA262132:CKA262197 CAE262132:CAE262197 BQI262132:BQI262197 BGM262132:BGM262197 AWQ262132:AWQ262197 AMU262132:AMU262197 ACY262132:ACY262197 TC262132:TC262197 JG262132:JG262197 K262132:K262197 WVS196596:WVS196661 WLW196596:WLW196661 WCA196596:WCA196661 VSE196596:VSE196661 VII196596:VII196661 UYM196596:UYM196661 UOQ196596:UOQ196661 UEU196596:UEU196661 TUY196596:TUY196661 TLC196596:TLC196661 TBG196596:TBG196661 SRK196596:SRK196661 SHO196596:SHO196661 RXS196596:RXS196661 RNW196596:RNW196661 REA196596:REA196661 QUE196596:QUE196661 QKI196596:QKI196661 QAM196596:QAM196661 PQQ196596:PQQ196661 PGU196596:PGU196661 OWY196596:OWY196661 ONC196596:ONC196661 ODG196596:ODG196661 NTK196596:NTK196661 NJO196596:NJO196661 MZS196596:MZS196661 MPW196596:MPW196661 MGA196596:MGA196661 LWE196596:LWE196661 LMI196596:LMI196661 LCM196596:LCM196661 KSQ196596:KSQ196661 KIU196596:KIU196661 JYY196596:JYY196661 JPC196596:JPC196661 JFG196596:JFG196661 IVK196596:IVK196661 ILO196596:ILO196661 IBS196596:IBS196661 HRW196596:HRW196661 HIA196596:HIA196661 GYE196596:GYE196661 GOI196596:GOI196661 GEM196596:GEM196661 FUQ196596:FUQ196661 FKU196596:FKU196661 FAY196596:FAY196661 ERC196596:ERC196661 EHG196596:EHG196661 DXK196596:DXK196661 DNO196596:DNO196661 DDS196596:DDS196661 CTW196596:CTW196661 CKA196596:CKA196661 CAE196596:CAE196661 BQI196596:BQI196661 BGM196596:BGM196661 AWQ196596:AWQ196661 AMU196596:AMU196661 ACY196596:ACY196661 TC196596:TC196661 JG196596:JG196661 K196596:K196661 WVS131060:WVS131125 WLW131060:WLW131125 WCA131060:WCA131125 VSE131060:VSE131125 VII131060:VII131125 UYM131060:UYM131125 UOQ131060:UOQ131125 UEU131060:UEU131125 TUY131060:TUY131125 TLC131060:TLC131125 TBG131060:TBG131125 SRK131060:SRK131125 SHO131060:SHO131125 RXS131060:RXS131125 RNW131060:RNW131125 REA131060:REA131125 QUE131060:QUE131125 QKI131060:QKI131125 QAM131060:QAM131125 PQQ131060:PQQ131125 PGU131060:PGU131125 OWY131060:OWY131125 ONC131060:ONC131125 ODG131060:ODG131125 NTK131060:NTK131125 NJO131060:NJO131125 MZS131060:MZS131125 MPW131060:MPW131125 MGA131060:MGA131125 LWE131060:LWE131125 LMI131060:LMI131125 LCM131060:LCM131125 KSQ131060:KSQ131125 KIU131060:KIU131125 JYY131060:JYY131125 JPC131060:JPC131125 JFG131060:JFG131125 IVK131060:IVK131125 ILO131060:ILO131125 IBS131060:IBS131125 HRW131060:HRW131125 HIA131060:HIA131125 GYE131060:GYE131125 GOI131060:GOI131125 GEM131060:GEM131125 FUQ131060:FUQ131125 FKU131060:FKU131125 FAY131060:FAY131125 ERC131060:ERC131125 EHG131060:EHG131125 DXK131060:DXK131125 DNO131060:DNO131125 DDS131060:DDS131125 CTW131060:CTW131125 CKA131060:CKA131125 CAE131060:CAE131125 BQI131060:BQI131125 BGM131060:BGM131125 AWQ131060:AWQ131125 AMU131060:AMU131125 ACY131060:ACY131125 TC131060:TC131125 JG131060:JG131125 K131060:K131125 WVS65524:WVS65589 WLW65524:WLW65589 WCA65524:WCA65589 VSE65524:VSE65589 VII65524:VII65589 UYM65524:UYM65589 UOQ65524:UOQ65589 UEU65524:UEU65589 TUY65524:TUY65589 TLC65524:TLC65589 TBG65524:TBG65589 SRK65524:SRK65589 SHO65524:SHO65589 RXS65524:RXS65589 RNW65524:RNW65589 REA65524:REA65589 QUE65524:QUE65589 QKI65524:QKI65589 QAM65524:QAM65589 PQQ65524:PQQ65589 PGU65524:PGU65589 OWY65524:OWY65589 ONC65524:ONC65589 ODG65524:ODG65589 NTK65524:NTK65589 NJO65524:NJO65589 MZS65524:MZS65589 MPW65524:MPW65589 MGA65524:MGA65589 LWE65524:LWE65589 LMI65524:LMI65589 LCM65524:LCM65589 KSQ65524:KSQ65589 KIU65524:KIU65589 JYY65524:JYY65589 JPC65524:JPC65589 JFG65524:JFG65589 IVK65524:IVK65589 ILO65524:ILO65589 IBS65524:IBS65589 HRW65524:HRW65589 HIA65524:HIA65589 GYE65524:GYE65589 GOI65524:GOI65589 GEM65524:GEM65589 FUQ65524:FUQ65589 FKU65524:FKU65589 FAY65524:FAY65589 ERC65524:ERC65589 EHG65524:EHG65589 DXK65524:DXK65589 DNO65524:DNO65589 DDS65524:DDS65589 CTW65524:CTW65589 CKA65524:CKA65589 CAE65524:CAE65589 BQI65524:BQI65589 BGM65524:BGM65589 AWQ65524:AWQ65589 AMU65524:AMU65589 ACY65524:ACY65589 TC65524:TC65589 JG65524:JG65589 TC2:TC61 JG2:JG61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formula1>$AR$2:$AR$25</formula1>
    </dataValidation>
    <dataValidation type="list" allowBlank="1" showInputMessage="1" showErrorMessage="1" sqref="WVR983028:WVR983093 J65524:J65589 WLV983028:WLV983093 WBZ983028:WBZ983093 VSD983028:VSD983093 VIH983028:VIH983093 UYL983028:UYL983093 UOP983028:UOP983093 UET983028:UET983093 TUX983028:TUX983093 TLB983028:TLB983093 TBF983028:TBF983093 SRJ983028:SRJ983093 SHN983028:SHN983093 RXR983028:RXR983093 RNV983028:RNV983093 RDZ983028:RDZ983093 QUD983028:QUD983093 QKH983028:QKH983093 QAL983028:QAL983093 PQP983028:PQP983093 PGT983028:PGT983093 OWX983028:OWX983093 ONB983028:ONB983093 ODF983028:ODF983093 NTJ983028:NTJ983093 NJN983028:NJN983093 MZR983028:MZR983093 MPV983028:MPV983093 MFZ983028:MFZ983093 LWD983028:LWD983093 LMH983028:LMH983093 LCL983028:LCL983093 KSP983028:KSP983093 KIT983028:KIT983093 JYX983028:JYX983093 JPB983028:JPB983093 JFF983028:JFF983093 IVJ983028:IVJ983093 ILN983028:ILN983093 IBR983028:IBR983093 HRV983028:HRV983093 HHZ983028:HHZ983093 GYD983028:GYD983093 GOH983028:GOH983093 GEL983028:GEL983093 FUP983028:FUP983093 FKT983028:FKT983093 FAX983028:FAX983093 ERB983028:ERB983093 EHF983028:EHF983093 DXJ983028:DXJ983093 DNN983028:DNN983093 DDR983028:DDR983093 CTV983028:CTV983093 CJZ983028:CJZ983093 CAD983028:CAD983093 BQH983028:BQH983093 BGL983028:BGL983093 AWP983028:AWP983093 AMT983028:AMT983093 ACX983028:ACX983093 TB983028:TB983093 JF983028:JF983093 J983028:J983093 WVR917492:WVR917557 WLV917492:WLV917557 WBZ917492:WBZ917557 VSD917492:VSD917557 VIH917492:VIH917557 UYL917492:UYL917557 UOP917492:UOP917557 UET917492:UET917557 TUX917492:TUX917557 TLB917492:TLB917557 TBF917492:TBF917557 SRJ917492:SRJ917557 SHN917492:SHN917557 RXR917492:RXR917557 RNV917492:RNV917557 RDZ917492:RDZ917557 QUD917492:QUD917557 QKH917492:QKH917557 QAL917492:QAL917557 PQP917492:PQP917557 PGT917492:PGT917557 OWX917492:OWX917557 ONB917492:ONB917557 ODF917492:ODF917557 NTJ917492:NTJ917557 NJN917492:NJN917557 MZR917492:MZR917557 MPV917492:MPV917557 MFZ917492:MFZ917557 LWD917492:LWD917557 LMH917492:LMH917557 LCL917492:LCL917557 KSP917492:KSP917557 KIT917492:KIT917557 JYX917492:JYX917557 JPB917492:JPB917557 JFF917492:JFF917557 IVJ917492:IVJ917557 ILN917492:ILN917557 IBR917492:IBR917557 HRV917492:HRV917557 HHZ917492:HHZ917557 GYD917492:GYD917557 GOH917492:GOH917557 GEL917492:GEL917557 FUP917492:FUP917557 FKT917492:FKT917557 FAX917492:FAX917557 ERB917492:ERB917557 EHF917492:EHF917557 DXJ917492:DXJ917557 DNN917492:DNN917557 DDR917492:DDR917557 CTV917492:CTV917557 CJZ917492:CJZ917557 CAD917492:CAD917557 BQH917492:BQH917557 BGL917492:BGL917557 AWP917492:AWP917557 AMT917492:AMT917557 ACX917492:ACX917557 TB917492:TB917557 JF917492:JF917557 J917492:J917557 WVR851956:WVR852021 WLV851956:WLV852021 WBZ851956:WBZ852021 VSD851956:VSD852021 VIH851956:VIH852021 UYL851956:UYL852021 UOP851956:UOP852021 UET851956:UET852021 TUX851956:TUX852021 TLB851956:TLB852021 TBF851956:TBF852021 SRJ851956:SRJ852021 SHN851956:SHN852021 RXR851956:RXR852021 RNV851956:RNV852021 RDZ851956:RDZ852021 QUD851956:QUD852021 QKH851956:QKH852021 QAL851956:QAL852021 PQP851956:PQP852021 PGT851956:PGT852021 OWX851956:OWX852021 ONB851956:ONB852021 ODF851956:ODF852021 NTJ851956:NTJ852021 NJN851956:NJN852021 MZR851956:MZR852021 MPV851956:MPV852021 MFZ851956:MFZ852021 LWD851956:LWD852021 LMH851956:LMH852021 LCL851956:LCL852021 KSP851956:KSP852021 KIT851956:KIT852021 JYX851956:JYX852021 JPB851956:JPB852021 JFF851956:JFF852021 IVJ851956:IVJ852021 ILN851956:ILN852021 IBR851956:IBR852021 HRV851956:HRV852021 HHZ851956:HHZ852021 GYD851956:GYD852021 GOH851956:GOH852021 GEL851956:GEL852021 FUP851956:FUP852021 FKT851956:FKT852021 FAX851956:FAX852021 ERB851956:ERB852021 EHF851956:EHF852021 DXJ851956:DXJ852021 DNN851956:DNN852021 DDR851956:DDR852021 CTV851956:CTV852021 CJZ851956:CJZ852021 CAD851956:CAD852021 BQH851956:BQH852021 BGL851956:BGL852021 AWP851956:AWP852021 AMT851956:AMT852021 ACX851956:ACX852021 TB851956:TB852021 JF851956:JF852021 J851956:J852021 WVR786420:WVR786485 WLV786420:WLV786485 WBZ786420:WBZ786485 VSD786420:VSD786485 VIH786420:VIH786485 UYL786420:UYL786485 UOP786420:UOP786485 UET786420:UET786485 TUX786420:TUX786485 TLB786420:TLB786485 TBF786420:TBF786485 SRJ786420:SRJ786485 SHN786420:SHN786485 RXR786420:RXR786485 RNV786420:RNV786485 RDZ786420:RDZ786485 QUD786420:QUD786485 QKH786420:QKH786485 QAL786420:QAL786485 PQP786420:PQP786485 PGT786420:PGT786485 OWX786420:OWX786485 ONB786420:ONB786485 ODF786420:ODF786485 NTJ786420:NTJ786485 NJN786420:NJN786485 MZR786420:MZR786485 MPV786420:MPV786485 MFZ786420:MFZ786485 LWD786420:LWD786485 LMH786420:LMH786485 LCL786420:LCL786485 KSP786420:KSP786485 KIT786420:KIT786485 JYX786420:JYX786485 JPB786420:JPB786485 JFF786420:JFF786485 IVJ786420:IVJ786485 ILN786420:ILN786485 IBR786420:IBR786485 HRV786420:HRV786485 HHZ786420:HHZ786485 GYD786420:GYD786485 GOH786420:GOH786485 GEL786420:GEL786485 FUP786420:FUP786485 FKT786420:FKT786485 FAX786420:FAX786485 ERB786420:ERB786485 EHF786420:EHF786485 DXJ786420:DXJ786485 DNN786420:DNN786485 DDR786420:DDR786485 CTV786420:CTV786485 CJZ786420:CJZ786485 CAD786420:CAD786485 BQH786420:BQH786485 BGL786420:BGL786485 AWP786420:AWP786485 AMT786420:AMT786485 ACX786420:ACX786485 TB786420:TB786485 JF786420:JF786485 J786420:J786485 WVR720884:WVR720949 WLV720884:WLV720949 WBZ720884:WBZ720949 VSD720884:VSD720949 VIH720884:VIH720949 UYL720884:UYL720949 UOP720884:UOP720949 UET720884:UET720949 TUX720884:TUX720949 TLB720884:TLB720949 TBF720884:TBF720949 SRJ720884:SRJ720949 SHN720884:SHN720949 RXR720884:RXR720949 RNV720884:RNV720949 RDZ720884:RDZ720949 QUD720884:QUD720949 QKH720884:QKH720949 QAL720884:QAL720949 PQP720884:PQP720949 PGT720884:PGT720949 OWX720884:OWX720949 ONB720884:ONB720949 ODF720884:ODF720949 NTJ720884:NTJ720949 NJN720884:NJN720949 MZR720884:MZR720949 MPV720884:MPV720949 MFZ720884:MFZ720949 LWD720884:LWD720949 LMH720884:LMH720949 LCL720884:LCL720949 KSP720884:KSP720949 KIT720884:KIT720949 JYX720884:JYX720949 JPB720884:JPB720949 JFF720884:JFF720949 IVJ720884:IVJ720949 ILN720884:ILN720949 IBR720884:IBR720949 HRV720884:HRV720949 HHZ720884:HHZ720949 GYD720884:GYD720949 GOH720884:GOH720949 GEL720884:GEL720949 FUP720884:FUP720949 FKT720884:FKT720949 FAX720884:FAX720949 ERB720884:ERB720949 EHF720884:EHF720949 DXJ720884:DXJ720949 DNN720884:DNN720949 DDR720884:DDR720949 CTV720884:CTV720949 CJZ720884:CJZ720949 CAD720884:CAD720949 BQH720884:BQH720949 BGL720884:BGL720949 AWP720884:AWP720949 AMT720884:AMT720949 ACX720884:ACX720949 TB720884:TB720949 JF720884:JF720949 J720884:J720949 WVR655348:WVR655413 WLV655348:WLV655413 WBZ655348:WBZ655413 VSD655348:VSD655413 VIH655348:VIH655413 UYL655348:UYL655413 UOP655348:UOP655413 UET655348:UET655413 TUX655348:TUX655413 TLB655348:TLB655413 TBF655348:TBF655413 SRJ655348:SRJ655413 SHN655348:SHN655413 RXR655348:RXR655413 RNV655348:RNV655413 RDZ655348:RDZ655413 QUD655348:QUD655413 QKH655348:QKH655413 QAL655348:QAL655413 PQP655348:PQP655413 PGT655348:PGT655413 OWX655348:OWX655413 ONB655348:ONB655413 ODF655348:ODF655413 NTJ655348:NTJ655413 NJN655348:NJN655413 MZR655348:MZR655413 MPV655348:MPV655413 MFZ655348:MFZ655413 LWD655348:LWD655413 LMH655348:LMH655413 LCL655348:LCL655413 KSP655348:KSP655413 KIT655348:KIT655413 JYX655348:JYX655413 JPB655348:JPB655413 JFF655348:JFF655413 IVJ655348:IVJ655413 ILN655348:ILN655413 IBR655348:IBR655413 HRV655348:HRV655413 HHZ655348:HHZ655413 GYD655348:GYD655413 GOH655348:GOH655413 GEL655348:GEL655413 FUP655348:FUP655413 FKT655348:FKT655413 FAX655348:FAX655413 ERB655348:ERB655413 EHF655348:EHF655413 DXJ655348:DXJ655413 DNN655348:DNN655413 DDR655348:DDR655413 CTV655348:CTV655413 CJZ655348:CJZ655413 CAD655348:CAD655413 BQH655348:BQH655413 BGL655348:BGL655413 AWP655348:AWP655413 AMT655348:AMT655413 ACX655348:ACX655413 TB655348:TB655413 JF655348:JF655413 J655348:J655413 WVR589812:WVR589877 WLV589812:WLV589877 WBZ589812:WBZ589877 VSD589812:VSD589877 VIH589812:VIH589877 UYL589812:UYL589877 UOP589812:UOP589877 UET589812:UET589877 TUX589812:TUX589877 TLB589812:TLB589877 TBF589812:TBF589877 SRJ589812:SRJ589877 SHN589812:SHN589877 RXR589812:RXR589877 RNV589812:RNV589877 RDZ589812:RDZ589877 QUD589812:QUD589877 QKH589812:QKH589877 QAL589812:QAL589877 PQP589812:PQP589877 PGT589812:PGT589877 OWX589812:OWX589877 ONB589812:ONB589877 ODF589812:ODF589877 NTJ589812:NTJ589877 NJN589812:NJN589877 MZR589812:MZR589877 MPV589812:MPV589877 MFZ589812:MFZ589877 LWD589812:LWD589877 LMH589812:LMH589877 LCL589812:LCL589877 KSP589812:KSP589877 KIT589812:KIT589877 JYX589812:JYX589877 JPB589812:JPB589877 JFF589812:JFF589877 IVJ589812:IVJ589877 ILN589812:ILN589877 IBR589812:IBR589877 HRV589812:HRV589877 HHZ589812:HHZ589877 GYD589812:GYD589877 GOH589812:GOH589877 GEL589812:GEL589877 FUP589812:FUP589877 FKT589812:FKT589877 FAX589812:FAX589877 ERB589812:ERB589877 EHF589812:EHF589877 DXJ589812:DXJ589877 DNN589812:DNN589877 DDR589812:DDR589877 CTV589812:CTV589877 CJZ589812:CJZ589877 CAD589812:CAD589877 BQH589812:BQH589877 BGL589812:BGL589877 AWP589812:AWP589877 AMT589812:AMT589877 ACX589812:ACX589877 TB589812:TB589877 JF589812:JF589877 J589812:J589877 WVR524276:WVR524341 WLV524276:WLV524341 WBZ524276:WBZ524341 VSD524276:VSD524341 VIH524276:VIH524341 UYL524276:UYL524341 UOP524276:UOP524341 UET524276:UET524341 TUX524276:TUX524341 TLB524276:TLB524341 TBF524276:TBF524341 SRJ524276:SRJ524341 SHN524276:SHN524341 RXR524276:RXR524341 RNV524276:RNV524341 RDZ524276:RDZ524341 QUD524276:QUD524341 QKH524276:QKH524341 QAL524276:QAL524341 PQP524276:PQP524341 PGT524276:PGT524341 OWX524276:OWX524341 ONB524276:ONB524341 ODF524276:ODF524341 NTJ524276:NTJ524341 NJN524276:NJN524341 MZR524276:MZR524341 MPV524276:MPV524341 MFZ524276:MFZ524341 LWD524276:LWD524341 LMH524276:LMH524341 LCL524276:LCL524341 KSP524276:KSP524341 KIT524276:KIT524341 JYX524276:JYX524341 JPB524276:JPB524341 JFF524276:JFF524341 IVJ524276:IVJ524341 ILN524276:ILN524341 IBR524276:IBR524341 HRV524276:HRV524341 HHZ524276:HHZ524341 GYD524276:GYD524341 GOH524276:GOH524341 GEL524276:GEL524341 FUP524276:FUP524341 FKT524276:FKT524341 FAX524276:FAX524341 ERB524276:ERB524341 EHF524276:EHF524341 DXJ524276:DXJ524341 DNN524276:DNN524341 DDR524276:DDR524341 CTV524276:CTV524341 CJZ524276:CJZ524341 CAD524276:CAD524341 BQH524276:BQH524341 BGL524276:BGL524341 AWP524276:AWP524341 AMT524276:AMT524341 ACX524276:ACX524341 TB524276:TB524341 JF524276:JF524341 J524276:J524341 WVR458740:WVR458805 WLV458740:WLV458805 WBZ458740:WBZ458805 VSD458740:VSD458805 VIH458740:VIH458805 UYL458740:UYL458805 UOP458740:UOP458805 UET458740:UET458805 TUX458740:TUX458805 TLB458740:TLB458805 TBF458740:TBF458805 SRJ458740:SRJ458805 SHN458740:SHN458805 RXR458740:RXR458805 RNV458740:RNV458805 RDZ458740:RDZ458805 QUD458740:QUD458805 QKH458740:QKH458805 QAL458740:QAL458805 PQP458740:PQP458805 PGT458740:PGT458805 OWX458740:OWX458805 ONB458740:ONB458805 ODF458740:ODF458805 NTJ458740:NTJ458805 NJN458740:NJN458805 MZR458740:MZR458805 MPV458740:MPV458805 MFZ458740:MFZ458805 LWD458740:LWD458805 LMH458740:LMH458805 LCL458740:LCL458805 KSP458740:KSP458805 KIT458740:KIT458805 JYX458740:JYX458805 JPB458740:JPB458805 JFF458740:JFF458805 IVJ458740:IVJ458805 ILN458740:ILN458805 IBR458740:IBR458805 HRV458740:HRV458805 HHZ458740:HHZ458805 GYD458740:GYD458805 GOH458740:GOH458805 GEL458740:GEL458805 FUP458740:FUP458805 FKT458740:FKT458805 FAX458740:FAX458805 ERB458740:ERB458805 EHF458740:EHF458805 DXJ458740:DXJ458805 DNN458740:DNN458805 DDR458740:DDR458805 CTV458740:CTV458805 CJZ458740:CJZ458805 CAD458740:CAD458805 BQH458740:BQH458805 BGL458740:BGL458805 AWP458740:AWP458805 AMT458740:AMT458805 ACX458740:ACX458805 TB458740:TB458805 JF458740:JF458805 J458740:J458805 WVR393204:WVR393269 WLV393204:WLV393269 WBZ393204:WBZ393269 VSD393204:VSD393269 VIH393204:VIH393269 UYL393204:UYL393269 UOP393204:UOP393269 UET393204:UET393269 TUX393204:TUX393269 TLB393204:TLB393269 TBF393204:TBF393269 SRJ393204:SRJ393269 SHN393204:SHN393269 RXR393204:RXR393269 RNV393204:RNV393269 RDZ393204:RDZ393269 QUD393204:QUD393269 QKH393204:QKH393269 QAL393204:QAL393269 PQP393204:PQP393269 PGT393204:PGT393269 OWX393204:OWX393269 ONB393204:ONB393269 ODF393204:ODF393269 NTJ393204:NTJ393269 NJN393204:NJN393269 MZR393204:MZR393269 MPV393204:MPV393269 MFZ393204:MFZ393269 LWD393204:LWD393269 LMH393204:LMH393269 LCL393204:LCL393269 KSP393204:KSP393269 KIT393204:KIT393269 JYX393204:JYX393269 JPB393204:JPB393269 JFF393204:JFF393269 IVJ393204:IVJ393269 ILN393204:ILN393269 IBR393204:IBR393269 HRV393204:HRV393269 HHZ393204:HHZ393269 GYD393204:GYD393269 GOH393204:GOH393269 GEL393204:GEL393269 FUP393204:FUP393269 FKT393204:FKT393269 FAX393204:FAX393269 ERB393204:ERB393269 EHF393204:EHF393269 DXJ393204:DXJ393269 DNN393204:DNN393269 DDR393204:DDR393269 CTV393204:CTV393269 CJZ393204:CJZ393269 CAD393204:CAD393269 BQH393204:BQH393269 BGL393204:BGL393269 AWP393204:AWP393269 AMT393204:AMT393269 ACX393204:ACX393269 TB393204:TB393269 JF393204:JF393269 J393204:J393269 WVR327668:WVR327733 WLV327668:WLV327733 WBZ327668:WBZ327733 VSD327668:VSD327733 VIH327668:VIH327733 UYL327668:UYL327733 UOP327668:UOP327733 UET327668:UET327733 TUX327668:TUX327733 TLB327668:TLB327733 TBF327668:TBF327733 SRJ327668:SRJ327733 SHN327668:SHN327733 RXR327668:RXR327733 RNV327668:RNV327733 RDZ327668:RDZ327733 QUD327668:QUD327733 QKH327668:QKH327733 QAL327668:QAL327733 PQP327668:PQP327733 PGT327668:PGT327733 OWX327668:OWX327733 ONB327668:ONB327733 ODF327668:ODF327733 NTJ327668:NTJ327733 NJN327668:NJN327733 MZR327668:MZR327733 MPV327668:MPV327733 MFZ327668:MFZ327733 LWD327668:LWD327733 LMH327668:LMH327733 LCL327668:LCL327733 KSP327668:KSP327733 KIT327668:KIT327733 JYX327668:JYX327733 JPB327668:JPB327733 JFF327668:JFF327733 IVJ327668:IVJ327733 ILN327668:ILN327733 IBR327668:IBR327733 HRV327668:HRV327733 HHZ327668:HHZ327733 GYD327668:GYD327733 GOH327668:GOH327733 GEL327668:GEL327733 FUP327668:FUP327733 FKT327668:FKT327733 FAX327668:FAX327733 ERB327668:ERB327733 EHF327668:EHF327733 DXJ327668:DXJ327733 DNN327668:DNN327733 DDR327668:DDR327733 CTV327668:CTV327733 CJZ327668:CJZ327733 CAD327668:CAD327733 BQH327668:BQH327733 BGL327668:BGL327733 AWP327668:AWP327733 AMT327668:AMT327733 ACX327668:ACX327733 TB327668:TB327733 JF327668:JF327733 J327668:J327733 WVR262132:WVR262197 WLV262132:WLV262197 WBZ262132:WBZ262197 VSD262132:VSD262197 VIH262132:VIH262197 UYL262132:UYL262197 UOP262132:UOP262197 UET262132:UET262197 TUX262132:TUX262197 TLB262132:TLB262197 TBF262132:TBF262197 SRJ262132:SRJ262197 SHN262132:SHN262197 RXR262132:RXR262197 RNV262132:RNV262197 RDZ262132:RDZ262197 QUD262132:QUD262197 QKH262132:QKH262197 QAL262132:QAL262197 PQP262132:PQP262197 PGT262132:PGT262197 OWX262132:OWX262197 ONB262132:ONB262197 ODF262132:ODF262197 NTJ262132:NTJ262197 NJN262132:NJN262197 MZR262132:MZR262197 MPV262132:MPV262197 MFZ262132:MFZ262197 LWD262132:LWD262197 LMH262132:LMH262197 LCL262132:LCL262197 KSP262132:KSP262197 KIT262132:KIT262197 JYX262132:JYX262197 JPB262132:JPB262197 JFF262132:JFF262197 IVJ262132:IVJ262197 ILN262132:ILN262197 IBR262132:IBR262197 HRV262132:HRV262197 HHZ262132:HHZ262197 GYD262132:GYD262197 GOH262132:GOH262197 GEL262132:GEL262197 FUP262132:FUP262197 FKT262132:FKT262197 FAX262132:FAX262197 ERB262132:ERB262197 EHF262132:EHF262197 DXJ262132:DXJ262197 DNN262132:DNN262197 DDR262132:DDR262197 CTV262132:CTV262197 CJZ262132:CJZ262197 CAD262132:CAD262197 BQH262132:BQH262197 BGL262132:BGL262197 AWP262132:AWP262197 AMT262132:AMT262197 ACX262132:ACX262197 TB262132:TB262197 JF262132:JF262197 J262132:J262197 WVR196596:WVR196661 WLV196596:WLV196661 WBZ196596:WBZ196661 VSD196596:VSD196661 VIH196596:VIH196661 UYL196596:UYL196661 UOP196596:UOP196661 UET196596:UET196661 TUX196596:TUX196661 TLB196596:TLB196661 TBF196596:TBF196661 SRJ196596:SRJ196661 SHN196596:SHN196661 RXR196596:RXR196661 RNV196596:RNV196661 RDZ196596:RDZ196661 QUD196596:QUD196661 QKH196596:QKH196661 QAL196596:QAL196661 PQP196596:PQP196661 PGT196596:PGT196661 OWX196596:OWX196661 ONB196596:ONB196661 ODF196596:ODF196661 NTJ196596:NTJ196661 NJN196596:NJN196661 MZR196596:MZR196661 MPV196596:MPV196661 MFZ196596:MFZ196661 LWD196596:LWD196661 LMH196596:LMH196661 LCL196596:LCL196661 KSP196596:KSP196661 KIT196596:KIT196661 JYX196596:JYX196661 JPB196596:JPB196661 JFF196596:JFF196661 IVJ196596:IVJ196661 ILN196596:ILN196661 IBR196596:IBR196661 HRV196596:HRV196661 HHZ196596:HHZ196661 GYD196596:GYD196661 GOH196596:GOH196661 GEL196596:GEL196661 FUP196596:FUP196661 FKT196596:FKT196661 FAX196596:FAX196661 ERB196596:ERB196661 EHF196596:EHF196661 DXJ196596:DXJ196661 DNN196596:DNN196661 DDR196596:DDR196661 CTV196596:CTV196661 CJZ196596:CJZ196661 CAD196596:CAD196661 BQH196596:BQH196661 BGL196596:BGL196661 AWP196596:AWP196661 AMT196596:AMT196661 ACX196596:ACX196661 TB196596:TB196661 JF196596:JF196661 J196596:J196661 WVR131060:WVR131125 WLV131060:WLV131125 WBZ131060:WBZ131125 VSD131060:VSD131125 VIH131060:VIH131125 UYL131060:UYL131125 UOP131060:UOP131125 UET131060:UET131125 TUX131060:TUX131125 TLB131060:TLB131125 TBF131060:TBF131125 SRJ131060:SRJ131125 SHN131060:SHN131125 RXR131060:RXR131125 RNV131060:RNV131125 RDZ131060:RDZ131125 QUD131060:QUD131125 QKH131060:QKH131125 QAL131060:QAL131125 PQP131060:PQP131125 PGT131060:PGT131125 OWX131060:OWX131125 ONB131060:ONB131125 ODF131060:ODF131125 NTJ131060:NTJ131125 NJN131060:NJN131125 MZR131060:MZR131125 MPV131060:MPV131125 MFZ131060:MFZ131125 LWD131060:LWD131125 LMH131060:LMH131125 LCL131060:LCL131125 KSP131060:KSP131125 KIT131060:KIT131125 JYX131060:JYX131125 JPB131060:JPB131125 JFF131060:JFF131125 IVJ131060:IVJ131125 ILN131060:ILN131125 IBR131060:IBR131125 HRV131060:HRV131125 HHZ131060:HHZ131125 GYD131060:GYD131125 GOH131060:GOH131125 GEL131060:GEL131125 FUP131060:FUP131125 FKT131060:FKT131125 FAX131060:FAX131125 ERB131060:ERB131125 EHF131060:EHF131125 DXJ131060:DXJ131125 DNN131060:DNN131125 DDR131060:DDR131125 CTV131060:CTV131125 CJZ131060:CJZ131125 CAD131060:CAD131125 BQH131060:BQH131125 BGL131060:BGL131125 AWP131060:AWP131125 AMT131060:AMT131125 ACX131060:ACX131125 TB131060:TB131125 JF131060:JF131125 J131060:J131125 WVR65524:WVR65589 WLV65524:WLV65589 WBZ65524:WBZ65589 VSD65524:VSD65589 VIH65524:VIH65589 UYL65524:UYL65589 UOP65524:UOP65589 UET65524:UET65589 TUX65524:TUX65589 TLB65524:TLB65589 TBF65524:TBF65589 SRJ65524:SRJ65589 SHN65524:SHN65589 RXR65524:RXR65589 RNV65524:RNV65589 RDZ65524:RDZ65589 QUD65524:QUD65589 QKH65524:QKH65589 QAL65524:QAL65589 PQP65524:PQP65589 PGT65524:PGT65589 OWX65524:OWX65589 ONB65524:ONB65589 ODF65524:ODF65589 NTJ65524:NTJ65589 NJN65524:NJN65589 MZR65524:MZR65589 MPV65524:MPV65589 MFZ65524:MFZ65589 LWD65524:LWD65589 LMH65524:LMH65589 LCL65524:LCL65589 KSP65524:KSP65589 KIT65524:KIT65589 JYX65524:JYX65589 JPB65524:JPB65589 JFF65524:JFF65589 IVJ65524:IVJ65589 ILN65524:ILN65589 IBR65524:IBR65589 HRV65524:HRV65589 HHZ65524:HHZ65589 GYD65524:GYD65589 GOH65524:GOH65589 GEL65524:GEL65589 FUP65524:FUP65589 FKT65524:FKT65589 FAX65524:FAX65589 ERB65524:ERB65589 EHF65524:EHF65589 DXJ65524:DXJ65589 DNN65524:DNN65589 DDR65524:DDR65589 CTV65524:CTV65589 CJZ65524:CJZ65589 CAD65524:CAD65589 BQH65524:BQH65589 BGL65524:BGL65589 AWP65524:AWP65589 AMT65524:AMT65589 ACX65524:ACX65589 TB65524:TB65589 JF65524:JF65589 J44:J486 JF2:JF61 WVR2:WVR61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formula1>$AP$2:$AP$27</formula1>
    </dataValidation>
    <dataValidation type="list" allowBlank="1" showInputMessage="1" showErrorMessage="1" sqref="WVP983028:WVP983093 H65524:H65589 WLT983028:WLT983093 WBX983028:WBX983093 VSB983028:VSB983093 VIF983028:VIF983093 UYJ983028:UYJ983093 UON983028:UON983093 UER983028:UER983093 TUV983028:TUV983093 TKZ983028:TKZ983093 TBD983028:TBD983093 SRH983028:SRH983093 SHL983028:SHL983093 RXP983028:RXP983093 RNT983028:RNT983093 RDX983028:RDX983093 QUB983028:QUB983093 QKF983028:QKF983093 QAJ983028:QAJ983093 PQN983028:PQN983093 PGR983028:PGR983093 OWV983028:OWV983093 OMZ983028:OMZ983093 ODD983028:ODD983093 NTH983028:NTH983093 NJL983028:NJL983093 MZP983028:MZP983093 MPT983028:MPT983093 MFX983028:MFX983093 LWB983028:LWB983093 LMF983028:LMF983093 LCJ983028:LCJ983093 KSN983028:KSN983093 KIR983028:KIR983093 JYV983028:JYV983093 JOZ983028:JOZ983093 JFD983028:JFD983093 IVH983028:IVH983093 ILL983028:ILL983093 IBP983028:IBP983093 HRT983028:HRT983093 HHX983028:HHX983093 GYB983028:GYB983093 GOF983028:GOF983093 GEJ983028:GEJ983093 FUN983028:FUN983093 FKR983028:FKR983093 FAV983028:FAV983093 EQZ983028:EQZ983093 EHD983028:EHD983093 DXH983028:DXH983093 DNL983028:DNL983093 DDP983028:DDP983093 CTT983028:CTT983093 CJX983028:CJX983093 CAB983028:CAB983093 BQF983028:BQF983093 BGJ983028:BGJ983093 AWN983028:AWN983093 AMR983028:AMR983093 ACV983028:ACV983093 SZ983028:SZ983093 JD983028:JD983093 H983028:H983093 WVP917492:WVP917557 WLT917492:WLT917557 WBX917492:WBX917557 VSB917492:VSB917557 VIF917492:VIF917557 UYJ917492:UYJ917557 UON917492:UON917557 UER917492:UER917557 TUV917492:TUV917557 TKZ917492:TKZ917557 TBD917492:TBD917557 SRH917492:SRH917557 SHL917492:SHL917557 RXP917492:RXP917557 RNT917492:RNT917557 RDX917492:RDX917557 QUB917492:QUB917557 QKF917492:QKF917557 QAJ917492:QAJ917557 PQN917492:PQN917557 PGR917492:PGR917557 OWV917492:OWV917557 OMZ917492:OMZ917557 ODD917492:ODD917557 NTH917492:NTH917557 NJL917492:NJL917557 MZP917492:MZP917557 MPT917492:MPT917557 MFX917492:MFX917557 LWB917492:LWB917557 LMF917492:LMF917557 LCJ917492:LCJ917557 KSN917492:KSN917557 KIR917492:KIR917557 JYV917492:JYV917557 JOZ917492:JOZ917557 JFD917492:JFD917557 IVH917492:IVH917557 ILL917492:ILL917557 IBP917492:IBP917557 HRT917492:HRT917557 HHX917492:HHX917557 GYB917492:GYB917557 GOF917492:GOF917557 GEJ917492:GEJ917557 FUN917492:FUN917557 FKR917492:FKR917557 FAV917492:FAV917557 EQZ917492:EQZ917557 EHD917492:EHD917557 DXH917492:DXH917557 DNL917492:DNL917557 DDP917492:DDP917557 CTT917492:CTT917557 CJX917492:CJX917557 CAB917492:CAB917557 BQF917492:BQF917557 BGJ917492:BGJ917557 AWN917492:AWN917557 AMR917492:AMR917557 ACV917492:ACV917557 SZ917492:SZ917557 JD917492:JD917557 H917492:H917557 WVP851956:WVP852021 WLT851956:WLT852021 WBX851956:WBX852021 VSB851956:VSB852021 VIF851956:VIF852021 UYJ851956:UYJ852021 UON851956:UON852021 UER851956:UER852021 TUV851956:TUV852021 TKZ851956:TKZ852021 TBD851956:TBD852021 SRH851956:SRH852021 SHL851956:SHL852021 RXP851956:RXP852021 RNT851956:RNT852021 RDX851956:RDX852021 QUB851956:QUB852021 QKF851956:QKF852021 QAJ851956:QAJ852021 PQN851956:PQN852021 PGR851956:PGR852021 OWV851956:OWV852021 OMZ851956:OMZ852021 ODD851956:ODD852021 NTH851956:NTH852021 NJL851956:NJL852021 MZP851956:MZP852021 MPT851956:MPT852021 MFX851956:MFX852021 LWB851956:LWB852021 LMF851956:LMF852021 LCJ851956:LCJ852021 KSN851956:KSN852021 KIR851956:KIR852021 JYV851956:JYV852021 JOZ851956:JOZ852021 JFD851956:JFD852021 IVH851956:IVH852021 ILL851956:ILL852021 IBP851956:IBP852021 HRT851956:HRT852021 HHX851956:HHX852021 GYB851956:GYB852021 GOF851956:GOF852021 GEJ851956:GEJ852021 FUN851956:FUN852021 FKR851956:FKR852021 FAV851956:FAV852021 EQZ851956:EQZ852021 EHD851956:EHD852021 DXH851956:DXH852021 DNL851956:DNL852021 DDP851956:DDP852021 CTT851956:CTT852021 CJX851956:CJX852021 CAB851956:CAB852021 BQF851956:BQF852021 BGJ851956:BGJ852021 AWN851956:AWN852021 AMR851956:AMR852021 ACV851956:ACV852021 SZ851956:SZ852021 JD851956:JD852021 H851956:H852021 WVP786420:WVP786485 WLT786420:WLT786485 WBX786420:WBX786485 VSB786420:VSB786485 VIF786420:VIF786485 UYJ786420:UYJ786485 UON786420:UON786485 UER786420:UER786485 TUV786420:TUV786485 TKZ786420:TKZ786485 TBD786420:TBD786485 SRH786420:SRH786485 SHL786420:SHL786485 RXP786420:RXP786485 RNT786420:RNT786485 RDX786420:RDX786485 QUB786420:QUB786485 QKF786420:QKF786485 QAJ786420:QAJ786485 PQN786420:PQN786485 PGR786420:PGR786485 OWV786420:OWV786485 OMZ786420:OMZ786485 ODD786420:ODD786485 NTH786420:NTH786485 NJL786420:NJL786485 MZP786420:MZP786485 MPT786420:MPT786485 MFX786420:MFX786485 LWB786420:LWB786485 LMF786420:LMF786485 LCJ786420:LCJ786485 KSN786420:KSN786485 KIR786420:KIR786485 JYV786420:JYV786485 JOZ786420:JOZ786485 JFD786420:JFD786485 IVH786420:IVH786485 ILL786420:ILL786485 IBP786420:IBP786485 HRT786420:HRT786485 HHX786420:HHX786485 GYB786420:GYB786485 GOF786420:GOF786485 GEJ786420:GEJ786485 FUN786420:FUN786485 FKR786420:FKR786485 FAV786420:FAV786485 EQZ786420:EQZ786485 EHD786420:EHD786485 DXH786420:DXH786485 DNL786420:DNL786485 DDP786420:DDP786485 CTT786420:CTT786485 CJX786420:CJX786485 CAB786420:CAB786485 BQF786420:BQF786485 BGJ786420:BGJ786485 AWN786420:AWN786485 AMR786420:AMR786485 ACV786420:ACV786485 SZ786420:SZ786485 JD786420:JD786485 H786420:H786485 WVP720884:WVP720949 WLT720884:WLT720949 WBX720884:WBX720949 VSB720884:VSB720949 VIF720884:VIF720949 UYJ720884:UYJ720949 UON720884:UON720949 UER720884:UER720949 TUV720884:TUV720949 TKZ720884:TKZ720949 TBD720884:TBD720949 SRH720884:SRH720949 SHL720884:SHL720949 RXP720884:RXP720949 RNT720884:RNT720949 RDX720884:RDX720949 QUB720884:QUB720949 QKF720884:QKF720949 QAJ720884:QAJ720949 PQN720884:PQN720949 PGR720884:PGR720949 OWV720884:OWV720949 OMZ720884:OMZ720949 ODD720884:ODD720949 NTH720884:NTH720949 NJL720884:NJL720949 MZP720884:MZP720949 MPT720884:MPT720949 MFX720884:MFX720949 LWB720884:LWB720949 LMF720884:LMF720949 LCJ720884:LCJ720949 KSN720884:KSN720949 KIR720884:KIR720949 JYV720884:JYV720949 JOZ720884:JOZ720949 JFD720884:JFD720949 IVH720884:IVH720949 ILL720884:ILL720949 IBP720884:IBP720949 HRT720884:HRT720949 HHX720884:HHX720949 GYB720884:GYB720949 GOF720884:GOF720949 GEJ720884:GEJ720949 FUN720884:FUN720949 FKR720884:FKR720949 FAV720884:FAV720949 EQZ720884:EQZ720949 EHD720884:EHD720949 DXH720884:DXH720949 DNL720884:DNL720949 DDP720884:DDP720949 CTT720884:CTT720949 CJX720884:CJX720949 CAB720884:CAB720949 BQF720884:BQF720949 BGJ720884:BGJ720949 AWN720884:AWN720949 AMR720884:AMR720949 ACV720884:ACV720949 SZ720884:SZ720949 JD720884:JD720949 H720884:H720949 WVP655348:WVP655413 WLT655348:WLT655413 WBX655348:WBX655413 VSB655348:VSB655413 VIF655348:VIF655413 UYJ655348:UYJ655413 UON655348:UON655413 UER655348:UER655413 TUV655348:TUV655413 TKZ655348:TKZ655413 TBD655348:TBD655413 SRH655348:SRH655413 SHL655348:SHL655413 RXP655348:RXP655413 RNT655348:RNT655413 RDX655348:RDX655413 QUB655348:QUB655413 QKF655348:QKF655413 QAJ655348:QAJ655413 PQN655348:PQN655413 PGR655348:PGR655413 OWV655348:OWV655413 OMZ655348:OMZ655413 ODD655348:ODD655413 NTH655348:NTH655413 NJL655348:NJL655413 MZP655348:MZP655413 MPT655348:MPT655413 MFX655348:MFX655413 LWB655348:LWB655413 LMF655348:LMF655413 LCJ655348:LCJ655413 KSN655348:KSN655413 KIR655348:KIR655413 JYV655348:JYV655413 JOZ655348:JOZ655413 JFD655348:JFD655413 IVH655348:IVH655413 ILL655348:ILL655413 IBP655348:IBP655413 HRT655348:HRT655413 HHX655348:HHX655413 GYB655348:GYB655413 GOF655348:GOF655413 GEJ655348:GEJ655413 FUN655348:FUN655413 FKR655348:FKR655413 FAV655348:FAV655413 EQZ655348:EQZ655413 EHD655348:EHD655413 DXH655348:DXH655413 DNL655348:DNL655413 DDP655348:DDP655413 CTT655348:CTT655413 CJX655348:CJX655413 CAB655348:CAB655413 BQF655348:BQF655413 BGJ655348:BGJ655413 AWN655348:AWN655413 AMR655348:AMR655413 ACV655348:ACV655413 SZ655348:SZ655413 JD655348:JD655413 H655348:H655413 WVP589812:WVP589877 WLT589812:WLT589877 WBX589812:WBX589877 VSB589812:VSB589877 VIF589812:VIF589877 UYJ589812:UYJ589877 UON589812:UON589877 UER589812:UER589877 TUV589812:TUV589877 TKZ589812:TKZ589877 TBD589812:TBD589877 SRH589812:SRH589877 SHL589812:SHL589877 RXP589812:RXP589877 RNT589812:RNT589877 RDX589812:RDX589877 QUB589812:QUB589877 QKF589812:QKF589877 QAJ589812:QAJ589877 PQN589812:PQN589877 PGR589812:PGR589877 OWV589812:OWV589877 OMZ589812:OMZ589877 ODD589812:ODD589877 NTH589812:NTH589877 NJL589812:NJL589877 MZP589812:MZP589877 MPT589812:MPT589877 MFX589812:MFX589877 LWB589812:LWB589877 LMF589812:LMF589877 LCJ589812:LCJ589877 KSN589812:KSN589877 KIR589812:KIR589877 JYV589812:JYV589877 JOZ589812:JOZ589877 JFD589812:JFD589877 IVH589812:IVH589877 ILL589812:ILL589877 IBP589812:IBP589877 HRT589812:HRT589877 HHX589812:HHX589877 GYB589812:GYB589877 GOF589812:GOF589877 GEJ589812:GEJ589877 FUN589812:FUN589877 FKR589812:FKR589877 FAV589812:FAV589877 EQZ589812:EQZ589877 EHD589812:EHD589877 DXH589812:DXH589877 DNL589812:DNL589877 DDP589812:DDP589877 CTT589812:CTT589877 CJX589812:CJX589877 CAB589812:CAB589877 BQF589812:BQF589877 BGJ589812:BGJ589877 AWN589812:AWN589877 AMR589812:AMR589877 ACV589812:ACV589877 SZ589812:SZ589877 JD589812:JD589877 H589812:H589877 WVP524276:WVP524341 WLT524276:WLT524341 WBX524276:WBX524341 VSB524276:VSB524341 VIF524276:VIF524341 UYJ524276:UYJ524341 UON524276:UON524341 UER524276:UER524341 TUV524276:TUV524341 TKZ524276:TKZ524341 TBD524276:TBD524341 SRH524276:SRH524341 SHL524276:SHL524341 RXP524276:RXP524341 RNT524276:RNT524341 RDX524276:RDX524341 QUB524276:QUB524341 QKF524276:QKF524341 QAJ524276:QAJ524341 PQN524276:PQN524341 PGR524276:PGR524341 OWV524276:OWV524341 OMZ524276:OMZ524341 ODD524276:ODD524341 NTH524276:NTH524341 NJL524276:NJL524341 MZP524276:MZP524341 MPT524276:MPT524341 MFX524276:MFX524341 LWB524276:LWB524341 LMF524276:LMF524341 LCJ524276:LCJ524341 KSN524276:KSN524341 KIR524276:KIR524341 JYV524276:JYV524341 JOZ524276:JOZ524341 JFD524276:JFD524341 IVH524276:IVH524341 ILL524276:ILL524341 IBP524276:IBP524341 HRT524276:HRT524341 HHX524276:HHX524341 GYB524276:GYB524341 GOF524276:GOF524341 GEJ524276:GEJ524341 FUN524276:FUN524341 FKR524276:FKR524341 FAV524276:FAV524341 EQZ524276:EQZ524341 EHD524276:EHD524341 DXH524276:DXH524341 DNL524276:DNL524341 DDP524276:DDP524341 CTT524276:CTT524341 CJX524276:CJX524341 CAB524276:CAB524341 BQF524276:BQF524341 BGJ524276:BGJ524341 AWN524276:AWN524341 AMR524276:AMR524341 ACV524276:ACV524341 SZ524276:SZ524341 JD524276:JD524341 H524276:H524341 WVP458740:WVP458805 WLT458740:WLT458805 WBX458740:WBX458805 VSB458740:VSB458805 VIF458740:VIF458805 UYJ458740:UYJ458805 UON458740:UON458805 UER458740:UER458805 TUV458740:TUV458805 TKZ458740:TKZ458805 TBD458740:TBD458805 SRH458740:SRH458805 SHL458740:SHL458805 RXP458740:RXP458805 RNT458740:RNT458805 RDX458740:RDX458805 QUB458740:QUB458805 QKF458740:QKF458805 QAJ458740:QAJ458805 PQN458740:PQN458805 PGR458740:PGR458805 OWV458740:OWV458805 OMZ458740:OMZ458805 ODD458740:ODD458805 NTH458740:NTH458805 NJL458740:NJL458805 MZP458740:MZP458805 MPT458740:MPT458805 MFX458740:MFX458805 LWB458740:LWB458805 LMF458740:LMF458805 LCJ458740:LCJ458805 KSN458740:KSN458805 KIR458740:KIR458805 JYV458740:JYV458805 JOZ458740:JOZ458805 JFD458740:JFD458805 IVH458740:IVH458805 ILL458740:ILL458805 IBP458740:IBP458805 HRT458740:HRT458805 HHX458740:HHX458805 GYB458740:GYB458805 GOF458740:GOF458805 GEJ458740:GEJ458805 FUN458740:FUN458805 FKR458740:FKR458805 FAV458740:FAV458805 EQZ458740:EQZ458805 EHD458740:EHD458805 DXH458740:DXH458805 DNL458740:DNL458805 DDP458740:DDP458805 CTT458740:CTT458805 CJX458740:CJX458805 CAB458740:CAB458805 BQF458740:BQF458805 BGJ458740:BGJ458805 AWN458740:AWN458805 AMR458740:AMR458805 ACV458740:ACV458805 SZ458740:SZ458805 JD458740:JD458805 H458740:H458805 WVP393204:WVP393269 WLT393204:WLT393269 WBX393204:WBX393269 VSB393204:VSB393269 VIF393204:VIF393269 UYJ393204:UYJ393269 UON393204:UON393269 UER393204:UER393269 TUV393204:TUV393269 TKZ393204:TKZ393269 TBD393204:TBD393269 SRH393204:SRH393269 SHL393204:SHL393269 RXP393204:RXP393269 RNT393204:RNT393269 RDX393204:RDX393269 QUB393204:QUB393269 QKF393204:QKF393269 QAJ393204:QAJ393269 PQN393204:PQN393269 PGR393204:PGR393269 OWV393204:OWV393269 OMZ393204:OMZ393269 ODD393204:ODD393269 NTH393204:NTH393269 NJL393204:NJL393269 MZP393204:MZP393269 MPT393204:MPT393269 MFX393204:MFX393269 LWB393204:LWB393269 LMF393204:LMF393269 LCJ393204:LCJ393269 KSN393204:KSN393269 KIR393204:KIR393269 JYV393204:JYV393269 JOZ393204:JOZ393269 JFD393204:JFD393269 IVH393204:IVH393269 ILL393204:ILL393269 IBP393204:IBP393269 HRT393204:HRT393269 HHX393204:HHX393269 GYB393204:GYB393269 GOF393204:GOF393269 GEJ393204:GEJ393269 FUN393204:FUN393269 FKR393204:FKR393269 FAV393204:FAV393269 EQZ393204:EQZ393269 EHD393204:EHD393269 DXH393204:DXH393269 DNL393204:DNL393269 DDP393204:DDP393269 CTT393204:CTT393269 CJX393204:CJX393269 CAB393204:CAB393269 BQF393204:BQF393269 BGJ393204:BGJ393269 AWN393204:AWN393269 AMR393204:AMR393269 ACV393204:ACV393269 SZ393204:SZ393269 JD393204:JD393269 H393204:H393269 WVP327668:WVP327733 WLT327668:WLT327733 WBX327668:WBX327733 VSB327668:VSB327733 VIF327668:VIF327733 UYJ327668:UYJ327733 UON327668:UON327733 UER327668:UER327733 TUV327668:TUV327733 TKZ327668:TKZ327733 TBD327668:TBD327733 SRH327668:SRH327733 SHL327668:SHL327733 RXP327668:RXP327733 RNT327668:RNT327733 RDX327668:RDX327733 QUB327668:QUB327733 QKF327668:QKF327733 QAJ327668:QAJ327733 PQN327668:PQN327733 PGR327668:PGR327733 OWV327668:OWV327733 OMZ327668:OMZ327733 ODD327668:ODD327733 NTH327668:NTH327733 NJL327668:NJL327733 MZP327668:MZP327733 MPT327668:MPT327733 MFX327668:MFX327733 LWB327668:LWB327733 LMF327668:LMF327733 LCJ327668:LCJ327733 KSN327668:KSN327733 KIR327668:KIR327733 JYV327668:JYV327733 JOZ327668:JOZ327733 JFD327668:JFD327733 IVH327668:IVH327733 ILL327668:ILL327733 IBP327668:IBP327733 HRT327668:HRT327733 HHX327668:HHX327733 GYB327668:GYB327733 GOF327668:GOF327733 GEJ327668:GEJ327733 FUN327668:FUN327733 FKR327668:FKR327733 FAV327668:FAV327733 EQZ327668:EQZ327733 EHD327668:EHD327733 DXH327668:DXH327733 DNL327668:DNL327733 DDP327668:DDP327733 CTT327668:CTT327733 CJX327668:CJX327733 CAB327668:CAB327733 BQF327668:BQF327733 BGJ327668:BGJ327733 AWN327668:AWN327733 AMR327668:AMR327733 ACV327668:ACV327733 SZ327668:SZ327733 JD327668:JD327733 H327668:H327733 WVP262132:WVP262197 WLT262132:WLT262197 WBX262132:WBX262197 VSB262132:VSB262197 VIF262132:VIF262197 UYJ262132:UYJ262197 UON262132:UON262197 UER262132:UER262197 TUV262132:TUV262197 TKZ262132:TKZ262197 TBD262132:TBD262197 SRH262132:SRH262197 SHL262132:SHL262197 RXP262132:RXP262197 RNT262132:RNT262197 RDX262132:RDX262197 QUB262132:QUB262197 QKF262132:QKF262197 QAJ262132:QAJ262197 PQN262132:PQN262197 PGR262132:PGR262197 OWV262132:OWV262197 OMZ262132:OMZ262197 ODD262132:ODD262197 NTH262132:NTH262197 NJL262132:NJL262197 MZP262132:MZP262197 MPT262132:MPT262197 MFX262132:MFX262197 LWB262132:LWB262197 LMF262132:LMF262197 LCJ262132:LCJ262197 KSN262132:KSN262197 KIR262132:KIR262197 JYV262132:JYV262197 JOZ262132:JOZ262197 JFD262132:JFD262197 IVH262132:IVH262197 ILL262132:ILL262197 IBP262132:IBP262197 HRT262132:HRT262197 HHX262132:HHX262197 GYB262132:GYB262197 GOF262132:GOF262197 GEJ262132:GEJ262197 FUN262132:FUN262197 FKR262132:FKR262197 FAV262132:FAV262197 EQZ262132:EQZ262197 EHD262132:EHD262197 DXH262132:DXH262197 DNL262132:DNL262197 DDP262132:DDP262197 CTT262132:CTT262197 CJX262132:CJX262197 CAB262132:CAB262197 BQF262132:BQF262197 BGJ262132:BGJ262197 AWN262132:AWN262197 AMR262132:AMR262197 ACV262132:ACV262197 SZ262132:SZ262197 JD262132:JD262197 H262132:H262197 WVP196596:WVP196661 WLT196596:WLT196661 WBX196596:WBX196661 VSB196596:VSB196661 VIF196596:VIF196661 UYJ196596:UYJ196661 UON196596:UON196661 UER196596:UER196661 TUV196596:TUV196661 TKZ196596:TKZ196661 TBD196596:TBD196661 SRH196596:SRH196661 SHL196596:SHL196661 RXP196596:RXP196661 RNT196596:RNT196661 RDX196596:RDX196661 QUB196596:QUB196661 QKF196596:QKF196661 QAJ196596:QAJ196661 PQN196596:PQN196661 PGR196596:PGR196661 OWV196596:OWV196661 OMZ196596:OMZ196661 ODD196596:ODD196661 NTH196596:NTH196661 NJL196596:NJL196661 MZP196596:MZP196661 MPT196596:MPT196661 MFX196596:MFX196661 LWB196596:LWB196661 LMF196596:LMF196661 LCJ196596:LCJ196661 KSN196596:KSN196661 KIR196596:KIR196661 JYV196596:JYV196661 JOZ196596:JOZ196661 JFD196596:JFD196661 IVH196596:IVH196661 ILL196596:ILL196661 IBP196596:IBP196661 HRT196596:HRT196661 HHX196596:HHX196661 GYB196596:GYB196661 GOF196596:GOF196661 GEJ196596:GEJ196661 FUN196596:FUN196661 FKR196596:FKR196661 FAV196596:FAV196661 EQZ196596:EQZ196661 EHD196596:EHD196661 DXH196596:DXH196661 DNL196596:DNL196661 DDP196596:DDP196661 CTT196596:CTT196661 CJX196596:CJX196661 CAB196596:CAB196661 BQF196596:BQF196661 BGJ196596:BGJ196661 AWN196596:AWN196661 AMR196596:AMR196661 ACV196596:ACV196661 SZ196596:SZ196661 JD196596:JD196661 H196596:H196661 WVP131060:WVP131125 WLT131060:WLT131125 WBX131060:WBX131125 VSB131060:VSB131125 VIF131060:VIF131125 UYJ131060:UYJ131125 UON131060:UON131125 UER131060:UER131125 TUV131060:TUV131125 TKZ131060:TKZ131125 TBD131060:TBD131125 SRH131060:SRH131125 SHL131060:SHL131125 RXP131060:RXP131125 RNT131060:RNT131125 RDX131060:RDX131125 QUB131060:QUB131125 QKF131060:QKF131125 QAJ131060:QAJ131125 PQN131060:PQN131125 PGR131060:PGR131125 OWV131060:OWV131125 OMZ131060:OMZ131125 ODD131060:ODD131125 NTH131060:NTH131125 NJL131060:NJL131125 MZP131060:MZP131125 MPT131060:MPT131125 MFX131060:MFX131125 LWB131060:LWB131125 LMF131060:LMF131125 LCJ131060:LCJ131125 KSN131060:KSN131125 KIR131060:KIR131125 JYV131060:JYV131125 JOZ131060:JOZ131125 JFD131060:JFD131125 IVH131060:IVH131125 ILL131060:ILL131125 IBP131060:IBP131125 HRT131060:HRT131125 HHX131060:HHX131125 GYB131060:GYB131125 GOF131060:GOF131125 GEJ131060:GEJ131125 FUN131060:FUN131125 FKR131060:FKR131125 FAV131060:FAV131125 EQZ131060:EQZ131125 EHD131060:EHD131125 DXH131060:DXH131125 DNL131060:DNL131125 DDP131060:DDP131125 CTT131060:CTT131125 CJX131060:CJX131125 CAB131060:CAB131125 BQF131060:BQF131125 BGJ131060:BGJ131125 AWN131060:AWN131125 AMR131060:AMR131125 ACV131060:ACV131125 SZ131060:SZ131125 JD131060:JD131125 H131060:H131125 WVP65524:WVP65589 WLT65524:WLT65589 WBX65524:WBX65589 VSB65524:VSB65589 VIF65524:VIF65589 UYJ65524:UYJ65589 UON65524:UON65589 UER65524:UER65589 TUV65524:TUV65589 TKZ65524:TKZ65589 TBD65524:TBD65589 SRH65524:SRH65589 SHL65524:SHL65589 RXP65524:RXP65589 RNT65524:RNT65589 RDX65524:RDX65589 QUB65524:QUB65589 QKF65524:QKF65589 QAJ65524:QAJ65589 PQN65524:PQN65589 PGR65524:PGR65589 OWV65524:OWV65589 OMZ65524:OMZ65589 ODD65524:ODD65589 NTH65524:NTH65589 NJL65524:NJL65589 MZP65524:MZP65589 MPT65524:MPT65589 MFX65524:MFX65589 LWB65524:LWB65589 LMF65524:LMF65589 LCJ65524:LCJ65589 KSN65524:KSN65589 KIR65524:KIR65589 JYV65524:JYV65589 JOZ65524:JOZ65589 JFD65524:JFD65589 IVH65524:IVH65589 ILL65524:ILL65589 IBP65524:IBP65589 HRT65524:HRT65589 HHX65524:HHX65589 GYB65524:GYB65589 GOF65524:GOF65589 GEJ65524:GEJ65589 FUN65524:FUN65589 FKR65524:FKR65589 FAV65524:FAV65589 EQZ65524:EQZ65589 EHD65524:EHD65589 DXH65524:DXH65589 DNL65524:DNL65589 DDP65524:DDP65589 CTT65524:CTT65589 CJX65524:CJX65589 CAB65524:CAB65589 BQF65524:BQF65589 BGJ65524:BGJ65589 AWN65524:AWN65589 AMR65524:AMR65589 ACV65524:ACV65589 SZ65524:SZ65589 JD65524:JD65589 JD2:JD61 WVP2:WVP61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formula1>$AL$4:$AL$12</formula1>
    </dataValidation>
    <dataValidation type="list" allowBlank="1" showInputMessage="1" showErrorMessage="1" sqref="A64349:A64414 IW64349:IW64414 WLM983028:WLM983099 WBQ983028:WBQ983099 VRU983028:VRU983099 VHY983028:VHY983099 UYC983028:UYC983099 UOG983028:UOG983099 UEK983028:UEK983099 TUO983028:TUO983099 TKS983028:TKS983099 TAW983028:TAW983099 SRA983028:SRA983099 SHE983028:SHE983099 RXI983028:RXI983099 RNM983028:RNM983099 RDQ983028:RDQ983099 QTU983028:QTU983099 QJY983028:QJY983099 QAC983028:QAC983099 PQG983028:PQG983099 PGK983028:PGK983099 OWO983028:OWO983099 OMS983028:OMS983099 OCW983028:OCW983099 NTA983028:NTA983099 NJE983028:NJE983099 MZI983028:MZI983099 MPM983028:MPM983099 MFQ983028:MFQ983099 LVU983028:LVU983099 LLY983028:LLY983099 LCC983028:LCC983099 KSG983028:KSG983099 KIK983028:KIK983099 JYO983028:JYO983099 JOS983028:JOS983099 JEW983028:JEW983099 IVA983028:IVA983099 ILE983028:ILE983099 IBI983028:IBI983099 HRM983028:HRM983099 HHQ983028:HHQ983099 GXU983028:GXU983099 GNY983028:GNY983099 GEC983028:GEC983099 FUG983028:FUG983099 FKK983028:FKK983099 FAO983028:FAO983099 EQS983028:EQS983099 EGW983028:EGW983099 DXA983028:DXA983099 DNE983028:DNE983099 DDI983028:DDI983099 CTM983028:CTM983099 CJQ983028:CJQ983099 BZU983028:BZU983099 BPY983028:BPY983099 BGC983028:BGC983099 AWG983028:AWG983099 AMK983028:AMK983099 ACO983028:ACO983099 SS983028:SS983099 IW983028:IW983099 A983028:A983099 WVI917492:WVI917563 WLM917492:WLM917563 WBQ917492:WBQ917563 VRU917492:VRU917563 VHY917492:VHY917563 UYC917492:UYC917563 UOG917492:UOG917563 UEK917492:UEK917563 TUO917492:TUO917563 TKS917492:TKS917563 TAW917492:TAW917563 SRA917492:SRA917563 SHE917492:SHE917563 RXI917492:RXI917563 RNM917492:RNM917563 RDQ917492:RDQ917563 QTU917492:QTU917563 QJY917492:QJY917563 QAC917492:QAC917563 PQG917492:PQG917563 PGK917492:PGK917563 OWO917492:OWO917563 OMS917492:OMS917563 OCW917492:OCW917563 NTA917492:NTA917563 NJE917492:NJE917563 MZI917492:MZI917563 MPM917492:MPM917563 MFQ917492:MFQ917563 LVU917492:LVU917563 LLY917492:LLY917563 LCC917492:LCC917563 KSG917492:KSG917563 KIK917492:KIK917563 JYO917492:JYO917563 JOS917492:JOS917563 JEW917492:JEW917563 IVA917492:IVA917563 ILE917492:ILE917563 IBI917492:IBI917563 HRM917492:HRM917563 HHQ917492:HHQ917563 GXU917492:GXU917563 GNY917492:GNY917563 GEC917492:GEC917563 FUG917492:FUG917563 FKK917492:FKK917563 FAO917492:FAO917563 EQS917492:EQS917563 EGW917492:EGW917563 DXA917492:DXA917563 DNE917492:DNE917563 DDI917492:DDI917563 CTM917492:CTM917563 CJQ917492:CJQ917563 BZU917492:BZU917563 BPY917492:BPY917563 BGC917492:BGC917563 AWG917492:AWG917563 AMK917492:AMK917563 ACO917492:ACO917563 SS917492:SS917563 IW917492:IW917563 A917492:A917563 WVI851956:WVI852027 WLM851956:WLM852027 WBQ851956:WBQ852027 VRU851956:VRU852027 VHY851956:VHY852027 UYC851956:UYC852027 UOG851956:UOG852027 UEK851956:UEK852027 TUO851956:TUO852027 TKS851956:TKS852027 TAW851956:TAW852027 SRA851956:SRA852027 SHE851956:SHE852027 RXI851956:RXI852027 RNM851956:RNM852027 RDQ851956:RDQ852027 QTU851956:QTU852027 QJY851956:QJY852027 QAC851956:QAC852027 PQG851956:PQG852027 PGK851956:PGK852027 OWO851956:OWO852027 OMS851956:OMS852027 OCW851956:OCW852027 NTA851956:NTA852027 NJE851956:NJE852027 MZI851956:MZI852027 MPM851956:MPM852027 MFQ851956:MFQ852027 LVU851956:LVU852027 LLY851956:LLY852027 LCC851956:LCC852027 KSG851956:KSG852027 KIK851956:KIK852027 JYO851956:JYO852027 JOS851956:JOS852027 JEW851956:JEW852027 IVA851956:IVA852027 ILE851956:ILE852027 IBI851956:IBI852027 HRM851956:HRM852027 HHQ851956:HHQ852027 GXU851956:GXU852027 GNY851956:GNY852027 GEC851956:GEC852027 FUG851956:FUG852027 FKK851956:FKK852027 FAO851956:FAO852027 EQS851956:EQS852027 EGW851956:EGW852027 DXA851956:DXA852027 DNE851956:DNE852027 DDI851956:DDI852027 CTM851956:CTM852027 CJQ851956:CJQ852027 BZU851956:BZU852027 BPY851956:BPY852027 BGC851956:BGC852027 AWG851956:AWG852027 AMK851956:AMK852027 ACO851956:ACO852027 SS851956:SS852027 IW851956:IW852027 A851956:A852027 WVI786420:WVI786491 WLM786420:WLM786491 WBQ786420:WBQ786491 VRU786420:VRU786491 VHY786420:VHY786491 UYC786420:UYC786491 UOG786420:UOG786491 UEK786420:UEK786491 TUO786420:TUO786491 TKS786420:TKS786491 TAW786420:TAW786491 SRA786420:SRA786491 SHE786420:SHE786491 RXI786420:RXI786491 RNM786420:RNM786491 RDQ786420:RDQ786491 QTU786420:QTU786491 QJY786420:QJY786491 QAC786420:QAC786491 PQG786420:PQG786491 PGK786420:PGK786491 OWO786420:OWO786491 OMS786420:OMS786491 OCW786420:OCW786491 NTA786420:NTA786491 NJE786420:NJE786491 MZI786420:MZI786491 MPM786420:MPM786491 MFQ786420:MFQ786491 LVU786420:LVU786491 LLY786420:LLY786491 LCC786420:LCC786491 KSG786420:KSG786491 KIK786420:KIK786491 JYO786420:JYO786491 JOS786420:JOS786491 JEW786420:JEW786491 IVA786420:IVA786491 ILE786420:ILE786491 IBI786420:IBI786491 HRM786420:HRM786491 HHQ786420:HHQ786491 GXU786420:GXU786491 GNY786420:GNY786491 GEC786420:GEC786491 FUG786420:FUG786491 FKK786420:FKK786491 FAO786420:FAO786491 EQS786420:EQS786491 EGW786420:EGW786491 DXA786420:DXA786491 DNE786420:DNE786491 DDI786420:DDI786491 CTM786420:CTM786491 CJQ786420:CJQ786491 BZU786420:BZU786491 BPY786420:BPY786491 BGC786420:BGC786491 AWG786420:AWG786491 AMK786420:AMK786491 ACO786420:ACO786491 SS786420:SS786491 IW786420:IW786491 A786420:A786491 WVI720884:WVI720955 WLM720884:WLM720955 WBQ720884:WBQ720955 VRU720884:VRU720955 VHY720884:VHY720955 UYC720884:UYC720955 UOG720884:UOG720955 UEK720884:UEK720955 TUO720884:TUO720955 TKS720884:TKS720955 TAW720884:TAW720955 SRA720884:SRA720955 SHE720884:SHE720955 RXI720884:RXI720955 RNM720884:RNM720955 RDQ720884:RDQ720955 QTU720884:QTU720955 QJY720884:QJY720955 QAC720884:QAC720955 PQG720884:PQG720955 PGK720884:PGK720955 OWO720884:OWO720955 OMS720884:OMS720955 OCW720884:OCW720955 NTA720884:NTA720955 NJE720884:NJE720955 MZI720884:MZI720955 MPM720884:MPM720955 MFQ720884:MFQ720955 LVU720884:LVU720955 LLY720884:LLY720955 LCC720884:LCC720955 KSG720884:KSG720955 KIK720884:KIK720955 JYO720884:JYO720955 JOS720884:JOS720955 JEW720884:JEW720955 IVA720884:IVA720955 ILE720884:ILE720955 IBI720884:IBI720955 HRM720884:HRM720955 HHQ720884:HHQ720955 GXU720884:GXU720955 GNY720884:GNY720955 GEC720884:GEC720955 FUG720884:FUG720955 FKK720884:FKK720955 FAO720884:FAO720955 EQS720884:EQS720955 EGW720884:EGW720955 DXA720884:DXA720955 DNE720884:DNE720955 DDI720884:DDI720955 CTM720884:CTM720955 CJQ720884:CJQ720955 BZU720884:BZU720955 BPY720884:BPY720955 BGC720884:BGC720955 AWG720884:AWG720955 AMK720884:AMK720955 ACO720884:ACO720955 SS720884:SS720955 IW720884:IW720955 A720884:A720955 WVI655348:WVI655419 WLM655348:WLM655419 WBQ655348:WBQ655419 VRU655348:VRU655419 VHY655348:VHY655419 UYC655348:UYC655419 UOG655348:UOG655419 UEK655348:UEK655419 TUO655348:TUO655419 TKS655348:TKS655419 TAW655348:TAW655419 SRA655348:SRA655419 SHE655348:SHE655419 RXI655348:RXI655419 RNM655348:RNM655419 RDQ655348:RDQ655419 QTU655348:QTU655419 QJY655348:QJY655419 QAC655348:QAC655419 PQG655348:PQG655419 PGK655348:PGK655419 OWO655348:OWO655419 OMS655348:OMS655419 OCW655348:OCW655419 NTA655348:NTA655419 NJE655348:NJE655419 MZI655348:MZI655419 MPM655348:MPM655419 MFQ655348:MFQ655419 LVU655348:LVU655419 LLY655348:LLY655419 LCC655348:LCC655419 KSG655348:KSG655419 KIK655348:KIK655419 JYO655348:JYO655419 JOS655348:JOS655419 JEW655348:JEW655419 IVA655348:IVA655419 ILE655348:ILE655419 IBI655348:IBI655419 HRM655348:HRM655419 HHQ655348:HHQ655419 GXU655348:GXU655419 GNY655348:GNY655419 GEC655348:GEC655419 FUG655348:FUG655419 FKK655348:FKK655419 FAO655348:FAO655419 EQS655348:EQS655419 EGW655348:EGW655419 DXA655348:DXA655419 DNE655348:DNE655419 DDI655348:DDI655419 CTM655348:CTM655419 CJQ655348:CJQ655419 BZU655348:BZU655419 BPY655348:BPY655419 BGC655348:BGC655419 AWG655348:AWG655419 AMK655348:AMK655419 ACO655348:ACO655419 SS655348:SS655419 IW655348:IW655419 A655348:A655419 WVI589812:WVI589883 WLM589812:WLM589883 WBQ589812:WBQ589883 VRU589812:VRU589883 VHY589812:VHY589883 UYC589812:UYC589883 UOG589812:UOG589883 UEK589812:UEK589883 TUO589812:TUO589883 TKS589812:TKS589883 TAW589812:TAW589883 SRA589812:SRA589883 SHE589812:SHE589883 RXI589812:RXI589883 RNM589812:RNM589883 RDQ589812:RDQ589883 QTU589812:QTU589883 QJY589812:QJY589883 QAC589812:QAC589883 PQG589812:PQG589883 PGK589812:PGK589883 OWO589812:OWO589883 OMS589812:OMS589883 OCW589812:OCW589883 NTA589812:NTA589883 NJE589812:NJE589883 MZI589812:MZI589883 MPM589812:MPM589883 MFQ589812:MFQ589883 LVU589812:LVU589883 LLY589812:LLY589883 LCC589812:LCC589883 KSG589812:KSG589883 KIK589812:KIK589883 JYO589812:JYO589883 JOS589812:JOS589883 JEW589812:JEW589883 IVA589812:IVA589883 ILE589812:ILE589883 IBI589812:IBI589883 HRM589812:HRM589883 HHQ589812:HHQ589883 GXU589812:GXU589883 GNY589812:GNY589883 GEC589812:GEC589883 FUG589812:FUG589883 FKK589812:FKK589883 FAO589812:FAO589883 EQS589812:EQS589883 EGW589812:EGW589883 DXA589812:DXA589883 DNE589812:DNE589883 DDI589812:DDI589883 CTM589812:CTM589883 CJQ589812:CJQ589883 BZU589812:BZU589883 BPY589812:BPY589883 BGC589812:BGC589883 AWG589812:AWG589883 AMK589812:AMK589883 ACO589812:ACO589883 SS589812:SS589883 IW589812:IW589883 A589812:A589883 WVI524276:WVI524347 WLM524276:WLM524347 WBQ524276:WBQ524347 VRU524276:VRU524347 VHY524276:VHY524347 UYC524276:UYC524347 UOG524276:UOG524347 UEK524276:UEK524347 TUO524276:TUO524347 TKS524276:TKS524347 TAW524276:TAW524347 SRA524276:SRA524347 SHE524276:SHE524347 RXI524276:RXI524347 RNM524276:RNM524347 RDQ524276:RDQ524347 QTU524276:QTU524347 QJY524276:QJY524347 QAC524276:QAC524347 PQG524276:PQG524347 PGK524276:PGK524347 OWO524276:OWO524347 OMS524276:OMS524347 OCW524276:OCW524347 NTA524276:NTA524347 NJE524276:NJE524347 MZI524276:MZI524347 MPM524276:MPM524347 MFQ524276:MFQ524347 LVU524276:LVU524347 LLY524276:LLY524347 LCC524276:LCC524347 KSG524276:KSG524347 KIK524276:KIK524347 JYO524276:JYO524347 JOS524276:JOS524347 JEW524276:JEW524347 IVA524276:IVA524347 ILE524276:ILE524347 IBI524276:IBI524347 HRM524276:HRM524347 HHQ524276:HHQ524347 GXU524276:GXU524347 GNY524276:GNY524347 GEC524276:GEC524347 FUG524276:FUG524347 FKK524276:FKK524347 FAO524276:FAO524347 EQS524276:EQS524347 EGW524276:EGW524347 DXA524276:DXA524347 DNE524276:DNE524347 DDI524276:DDI524347 CTM524276:CTM524347 CJQ524276:CJQ524347 BZU524276:BZU524347 BPY524276:BPY524347 BGC524276:BGC524347 AWG524276:AWG524347 AMK524276:AMK524347 ACO524276:ACO524347 SS524276:SS524347 IW524276:IW524347 A524276:A524347 WVI458740:WVI458811 WLM458740:WLM458811 WBQ458740:WBQ458811 VRU458740:VRU458811 VHY458740:VHY458811 UYC458740:UYC458811 UOG458740:UOG458811 UEK458740:UEK458811 TUO458740:TUO458811 TKS458740:TKS458811 TAW458740:TAW458811 SRA458740:SRA458811 SHE458740:SHE458811 RXI458740:RXI458811 RNM458740:RNM458811 RDQ458740:RDQ458811 QTU458740:QTU458811 QJY458740:QJY458811 QAC458740:QAC458811 PQG458740:PQG458811 PGK458740:PGK458811 OWO458740:OWO458811 OMS458740:OMS458811 OCW458740:OCW458811 NTA458740:NTA458811 NJE458740:NJE458811 MZI458740:MZI458811 MPM458740:MPM458811 MFQ458740:MFQ458811 LVU458740:LVU458811 LLY458740:LLY458811 LCC458740:LCC458811 KSG458740:KSG458811 KIK458740:KIK458811 JYO458740:JYO458811 JOS458740:JOS458811 JEW458740:JEW458811 IVA458740:IVA458811 ILE458740:ILE458811 IBI458740:IBI458811 HRM458740:HRM458811 HHQ458740:HHQ458811 GXU458740:GXU458811 GNY458740:GNY458811 GEC458740:GEC458811 FUG458740:FUG458811 FKK458740:FKK458811 FAO458740:FAO458811 EQS458740:EQS458811 EGW458740:EGW458811 DXA458740:DXA458811 DNE458740:DNE458811 DDI458740:DDI458811 CTM458740:CTM458811 CJQ458740:CJQ458811 BZU458740:BZU458811 BPY458740:BPY458811 BGC458740:BGC458811 AWG458740:AWG458811 AMK458740:AMK458811 ACO458740:ACO458811 SS458740:SS458811 IW458740:IW458811 A458740:A458811 WVI393204:WVI393275 WLM393204:WLM393275 WBQ393204:WBQ393275 VRU393204:VRU393275 VHY393204:VHY393275 UYC393204:UYC393275 UOG393204:UOG393275 UEK393204:UEK393275 TUO393204:TUO393275 TKS393204:TKS393275 TAW393204:TAW393275 SRA393204:SRA393275 SHE393204:SHE393275 RXI393204:RXI393275 RNM393204:RNM393275 RDQ393204:RDQ393275 QTU393204:QTU393275 QJY393204:QJY393275 QAC393204:QAC393275 PQG393204:PQG393275 PGK393204:PGK393275 OWO393204:OWO393275 OMS393204:OMS393275 OCW393204:OCW393275 NTA393204:NTA393275 NJE393204:NJE393275 MZI393204:MZI393275 MPM393204:MPM393275 MFQ393204:MFQ393275 LVU393204:LVU393275 LLY393204:LLY393275 LCC393204:LCC393275 KSG393204:KSG393275 KIK393204:KIK393275 JYO393204:JYO393275 JOS393204:JOS393275 JEW393204:JEW393275 IVA393204:IVA393275 ILE393204:ILE393275 IBI393204:IBI393275 HRM393204:HRM393275 HHQ393204:HHQ393275 GXU393204:GXU393275 GNY393204:GNY393275 GEC393204:GEC393275 FUG393204:FUG393275 FKK393204:FKK393275 FAO393204:FAO393275 EQS393204:EQS393275 EGW393204:EGW393275 DXA393204:DXA393275 DNE393204:DNE393275 DDI393204:DDI393275 CTM393204:CTM393275 CJQ393204:CJQ393275 BZU393204:BZU393275 BPY393204:BPY393275 BGC393204:BGC393275 AWG393204:AWG393275 AMK393204:AMK393275 ACO393204:ACO393275 SS393204:SS393275 IW393204:IW393275 A393204:A393275 WVI327668:WVI327739 WLM327668:WLM327739 WBQ327668:WBQ327739 VRU327668:VRU327739 VHY327668:VHY327739 UYC327668:UYC327739 UOG327668:UOG327739 UEK327668:UEK327739 TUO327668:TUO327739 TKS327668:TKS327739 TAW327668:TAW327739 SRA327668:SRA327739 SHE327668:SHE327739 RXI327668:RXI327739 RNM327668:RNM327739 RDQ327668:RDQ327739 QTU327668:QTU327739 QJY327668:QJY327739 QAC327668:QAC327739 PQG327668:PQG327739 PGK327668:PGK327739 OWO327668:OWO327739 OMS327668:OMS327739 OCW327668:OCW327739 NTA327668:NTA327739 NJE327668:NJE327739 MZI327668:MZI327739 MPM327668:MPM327739 MFQ327668:MFQ327739 LVU327668:LVU327739 LLY327668:LLY327739 LCC327668:LCC327739 KSG327668:KSG327739 KIK327668:KIK327739 JYO327668:JYO327739 JOS327668:JOS327739 JEW327668:JEW327739 IVA327668:IVA327739 ILE327668:ILE327739 IBI327668:IBI327739 HRM327668:HRM327739 HHQ327668:HHQ327739 GXU327668:GXU327739 GNY327668:GNY327739 GEC327668:GEC327739 FUG327668:FUG327739 FKK327668:FKK327739 FAO327668:FAO327739 EQS327668:EQS327739 EGW327668:EGW327739 DXA327668:DXA327739 DNE327668:DNE327739 DDI327668:DDI327739 CTM327668:CTM327739 CJQ327668:CJQ327739 BZU327668:BZU327739 BPY327668:BPY327739 BGC327668:BGC327739 AWG327668:AWG327739 AMK327668:AMK327739 ACO327668:ACO327739 SS327668:SS327739 IW327668:IW327739 A327668:A327739 WVI262132:WVI262203 WLM262132:WLM262203 WBQ262132:WBQ262203 VRU262132:VRU262203 VHY262132:VHY262203 UYC262132:UYC262203 UOG262132:UOG262203 UEK262132:UEK262203 TUO262132:TUO262203 TKS262132:TKS262203 TAW262132:TAW262203 SRA262132:SRA262203 SHE262132:SHE262203 RXI262132:RXI262203 RNM262132:RNM262203 RDQ262132:RDQ262203 QTU262132:QTU262203 QJY262132:QJY262203 QAC262132:QAC262203 PQG262132:PQG262203 PGK262132:PGK262203 OWO262132:OWO262203 OMS262132:OMS262203 OCW262132:OCW262203 NTA262132:NTA262203 NJE262132:NJE262203 MZI262132:MZI262203 MPM262132:MPM262203 MFQ262132:MFQ262203 LVU262132:LVU262203 LLY262132:LLY262203 LCC262132:LCC262203 KSG262132:KSG262203 KIK262132:KIK262203 JYO262132:JYO262203 JOS262132:JOS262203 JEW262132:JEW262203 IVA262132:IVA262203 ILE262132:ILE262203 IBI262132:IBI262203 HRM262132:HRM262203 HHQ262132:HHQ262203 GXU262132:GXU262203 GNY262132:GNY262203 GEC262132:GEC262203 FUG262132:FUG262203 FKK262132:FKK262203 FAO262132:FAO262203 EQS262132:EQS262203 EGW262132:EGW262203 DXA262132:DXA262203 DNE262132:DNE262203 DDI262132:DDI262203 CTM262132:CTM262203 CJQ262132:CJQ262203 BZU262132:BZU262203 BPY262132:BPY262203 BGC262132:BGC262203 AWG262132:AWG262203 AMK262132:AMK262203 ACO262132:ACO262203 SS262132:SS262203 IW262132:IW262203 A262132:A262203 WVI196596:WVI196667 WLM196596:WLM196667 WBQ196596:WBQ196667 VRU196596:VRU196667 VHY196596:VHY196667 UYC196596:UYC196667 UOG196596:UOG196667 UEK196596:UEK196667 TUO196596:TUO196667 TKS196596:TKS196667 TAW196596:TAW196667 SRA196596:SRA196667 SHE196596:SHE196667 RXI196596:RXI196667 RNM196596:RNM196667 RDQ196596:RDQ196667 QTU196596:QTU196667 QJY196596:QJY196667 QAC196596:QAC196667 PQG196596:PQG196667 PGK196596:PGK196667 OWO196596:OWO196667 OMS196596:OMS196667 OCW196596:OCW196667 NTA196596:NTA196667 NJE196596:NJE196667 MZI196596:MZI196667 MPM196596:MPM196667 MFQ196596:MFQ196667 LVU196596:LVU196667 LLY196596:LLY196667 LCC196596:LCC196667 KSG196596:KSG196667 KIK196596:KIK196667 JYO196596:JYO196667 JOS196596:JOS196667 JEW196596:JEW196667 IVA196596:IVA196667 ILE196596:ILE196667 IBI196596:IBI196667 HRM196596:HRM196667 HHQ196596:HHQ196667 GXU196596:GXU196667 GNY196596:GNY196667 GEC196596:GEC196667 FUG196596:FUG196667 FKK196596:FKK196667 FAO196596:FAO196667 EQS196596:EQS196667 EGW196596:EGW196667 DXA196596:DXA196667 DNE196596:DNE196667 DDI196596:DDI196667 CTM196596:CTM196667 CJQ196596:CJQ196667 BZU196596:BZU196667 BPY196596:BPY196667 BGC196596:BGC196667 AWG196596:AWG196667 AMK196596:AMK196667 ACO196596:ACO196667 SS196596:SS196667 IW196596:IW196667 A196596:A196667 WVI131060:WVI131131 WLM131060:WLM131131 WBQ131060:WBQ131131 VRU131060:VRU131131 VHY131060:VHY131131 UYC131060:UYC131131 UOG131060:UOG131131 UEK131060:UEK131131 TUO131060:TUO131131 TKS131060:TKS131131 TAW131060:TAW131131 SRA131060:SRA131131 SHE131060:SHE131131 RXI131060:RXI131131 RNM131060:RNM131131 RDQ131060:RDQ131131 QTU131060:QTU131131 QJY131060:QJY131131 QAC131060:QAC131131 PQG131060:PQG131131 PGK131060:PGK131131 OWO131060:OWO131131 OMS131060:OMS131131 OCW131060:OCW131131 NTA131060:NTA131131 NJE131060:NJE131131 MZI131060:MZI131131 MPM131060:MPM131131 MFQ131060:MFQ131131 LVU131060:LVU131131 LLY131060:LLY131131 LCC131060:LCC131131 KSG131060:KSG131131 KIK131060:KIK131131 JYO131060:JYO131131 JOS131060:JOS131131 JEW131060:JEW131131 IVA131060:IVA131131 ILE131060:ILE131131 IBI131060:IBI131131 HRM131060:HRM131131 HHQ131060:HHQ131131 GXU131060:GXU131131 GNY131060:GNY131131 GEC131060:GEC131131 FUG131060:FUG131131 FKK131060:FKK131131 FAO131060:FAO131131 EQS131060:EQS131131 EGW131060:EGW131131 DXA131060:DXA131131 DNE131060:DNE131131 DDI131060:DDI131131 CTM131060:CTM131131 CJQ131060:CJQ131131 BZU131060:BZU131131 BPY131060:BPY131131 BGC131060:BGC131131 AWG131060:AWG131131 AMK131060:AMK131131 ACO131060:ACO131131 SS131060:SS131131 IW131060:IW131131 A131060:A131131 WVI65524:WVI65595 WLM65524:WLM65595 WBQ65524:WBQ65595 VRU65524:VRU65595 VHY65524:VHY65595 UYC65524:UYC65595 UOG65524:UOG65595 UEK65524:UEK65595 TUO65524:TUO65595 TKS65524:TKS65595 TAW65524:TAW65595 SRA65524:SRA65595 SHE65524:SHE65595 RXI65524:RXI65595 RNM65524:RNM65595 RDQ65524:RDQ65595 QTU65524:QTU65595 QJY65524:QJY65595 QAC65524:QAC65595 PQG65524:PQG65595 PGK65524:PGK65595 OWO65524:OWO65595 OMS65524:OMS65595 OCW65524:OCW65595 NTA65524:NTA65595 NJE65524:NJE65595 MZI65524:MZI65595 MPM65524:MPM65595 MFQ65524:MFQ65595 LVU65524:LVU65595 LLY65524:LLY65595 LCC65524:LCC65595 KSG65524:KSG65595 KIK65524:KIK65595 JYO65524:JYO65595 JOS65524:JOS65595 JEW65524:JEW65595 IVA65524:IVA65595 ILE65524:ILE65595 IBI65524:IBI65595 HRM65524:HRM65595 HHQ65524:HHQ65595 GXU65524:GXU65595 GNY65524:GNY65595 GEC65524:GEC65595 FUG65524:FUG65595 FKK65524:FKK65595 FAO65524:FAO65595 EQS65524:EQS65595 EGW65524:EGW65595 DXA65524:DXA65595 DNE65524:DNE65595 DDI65524:DDI65595 CTM65524:CTM65595 CJQ65524:CJQ65595 BZU65524:BZU65595 BPY65524:BPY65595 BGC65524:BGC65595 AWG65524:AWG65595 AMK65524:AMK65595 ACO65524:ACO65595 SS65524:SS65595 IW65524:IW65595 A65524:A65595 WVI983028:WVI983099 WVI1047389:WVI1047454 WLM1047389:WLM1047454 WBQ1047389:WBQ1047454 VRU1047389:VRU1047454 VHY1047389:VHY1047454 UYC1047389:UYC1047454 UOG1047389:UOG1047454 UEK1047389:UEK1047454 TUO1047389:TUO1047454 TKS1047389:TKS1047454 TAW1047389:TAW1047454 SRA1047389:SRA1047454 SHE1047389:SHE1047454 RXI1047389:RXI1047454 RNM1047389:RNM1047454 RDQ1047389:RDQ1047454 QTU1047389:QTU1047454 QJY1047389:QJY1047454 QAC1047389:QAC1047454 PQG1047389:PQG1047454 PGK1047389:PGK1047454 OWO1047389:OWO1047454 OMS1047389:OMS1047454 OCW1047389:OCW1047454 NTA1047389:NTA1047454 NJE1047389:NJE1047454 MZI1047389:MZI1047454 MPM1047389:MPM1047454 MFQ1047389:MFQ1047454 LVU1047389:LVU1047454 LLY1047389:LLY1047454 LCC1047389:LCC1047454 KSG1047389:KSG1047454 KIK1047389:KIK1047454 JYO1047389:JYO1047454 JOS1047389:JOS1047454 JEW1047389:JEW1047454 IVA1047389:IVA1047454 ILE1047389:ILE1047454 IBI1047389:IBI1047454 HRM1047389:HRM1047454 HHQ1047389:HHQ1047454 GXU1047389:GXU1047454 GNY1047389:GNY1047454 GEC1047389:GEC1047454 FUG1047389:FUG1047454 FKK1047389:FKK1047454 FAO1047389:FAO1047454 EQS1047389:EQS1047454 EGW1047389:EGW1047454 DXA1047389:DXA1047454 DNE1047389:DNE1047454 DDI1047389:DDI1047454 CTM1047389:CTM1047454 CJQ1047389:CJQ1047454 BZU1047389:BZU1047454 BPY1047389:BPY1047454 BGC1047389:BGC1047454 AWG1047389:AWG1047454 AMK1047389:AMK1047454 ACO1047389:ACO1047454 SS1047389:SS1047454 IW1047389:IW1047454 A1047389:A1047454 WVI981853:WVI981918 WLM981853:WLM981918 WBQ981853:WBQ981918 VRU981853:VRU981918 VHY981853:VHY981918 UYC981853:UYC981918 UOG981853:UOG981918 UEK981853:UEK981918 TUO981853:TUO981918 TKS981853:TKS981918 TAW981853:TAW981918 SRA981853:SRA981918 SHE981853:SHE981918 RXI981853:RXI981918 RNM981853:RNM981918 RDQ981853:RDQ981918 QTU981853:QTU981918 QJY981853:QJY981918 QAC981853:QAC981918 PQG981853:PQG981918 PGK981853:PGK981918 OWO981853:OWO981918 OMS981853:OMS981918 OCW981853:OCW981918 NTA981853:NTA981918 NJE981853:NJE981918 MZI981853:MZI981918 MPM981853:MPM981918 MFQ981853:MFQ981918 LVU981853:LVU981918 LLY981853:LLY981918 LCC981853:LCC981918 KSG981853:KSG981918 KIK981853:KIK981918 JYO981853:JYO981918 JOS981853:JOS981918 JEW981853:JEW981918 IVA981853:IVA981918 ILE981853:ILE981918 IBI981853:IBI981918 HRM981853:HRM981918 HHQ981853:HHQ981918 GXU981853:GXU981918 GNY981853:GNY981918 GEC981853:GEC981918 FUG981853:FUG981918 FKK981853:FKK981918 FAO981853:FAO981918 EQS981853:EQS981918 EGW981853:EGW981918 DXA981853:DXA981918 DNE981853:DNE981918 DDI981853:DDI981918 CTM981853:CTM981918 CJQ981853:CJQ981918 BZU981853:BZU981918 BPY981853:BPY981918 BGC981853:BGC981918 AWG981853:AWG981918 AMK981853:AMK981918 ACO981853:ACO981918 SS981853:SS981918 IW981853:IW981918 A981853:A981918 WVI916317:WVI916382 WLM916317:WLM916382 WBQ916317:WBQ916382 VRU916317:VRU916382 VHY916317:VHY916382 UYC916317:UYC916382 UOG916317:UOG916382 UEK916317:UEK916382 TUO916317:TUO916382 TKS916317:TKS916382 TAW916317:TAW916382 SRA916317:SRA916382 SHE916317:SHE916382 RXI916317:RXI916382 RNM916317:RNM916382 RDQ916317:RDQ916382 QTU916317:QTU916382 QJY916317:QJY916382 QAC916317:QAC916382 PQG916317:PQG916382 PGK916317:PGK916382 OWO916317:OWO916382 OMS916317:OMS916382 OCW916317:OCW916382 NTA916317:NTA916382 NJE916317:NJE916382 MZI916317:MZI916382 MPM916317:MPM916382 MFQ916317:MFQ916382 LVU916317:LVU916382 LLY916317:LLY916382 LCC916317:LCC916382 KSG916317:KSG916382 KIK916317:KIK916382 JYO916317:JYO916382 JOS916317:JOS916382 JEW916317:JEW916382 IVA916317:IVA916382 ILE916317:ILE916382 IBI916317:IBI916382 HRM916317:HRM916382 HHQ916317:HHQ916382 GXU916317:GXU916382 GNY916317:GNY916382 GEC916317:GEC916382 FUG916317:FUG916382 FKK916317:FKK916382 FAO916317:FAO916382 EQS916317:EQS916382 EGW916317:EGW916382 DXA916317:DXA916382 DNE916317:DNE916382 DDI916317:DDI916382 CTM916317:CTM916382 CJQ916317:CJQ916382 BZU916317:BZU916382 BPY916317:BPY916382 BGC916317:BGC916382 AWG916317:AWG916382 AMK916317:AMK916382 ACO916317:ACO916382 SS916317:SS916382 IW916317:IW916382 A916317:A916382 WVI850781:WVI850846 WLM850781:WLM850846 WBQ850781:WBQ850846 VRU850781:VRU850846 VHY850781:VHY850846 UYC850781:UYC850846 UOG850781:UOG850846 UEK850781:UEK850846 TUO850781:TUO850846 TKS850781:TKS850846 TAW850781:TAW850846 SRA850781:SRA850846 SHE850781:SHE850846 RXI850781:RXI850846 RNM850781:RNM850846 RDQ850781:RDQ850846 QTU850781:QTU850846 QJY850781:QJY850846 QAC850781:QAC850846 PQG850781:PQG850846 PGK850781:PGK850846 OWO850781:OWO850846 OMS850781:OMS850846 OCW850781:OCW850846 NTA850781:NTA850846 NJE850781:NJE850846 MZI850781:MZI850846 MPM850781:MPM850846 MFQ850781:MFQ850846 LVU850781:LVU850846 LLY850781:LLY850846 LCC850781:LCC850846 KSG850781:KSG850846 KIK850781:KIK850846 JYO850781:JYO850846 JOS850781:JOS850846 JEW850781:JEW850846 IVA850781:IVA850846 ILE850781:ILE850846 IBI850781:IBI850846 HRM850781:HRM850846 HHQ850781:HHQ850846 GXU850781:GXU850846 GNY850781:GNY850846 GEC850781:GEC850846 FUG850781:FUG850846 FKK850781:FKK850846 FAO850781:FAO850846 EQS850781:EQS850846 EGW850781:EGW850846 DXA850781:DXA850846 DNE850781:DNE850846 DDI850781:DDI850846 CTM850781:CTM850846 CJQ850781:CJQ850846 BZU850781:BZU850846 BPY850781:BPY850846 BGC850781:BGC850846 AWG850781:AWG850846 AMK850781:AMK850846 ACO850781:ACO850846 SS850781:SS850846 IW850781:IW850846 A850781:A850846 WVI785245:WVI785310 WLM785245:WLM785310 WBQ785245:WBQ785310 VRU785245:VRU785310 VHY785245:VHY785310 UYC785245:UYC785310 UOG785245:UOG785310 UEK785245:UEK785310 TUO785245:TUO785310 TKS785245:TKS785310 TAW785245:TAW785310 SRA785245:SRA785310 SHE785245:SHE785310 RXI785245:RXI785310 RNM785245:RNM785310 RDQ785245:RDQ785310 QTU785245:QTU785310 QJY785245:QJY785310 QAC785245:QAC785310 PQG785245:PQG785310 PGK785245:PGK785310 OWO785245:OWO785310 OMS785245:OMS785310 OCW785245:OCW785310 NTA785245:NTA785310 NJE785245:NJE785310 MZI785245:MZI785310 MPM785245:MPM785310 MFQ785245:MFQ785310 LVU785245:LVU785310 LLY785245:LLY785310 LCC785245:LCC785310 KSG785245:KSG785310 KIK785245:KIK785310 JYO785245:JYO785310 JOS785245:JOS785310 JEW785245:JEW785310 IVA785245:IVA785310 ILE785245:ILE785310 IBI785245:IBI785310 HRM785245:HRM785310 HHQ785245:HHQ785310 GXU785245:GXU785310 GNY785245:GNY785310 GEC785245:GEC785310 FUG785245:FUG785310 FKK785245:FKK785310 FAO785245:FAO785310 EQS785245:EQS785310 EGW785245:EGW785310 DXA785245:DXA785310 DNE785245:DNE785310 DDI785245:DDI785310 CTM785245:CTM785310 CJQ785245:CJQ785310 BZU785245:BZU785310 BPY785245:BPY785310 BGC785245:BGC785310 AWG785245:AWG785310 AMK785245:AMK785310 ACO785245:ACO785310 SS785245:SS785310 IW785245:IW785310 A785245:A785310 WVI719709:WVI719774 WLM719709:WLM719774 WBQ719709:WBQ719774 VRU719709:VRU719774 VHY719709:VHY719774 UYC719709:UYC719774 UOG719709:UOG719774 UEK719709:UEK719774 TUO719709:TUO719774 TKS719709:TKS719774 TAW719709:TAW719774 SRA719709:SRA719774 SHE719709:SHE719774 RXI719709:RXI719774 RNM719709:RNM719774 RDQ719709:RDQ719774 QTU719709:QTU719774 QJY719709:QJY719774 QAC719709:QAC719774 PQG719709:PQG719774 PGK719709:PGK719774 OWO719709:OWO719774 OMS719709:OMS719774 OCW719709:OCW719774 NTA719709:NTA719774 NJE719709:NJE719774 MZI719709:MZI719774 MPM719709:MPM719774 MFQ719709:MFQ719774 LVU719709:LVU719774 LLY719709:LLY719774 LCC719709:LCC719774 KSG719709:KSG719774 KIK719709:KIK719774 JYO719709:JYO719774 JOS719709:JOS719774 JEW719709:JEW719774 IVA719709:IVA719774 ILE719709:ILE719774 IBI719709:IBI719774 HRM719709:HRM719774 HHQ719709:HHQ719774 GXU719709:GXU719774 GNY719709:GNY719774 GEC719709:GEC719774 FUG719709:FUG719774 FKK719709:FKK719774 FAO719709:FAO719774 EQS719709:EQS719774 EGW719709:EGW719774 DXA719709:DXA719774 DNE719709:DNE719774 DDI719709:DDI719774 CTM719709:CTM719774 CJQ719709:CJQ719774 BZU719709:BZU719774 BPY719709:BPY719774 BGC719709:BGC719774 AWG719709:AWG719774 AMK719709:AMK719774 ACO719709:ACO719774 SS719709:SS719774 IW719709:IW719774 A719709:A719774 WVI654173:WVI654238 WLM654173:WLM654238 WBQ654173:WBQ654238 VRU654173:VRU654238 VHY654173:VHY654238 UYC654173:UYC654238 UOG654173:UOG654238 UEK654173:UEK654238 TUO654173:TUO654238 TKS654173:TKS654238 TAW654173:TAW654238 SRA654173:SRA654238 SHE654173:SHE654238 RXI654173:RXI654238 RNM654173:RNM654238 RDQ654173:RDQ654238 QTU654173:QTU654238 QJY654173:QJY654238 QAC654173:QAC654238 PQG654173:PQG654238 PGK654173:PGK654238 OWO654173:OWO654238 OMS654173:OMS654238 OCW654173:OCW654238 NTA654173:NTA654238 NJE654173:NJE654238 MZI654173:MZI654238 MPM654173:MPM654238 MFQ654173:MFQ654238 LVU654173:LVU654238 LLY654173:LLY654238 LCC654173:LCC654238 KSG654173:KSG654238 KIK654173:KIK654238 JYO654173:JYO654238 JOS654173:JOS654238 JEW654173:JEW654238 IVA654173:IVA654238 ILE654173:ILE654238 IBI654173:IBI654238 HRM654173:HRM654238 HHQ654173:HHQ654238 GXU654173:GXU654238 GNY654173:GNY654238 GEC654173:GEC654238 FUG654173:FUG654238 FKK654173:FKK654238 FAO654173:FAO654238 EQS654173:EQS654238 EGW654173:EGW654238 DXA654173:DXA654238 DNE654173:DNE654238 DDI654173:DDI654238 CTM654173:CTM654238 CJQ654173:CJQ654238 BZU654173:BZU654238 BPY654173:BPY654238 BGC654173:BGC654238 AWG654173:AWG654238 AMK654173:AMK654238 ACO654173:ACO654238 SS654173:SS654238 IW654173:IW654238 A654173:A654238 WVI588637:WVI588702 WLM588637:WLM588702 WBQ588637:WBQ588702 VRU588637:VRU588702 VHY588637:VHY588702 UYC588637:UYC588702 UOG588637:UOG588702 UEK588637:UEK588702 TUO588637:TUO588702 TKS588637:TKS588702 TAW588637:TAW588702 SRA588637:SRA588702 SHE588637:SHE588702 RXI588637:RXI588702 RNM588637:RNM588702 RDQ588637:RDQ588702 QTU588637:QTU588702 QJY588637:QJY588702 QAC588637:QAC588702 PQG588637:PQG588702 PGK588637:PGK588702 OWO588637:OWO588702 OMS588637:OMS588702 OCW588637:OCW588702 NTA588637:NTA588702 NJE588637:NJE588702 MZI588637:MZI588702 MPM588637:MPM588702 MFQ588637:MFQ588702 LVU588637:LVU588702 LLY588637:LLY588702 LCC588637:LCC588702 KSG588637:KSG588702 KIK588637:KIK588702 JYO588637:JYO588702 JOS588637:JOS588702 JEW588637:JEW588702 IVA588637:IVA588702 ILE588637:ILE588702 IBI588637:IBI588702 HRM588637:HRM588702 HHQ588637:HHQ588702 GXU588637:GXU588702 GNY588637:GNY588702 GEC588637:GEC588702 FUG588637:FUG588702 FKK588637:FKK588702 FAO588637:FAO588702 EQS588637:EQS588702 EGW588637:EGW588702 DXA588637:DXA588702 DNE588637:DNE588702 DDI588637:DDI588702 CTM588637:CTM588702 CJQ588637:CJQ588702 BZU588637:BZU588702 BPY588637:BPY588702 BGC588637:BGC588702 AWG588637:AWG588702 AMK588637:AMK588702 ACO588637:ACO588702 SS588637:SS588702 IW588637:IW588702 A588637:A588702 WVI523101:WVI523166 WLM523101:WLM523166 WBQ523101:WBQ523166 VRU523101:VRU523166 VHY523101:VHY523166 UYC523101:UYC523166 UOG523101:UOG523166 UEK523101:UEK523166 TUO523101:TUO523166 TKS523101:TKS523166 TAW523101:TAW523166 SRA523101:SRA523166 SHE523101:SHE523166 RXI523101:RXI523166 RNM523101:RNM523166 RDQ523101:RDQ523166 QTU523101:QTU523166 QJY523101:QJY523166 QAC523101:QAC523166 PQG523101:PQG523166 PGK523101:PGK523166 OWO523101:OWO523166 OMS523101:OMS523166 OCW523101:OCW523166 NTA523101:NTA523166 NJE523101:NJE523166 MZI523101:MZI523166 MPM523101:MPM523166 MFQ523101:MFQ523166 LVU523101:LVU523166 LLY523101:LLY523166 LCC523101:LCC523166 KSG523101:KSG523166 KIK523101:KIK523166 JYO523101:JYO523166 JOS523101:JOS523166 JEW523101:JEW523166 IVA523101:IVA523166 ILE523101:ILE523166 IBI523101:IBI523166 HRM523101:HRM523166 HHQ523101:HHQ523166 GXU523101:GXU523166 GNY523101:GNY523166 GEC523101:GEC523166 FUG523101:FUG523166 FKK523101:FKK523166 FAO523101:FAO523166 EQS523101:EQS523166 EGW523101:EGW523166 DXA523101:DXA523166 DNE523101:DNE523166 DDI523101:DDI523166 CTM523101:CTM523166 CJQ523101:CJQ523166 BZU523101:BZU523166 BPY523101:BPY523166 BGC523101:BGC523166 AWG523101:AWG523166 AMK523101:AMK523166 ACO523101:ACO523166 SS523101:SS523166 IW523101:IW523166 A523101:A523166 WVI457565:WVI457630 WLM457565:WLM457630 WBQ457565:WBQ457630 VRU457565:VRU457630 VHY457565:VHY457630 UYC457565:UYC457630 UOG457565:UOG457630 UEK457565:UEK457630 TUO457565:TUO457630 TKS457565:TKS457630 TAW457565:TAW457630 SRA457565:SRA457630 SHE457565:SHE457630 RXI457565:RXI457630 RNM457565:RNM457630 RDQ457565:RDQ457630 QTU457565:QTU457630 QJY457565:QJY457630 QAC457565:QAC457630 PQG457565:PQG457630 PGK457565:PGK457630 OWO457565:OWO457630 OMS457565:OMS457630 OCW457565:OCW457630 NTA457565:NTA457630 NJE457565:NJE457630 MZI457565:MZI457630 MPM457565:MPM457630 MFQ457565:MFQ457630 LVU457565:LVU457630 LLY457565:LLY457630 LCC457565:LCC457630 KSG457565:KSG457630 KIK457565:KIK457630 JYO457565:JYO457630 JOS457565:JOS457630 JEW457565:JEW457630 IVA457565:IVA457630 ILE457565:ILE457630 IBI457565:IBI457630 HRM457565:HRM457630 HHQ457565:HHQ457630 GXU457565:GXU457630 GNY457565:GNY457630 GEC457565:GEC457630 FUG457565:FUG457630 FKK457565:FKK457630 FAO457565:FAO457630 EQS457565:EQS457630 EGW457565:EGW457630 DXA457565:DXA457630 DNE457565:DNE457630 DDI457565:DDI457630 CTM457565:CTM457630 CJQ457565:CJQ457630 BZU457565:BZU457630 BPY457565:BPY457630 BGC457565:BGC457630 AWG457565:AWG457630 AMK457565:AMK457630 ACO457565:ACO457630 SS457565:SS457630 IW457565:IW457630 A457565:A457630 WVI392029:WVI392094 WLM392029:WLM392094 WBQ392029:WBQ392094 VRU392029:VRU392094 VHY392029:VHY392094 UYC392029:UYC392094 UOG392029:UOG392094 UEK392029:UEK392094 TUO392029:TUO392094 TKS392029:TKS392094 TAW392029:TAW392094 SRA392029:SRA392094 SHE392029:SHE392094 RXI392029:RXI392094 RNM392029:RNM392094 RDQ392029:RDQ392094 QTU392029:QTU392094 QJY392029:QJY392094 QAC392029:QAC392094 PQG392029:PQG392094 PGK392029:PGK392094 OWO392029:OWO392094 OMS392029:OMS392094 OCW392029:OCW392094 NTA392029:NTA392094 NJE392029:NJE392094 MZI392029:MZI392094 MPM392029:MPM392094 MFQ392029:MFQ392094 LVU392029:LVU392094 LLY392029:LLY392094 LCC392029:LCC392094 KSG392029:KSG392094 KIK392029:KIK392094 JYO392029:JYO392094 JOS392029:JOS392094 JEW392029:JEW392094 IVA392029:IVA392094 ILE392029:ILE392094 IBI392029:IBI392094 HRM392029:HRM392094 HHQ392029:HHQ392094 GXU392029:GXU392094 GNY392029:GNY392094 GEC392029:GEC392094 FUG392029:FUG392094 FKK392029:FKK392094 FAO392029:FAO392094 EQS392029:EQS392094 EGW392029:EGW392094 DXA392029:DXA392094 DNE392029:DNE392094 DDI392029:DDI392094 CTM392029:CTM392094 CJQ392029:CJQ392094 BZU392029:BZU392094 BPY392029:BPY392094 BGC392029:BGC392094 AWG392029:AWG392094 AMK392029:AMK392094 ACO392029:ACO392094 SS392029:SS392094 IW392029:IW392094 A392029:A392094 WVI326493:WVI326558 WLM326493:WLM326558 WBQ326493:WBQ326558 VRU326493:VRU326558 VHY326493:VHY326558 UYC326493:UYC326558 UOG326493:UOG326558 UEK326493:UEK326558 TUO326493:TUO326558 TKS326493:TKS326558 TAW326493:TAW326558 SRA326493:SRA326558 SHE326493:SHE326558 RXI326493:RXI326558 RNM326493:RNM326558 RDQ326493:RDQ326558 QTU326493:QTU326558 QJY326493:QJY326558 QAC326493:QAC326558 PQG326493:PQG326558 PGK326493:PGK326558 OWO326493:OWO326558 OMS326493:OMS326558 OCW326493:OCW326558 NTA326493:NTA326558 NJE326493:NJE326558 MZI326493:MZI326558 MPM326493:MPM326558 MFQ326493:MFQ326558 LVU326493:LVU326558 LLY326493:LLY326558 LCC326493:LCC326558 KSG326493:KSG326558 KIK326493:KIK326558 JYO326493:JYO326558 JOS326493:JOS326558 JEW326493:JEW326558 IVA326493:IVA326558 ILE326493:ILE326558 IBI326493:IBI326558 HRM326493:HRM326558 HHQ326493:HHQ326558 GXU326493:GXU326558 GNY326493:GNY326558 GEC326493:GEC326558 FUG326493:FUG326558 FKK326493:FKK326558 FAO326493:FAO326558 EQS326493:EQS326558 EGW326493:EGW326558 DXA326493:DXA326558 DNE326493:DNE326558 DDI326493:DDI326558 CTM326493:CTM326558 CJQ326493:CJQ326558 BZU326493:BZU326558 BPY326493:BPY326558 BGC326493:BGC326558 AWG326493:AWG326558 AMK326493:AMK326558 ACO326493:ACO326558 SS326493:SS326558 IW326493:IW326558 A326493:A326558 WVI260957:WVI261022 WLM260957:WLM261022 WBQ260957:WBQ261022 VRU260957:VRU261022 VHY260957:VHY261022 UYC260957:UYC261022 UOG260957:UOG261022 UEK260957:UEK261022 TUO260957:TUO261022 TKS260957:TKS261022 TAW260957:TAW261022 SRA260957:SRA261022 SHE260957:SHE261022 RXI260957:RXI261022 RNM260957:RNM261022 RDQ260957:RDQ261022 QTU260957:QTU261022 QJY260957:QJY261022 QAC260957:QAC261022 PQG260957:PQG261022 PGK260957:PGK261022 OWO260957:OWO261022 OMS260957:OMS261022 OCW260957:OCW261022 NTA260957:NTA261022 NJE260957:NJE261022 MZI260957:MZI261022 MPM260957:MPM261022 MFQ260957:MFQ261022 LVU260957:LVU261022 LLY260957:LLY261022 LCC260957:LCC261022 KSG260957:KSG261022 KIK260957:KIK261022 JYO260957:JYO261022 JOS260957:JOS261022 JEW260957:JEW261022 IVA260957:IVA261022 ILE260957:ILE261022 IBI260957:IBI261022 HRM260957:HRM261022 HHQ260957:HHQ261022 GXU260957:GXU261022 GNY260957:GNY261022 GEC260957:GEC261022 FUG260957:FUG261022 FKK260957:FKK261022 FAO260957:FAO261022 EQS260957:EQS261022 EGW260957:EGW261022 DXA260957:DXA261022 DNE260957:DNE261022 DDI260957:DDI261022 CTM260957:CTM261022 CJQ260957:CJQ261022 BZU260957:BZU261022 BPY260957:BPY261022 BGC260957:BGC261022 AWG260957:AWG261022 AMK260957:AMK261022 ACO260957:ACO261022 SS260957:SS261022 IW260957:IW261022 A260957:A261022 WVI195421:WVI195486 WLM195421:WLM195486 WBQ195421:WBQ195486 VRU195421:VRU195486 VHY195421:VHY195486 UYC195421:UYC195486 UOG195421:UOG195486 UEK195421:UEK195486 TUO195421:TUO195486 TKS195421:TKS195486 TAW195421:TAW195486 SRA195421:SRA195486 SHE195421:SHE195486 RXI195421:RXI195486 RNM195421:RNM195486 RDQ195421:RDQ195486 QTU195421:QTU195486 QJY195421:QJY195486 QAC195421:QAC195486 PQG195421:PQG195486 PGK195421:PGK195486 OWO195421:OWO195486 OMS195421:OMS195486 OCW195421:OCW195486 NTA195421:NTA195486 NJE195421:NJE195486 MZI195421:MZI195486 MPM195421:MPM195486 MFQ195421:MFQ195486 LVU195421:LVU195486 LLY195421:LLY195486 LCC195421:LCC195486 KSG195421:KSG195486 KIK195421:KIK195486 JYO195421:JYO195486 JOS195421:JOS195486 JEW195421:JEW195486 IVA195421:IVA195486 ILE195421:ILE195486 IBI195421:IBI195486 HRM195421:HRM195486 HHQ195421:HHQ195486 GXU195421:GXU195486 GNY195421:GNY195486 GEC195421:GEC195486 FUG195421:FUG195486 FKK195421:FKK195486 FAO195421:FAO195486 EQS195421:EQS195486 EGW195421:EGW195486 DXA195421:DXA195486 DNE195421:DNE195486 DDI195421:DDI195486 CTM195421:CTM195486 CJQ195421:CJQ195486 BZU195421:BZU195486 BPY195421:BPY195486 BGC195421:BGC195486 AWG195421:AWG195486 AMK195421:AMK195486 ACO195421:ACO195486 SS195421:SS195486 IW195421:IW195486 A195421:A195486 WVI129885:WVI129950 WLM129885:WLM129950 WBQ129885:WBQ129950 VRU129885:VRU129950 VHY129885:VHY129950 UYC129885:UYC129950 UOG129885:UOG129950 UEK129885:UEK129950 TUO129885:TUO129950 TKS129885:TKS129950 TAW129885:TAW129950 SRA129885:SRA129950 SHE129885:SHE129950 RXI129885:RXI129950 RNM129885:RNM129950 RDQ129885:RDQ129950 QTU129885:QTU129950 QJY129885:QJY129950 QAC129885:QAC129950 PQG129885:PQG129950 PGK129885:PGK129950 OWO129885:OWO129950 OMS129885:OMS129950 OCW129885:OCW129950 NTA129885:NTA129950 NJE129885:NJE129950 MZI129885:MZI129950 MPM129885:MPM129950 MFQ129885:MFQ129950 LVU129885:LVU129950 LLY129885:LLY129950 LCC129885:LCC129950 KSG129885:KSG129950 KIK129885:KIK129950 JYO129885:JYO129950 JOS129885:JOS129950 JEW129885:JEW129950 IVA129885:IVA129950 ILE129885:ILE129950 IBI129885:IBI129950 HRM129885:HRM129950 HHQ129885:HHQ129950 GXU129885:GXU129950 GNY129885:GNY129950 GEC129885:GEC129950 FUG129885:FUG129950 FKK129885:FKK129950 FAO129885:FAO129950 EQS129885:EQS129950 EGW129885:EGW129950 DXA129885:DXA129950 DNE129885:DNE129950 DDI129885:DDI129950 CTM129885:CTM129950 CJQ129885:CJQ129950 BZU129885:BZU129950 BPY129885:BPY129950 BGC129885:BGC129950 AWG129885:AWG129950 AMK129885:AMK129950 ACO129885:ACO129950 SS129885:SS129950 IW129885:IW129950 A129885:A129950 WVI64349:WVI64414 WLM64349:WLM64414 WBQ64349:WBQ64414 VRU64349:VRU64414 VHY64349:VHY64414 UYC64349:UYC64414 UOG64349:UOG64414 UEK64349:UEK64414 TUO64349:TUO64414 TKS64349:TKS64414 TAW64349:TAW64414 SRA64349:SRA64414 SHE64349:SHE64414 RXI64349:RXI64414 RNM64349:RNM64414 RDQ64349:RDQ64414 QTU64349:QTU64414 QJY64349:QJY64414 QAC64349:QAC64414 PQG64349:PQG64414 PGK64349:PGK64414 OWO64349:OWO64414 OMS64349:OMS64414 OCW64349:OCW64414 NTA64349:NTA64414 NJE64349:NJE64414 MZI64349:MZI64414 MPM64349:MPM64414 MFQ64349:MFQ64414 LVU64349:LVU64414 LLY64349:LLY64414 LCC64349:LCC64414 KSG64349:KSG64414 KIK64349:KIK64414 JYO64349:JYO64414 JOS64349:JOS64414 JEW64349:JEW64414 IVA64349:IVA64414 ILE64349:ILE64414 IBI64349:IBI64414 HRM64349:HRM64414 HHQ64349:HHQ64414 GXU64349:GXU64414 GNY64349:GNY64414 GEC64349:GEC64414 FUG64349:FUG64414 FKK64349:FKK64414 FAO64349:FAO64414 EQS64349:EQS64414 EGW64349:EGW64414 DXA64349:DXA64414 DNE64349:DNE64414 DDI64349:DDI64414 CTM64349:CTM64414 CJQ64349:CJQ64414 BZU64349:BZU64414 BPY64349:BPY64414 BGC64349:BGC64414 AWG64349:AWG64414 AMK64349:AMK64414 ACO64349:ACO64414 SS64349:SS64414 SS2:SS61 A2:A486 ACO2:ACO61 AMK2:AMK61 AWG2:AWG61 BGC2:BGC61 BPY2:BPY61 BZU2:BZU61 CJQ2:CJQ61 CTM2:CTM61 DDI2:DDI61 DNE2:DNE61 DXA2:DXA61 EGW2:EGW61 EQS2:EQS61 FAO2:FAO61 FKK2:FKK61 FUG2:FUG61 GEC2:GEC61 GNY2:GNY61 GXU2:GXU61 HHQ2:HHQ61 HRM2:HRM61 IBI2:IBI61 ILE2:ILE61 IVA2:IVA61 JEW2:JEW61 JOS2:JOS61 JYO2:JYO61 KIK2:KIK61 KSG2:KSG61 LCC2:LCC61 LLY2:LLY61 LVU2:LVU61 MFQ2:MFQ61 MPM2:MPM61 MZI2:MZI61 NJE2:NJE61 NTA2:NTA61 OCW2:OCW61 OMS2:OMS61 OWO2:OWO61 PGK2:PGK61 PQG2:PQG61 QAC2:QAC61 QJY2:QJY61 QTU2:QTU61 RDQ2:RDQ61 RNM2:RNM61 RXI2:RXI61 SHE2:SHE61 SRA2:SRA61 TAW2:TAW61 TKS2:TKS61 TUO2:TUO61 UEK2:UEK61 UOG2:UOG61 UYC2:UYC61 VHY2:VHY61 VRU2:VRU61 WBQ2:WBQ61 WLM2:WLM61 WVI2:WVI61 IW2:IW61">
      <formula1>$AE$2:$AE$19</formula1>
    </dataValidation>
    <dataValidation type="list" allowBlank="1" showInputMessage="1" showErrorMessage="1" sqref="X64349:X64414 JT64349:JT64414 WMJ983028:WMJ983093 WCN983028:WCN983093 VSR983028:VSR983093 VIV983028:VIV983093 UYZ983028:UYZ983093 UPD983028:UPD983093 UFH983028:UFH983093 TVL983028:TVL983093 TLP983028:TLP983093 TBT983028:TBT983093 SRX983028:SRX983093 SIB983028:SIB983093 RYF983028:RYF983093 ROJ983028:ROJ983093 REN983028:REN983093 QUR983028:QUR983093 QKV983028:QKV983093 QAZ983028:QAZ983093 PRD983028:PRD983093 PHH983028:PHH983093 OXL983028:OXL983093 ONP983028:ONP983093 ODT983028:ODT983093 NTX983028:NTX983093 NKB983028:NKB983093 NAF983028:NAF983093 MQJ983028:MQJ983093 MGN983028:MGN983093 LWR983028:LWR983093 LMV983028:LMV983093 LCZ983028:LCZ983093 KTD983028:KTD983093 KJH983028:KJH983093 JZL983028:JZL983093 JPP983028:JPP983093 JFT983028:JFT983093 IVX983028:IVX983093 IMB983028:IMB983093 ICF983028:ICF983093 HSJ983028:HSJ983093 HIN983028:HIN983093 GYR983028:GYR983093 GOV983028:GOV983093 GEZ983028:GEZ983093 FVD983028:FVD983093 FLH983028:FLH983093 FBL983028:FBL983093 ERP983028:ERP983093 EHT983028:EHT983093 DXX983028:DXX983093 DOB983028:DOB983093 DEF983028:DEF983093 CUJ983028:CUJ983093 CKN983028:CKN983093 CAR983028:CAR983093 BQV983028:BQV983093 BGZ983028:BGZ983093 AXD983028:AXD983093 ANH983028:ANH983093 ADL983028:ADL983093 TP983028:TP983093 JT983028:JT983093 X983028:X983093 WWF917492:WWF917557 WMJ917492:WMJ917557 WCN917492:WCN917557 VSR917492:VSR917557 VIV917492:VIV917557 UYZ917492:UYZ917557 UPD917492:UPD917557 UFH917492:UFH917557 TVL917492:TVL917557 TLP917492:TLP917557 TBT917492:TBT917557 SRX917492:SRX917557 SIB917492:SIB917557 RYF917492:RYF917557 ROJ917492:ROJ917557 REN917492:REN917557 QUR917492:QUR917557 QKV917492:QKV917557 QAZ917492:QAZ917557 PRD917492:PRD917557 PHH917492:PHH917557 OXL917492:OXL917557 ONP917492:ONP917557 ODT917492:ODT917557 NTX917492:NTX917557 NKB917492:NKB917557 NAF917492:NAF917557 MQJ917492:MQJ917557 MGN917492:MGN917557 LWR917492:LWR917557 LMV917492:LMV917557 LCZ917492:LCZ917557 KTD917492:KTD917557 KJH917492:KJH917557 JZL917492:JZL917557 JPP917492:JPP917557 JFT917492:JFT917557 IVX917492:IVX917557 IMB917492:IMB917557 ICF917492:ICF917557 HSJ917492:HSJ917557 HIN917492:HIN917557 GYR917492:GYR917557 GOV917492:GOV917557 GEZ917492:GEZ917557 FVD917492:FVD917557 FLH917492:FLH917557 FBL917492:FBL917557 ERP917492:ERP917557 EHT917492:EHT917557 DXX917492:DXX917557 DOB917492:DOB917557 DEF917492:DEF917557 CUJ917492:CUJ917557 CKN917492:CKN917557 CAR917492:CAR917557 BQV917492:BQV917557 BGZ917492:BGZ917557 AXD917492:AXD917557 ANH917492:ANH917557 ADL917492:ADL917557 TP917492:TP917557 JT917492:JT917557 X917492:X917557 WWF851956:WWF852021 WMJ851956:WMJ852021 WCN851956:WCN852021 VSR851956:VSR852021 VIV851956:VIV852021 UYZ851956:UYZ852021 UPD851956:UPD852021 UFH851956:UFH852021 TVL851956:TVL852021 TLP851956:TLP852021 TBT851956:TBT852021 SRX851956:SRX852021 SIB851956:SIB852021 RYF851956:RYF852021 ROJ851956:ROJ852021 REN851956:REN852021 QUR851956:QUR852021 QKV851956:QKV852021 QAZ851956:QAZ852021 PRD851956:PRD852021 PHH851956:PHH852021 OXL851956:OXL852021 ONP851956:ONP852021 ODT851956:ODT852021 NTX851956:NTX852021 NKB851956:NKB852021 NAF851956:NAF852021 MQJ851956:MQJ852021 MGN851956:MGN852021 LWR851956:LWR852021 LMV851956:LMV852021 LCZ851956:LCZ852021 KTD851956:KTD852021 KJH851956:KJH852021 JZL851956:JZL852021 JPP851956:JPP852021 JFT851956:JFT852021 IVX851956:IVX852021 IMB851956:IMB852021 ICF851956:ICF852021 HSJ851956:HSJ852021 HIN851956:HIN852021 GYR851956:GYR852021 GOV851956:GOV852021 GEZ851956:GEZ852021 FVD851956:FVD852021 FLH851956:FLH852021 FBL851956:FBL852021 ERP851956:ERP852021 EHT851956:EHT852021 DXX851956:DXX852021 DOB851956:DOB852021 DEF851956:DEF852021 CUJ851956:CUJ852021 CKN851956:CKN852021 CAR851956:CAR852021 BQV851956:BQV852021 BGZ851956:BGZ852021 AXD851956:AXD852021 ANH851956:ANH852021 ADL851956:ADL852021 TP851956:TP852021 JT851956:JT852021 X851956:X852021 WWF786420:WWF786485 WMJ786420:WMJ786485 WCN786420:WCN786485 VSR786420:VSR786485 VIV786420:VIV786485 UYZ786420:UYZ786485 UPD786420:UPD786485 UFH786420:UFH786485 TVL786420:TVL786485 TLP786420:TLP786485 TBT786420:TBT786485 SRX786420:SRX786485 SIB786420:SIB786485 RYF786420:RYF786485 ROJ786420:ROJ786485 REN786420:REN786485 QUR786420:QUR786485 QKV786420:QKV786485 QAZ786420:QAZ786485 PRD786420:PRD786485 PHH786420:PHH786485 OXL786420:OXL786485 ONP786420:ONP786485 ODT786420:ODT786485 NTX786420:NTX786485 NKB786420:NKB786485 NAF786420:NAF786485 MQJ786420:MQJ786485 MGN786420:MGN786485 LWR786420:LWR786485 LMV786420:LMV786485 LCZ786420:LCZ786485 KTD786420:KTD786485 KJH786420:KJH786485 JZL786420:JZL786485 JPP786420:JPP786485 JFT786420:JFT786485 IVX786420:IVX786485 IMB786420:IMB786485 ICF786420:ICF786485 HSJ786420:HSJ786485 HIN786420:HIN786485 GYR786420:GYR786485 GOV786420:GOV786485 GEZ786420:GEZ786485 FVD786420:FVD786485 FLH786420:FLH786485 FBL786420:FBL786485 ERP786420:ERP786485 EHT786420:EHT786485 DXX786420:DXX786485 DOB786420:DOB786485 DEF786420:DEF786485 CUJ786420:CUJ786485 CKN786420:CKN786485 CAR786420:CAR786485 BQV786420:BQV786485 BGZ786420:BGZ786485 AXD786420:AXD786485 ANH786420:ANH786485 ADL786420:ADL786485 TP786420:TP786485 JT786420:JT786485 X786420:X786485 WWF720884:WWF720949 WMJ720884:WMJ720949 WCN720884:WCN720949 VSR720884:VSR720949 VIV720884:VIV720949 UYZ720884:UYZ720949 UPD720884:UPD720949 UFH720884:UFH720949 TVL720884:TVL720949 TLP720884:TLP720949 TBT720884:TBT720949 SRX720884:SRX720949 SIB720884:SIB720949 RYF720884:RYF720949 ROJ720884:ROJ720949 REN720884:REN720949 QUR720884:QUR720949 QKV720884:QKV720949 QAZ720884:QAZ720949 PRD720884:PRD720949 PHH720884:PHH720949 OXL720884:OXL720949 ONP720884:ONP720949 ODT720884:ODT720949 NTX720884:NTX720949 NKB720884:NKB720949 NAF720884:NAF720949 MQJ720884:MQJ720949 MGN720884:MGN720949 LWR720884:LWR720949 LMV720884:LMV720949 LCZ720884:LCZ720949 KTD720884:KTD720949 KJH720884:KJH720949 JZL720884:JZL720949 JPP720884:JPP720949 JFT720884:JFT720949 IVX720884:IVX720949 IMB720884:IMB720949 ICF720884:ICF720949 HSJ720884:HSJ720949 HIN720884:HIN720949 GYR720884:GYR720949 GOV720884:GOV720949 GEZ720884:GEZ720949 FVD720884:FVD720949 FLH720884:FLH720949 FBL720884:FBL720949 ERP720884:ERP720949 EHT720884:EHT720949 DXX720884:DXX720949 DOB720884:DOB720949 DEF720884:DEF720949 CUJ720884:CUJ720949 CKN720884:CKN720949 CAR720884:CAR720949 BQV720884:BQV720949 BGZ720884:BGZ720949 AXD720884:AXD720949 ANH720884:ANH720949 ADL720884:ADL720949 TP720884:TP720949 JT720884:JT720949 X720884:X720949 WWF655348:WWF655413 WMJ655348:WMJ655413 WCN655348:WCN655413 VSR655348:VSR655413 VIV655348:VIV655413 UYZ655348:UYZ655413 UPD655348:UPD655413 UFH655348:UFH655413 TVL655348:TVL655413 TLP655348:TLP655413 TBT655348:TBT655413 SRX655348:SRX655413 SIB655348:SIB655413 RYF655348:RYF655413 ROJ655348:ROJ655413 REN655348:REN655413 QUR655348:QUR655413 QKV655348:QKV655413 QAZ655348:QAZ655413 PRD655348:PRD655413 PHH655348:PHH655413 OXL655348:OXL655413 ONP655348:ONP655413 ODT655348:ODT655413 NTX655348:NTX655413 NKB655348:NKB655413 NAF655348:NAF655413 MQJ655348:MQJ655413 MGN655348:MGN655413 LWR655348:LWR655413 LMV655348:LMV655413 LCZ655348:LCZ655413 KTD655348:KTD655413 KJH655348:KJH655413 JZL655348:JZL655413 JPP655348:JPP655413 JFT655348:JFT655413 IVX655348:IVX655413 IMB655348:IMB655413 ICF655348:ICF655413 HSJ655348:HSJ655413 HIN655348:HIN655413 GYR655348:GYR655413 GOV655348:GOV655413 GEZ655348:GEZ655413 FVD655348:FVD655413 FLH655348:FLH655413 FBL655348:FBL655413 ERP655348:ERP655413 EHT655348:EHT655413 DXX655348:DXX655413 DOB655348:DOB655413 DEF655348:DEF655413 CUJ655348:CUJ655413 CKN655348:CKN655413 CAR655348:CAR655413 BQV655348:BQV655413 BGZ655348:BGZ655413 AXD655348:AXD655413 ANH655348:ANH655413 ADL655348:ADL655413 TP655348:TP655413 JT655348:JT655413 X655348:X655413 WWF589812:WWF589877 WMJ589812:WMJ589877 WCN589812:WCN589877 VSR589812:VSR589877 VIV589812:VIV589877 UYZ589812:UYZ589877 UPD589812:UPD589877 UFH589812:UFH589877 TVL589812:TVL589877 TLP589812:TLP589877 TBT589812:TBT589877 SRX589812:SRX589877 SIB589812:SIB589877 RYF589812:RYF589877 ROJ589812:ROJ589877 REN589812:REN589877 QUR589812:QUR589877 QKV589812:QKV589877 QAZ589812:QAZ589877 PRD589812:PRD589877 PHH589812:PHH589877 OXL589812:OXL589877 ONP589812:ONP589877 ODT589812:ODT589877 NTX589812:NTX589877 NKB589812:NKB589877 NAF589812:NAF589877 MQJ589812:MQJ589877 MGN589812:MGN589877 LWR589812:LWR589877 LMV589812:LMV589877 LCZ589812:LCZ589877 KTD589812:KTD589877 KJH589812:KJH589877 JZL589812:JZL589877 JPP589812:JPP589877 JFT589812:JFT589877 IVX589812:IVX589877 IMB589812:IMB589877 ICF589812:ICF589877 HSJ589812:HSJ589877 HIN589812:HIN589877 GYR589812:GYR589877 GOV589812:GOV589877 GEZ589812:GEZ589877 FVD589812:FVD589877 FLH589812:FLH589877 FBL589812:FBL589877 ERP589812:ERP589877 EHT589812:EHT589877 DXX589812:DXX589877 DOB589812:DOB589877 DEF589812:DEF589877 CUJ589812:CUJ589877 CKN589812:CKN589877 CAR589812:CAR589877 BQV589812:BQV589877 BGZ589812:BGZ589877 AXD589812:AXD589877 ANH589812:ANH589877 ADL589812:ADL589877 TP589812:TP589877 JT589812:JT589877 X589812:X589877 WWF524276:WWF524341 WMJ524276:WMJ524341 WCN524276:WCN524341 VSR524276:VSR524341 VIV524276:VIV524341 UYZ524276:UYZ524341 UPD524276:UPD524341 UFH524276:UFH524341 TVL524276:TVL524341 TLP524276:TLP524341 TBT524276:TBT524341 SRX524276:SRX524341 SIB524276:SIB524341 RYF524276:RYF524341 ROJ524276:ROJ524341 REN524276:REN524341 QUR524276:QUR524341 QKV524276:QKV524341 QAZ524276:QAZ524341 PRD524276:PRD524341 PHH524276:PHH524341 OXL524276:OXL524341 ONP524276:ONP524341 ODT524276:ODT524341 NTX524276:NTX524341 NKB524276:NKB524341 NAF524276:NAF524341 MQJ524276:MQJ524341 MGN524276:MGN524341 LWR524276:LWR524341 LMV524276:LMV524341 LCZ524276:LCZ524341 KTD524276:KTD524341 KJH524276:KJH524341 JZL524276:JZL524341 JPP524276:JPP524341 JFT524276:JFT524341 IVX524276:IVX524341 IMB524276:IMB524341 ICF524276:ICF524341 HSJ524276:HSJ524341 HIN524276:HIN524341 GYR524276:GYR524341 GOV524276:GOV524341 GEZ524276:GEZ524341 FVD524276:FVD524341 FLH524276:FLH524341 FBL524276:FBL524341 ERP524276:ERP524341 EHT524276:EHT524341 DXX524276:DXX524341 DOB524276:DOB524341 DEF524276:DEF524341 CUJ524276:CUJ524341 CKN524276:CKN524341 CAR524276:CAR524341 BQV524276:BQV524341 BGZ524276:BGZ524341 AXD524276:AXD524341 ANH524276:ANH524341 ADL524276:ADL524341 TP524276:TP524341 JT524276:JT524341 X524276:X524341 WWF458740:WWF458805 WMJ458740:WMJ458805 WCN458740:WCN458805 VSR458740:VSR458805 VIV458740:VIV458805 UYZ458740:UYZ458805 UPD458740:UPD458805 UFH458740:UFH458805 TVL458740:TVL458805 TLP458740:TLP458805 TBT458740:TBT458805 SRX458740:SRX458805 SIB458740:SIB458805 RYF458740:RYF458805 ROJ458740:ROJ458805 REN458740:REN458805 QUR458740:QUR458805 QKV458740:QKV458805 QAZ458740:QAZ458805 PRD458740:PRD458805 PHH458740:PHH458805 OXL458740:OXL458805 ONP458740:ONP458805 ODT458740:ODT458805 NTX458740:NTX458805 NKB458740:NKB458805 NAF458740:NAF458805 MQJ458740:MQJ458805 MGN458740:MGN458805 LWR458740:LWR458805 LMV458740:LMV458805 LCZ458740:LCZ458805 KTD458740:KTD458805 KJH458740:KJH458805 JZL458740:JZL458805 JPP458740:JPP458805 JFT458740:JFT458805 IVX458740:IVX458805 IMB458740:IMB458805 ICF458740:ICF458805 HSJ458740:HSJ458805 HIN458740:HIN458805 GYR458740:GYR458805 GOV458740:GOV458805 GEZ458740:GEZ458805 FVD458740:FVD458805 FLH458740:FLH458805 FBL458740:FBL458805 ERP458740:ERP458805 EHT458740:EHT458805 DXX458740:DXX458805 DOB458740:DOB458805 DEF458740:DEF458805 CUJ458740:CUJ458805 CKN458740:CKN458805 CAR458740:CAR458805 BQV458740:BQV458805 BGZ458740:BGZ458805 AXD458740:AXD458805 ANH458740:ANH458805 ADL458740:ADL458805 TP458740:TP458805 JT458740:JT458805 X458740:X458805 WWF393204:WWF393269 WMJ393204:WMJ393269 WCN393204:WCN393269 VSR393204:VSR393269 VIV393204:VIV393269 UYZ393204:UYZ393269 UPD393204:UPD393269 UFH393204:UFH393269 TVL393204:TVL393269 TLP393204:TLP393269 TBT393204:TBT393269 SRX393204:SRX393269 SIB393204:SIB393269 RYF393204:RYF393269 ROJ393204:ROJ393269 REN393204:REN393269 QUR393204:QUR393269 QKV393204:QKV393269 QAZ393204:QAZ393269 PRD393204:PRD393269 PHH393204:PHH393269 OXL393204:OXL393269 ONP393204:ONP393269 ODT393204:ODT393269 NTX393204:NTX393269 NKB393204:NKB393269 NAF393204:NAF393269 MQJ393204:MQJ393269 MGN393204:MGN393269 LWR393204:LWR393269 LMV393204:LMV393269 LCZ393204:LCZ393269 KTD393204:KTD393269 KJH393204:KJH393269 JZL393204:JZL393269 JPP393204:JPP393269 JFT393204:JFT393269 IVX393204:IVX393269 IMB393204:IMB393269 ICF393204:ICF393269 HSJ393204:HSJ393269 HIN393204:HIN393269 GYR393204:GYR393269 GOV393204:GOV393269 GEZ393204:GEZ393269 FVD393204:FVD393269 FLH393204:FLH393269 FBL393204:FBL393269 ERP393204:ERP393269 EHT393204:EHT393269 DXX393204:DXX393269 DOB393204:DOB393269 DEF393204:DEF393269 CUJ393204:CUJ393269 CKN393204:CKN393269 CAR393204:CAR393269 BQV393204:BQV393269 BGZ393204:BGZ393269 AXD393204:AXD393269 ANH393204:ANH393269 ADL393204:ADL393269 TP393204:TP393269 JT393204:JT393269 X393204:X393269 WWF327668:WWF327733 WMJ327668:WMJ327733 WCN327668:WCN327733 VSR327668:VSR327733 VIV327668:VIV327733 UYZ327668:UYZ327733 UPD327668:UPD327733 UFH327668:UFH327733 TVL327668:TVL327733 TLP327668:TLP327733 TBT327668:TBT327733 SRX327668:SRX327733 SIB327668:SIB327733 RYF327668:RYF327733 ROJ327668:ROJ327733 REN327668:REN327733 QUR327668:QUR327733 QKV327668:QKV327733 QAZ327668:QAZ327733 PRD327668:PRD327733 PHH327668:PHH327733 OXL327668:OXL327733 ONP327668:ONP327733 ODT327668:ODT327733 NTX327668:NTX327733 NKB327668:NKB327733 NAF327668:NAF327733 MQJ327668:MQJ327733 MGN327668:MGN327733 LWR327668:LWR327733 LMV327668:LMV327733 LCZ327668:LCZ327733 KTD327668:KTD327733 KJH327668:KJH327733 JZL327668:JZL327733 JPP327668:JPP327733 JFT327668:JFT327733 IVX327668:IVX327733 IMB327668:IMB327733 ICF327668:ICF327733 HSJ327668:HSJ327733 HIN327668:HIN327733 GYR327668:GYR327733 GOV327668:GOV327733 GEZ327668:GEZ327733 FVD327668:FVD327733 FLH327668:FLH327733 FBL327668:FBL327733 ERP327668:ERP327733 EHT327668:EHT327733 DXX327668:DXX327733 DOB327668:DOB327733 DEF327668:DEF327733 CUJ327668:CUJ327733 CKN327668:CKN327733 CAR327668:CAR327733 BQV327668:BQV327733 BGZ327668:BGZ327733 AXD327668:AXD327733 ANH327668:ANH327733 ADL327668:ADL327733 TP327668:TP327733 JT327668:JT327733 X327668:X327733 WWF262132:WWF262197 WMJ262132:WMJ262197 WCN262132:WCN262197 VSR262132:VSR262197 VIV262132:VIV262197 UYZ262132:UYZ262197 UPD262132:UPD262197 UFH262132:UFH262197 TVL262132:TVL262197 TLP262132:TLP262197 TBT262132:TBT262197 SRX262132:SRX262197 SIB262132:SIB262197 RYF262132:RYF262197 ROJ262132:ROJ262197 REN262132:REN262197 QUR262132:QUR262197 QKV262132:QKV262197 QAZ262132:QAZ262197 PRD262132:PRD262197 PHH262132:PHH262197 OXL262132:OXL262197 ONP262132:ONP262197 ODT262132:ODT262197 NTX262132:NTX262197 NKB262132:NKB262197 NAF262132:NAF262197 MQJ262132:MQJ262197 MGN262132:MGN262197 LWR262132:LWR262197 LMV262132:LMV262197 LCZ262132:LCZ262197 KTD262132:KTD262197 KJH262132:KJH262197 JZL262132:JZL262197 JPP262132:JPP262197 JFT262132:JFT262197 IVX262132:IVX262197 IMB262132:IMB262197 ICF262132:ICF262197 HSJ262132:HSJ262197 HIN262132:HIN262197 GYR262132:GYR262197 GOV262132:GOV262197 GEZ262132:GEZ262197 FVD262132:FVD262197 FLH262132:FLH262197 FBL262132:FBL262197 ERP262132:ERP262197 EHT262132:EHT262197 DXX262132:DXX262197 DOB262132:DOB262197 DEF262132:DEF262197 CUJ262132:CUJ262197 CKN262132:CKN262197 CAR262132:CAR262197 BQV262132:BQV262197 BGZ262132:BGZ262197 AXD262132:AXD262197 ANH262132:ANH262197 ADL262132:ADL262197 TP262132:TP262197 JT262132:JT262197 X262132:X262197 WWF196596:WWF196661 WMJ196596:WMJ196661 WCN196596:WCN196661 VSR196596:VSR196661 VIV196596:VIV196661 UYZ196596:UYZ196661 UPD196596:UPD196661 UFH196596:UFH196661 TVL196596:TVL196661 TLP196596:TLP196661 TBT196596:TBT196661 SRX196596:SRX196661 SIB196596:SIB196661 RYF196596:RYF196661 ROJ196596:ROJ196661 REN196596:REN196661 QUR196596:QUR196661 QKV196596:QKV196661 QAZ196596:QAZ196661 PRD196596:PRD196661 PHH196596:PHH196661 OXL196596:OXL196661 ONP196596:ONP196661 ODT196596:ODT196661 NTX196596:NTX196661 NKB196596:NKB196661 NAF196596:NAF196661 MQJ196596:MQJ196661 MGN196596:MGN196661 LWR196596:LWR196661 LMV196596:LMV196661 LCZ196596:LCZ196661 KTD196596:KTD196661 KJH196596:KJH196661 JZL196596:JZL196661 JPP196596:JPP196661 JFT196596:JFT196661 IVX196596:IVX196661 IMB196596:IMB196661 ICF196596:ICF196661 HSJ196596:HSJ196661 HIN196596:HIN196661 GYR196596:GYR196661 GOV196596:GOV196661 GEZ196596:GEZ196661 FVD196596:FVD196661 FLH196596:FLH196661 FBL196596:FBL196661 ERP196596:ERP196661 EHT196596:EHT196661 DXX196596:DXX196661 DOB196596:DOB196661 DEF196596:DEF196661 CUJ196596:CUJ196661 CKN196596:CKN196661 CAR196596:CAR196661 BQV196596:BQV196661 BGZ196596:BGZ196661 AXD196596:AXD196661 ANH196596:ANH196661 ADL196596:ADL196661 TP196596:TP196661 JT196596:JT196661 X196596:X196661 WWF131060:WWF131125 WMJ131060:WMJ131125 WCN131060:WCN131125 VSR131060:VSR131125 VIV131060:VIV131125 UYZ131060:UYZ131125 UPD131060:UPD131125 UFH131060:UFH131125 TVL131060:TVL131125 TLP131060:TLP131125 TBT131060:TBT131125 SRX131060:SRX131125 SIB131060:SIB131125 RYF131060:RYF131125 ROJ131060:ROJ131125 REN131060:REN131125 QUR131060:QUR131125 QKV131060:QKV131125 QAZ131060:QAZ131125 PRD131060:PRD131125 PHH131060:PHH131125 OXL131060:OXL131125 ONP131060:ONP131125 ODT131060:ODT131125 NTX131060:NTX131125 NKB131060:NKB131125 NAF131060:NAF131125 MQJ131060:MQJ131125 MGN131060:MGN131125 LWR131060:LWR131125 LMV131060:LMV131125 LCZ131060:LCZ131125 KTD131060:KTD131125 KJH131060:KJH131125 JZL131060:JZL131125 JPP131060:JPP131125 JFT131060:JFT131125 IVX131060:IVX131125 IMB131060:IMB131125 ICF131060:ICF131125 HSJ131060:HSJ131125 HIN131060:HIN131125 GYR131060:GYR131125 GOV131060:GOV131125 GEZ131060:GEZ131125 FVD131060:FVD131125 FLH131060:FLH131125 FBL131060:FBL131125 ERP131060:ERP131125 EHT131060:EHT131125 DXX131060:DXX131125 DOB131060:DOB131125 DEF131060:DEF131125 CUJ131060:CUJ131125 CKN131060:CKN131125 CAR131060:CAR131125 BQV131060:BQV131125 BGZ131060:BGZ131125 AXD131060:AXD131125 ANH131060:ANH131125 ADL131060:ADL131125 TP131060:TP131125 JT131060:JT131125 X131060:X131125 WWF65524:WWF65589 WMJ65524:WMJ65589 WCN65524:WCN65589 VSR65524:VSR65589 VIV65524:VIV65589 UYZ65524:UYZ65589 UPD65524:UPD65589 UFH65524:UFH65589 TVL65524:TVL65589 TLP65524:TLP65589 TBT65524:TBT65589 SRX65524:SRX65589 SIB65524:SIB65589 RYF65524:RYF65589 ROJ65524:ROJ65589 REN65524:REN65589 QUR65524:QUR65589 QKV65524:QKV65589 QAZ65524:QAZ65589 PRD65524:PRD65589 PHH65524:PHH65589 OXL65524:OXL65589 ONP65524:ONP65589 ODT65524:ODT65589 NTX65524:NTX65589 NKB65524:NKB65589 NAF65524:NAF65589 MQJ65524:MQJ65589 MGN65524:MGN65589 LWR65524:LWR65589 LMV65524:LMV65589 LCZ65524:LCZ65589 KTD65524:KTD65589 KJH65524:KJH65589 JZL65524:JZL65589 JPP65524:JPP65589 JFT65524:JFT65589 IVX65524:IVX65589 IMB65524:IMB65589 ICF65524:ICF65589 HSJ65524:HSJ65589 HIN65524:HIN65589 GYR65524:GYR65589 GOV65524:GOV65589 GEZ65524:GEZ65589 FVD65524:FVD65589 FLH65524:FLH65589 FBL65524:FBL65589 ERP65524:ERP65589 EHT65524:EHT65589 DXX65524:DXX65589 DOB65524:DOB65589 DEF65524:DEF65589 CUJ65524:CUJ65589 CKN65524:CKN65589 CAR65524:CAR65589 BQV65524:BQV65589 BGZ65524:BGZ65589 AXD65524:AXD65589 ANH65524:ANH65589 ADL65524:ADL65589 TP65524:TP65589 JT65524:JT65589 X65524:X65589 WWF983028:WWF983093 WWF1047389:WWF1047454 WMJ1047389:WMJ1047454 WCN1047389:WCN1047454 VSR1047389:VSR1047454 VIV1047389:VIV1047454 UYZ1047389:UYZ1047454 UPD1047389:UPD1047454 UFH1047389:UFH1047454 TVL1047389:TVL1047454 TLP1047389:TLP1047454 TBT1047389:TBT1047454 SRX1047389:SRX1047454 SIB1047389:SIB1047454 RYF1047389:RYF1047454 ROJ1047389:ROJ1047454 REN1047389:REN1047454 QUR1047389:QUR1047454 QKV1047389:QKV1047454 QAZ1047389:QAZ1047454 PRD1047389:PRD1047454 PHH1047389:PHH1047454 OXL1047389:OXL1047454 ONP1047389:ONP1047454 ODT1047389:ODT1047454 NTX1047389:NTX1047454 NKB1047389:NKB1047454 NAF1047389:NAF1047454 MQJ1047389:MQJ1047454 MGN1047389:MGN1047454 LWR1047389:LWR1047454 LMV1047389:LMV1047454 LCZ1047389:LCZ1047454 KTD1047389:KTD1047454 KJH1047389:KJH1047454 JZL1047389:JZL1047454 JPP1047389:JPP1047454 JFT1047389:JFT1047454 IVX1047389:IVX1047454 IMB1047389:IMB1047454 ICF1047389:ICF1047454 HSJ1047389:HSJ1047454 HIN1047389:HIN1047454 GYR1047389:GYR1047454 GOV1047389:GOV1047454 GEZ1047389:GEZ1047454 FVD1047389:FVD1047454 FLH1047389:FLH1047454 FBL1047389:FBL1047454 ERP1047389:ERP1047454 EHT1047389:EHT1047454 DXX1047389:DXX1047454 DOB1047389:DOB1047454 DEF1047389:DEF1047454 CUJ1047389:CUJ1047454 CKN1047389:CKN1047454 CAR1047389:CAR1047454 BQV1047389:BQV1047454 BGZ1047389:BGZ1047454 AXD1047389:AXD1047454 ANH1047389:ANH1047454 ADL1047389:ADL1047454 TP1047389:TP1047454 JT1047389:JT1047454 X1047389:X1047454 WWF981853:WWF981918 WMJ981853:WMJ981918 WCN981853:WCN981918 VSR981853:VSR981918 VIV981853:VIV981918 UYZ981853:UYZ981918 UPD981853:UPD981918 UFH981853:UFH981918 TVL981853:TVL981918 TLP981853:TLP981918 TBT981853:TBT981918 SRX981853:SRX981918 SIB981853:SIB981918 RYF981853:RYF981918 ROJ981853:ROJ981918 REN981853:REN981918 QUR981853:QUR981918 QKV981853:QKV981918 QAZ981853:QAZ981918 PRD981853:PRD981918 PHH981853:PHH981918 OXL981853:OXL981918 ONP981853:ONP981918 ODT981853:ODT981918 NTX981853:NTX981918 NKB981853:NKB981918 NAF981853:NAF981918 MQJ981853:MQJ981918 MGN981853:MGN981918 LWR981853:LWR981918 LMV981853:LMV981918 LCZ981853:LCZ981918 KTD981853:KTD981918 KJH981853:KJH981918 JZL981853:JZL981918 JPP981853:JPP981918 JFT981853:JFT981918 IVX981853:IVX981918 IMB981853:IMB981918 ICF981853:ICF981918 HSJ981853:HSJ981918 HIN981853:HIN981918 GYR981853:GYR981918 GOV981853:GOV981918 GEZ981853:GEZ981918 FVD981853:FVD981918 FLH981853:FLH981918 FBL981853:FBL981918 ERP981853:ERP981918 EHT981853:EHT981918 DXX981853:DXX981918 DOB981853:DOB981918 DEF981853:DEF981918 CUJ981853:CUJ981918 CKN981853:CKN981918 CAR981853:CAR981918 BQV981853:BQV981918 BGZ981853:BGZ981918 AXD981853:AXD981918 ANH981853:ANH981918 ADL981853:ADL981918 TP981853:TP981918 JT981853:JT981918 X981853:X981918 WWF916317:WWF916382 WMJ916317:WMJ916382 WCN916317:WCN916382 VSR916317:VSR916382 VIV916317:VIV916382 UYZ916317:UYZ916382 UPD916317:UPD916382 UFH916317:UFH916382 TVL916317:TVL916382 TLP916317:TLP916382 TBT916317:TBT916382 SRX916317:SRX916382 SIB916317:SIB916382 RYF916317:RYF916382 ROJ916317:ROJ916382 REN916317:REN916382 QUR916317:QUR916382 QKV916317:QKV916382 QAZ916317:QAZ916382 PRD916317:PRD916382 PHH916317:PHH916382 OXL916317:OXL916382 ONP916317:ONP916382 ODT916317:ODT916382 NTX916317:NTX916382 NKB916317:NKB916382 NAF916317:NAF916382 MQJ916317:MQJ916382 MGN916317:MGN916382 LWR916317:LWR916382 LMV916317:LMV916382 LCZ916317:LCZ916382 KTD916317:KTD916382 KJH916317:KJH916382 JZL916317:JZL916382 JPP916317:JPP916382 JFT916317:JFT916382 IVX916317:IVX916382 IMB916317:IMB916382 ICF916317:ICF916382 HSJ916317:HSJ916382 HIN916317:HIN916382 GYR916317:GYR916382 GOV916317:GOV916382 GEZ916317:GEZ916382 FVD916317:FVD916382 FLH916317:FLH916382 FBL916317:FBL916382 ERP916317:ERP916382 EHT916317:EHT916382 DXX916317:DXX916382 DOB916317:DOB916382 DEF916317:DEF916382 CUJ916317:CUJ916382 CKN916317:CKN916382 CAR916317:CAR916382 BQV916317:BQV916382 BGZ916317:BGZ916382 AXD916317:AXD916382 ANH916317:ANH916382 ADL916317:ADL916382 TP916317:TP916382 JT916317:JT916382 X916317:X916382 WWF850781:WWF850846 WMJ850781:WMJ850846 WCN850781:WCN850846 VSR850781:VSR850846 VIV850781:VIV850846 UYZ850781:UYZ850846 UPD850781:UPD850846 UFH850781:UFH850846 TVL850781:TVL850846 TLP850781:TLP850846 TBT850781:TBT850846 SRX850781:SRX850846 SIB850781:SIB850846 RYF850781:RYF850846 ROJ850781:ROJ850846 REN850781:REN850846 QUR850781:QUR850846 QKV850781:QKV850846 QAZ850781:QAZ850846 PRD850781:PRD850846 PHH850781:PHH850846 OXL850781:OXL850846 ONP850781:ONP850846 ODT850781:ODT850846 NTX850781:NTX850846 NKB850781:NKB850846 NAF850781:NAF850846 MQJ850781:MQJ850846 MGN850781:MGN850846 LWR850781:LWR850846 LMV850781:LMV850846 LCZ850781:LCZ850846 KTD850781:KTD850846 KJH850781:KJH850846 JZL850781:JZL850846 JPP850781:JPP850846 JFT850781:JFT850846 IVX850781:IVX850846 IMB850781:IMB850846 ICF850781:ICF850846 HSJ850781:HSJ850846 HIN850781:HIN850846 GYR850781:GYR850846 GOV850781:GOV850846 GEZ850781:GEZ850846 FVD850781:FVD850846 FLH850781:FLH850846 FBL850781:FBL850846 ERP850781:ERP850846 EHT850781:EHT850846 DXX850781:DXX850846 DOB850781:DOB850846 DEF850781:DEF850846 CUJ850781:CUJ850846 CKN850781:CKN850846 CAR850781:CAR850846 BQV850781:BQV850846 BGZ850781:BGZ850846 AXD850781:AXD850846 ANH850781:ANH850846 ADL850781:ADL850846 TP850781:TP850846 JT850781:JT850846 X850781:X850846 WWF785245:WWF785310 WMJ785245:WMJ785310 WCN785245:WCN785310 VSR785245:VSR785310 VIV785245:VIV785310 UYZ785245:UYZ785310 UPD785245:UPD785310 UFH785245:UFH785310 TVL785245:TVL785310 TLP785245:TLP785310 TBT785245:TBT785310 SRX785245:SRX785310 SIB785245:SIB785310 RYF785245:RYF785310 ROJ785245:ROJ785310 REN785245:REN785310 QUR785245:QUR785310 QKV785245:QKV785310 QAZ785245:QAZ785310 PRD785245:PRD785310 PHH785245:PHH785310 OXL785245:OXL785310 ONP785245:ONP785310 ODT785245:ODT785310 NTX785245:NTX785310 NKB785245:NKB785310 NAF785245:NAF785310 MQJ785245:MQJ785310 MGN785245:MGN785310 LWR785245:LWR785310 LMV785245:LMV785310 LCZ785245:LCZ785310 KTD785245:KTD785310 KJH785245:KJH785310 JZL785245:JZL785310 JPP785245:JPP785310 JFT785245:JFT785310 IVX785245:IVX785310 IMB785245:IMB785310 ICF785245:ICF785310 HSJ785245:HSJ785310 HIN785245:HIN785310 GYR785245:GYR785310 GOV785245:GOV785310 GEZ785245:GEZ785310 FVD785245:FVD785310 FLH785245:FLH785310 FBL785245:FBL785310 ERP785245:ERP785310 EHT785245:EHT785310 DXX785245:DXX785310 DOB785245:DOB785310 DEF785245:DEF785310 CUJ785245:CUJ785310 CKN785245:CKN785310 CAR785245:CAR785310 BQV785245:BQV785310 BGZ785245:BGZ785310 AXD785245:AXD785310 ANH785245:ANH785310 ADL785245:ADL785310 TP785245:TP785310 JT785245:JT785310 X785245:X785310 WWF719709:WWF719774 WMJ719709:WMJ719774 WCN719709:WCN719774 VSR719709:VSR719774 VIV719709:VIV719774 UYZ719709:UYZ719774 UPD719709:UPD719774 UFH719709:UFH719774 TVL719709:TVL719774 TLP719709:TLP719774 TBT719709:TBT719774 SRX719709:SRX719774 SIB719709:SIB719774 RYF719709:RYF719774 ROJ719709:ROJ719774 REN719709:REN719774 QUR719709:QUR719774 QKV719709:QKV719774 QAZ719709:QAZ719774 PRD719709:PRD719774 PHH719709:PHH719774 OXL719709:OXL719774 ONP719709:ONP719774 ODT719709:ODT719774 NTX719709:NTX719774 NKB719709:NKB719774 NAF719709:NAF719774 MQJ719709:MQJ719774 MGN719709:MGN719774 LWR719709:LWR719774 LMV719709:LMV719774 LCZ719709:LCZ719774 KTD719709:KTD719774 KJH719709:KJH719774 JZL719709:JZL719774 JPP719709:JPP719774 JFT719709:JFT719774 IVX719709:IVX719774 IMB719709:IMB719774 ICF719709:ICF719774 HSJ719709:HSJ719774 HIN719709:HIN719774 GYR719709:GYR719774 GOV719709:GOV719774 GEZ719709:GEZ719774 FVD719709:FVD719774 FLH719709:FLH719774 FBL719709:FBL719774 ERP719709:ERP719774 EHT719709:EHT719774 DXX719709:DXX719774 DOB719709:DOB719774 DEF719709:DEF719774 CUJ719709:CUJ719774 CKN719709:CKN719774 CAR719709:CAR719774 BQV719709:BQV719774 BGZ719709:BGZ719774 AXD719709:AXD719774 ANH719709:ANH719774 ADL719709:ADL719774 TP719709:TP719774 JT719709:JT719774 X719709:X719774 WWF654173:WWF654238 WMJ654173:WMJ654238 WCN654173:WCN654238 VSR654173:VSR654238 VIV654173:VIV654238 UYZ654173:UYZ654238 UPD654173:UPD654238 UFH654173:UFH654238 TVL654173:TVL654238 TLP654173:TLP654238 TBT654173:TBT654238 SRX654173:SRX654238 SIB654173:SIB654238 RYF654173:RYF654238 ROJ654173:ROJ654238 REN654173:REN654238 QUR654173:QUR654238 QKV654173:QKV654238 QAZ654173:QAZ654238 PRD654173:PRD654238 PHH654173:PHH654238 OXL654173:OXL654238 ONP654173:ONP654238 ODT654173:ODT654238 NTX654173:NTX654238 NKB654173:NKB654238 NAF654173:NAF654238 MQJ654173:MQJ654238 MGN654173:MGN654238 LWR654173:LWR654238 LMV654173:LMV654238 LCZ654173:LCZ654238 KTD654173:KTD654238 KJH654173:KJH654238 JZL654173:JZL654238 JPP654173:JPP654238 JFT654173:JFT654238 IVX654173:IVX654238 IMB654173:IMB654238 ICF654173:ICF654238 HSJ654173:HSJ654238 HIN654173:HIN654238 GYR654173:GYR654238 GOV654173:GOV654238 GEZ654173:GEZ654238 FVD654173:FVD654238 FLH654173:FLH654238 FBL654173:FBL654238 ERP654173:ERP654238 EHT654173:EHT654238 DXX654173:DXX654238 DOB654173:DOB654238 DEF654173:DEF654238 CUJ654173:CUJ654238 CKN654173:CKN654238 CAR654173:CAR654238 BQV654173:BQV654238 BGZ654173:BGZ654238 AXD654173:AXD654238 ANH654173:ANH654238 ADL654173:ADL654238 TP654173:TP654238 JT654173:JT654238 X654173:X654238 WWF588637:WWF588702 WMJ588637:WMJ588702 WCN588637:WCN588702 VSR588637:VSR588702 VIV588637:VIV588702 UYZ588637:UYZ588702 UPD588637:UPD588702 UFH588637:UFH588702 TVL588637:TVL588702 TLP588637:TLP588702 TBT588637:TBT588702 SRX588637:SRX588702 SIB588637:SIB588702 RYF588637:RYF588702 ROJ588637:ROJ588702 REN588637:REN588702 QUR588637:QUR588702 QKV588637:QKV588702 QAZ588637:QAZ588702 PRD588637:PRD588702 PHH588637:PHH588702 OXL588637:OXL588702 ONP588637:ONP588702 ODT588637:ODT588702 NTX588637:NTX588702 NKB588637:NKB588702 NAF588637:NAF588702 MQJ588637:MQJ588702 MGN588637:MGN588702 LWR588637:LWR588702 LMV588637:LMV588702 LCZ588637:LCZ588702 KTD588637:KTD588702 KJH588637:KJH588702 JZL588637:JZL588702 JPP588637:JPP588702 JFT588637:JFT588702 IVX588637:IVX588702 IMB588637:IMB588702 ICF588637:ICF588702 HSJ588637:HSJ588702 HIN588637:HIN588702 GYR588637:GYR588702 GOV588637:GOV588702 GEZ588637:GEZ588702 FVD588637:FVD588702 FLH588637:FLH588702 FBL588637:FBL588702 ERP588637:ERP588702 EHT588637:EHT588702 DXX588637:DXX588702 DOB588637:DOB588702 DEF588637:DEF588702 CUJ588637:CUJ588702 CKN588637:CKN588702 CAR588637:CAR588702 BQV588637:BQV588702 BGZ588637:BGZ588702 AXD588637:AXD588702 ANH588637:ANH588702 ADL588637:ADL588702 TP588637:TP588702 JT588637:JT588702 X588637:X588702 WWF523101:WWF523166 WMJ523101:WMJ523166 WCN523101:WCN523166 VSR523101:VSR523166 VIV523101:VIV523166 UYZ523101:UYZ523166 UPD523101:UPD523166 UFH523101:UFH523166 TVL523101:TVL523166 TLP523101:TLP523166 TBT523101:TBT523166 SRX523101:SRX523166 SIB523101:SIB523166 RYF523101:RYF523166 ROJ523101:ROJ523166 REN523101:REN523166 QUR523101:QUR523166 QKV523101:QKV523166 QAZ523101:QAZ523166 PRD523101:PRD523166 PHH523101:PHH523166 OXL523101:OXL523166 ONP523101:ONP523166 ODT523101:ODT523166 NTX523101:NTX523166 NKB523101:NKB523166 NAF523101:NAF523166 MQJ523101:MQJ523166 MGN523101:MGN523166 LWR523101:LWR523166 LMV523101:LMV523166 LCZ523101:LCZ523166 KTD523101:KTD523166 KJH523101:KJH523166 JZL523101:JZL523166 JPP523101:JPP523166 JFT523101:JFT523166 IVX523101:IVX523166 IMB523101:IMB523166 ICF523101:ICF523166 HSJ523101:HSJ523166 HIN523101:HIN523166 GYR523101:GYR523166 GOV523101:GOV523166 GEZ523101:GEZ523166 FVD523101:FVD523166 FLH523101:FLH523166 FBL523101:FBL523166 ERP523101:ERP523166 EHT523101:EHT523166 DXX523101:DXX523166 DOB523101:DOB523166 DEF523101:DEF523166 CUJ523101:CUJ523166 CKN523101:CKN523166 CAR523101:CAR523166 BQV523101:BQV523166 BGZ523101:BGZ523166 AXD523101:AXD523166 ANH523101:ANH523166 ADL523101:ADL523166 TP523101:TP523166 JT523101:JT523166 X523101:X523166 WWF457565:WWF457630 WMJ457565:WMJ457630 WCN457565:WCN457630 VSR457565:VSR457630 VIV457565:VIV457630 UYZ457565:UYZ457630 UPD457565:UPD457630 UFH457565:UFH457630 TVL457565:TVL457630 TLP457565:TLP457630 TBT457565:TBT457630 SRX457565:SRX457630 SIB457565:SIB457630 RYF457565:RYF457630 ROJ457565:ROJ457630 REN457565:REN457630 QUR457565:QUR457630 QKV457565:QKV457630 QAZ457565:QAZ457630 PRD457565:PRD457630 PHH457565:PHH457630 OXL457565:OXL457630 ONP457565:ONP457630 ODT457565:ODT457630 NTX457565:NTX457630 NKB457565:NKB457630 NAF457565:NAF457630 MQJ457565:MQJ457630 MGN457565:MGN457630 LWR457565:LWR457630 LMV457565:LMV457630 LCZ457565:LCZ457630 KTD457565:KTD457630 KJH457565:KJH457630 JZL457565:JZL457630 JPP457565:JPP457630 JFT457565:JFT457630 IVX457565:IVX457630 IMB457565:IMB457630 ICF457565:ICF457630 HSJ457565:HSJ457630 HIN457565:HIN457630 GYR457565:GYR457630 GOV457565:GOV457630 GEZ457565:GEZ457630 FVD457565:FVD457630 FLH457565:FLH457630 FBL457565:FBL457630 ERP457565:ERP457630 EHT457565:EHT457630 DXX457565:DXX457630 DOB457565:DOB457630 DEF457565:DEF457630 CUJ457565:CUJ457630 CKN457565:CKN457630 CAR457565:CAR457630 BQV457565:BQV457630 BGZ457565:BGZ457630 AXD457565:AXD457630 ANH457565:ANH457630 ADL457565:ADL457630 TP457565:TP457630 JT457565:JT457630 X457565:X457630 WWF392029:WWF392094 WMJ392029:WMJ392094 WCN392029:WCN392094 VSR392029:VSR392094 VIV392029:VIV392094 UYZ392029:UYZ392094 UPD392029:UPD392094 UFH392029:UFH392094 TVL392029:TVL392094 TLP392029:TLP392094 TBT392029:TBT392094 SRX392029:SRX392094 SIB392029:SIB392094 RYF392029:RYF392094 ROJ392029:ROJ392094 REN392029:REN392094 QUR392029:QUR392094 QKV392029:QKV392094 QAZ392029:QAZ392094 PRD392029:PRD392094 PHH392029:PHH392094 OXL392029:OXL392094 ONP392029:ONP392094 ODT392029:ODT392094 NTX392029:NTX392094 NKB392029:NKB392094 NAF392029:NAF392094 MQJ392029:MQJ392094 MGN392029:MGN392094 LWR392029:LWR392094 LMV392029:LMV392094 LCZ392029:LCZ392094 KTD392029:KTD392094 KJH392029:KJH392094 JZL392029:JZL392094 JPP392029:JPP392094 JFT392029:JFT392094 IVX392029:IVX392094 IMB392029:IMB392094 ICF392029:ICF392094 HSJ392029:HSJ392094 HIN392029:HIN392094 GYR392029:GYR392094 GOV392029:GOV392094 GEZ392029:GEZ392094 FVD392029:FVD392094 FLH392029:FLH392094 FBL392029:FBL392094 ERP392029:ERP392094 EHT392029:EHT392094 DXX392029:DXX392094 DOB392029:DOB392094 DEF392029:DEF392094 CUJ392029:CUJ392094 CKN392029:CKN392094 CAR392029:CAR392094 BQV392029:BQV392094 BGZ392029:BGZ392094 AXD392029:AXD392094 ANH392029:ANH392094 ADL392029:ADL392094 TP392029:TP392094 JT392029:JT392094 X392029:X392094 WWF326493:WWF326558 WMJ326493:WMJ326558 WCN326493:WCN326558 VSR326493:VSR326558 VIV326493:VIV326558 UYZ326493:UYZ326558 UPD326493:UPD326558 UFH326493:UFH326558 TVL326493:TVL326558 TLP326493:TLP326558 TBT326493:TBT326558 SRX326493:SRX326558 SIB326493:SIB326558 RYF326493:RYF326558 ROJ326493:ROJ326558 REN326493:REN326558 QUR326493:QUR326558 QKV326493:QKV326558 QAZ326493:QAZ326558 PRD326493:PRD326558 PHH326493:PHH326558 OXL326493:OXL326558 ONP326493:ONP326558 ODT326493:ODT326558 NTX326493:NTX326558 NKB326493:NKB326558 NAF326493:NAF326558 MQJ326493:MQJ326558 MGN326493:MGN326558 LWR326493:LWR326558 LMV326493:LMV326558 LCZ326493:LCZ326558 KTD326493:KTD326558 KJH326493:KJH326558 JZL326493:JZL326558 JPP326493:JPP326558 JFT326493:JFT326558 IVX326493:IVX326558 IMB326493:IMB326558 ICF326493:ICF326558 HSJ326493:HSJ326558 HIN326493:HIN326558 GYR326493:GYR326558 GOV326493:GOV326558 GEZ326493:GEZ326558 FVD326493:FVD326558 FLH326493:FLH326558 FBL326493:FBL326558 ERP326493:ERP326558 EHT326493:EHT326558 DXX326493:DXX326558 DOB326493:DOB326558 DEF326493:DEF326558 CUJ326493:CUJ326558 CKN326493:CKN326558 CAR326493:CAR326558 BQV326493:BQV326558 BGZ326493:BGZ326558 AXD326493:AXD326558 ANH326493:ANH326558 ADL326493:ADL326558 TP326493:TP326558 JT326493:JT326558 X326493:X326558 WWF260957:WWF261022 WMJ260957:WMJ261022 WCN260957:WCN261022 VSR260957:VSR261022 VIV260957:VIV261022 UYZ260957:UYZ261022 UPD260957:UPD261022 UFH260957:UFH261022 TVL260957:TVL261022 TLP260957:TLP261022 TBT260957:TBT261022 SRX260957:SRX261022 SIB260957:SIB261022 RYF260957:RYF261022 ROJ260957:ROJ261022 REN260957:REN261022 QUR260957:QUR261022 QKV260957:QKV261022 QAZ260957:QAZ261022 PRD260957:PRD261022 PHH260957:PHH261022 OXL260957:OXL261022 ONP260957:ONP261022 ODT260957:ODT261022 NTX260957:NTX261022 NKB260957:NKB261022 NAF260957:NAF261022 MQJ260957:MQJ261022 MGN260957:MGN261022 LWR260957:LWR261022 LMV260957:LMV261022 LCZ260957:LCZ261022 KTD260957:KTD261022 KJH260957:KJH261022 JZL260957:JZL261022 JPP260957:JPP261022 JFT260957:JFT261022 IVX260957:IVX261022 IMB260957:IMB261022 ICF260957:ICF261022 HSJ260957:HSJ261022 HIN260957:HIN261022 GYR260957:GYR261022 GOV260957:GOV261022 GEZ260957:GEZ261022 FVD260957:FVD261022 FLH260957:FLH261022 FBL260957:FBL261022 ERP260957:ERP261022 EHT260957:EHT261022 DXX260957:DXX261022 DOB260957:DOB261022 DEF260957:DEF261022 CUJ260957:CUJ261022 CKN260957:CKN261022 CAR260957:CAR261022 BQV260957:BQV261022 BGZ260957:BGZ261022 AXD260957:AXD261022 ANH260957:ANH261022 ADL260957:ADL261022 TP260957:TP261022 JT260957:JT261022 X260957:X261022 WWF195421:WWF195486 WMJ195421:WMJ195486 WCN195421:WCN195486 VSR195421:VSR195486 VIV195421:VIV195486 UYZ195421:UYZ195486 UPD195421:UPD195486 UFH195421:UFH195486 TVL195421:TVL195486 TLP195421:TLP195486 TBT195421:TBT195486 SRX195421:SRX195486 SIB195421:SIB195486 RYF195421:RYF195486 ROJ195421:ROJ195486 REN195421:REN195486 QUR195421:QUR195486 QKV195421:QKV195486 QAZ195421:QAZ195486 PRD195421:PRD195486 PHH195421:PHH195486 OXL195421:OXL195486 ONP195421:ONP195486 ODT195421:ODT195486 NTX195421:NTX195486 NKB195421:NKB195486 NAF195421:NAF195486 MQJ195421:MQJ195486 MGN195421:MGN195486 LWR195421:LWR195486 LMV195421:LMV195486 LCZ195421:LCZ195486 KTD195421:KTD195486 KJH195421:KJH195486 JZL195421:JZL195486 JPP195421:JPP195486 JFT195421:JFT195486 IVX195421:IVX195486 IMB195421:IMB195486 ICF195421:ICF195486 HSJ195421:HSJ195486 HIN195421:HIN195486 GYR195421:GYR195486 GOV195421:GOV195486 GEZ195421:GEZ195486 FVD195421:FVD195486 FLH195421:FLH195486 FBL195421:FBL195486 ERP195421:ERP195486 EHT195421:EHT195486 DXX195421:DXX195486 DOB195421:DOB195486 DEF195421:DEF195486 CUJ195421:CUJ195486 CKN195421:CKN195486 CAR195421:CAR195486 BQV195421:BQV195486 BGZ195421:BGZ195486 AXD195421:AXD195486 ANH195421:ANH195486 ADL195421:ADL195486 TP195421:TP195486 JT195421:JT195486 X195421:X195486 WWF129885:WWF129950 WMJ129885:WMJ129950 WCN129885:WCN129950 VSR129885:VSR129950 VIV129885:VIV129950 UYZ129885:UYZ129950 UPD129885:UPD129950 UFH129885:UFH129950 TVL129885:TVL129950 TLP129885:TLP129950 TBT129885:TBT129950 SRX129885:SRX129950 SIB129885:SIB129950 RYF129885:RYF129950 ROJ129885:ROJ129950 REN129885:REN129950 QUR129885:QUR129950 QKV129885:QKV129950 QAZ129885:QAZ129950 PRD129885:PRD129950 PHH129885:PHH129950 OXL129885:OXL129950 ONP129885:ONP129950 ODT129885:ODT129950 NTX129885:NTX129950 NKB129885:NKB129950 NAF129885:NAF129950 MQJ129885:MQJ129950 MGN129885:MGN129950 LWR129885:LWR129950 LMV129885:LMV129950 LCZ129885:LCZ129950 KTD129885:KTD129950 KJH129885:KJH129950 JZL129885:JZL129950 JPP129885:JPP129950 JFT129885:JFT129950 IVX129885:IVX129950 IMB129885:IMB129950 ICF129885:ICF129950 HSJ129885:HSJ129950 HIN129885:HIN129950 GYR129885:GYR129950 GOV129885:GOV129950 GEZ129885:GEZ129950 FVD129885:FVD129950 FLH129885:FLH129950 FBL129885:FBL129950 ERP129885:ERP129950 EHT129885:EHT129950 DXX129885:DXX129950 DOB129885:DOB129950 DEF129885:DEF129950 CUJ129885:CUJ129950 CKN129885:CKN129950 CAR129885:CAR129950 BQV129885:BQV129950 BGZ129885:BGZ129950 AXD129885:AXD129950 ANH129885:ANH129950 ADL129885:ADL129950 TP129885:TP129950 JT129885:JT129950 X129885:X129950 WWF64349:WWF64414 WMJ64349:WMJ64414 WCN64349:WCN64414 VSR64349:VSR64414 VIV64349:VIV64414 UYZ64349:UYZ64414 UPD64349:UPD64414 UFH64349:UFH64414 TVL64349:TVL64414 TLP64349:TLP64414 TBT64349:TBT64414 SRX64349:SRX64414 SIB64349:SIB64414 RYF64349:RYF64414 ROJ64349:ROJ64414 REN64349:REN64414 QUR64349:QUR64414 QKV64349:QKV64414 QAZ64349:QAZ64414 PRD64349:PRD64414 PHH64349:PHH64414 OXL64349:OXL64414 ONP64349:ONP64414 ODT64349:ODT64414 NTX64349:NTX64414 NKB64349:NKB64414 NAF64349:NAF64414 MQJ64349:MQJ64414 MGN64349:MGN64414 LWR64349:LWR64414 LMV64349:LMV64414 LCZ64349:LCZ64414 KTD64349:KTD64414 KJH64349:KJH64414 JZL64349:JZL64414 JPP64349:JPP64414 JFT64349:JFT64414 IVX64349:IVX64414 IMB64349:IMB64414 ICF64349:ICF64414 HSJ64349:HSJ64414 HIN64349:HIN64414 GYR64349:GYR64414 GOV64349:GOV64414 GEZ64349:GEZ64414 FVD64349:FVD64414 FLH64349:FLH64414 FBL64349:FBL64414 ERP64349:ERP64414 EHT64349:EHT64414 DXX64349:DXX64414 DOB64349:DOB64414 DEF64349:DEF64414 CUJ64349:CUJ64414 CKN64349:CKN64414 CAR64349:CAR64414 BQV64349:BQV64414 BGZ64349:BGZ64414 AXD64349:AXD64414 ANH64349:ANH64414 ADL64349:ADL64414 TP64349:TP64414 ADL2:ADL61 TP2:TP61 JT2:JT61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X2:X486">
      <formula1>$AT$2:$AT$3</formula1>
    </dataValidation>
    <dataValidation type="list" allowBlank="1" showInputMessage="1" showErrorMessage="1" sqref="G64349:G64416 JC64349:JC64416 WLS983028:WLS983099 WBW983028:WBW983099 VSA983028:VSA983099 VIE983028:VIE983099 UYI983028:UYI983099 UOM983028:UOM983099 UEQ983028:UEQ983099 TUU983028:TUU983099 TKY983028:TKY983099 TBC983028:TBC983099 SRG983028:SRG983099 SHK983028:SHK983099 RXO983028:RXO983099 RNS983028:RNS983099 RDW983028:RDW983099 QUA983028:QUA983099 QKE983028:QKE983099 QAI983028:QAI983099 PQM983028:PQM983099 PGQ983028:PGQ983099 OWU983028:OWU983099 OMY983028:OMY983099 ODC983028:ODC983099 NTG983028:NTG983099 NJK983028:NJK983099 MZO983028:MZO983099 MPS983028:MPS983099 MFW983028:MFW983099 LWA983028:LWA983099 LME983028:LME983099 LCI983028:LCI983099 KSM983028:KSM983099 KIQ983028:KIQ983099 JYU983028:JYU983099 JOY983028:JOY983099 JFC983028:JFC983099 IVG983028:IVG983099 ILK983028:ILK983099 IBO983028:IBO983099 HRS983028:HRS983099 HHW983028:HHW983099 GYA983028:GYA983099 GOE983028:GOE983099 GEI983028:GEI983099 FUM983028:FUM983099 FKQ983028:FKQ983099 FAU983028:FAU983099 EQY983028:EQY983099 EHC983028:EHC983099 DXG983028:DXG983099 DNK983028:DNK983099 DDO983028:DDO983099 CTS983028:CTS983099 CJW983028:CJW983099 CAA983028:CAA983099 BQE983028:BQE983099 BGI983028:BGI983099 AWM983028:AWM983099 AMQ983028:AMQ983099 ACU983028:ACU983099 SY983028:SY983099 JC983028:JC983099 G983028:G983099 WVO917492:WVO917563 WLS917492:WLS917563 WBW917492:WBW917563 VSA917492:VSA917563 VIE917492:VIE917563 UYI917492:UYI917563 UOM917492:UOM917563 UEQ917492:UEQ917563 TUU917492:TUU917563 TKY917492:TKY917563 TBC917492:TBC917563 SRG917492:SRG917563 SHK917492:SHK917563 RXO917492:RXO917563 RNS917492:RNS917563 RDW917492:RDW917563 QUA917492:QUA917563 QKE917492:QKE917563 QAI917492:QAI917563 PQM917492:PQM917563 PGQ917492:PGQ917563 OWU917492:OWU917563 OMY917492:OMY917563 ODC917492:ODC917563 NTG917492:NTG917563 NJK917492:NJK917563 MZO917492:MZO917563 MPS917492:MPS917563 MFW917492:MFW917563 LWA917492:LWA917563 LME917492:LME917563 LCI917492:LCI917563 KSM917492:KSM917563 KIQ917492:KIQ917563 JYU917492:JYU917563 JOY917492:JOY917563 JFC917492:JFC917563 IVG917492:IVG917563 ILK917492:ILK917563 IBO917492:IBO917563 HRS917492:HRS917563 HHW917492:HHW917563 GYA917492:GYA917563 GOE917492:GOE917563 GEI917492:GEI917563 FUM917492:FUM917563 FKQ917492:FKQ917563 FAU917492:FAU917563 EQY917492:EQY917563 EHC917492:EHC917563 DXG917492:DXG917563 DNK917492:DNK917563 DDO917492:DDO917563 CTS917492:CTS917563 CJW917492:CJW917563 CAA917492:CAA917563 BQE917492:BQE917563 BGI917492:BGI917563 AWM917492:AWM917563 AMQ917492:AMQ917563 ACU917492:ACU917563 SY917492:SY917563 JC917492:JC917563 G917492:G917563 WVO851956:WVO852027 WLS851956:WLS852027 WBW851956:WBW852027 VSA851956:VSA852027 VIE851956:VIE852027 UYI851956:UYI852027 UOM851956:UOM852027 UEQ851956:UEQ852027 TUU851956:TUU852027 TKY851956:TKY852027 TBC851956:TBC852027 SRG851956:SRG852027 SHK851956:SHK852027 RXO851956:RXO852027 RNS851956:RNS852027 RDW851956:RDW852027 QUA851956:QUA852027 QKE851956:QKE852027 QAI851956:QAI852027 PQM851956:PQM852027 PGQ851956:PGQ852027 OWU851956:OWU852027 OMY851956:OMY852027 ODC851956:ODC852027 NTG851956:NTG852027 NJK851956:NJK852027 MZO851956:MZO852027 MPS851956:MPS852027 MFW851956:MFW852027 LWA851956:LWA852027 LME851956:LME852027 LCI851956:LCI852027 KSM851956:KSM852027 KIQ851956:KIQ852027 JYU851956:JYU852027 JOY851956:JOY852027 JFC851956:JFC852027 IVG851956:IVG852027 ILK851956:ILK852027 IBO851956:IBO852027 HRS851956:HRS852027 HHW851956:HHW852027 GYA851956:GYA852027 GOE851956:GOE852027 GEI851956:GEI852027 FUM851956:FUM852027 FKQ851956:FKQ852027 FAU851956:FAU852027 EQY851956:EQY852027 EHC851956:EHC852027 DXG851956:DXG852027 DNK851956:DNK852027 DDO851956:DDO852027 CTS851956:CTS852027 CJW851956:CJW852027 CAA851956:CAA852027 BQE851956:BQE852027 BGI851956:BGI852027 AWM851956:AWM852027 AMQ851956:AMQ852027 ACU851956:ACU852027 SY851956:SY852027 JC851956:JC852027 G851956:G852027 WVO786420:WVO786491 WLS786420:WLS786491 WBW786420:WBW786491 VSA786420:VSA786491 VIE786420:VIE786491 UYI786420:UYI786491 UOM786420:UOM786491 UEQ786420:UEQ786491 TUU786420:TUU786491 TKY786420:TKY786491 TBC786420:TBC786491 SRG786420:SRG786491 SHK786420:SHK786491 RXO786420:RXO786491 RNS786420:RNS786491 RDW786420:RDW786491 QUA786420:QUA786491 QKE786420:QKE786491 QAI786420:QAI786491 PQM786420:PQM786491 PGQ786420:PGQ786491 OWU786420:OWU786491 OMY786420:OMY786491 ODC786420:ODC786491 NTG786420:NTG786491 NJK786420:NJK786491 MZO786420:MZO786491 MPS786420:MPS786491 MFW786420:MFW786491 LWA786420:LWA786491 LME786420:LME786491 LCI786420:LCI786491 KSM786420:KSM786491 KIQ786420:KIQ786491 JYU786420:JYU786491 JOY786420:JOY786491 JFC786420:JFC786491 IVG786420:IVG786491 ILK786420:ILK786491 IBO786420:IBO786491 HRS786420:HRS786491 HHW786420:HHW786491 GYA786420:GYA786491 GOE786420:GOE786491 GEI786420:GEI786491 FUM786420:FUM786491 FKQ786420:FKQ786491 FAU786420:FAU786491 EQY786420:EQY786491 EHC786420:EHC786491 DXG786420:DXG786491 DNK786420:DNK786491 DDO786420:DDO786491 CTS786420:CTS786491 CJW786420:CJW786491 CAA786420:CAA786491 BQE786420:BQE786491 BGI786420:BGI786491 AWM786420:AWM786491 AMQ786420:AMQ786491 ACU786420:ACU786491 SY786420:SY786491 JC786420:JC786491 G786420:G786491 WVO720884:WVO720955 WLS720884:WLS720955 WBW720884:WBW720955 VSA720884:VSA720955 VIE720884:VIE720955 UYI720884:UYI720955 UOM720884:UOM720955 UEQ720884:UEQ720955 TUU720884:TUU720955 TKY720884:TKY720955 TBC720884:TBC720955 SRG720884:SRG720955 SHK720884:SHK720955 RXO720884:RXO720955 RNS720884:RNS720955 RDW720884:RDW720955 QUA720884:QUA720955 QKE720884:QKE720955 QAI720884:QAI720955 PQM720884:PQM720955 PGQ720884:PGQ720955 OWU720884:OWU720955 OMY720884:OMY720955 ODC720884:ODC720955 NTG720884:NTG720955 NJK720884:NJK720955 MZO720884:MZO720955 MPS720884:MPS720955 MFW720884:MFW720955 LWA720884:LWA720955 LME720884:LME720955 LCI720884:LCI720955 KSM720884:KSM720955 KIQ720884:KIQ720955 JYU720884:JYU720955 JOY720884:JOY720955 JFC720884:JFC720955 IVG720884:IVG720955 ILK720884:ILK720955 IBO720884:IBO720955 HRS720884:HRS720955 HHW720884:HHW720955 GYA720884:GYA720955 GOE720884:GOE720955 GEI720884:GEI720955 FUM720884:FUM720955 FKQ720884:FKQ720955 FAU720884:FAU720955 EQY720884:EQY720955 EHC720884:EHC720955 DXG720884:DXG720955 DNK720884:DNK720955 DDO720884:DDO720955 CTS720884:CTS720955 CJW720884:CJW720955 CAA720884:CAA720955 BQE720884:BQE720955 BGI720884:BGI720955 AWM720884:AWM720955 AMQ720884:AMQ720955 ACU720884:ACU720955 SY720884:SY720955 JC720884:JC720955 G720884:G720955 WVO655348:WVO655419 WLS655348:WLS655419 WBW655348:WBW655419 VSA655348:VSA655419 VIE655348:VIE655419 UYI655348:UYI655419 UOM655348:UOM655419 UEQ655348:UEQ655419 TUU655348:TUU655419 TKY655348:TKY655419 TBC655348:TBC655419 SRG655348:SRG655419 SHK655348:SHK655419 RXO655348:RXO655419 RNS655348:RNS655419 RDW655348:RDW655419 QUA655348:QUA655419 QKE655348:QKE655419 QAI655348:QAI655419 PQM655348:PQM655419 PGQ655348:PGQ655419 OWU655348:OWU655419 OMY655348:OMY655419 ODC655348:ODC655419 NTG655348:NTG655419 NJK655348:NJK655419 MZO655348:MZO655419 MPS655348:MPS655419 MFW655348:MFW655419 LWA655348:LWA655419 LME655348:LME655419 LCI655348:LCI655419 KSM655348:KSM655419 KIQ655348:KIQ655419 JYU655348:JYU655419 JOY655348:JOY655419 JFC655348:JFC655419 IVG655348:IVG655419 ILK655348:ILK655419 IBO655348:IBO655419 HRS655348:HRS655419 HHW655348:HHW655419 GYA655348:GYA655419 GOE655348:GOE655419 GEI655348:GEI655419 FUM655348:FUM655419 FKQ655348:FKQ655419 FAU655348:FAU655419 EQY655348:EQY655419 EHC655348:EHC655419 DXG655348:DXG655419 DNK655348:DNK655419 DDO655348:DDO655419 CTS655348:CTS655419 CJW655348:CJW655419 CAA655348:CAA655419 BQE655348:BQE655419 BGI655348:BGI655419 AWM655348:AWM655419 AMQ655348:AMQ655419 ACU655348:ACU655419 SY655348:SY655419 JC655348:JC655419 G655348:G655419 WVO589812:WVO589883 WLS589812:WLS589883 WBW589812:WBW589883 VSA589812:VSA589883 VIE589812:VIE589883 UYI589812:UYI589883 UOM589812:UOM589883 UEQ589812:UEQ589883 TUU589812:TUU589883 TKY589812:TKY589883 TBC589812:TBC589883 SRG589812:SRG589883 SHK589812:SHK589883 RXO589812:RXO589883 RNS589812:RNS589883 RDW589812:RDW589883 QUA589812:QUA589883 QKE589812:QKE589883 QAI589812:QAI589883 PQM589812:PQM589883 PGQ589812:PGQ589883 OWU589812:OWU589883 OMY589812:OMY589883 ODC589812:ODC589883 NTG589812:NTG589883 NJK589812:NJK589883 MZO589812:MZO589883 MPS589812:MPS589883 MFW589812:MFW589883 LWA589812:LWA589883 LME589812:LME589883 LCI589812:LCI589883 KSM589812:KSM589883 KIQ589812:KIQ589883 JYU589812:JYU589883 JOY589812:JOY589883 JFC589812:JFC589883 IVG589812:IVG589883 ILK589812:ILK589883 IBO589812:IBO589883 HRS589812:HRS589883 HHW589812:HHW589883 GYA589812:GYA589883 GOE589812:GOE589883 GEI589812:GEI589883 FUM589812:FUM589883 FKQ589812:FKQ589883 FAU589812:FAU589883 EQY589812:EQY589883 EHC589812:EHC589883 DXG589812:DXG589883 DNK589812:DNK589883 DDO589812:DDO589883 CTS589812:CTS589883 CJW589812:CJW589883 CAA589812:CAA589883 BQE589812:BQE589883 BGI589812:BGI589883 AWM589812:AWM589883 AMQ589812:AMQ589883 ACU589812:ACU589883 SY589812:SY589883 JC589812:JC589883 G589812:G589883 WVO524276:WVO524347 WLS524276:WLS524347 WBW524276:WBW524347 VSA524276:VSA524347 VIE524276:VIE524347 UYI524276:UYI524347 UOM524276:UOM524347 UEQ524276:UEQ524347 TUU524276:TUU524347 TKY524276:TKY524347 TBC524276:TBC524347 SRG524276:SRG524347 SHK524276:SHK524347 RXO524276:RXO524347 RNS524276:RNS524347 RDW524276:RDW524347 QUA524276:QUA524347 QKE524276:QKE524347 QAI524276:QAI524347 PQM524276:PQM524347 PGQ524276:PGQ524347 OWU524276:OWU524347 OMY524276:OMY524347 ODC524276:ODC524347 NTG524276:NTG524347 NJK524276:NJK524347 MZO524276:MZO524347 MPS524276:MPS524347 MFW524276:MFW524347 LWA524276:LWA524347 LME524276:LME524347 LCI524276:LCI524347 KSM524276:KSM524347 KIQ524276:KIQ524347 JYU524276:JYU524347 JOY524276:JOY524347 JFC524276:JFC524347 IVG524276:IVG524347 ILK524276:ILK524347 IBO524276:IBO524347 HRS524276:HRS524347 HHW524276:HHW524347 GYA524276:GYA524347 GOE524276:GOE524347 GEI524276:GEI524347 FUM524276:FUM524347 FKQ524276:FKQ524347 FAU524276:FAU524347 EQY524276:EQY524347 EHC524276:EHC524347 DXG524276:DXG524347 DNK524276:DNK524347 DDO524276:DDO524347 CTS524276:CTS524347 CJW524276:CJW524347 CAA524276:CAA524347 BQE524276:BQE524347 BGI524276:BGI524347 AWM524276:AWM524347 AMQ524276:AMQ524347 ACU524276:ACU524347 SY524276:SY524347 JC524276:JC524347 G524276:G524347 WVO458740:WVO458811 WLS458740:WLS458811 WBW458740:WBW458811 VSA458740:VSA458811 VIE458740:VIE458811 UYI458740:UYI458811 UOM458740:UOM458811 UEQ458740:UEQ458811 TUU458740:TUU458811 TKY458740:TKY458811 TBC458740:TBC458811 SRG458740:SRG458811 SHK458740:SHK458811 RXO458740:RXO458811 RNS458740:RNS458811 RDW458740:RDW458811 QUA458740:QUA458811 QKE458740:QKE458811 QAI458740:QAI458811 PQM458740:PQM458811 PGQ458740:PGQ458811 OWU458740:OWU458811 OMY458740:OMY458811 ODC458740:ODC458811 NTG458740:NTG458811 NJK458740:NJK458811 MZO458740:MZO458811 MPS458740:MPS458811 MFW458740:MFW458811 LWA458740:LWA458811 LME458740:LME458811 LCI458740:LCI458811 KSM458740:KSM458811 KIQ458740:KIQ458811 JYU458740:JYU458811 JOY458740:JOY458811 JFC458740:JFC458811 IVG458740:IVG458811 ILK458740:ILK458811 IBO458740:IBO458811 HRS458740:HRS458811 HHW458740:HHW458811 GYA458740:GYA458811 GOE458740:GOE458811 GEI458740:GEI458811 FUM458740:FUM458811 FKQ458740:FKQ458811 FAU458740:FAU458811 EQY458740:EQY458811 EHC458740:EHC458811 DXG458740:DXG458811 DNK458740:DNK458811 DDO458740:DDO458811 CTS458740:CTS458811 CJW458740:CJW458811 CAA458740:CAA458811 BQE458740:BQE458811 BGI458740:BGI458811 AWM458740:AWM458811 AMQ458740:AMQ458811 ACU458740:ACU458811 SY458740:SY458811 JC458740:JC458811 G458740:G458811 WVO393204:WVO393275 WLS393204:WLS393275 WBW393204:WBW393275 VSA393204:VSA393275 VIE393204:VIE393275 UYI393204:UYI393275 UOM393204:UOM393275 UEQ393204:UEQ393275 TUU393204:TUU393275 TKY393204:TKY393275 TBC393204:TBC393275 SRG393204:SRG393275 SHK393204:SHK393275 RXO393204:RXO393275 RNS393204:RNS393275 RDW393204:RDW393275 QUA393204:QUA393275 QKE393204:QKE393275 QAI393204:QAI393275 PQM393204:PQM393275 PGQ393204:PGQ393275 OWU393204:OWU393275 OMY393204:OMY393275 ODC393204:ODC393275 NTG393204:NTG393275 NJK393204:NJK393275 MZO393204:MZO393275 MPS393204:MPS393275 MFW393204:MFW393275 LWA393204:LWA393275 LME393204:LME393275 LCI393204:LCI393275 KSM393204:KSM393275 KIQ393204:KIQ393275 JYU393204:JYU393275 JOY393204:JOY393275 JFC393204:JFC393275 IVG393204:IVG393275 ILK393204:ILK393275 IBO393204:IBO393275 HRS393204:HRS393275 HHW393204:HHW393275 GYA393204:GYA393275 GOE393204:GOE393275 GEI393204:GEI393275 FUM393204:FUM393275 FKQ393204:FKQ393275 FAU393204:FAU393275 EQY393204:EQY393275 EHC393204:EHC393275 DXG393204:DXG393275 DNK393204:DNK393275 DDO393204:DDO393275 CTS393204:CTS393275 CJW393204:CJW393275 CAA393204:CAA393275 BQE393204:BQE393275 BGI393204:BGI393275 AWM393204:AWM393275 AMQ393204:AMQ393275 ACU393204:ACU393275 SY393204:SY393275 JC393204:JC393275 G393204:G393275 WVO327668:WVO327739 WLS327668:WLS327739 WBW327668:WBW327739 VSA327668:VSA327739 VIE327668:VIE327739 UYI327668:UYI327739 UOM327668:UOM327739 UEQ327668:UEQ327739 TUU327668:TUU327739 TKY327668:TKY327739 TBC327668:TBC327739 SRG327668:SRG327739 SHK327668:SHK327739 RXO327668:RXO327739 RNS327668:RNS327739 RDW327668:RDW327739 QUA327668:QUA327739 QKE327668:QKE327739 QAI327668:QAI327739 PQM327668:PQM327739 PGQ327668:PGQ327739 OWU327668:OWU327739 OMY327668:OMY327739 ODC327668:ODC327739 NTG327668:NTG327739 NJK327668:NJK327739 MZO327668:MZO327739 MPS327668:MPS327739 MFW327668:MFW327739 LWA327668:LWA327739 LME327668:LME327739 LCI327668:LCI327739 KSM327668:KSM327739 KIQ327668:KIQ327739 JYU327668:JYU327739 JOY327668:JOY327739 JFC327668:JFC327739 IVG327668:IVG327739 ILK327668:ILK327739 IBO327668:IBO327739 HRS327668:HRS327739 HHW327668:HHW327739 GYA327668:GYA327739 GOE327668:GOE327739 GEI327668:GEI327739 FUM327668:FUM327739 FKQ327668:FKQ327739 FAU327668:FAU327739 EQY327668:EQY327739 EHC327668:EHC327739 DXG327668:DXG327739 DNK327668:DNK327739 DDO327668:DDO327739 CTS327668:CTS327739 CJW327668:CJW327739 CAA327668:CAA327739 BQE327668:BQE327739 BGI327668:BGI327739 AWM327668:AWM327739 AMQ327668:AMQ327739 ACU327668:ACU327739 SY327668:SY327739 JC327668:JC327739 G327668:G327739 WVO262132:WVO262203 WLS262132:WLS262203 WBW262132:WBW262203 VSA262132:VSA262203 VIE262132:VIE262203 UYI262132:UYI262203 UOM262132:UOM262203 UEQ262132:UEQ262203 TUU262132:TUU262203 TKY262132:TKY262203 TBC262132:TBC262203 SRG262132:SRG262203 SHK262132:SHK262203 RXO262132:RXO262203 RNS262132:RNS262203 RDW262132:RDW262203 QUA262132:QUA262203 QKE262132:QKE262203 QAI262132:QAI262203 PQM262132:PQM262203 PGQ262132:PGQ262203 OWU262132:OWU262203 OMY262132:OMY262203 ODC262132:ODC262203 NTG262132:NTG262203 NJK262132:NJK262203 MZO262132:MZO262203 MPS262132:MPS262203 MFW262132:MFW262203 LWA262132:LWA262203 LME262132:LME262203 LCI262132:LCI262203 KSM262132:KSM262203 KIQ262132:KIQ262203 JYU262132:JYU262203 JOY262132:JOY262203 JFC262132:JFC262203 IVG262132:IVG262203 ILK262132:ILK262203 IBO262132:IBO262203 HRS262132:HRS262203 HHW262132:HHW262203 GYA262132:GYA262203 GOE262132:GOE262203 GEI262132:GEI262203 FUM262132:FUM262203 FKQ262132:FKQ262203 FAU262132:FAU262203 EQY262132:EQY262203 EHC262132:EHC262203 DXG262132:DXG262203 DNK262132:DNK262203 DDO262132:DDO262203 CTS262132:CTS262203 CJW262132:CJW262203 CAA262132:CAA262203 BQE262132:BQE262203 BGI262132:BGI262203 AWM262132:AWM262203 AMQ262132:AMQ262203 ACU262132:ACU262203 SY262132:SY262203 JC262132:JC262203 G262132:G262203 WVO196596:WVO196667 WLS196596:WLS196667 WBW196596:WBW196667 VSA196596:VSA196667 VIE196596:VIE196667 UYI196596:UYI196667 UOM196596:UOM196667 UEQ196596:UEQ196667 TUU196596:TUU196667 TKY196596:TKY196667 TBC196596:TBC196667 SRG196596:SRG196667 SHK196596:SHK196667 RXO196596:RXO196667 RNS196596:RNS196667 RDW196596:RDW196667 QUA196596:QUA196667 QKE196596:QKE196667 QAI196596:QAI196667 PQM196596:PQM196667 PGQ196596:PGQ196667 OWU196596:OWU196667 OMY196596:OMY196667 ODC196596:ODC196667 NTG196596:NTG196667 NJK196596:NJK196667 MZO196596:MZO196667 MPS196596:MPS196667 MFW196596:MFW196667 LWA196596:LWA196667 LME196596:LME196667 LCI196596:LCI196667 KSM196596:KSM196667 KIQ196596:KIQ196667 JYU196596:JYU196667 JOY196596:JOY196667 JFC196596:JFC196667 IVG196596:IVG196667 ILK196596:ILK196667 IBO196596:IBO196667 HRS196596:HRS196667 HHW196596:HHW196667 GYA196596:GYA196667 GOE196596:GOE196667 GEI196596:GEI196667 FUM196596:FUM196667 FKQ196596:FKQ196667 FAU196596:FAU196667 EQY196596:EQY196667 EHC196596:EHC196667 DXG196596:DXG196667 DNK196596:DNK196667 DDO196596:DDO196667 CTS196596:CTS196667 CJW196596:CJW196667 CAA196596:CAA196667 BQE196596:BQE196667 BGI196596:BGI196667 AWM196596:AWM196667 AMQ196596:AMQ196667 ACU196596:ACU196667 SY196596:SY196667 JC196596:JC196667 G196596:G196667 WVO131060:WVO131131 WLS131060:WLS131131 WBW131060:WBW131131 VSA131060:VSA131131 VIE131060:VIE131131 UYI131060:UYI131131 UOM131060:UOM131131 UEQ131060:UEQ131131 TUU131060:TUU131131 TKY131060:TKY131131 TBC131060:TBC131131 SRG131060:SRG131131 SHK131060:SHK131131 RXO131060:RXO131131 RNS131060:RNS131131 RDW131060:RDW131131 QUA131060:QUA131131 QKE131060:QKE131131 QAI131060:QAI131131 PQM131060:PQM131131 PGQ131060:PGQ131131 OWU131060:OWU131131 OMY131060:OMY131131 ODC131060:ODC131131 NTG131060:NTG131131 NJK131060:NJK131131 MZO131060:MZO131131 MPS131060:MPS131131 MFW131060:MFW131131 LWA131060:LWA131131 LME131060:LME131131 LCI131060:LCI131131 KSM131060:KSM131131 KIQ131060:KIQ131131 JYU131060:JYU131131 JOY131060:JOY131131 JFC131060:JFC131131 IVG131060:IVG131131 ILK131060:ILK131131 IBO131060:IBO131131 HRS131060:HRS131131 HHW131060:HHW131131 GYA131060:GYA131131 GOE131060:GOE131131 GEI131060:GEI131131 FUM131060:FUM131131 FKQ131060:FKQ131131 FAU131060:FAU131131 EQY131060:EQY131131 EHC131060:EHC131131 DXG131060:DXG131131 DNK131060:DNK131131 DDO131060:DDO131131 CTS131060:CTS131131 CJW131060:CJW131131 CAA131060:CAA131131 BQE131060:BQE131131 BGI131060:BGI131131 AWM131060:AWM131131 AMQ131060:AMQ131131 ACU131060:ACU131131 SY131060:SY131131 JC131060:JC131131 G131060:G131131 WVO65524:WVO65595 WLS65524:WLS65595 WBW65524:WBW65595 VSA65524:VSA65595 VIE65524:VIE65595 UYI65524:UYI65595 UOM65524:UOM65595 UEQ65524:UEQ65595 TUU65524:TUU65595 TKY65524:TKY65595 TBC65524:TBC65595 SRG65524:SRG65595 SHK65524:SHK65595 RXO65524:RXO65595 RNS65524:RNS65595 RDW65524:RDW65595 QUA65524:QUA65595 QKE65524:QKE65595 QAI65524:QAI65595 PQM65524:PQM65595 PGQ65524:PGQ65595 OWU65524:OWU65595 OMY65524:OMY65595 ODC65524:ODC65595 NTG65524:NTG65595 NJK65524:NJK65595 MZO65524:MZO65595 MPS65524:MPS65595 MFW65524:MFW65595 LWA65524:LWA65595 LME65524:LME65595 LCI65524:LCI65595 KSM65524:KSM65595 KIQ65524:KIQ65595 JYU65524:JYU65595 JOY65524:JOY65595 JFC65524:JFC65595 IVG65524:IVG65595 ILK65524:ILK65595 IBO65524:IBO65595 HRS65524:HRS65595 HHW65524:HHW65595 GYA65524:GYA65595 GOE65524:GOE65595 GEI65524:GEI65595 FUM65524:FUM65595 FKQ65524:FKQ65595 FAU65524:FAU65595 EQY65524:EQY65595 EHC65524:EHC65595 DXG65524:DXG65595 DNK65524:DNK65595 DDO65524:DDO65595 CTS65524:CTS65595 CJW65524:CJW65595 CAA65524:CAA65595 BQE65524:BQE65595 BGI65524:BGI65595 AWM65524:AWM65595 AMQ65524:AMQ65595 ACU65524:ACU65595 SY65524:SY65595 JC65524:JC65595 G65524:G65595 WVO983028:WVO983099 WVO1047389:WVO1047456 WLS1047389:WLS1047456 WBW1047389:WBW1047456 VSA1047389:VSA1047456 VIE1047389:VIE1047456 UYI1047389:UYI1047456 UOM1047389:UOM1047456 UEQ1047389:UEQ1047456 TUU1047389:TUU1047456 TKY1047389:TKY1047456 TBC1047389:TBC1047456 SRG1047389:SRG1047456 SHK1047389:SHK1047456 RXO1047389:RXO1047456 RNS1047389:RNS1047456 RDW1047389:RDW1047456 QUA1047389:QUA1047456 QKE1047389:QKE1047456 QAI1047389:QAI1047456 PQM1047389:PQM1047456 PGQ1047389:PGQ1047456 OWU1047389:OWU1047456 OMY1047389:OMY1047456 ODC1047389:ODC1047456 NTG1047389:NTG1047456 NJK1047389:NJK1047456 MZO1047389:MZO1047456 MPS1047389:MPS1047456 MFW1047389:MFW1047456 LWA1047389:LWA1047456 LME1047389:LME1047456 LCI1047389:LCI1047456 KSM1047389:KSM1047456 KIQ1047389:KIQ1047456 JYU1047389:JYU1047456 JOY1047389:JOY1047456 JFC1047389:JFC1047456 IVG1047389:IVG1047456 ILK1047389:ILK1047456 IBO1047389:IBO1047456 HRS1047389:HRS1047456 HHW1047389:HHW1047456 GYA1047389:GYA1047456 GOE1047389:GOE1047456 GEI1047389:GEI1047456 FUM1047389:FUM1047456 FKQ1047389:FKQ1047456 FAU1047389:FAU1047456 EQY1047389:EQY1047456 EHC1047389:EHC1047456 DXG1047389:DXG1047456 DNK1047389:DNK1047456 DDO1047389:DDO1047456 CTS1047389:CTS1047456 CJW1047389:CJW1047456 CAA1047389:CAA1047456 BQE1047389:BQE1047456 BGI1047389:BGI1047456 AWM1047389:AWM1047456 AMQ1047389:AMQ1047456 ACU1047389:ACU1047456 SY1047389:SY1047456 JC1047389:JC1047456 G1047389:G1047456 WVO981853:WVO981920 WLS981853:WLS981920 WBW981853:WBW981920 VSA981853:VSA981920 VIE981853:VIE981920 UYI981853:UYI981920 UOM981853:UOM981920 UEQ981853:UEQ981920 TUU981853:TUU981920 TKY981853:TKY981920 TBC981853:TBC981920 SRG981853:SRG981920 SHK981853:SHK981920 RXO981853:RXO981920 RNS981853:RNS981920 RDW981853:RDW981920 QUA981853:QUA981920 QKE981853:QKE981920 QAI981853:QAI981920 PQM981853:PQM981920 PGQ981853:PGQ981920 OWU981853:OWU981920 OMY981853:OMY981920 ODC981853:ODC981920 NTG981853:NTG981920 NJK981853:NJK981920 MZO981853:MZO981920 MPS981853:MPS981920 MFW981853:MFW981920 LWA981853:LWA981920 LME981853:LME981920 LCI981853:LCI981920 KSM981853:KSM981920 KIQ981853:KIQ981920 JYU981853:JYU981920 JOY981853:JOY981920 JFC981853:JFC981920 IVG981853:IVG981920 ILK981853:ILK981920 IBO981853:IBO981920 HRS981853:HRS981920 HHW981853:HHW981920 GYA981853:GYA981920 GOE981853:GOE981920 GEI981853:GEI981920 FUM981853:FUM981920 FKQ981853:FKQ981920 FAU981853:FAU981920 EQY981853:EQY981920 EHC981853:EHC981920 DXG981853:DXG981920 DNK981853:DNK981920 DDO981853:DDO981920 CTS981853:CTS981920 CJW981853:CJW981920 CAA981853:CAA981920 BQE981853:BQE981920 BGI981853:BGI981920 AWM981853:AWM981920 AMQ981853:AMQ981920 ACU981853:ACU981920 SY981853:SY981920 JC981853:JC981920 G981853:G981920 WVO916317:WVO916384 WLS916317:WLS916384 WBW916317:WBW916384 VSA916317:VSA916384 VIE916317:VIE916384 UYI916317:UYI916384 UOM916317:UOM916384 UEQ916317:UEQ916384 TUU916317:TUU916384 TKY916317:TKY916384 TBC916317:TBC916384 SRG916317:SRG916384 SHK916317:SHK916384 RXO916317:RXO916384 RNS916317:RNS916384 RDW916317:RDW916384 QUA916317:QUA916384 QKE916317:QKE916384 QAI916317:QAI916384 PQM916317:PQM916384 PGQ916317:PGQ916384 OWU916317:OWU916384 OMY916317:OMY916384 ODC916317:ODC916384 NTG916317:NTG916384 NJK916317:NJK916384 MZO916317:MZO916384 MPS916317:MPS916384 MFW916317:MFW916384 LWA916317:LWA916384 LME916317:LME916384 LCI916317:LCI916384 KSM916317:KSM916384 KIQ916317:KIQ916384 JYU916317:JYU916384 JOY916317:JOY916384 JFC916317:JFC916384 IVG916317:IVG916384 ILK916317:ILK916384 IBO916317:IBO916384 HRS916317:HRS916384 HHW916317:HHW916384 GYA916317:GYA916384 GOE916317:GOE916384 GEI916317:GEI916384 FUM916317:FUM916384 FKQ916317:FKQ916384 FAU916317:FAU916384 EQY916317:EQY916384 EHC916317:EHC916384 DXG916317:DXG916384 DNK916317:DNK916384 DDO916317:DDO916384 CTS916317:CTS916384 CJW916317:CJW916384 CAA916317:CAA916384 BQE916317:BQE916384 BGI916317:BGI916384 AWM916317:AWM916384 AMQ916317:AMQ916384 ACU916317:ACU916384 SY916317:SY916384 JC916317:JC916384 G916317:G916384 WVO850781:WVO850848 WLS850781:WLS850848 WBW850781:WBW850848 VSA850781:VSA850848 VIE850781:VIE850848 UYI850781:UYI850848 UOM850781:UOM850848 UEQ850781:UEQ850848 TUU850781:TUU850848 TKY850781:TKY850848 TBC850781:TBC850848 SRG850781:SRG850848 SHK850781:SHK850848 RXO850781:RXO850848 RNS850781:RNS850848 RDW850781:RDW850848 QUA850781:QUA850848 QKE850781:QKE850848 QAI850781:QAI850848 PQM850781:PQM850848 PGQ850781:PGQ850848 OWU850781:OWU850848 OMY850781:OMY850848 ODC850781:ODC850848 NTG850781:NTG850848 NJK850781:NJK850848 MZO850781:MZO850848 MPS850781:MPS850848 MFW850781:MFW850848 LWA850781:LWA850848 LME850781:LME850848 LCI850781:LCI850848 KSM850781:KSM850848 KIQ850781:KIQ850848 JYU850781:JYU850848 JOY850781:JOY850848 JFC850781:JFC850848 IVG850781:IVG850848 ILK850781:ILK850848 IBO850781:IBO850848 HRS850781:HRS850848 HHW850781:HHW850848 GYA850781:GYA850848 GOE850781:GOE850848 GEI850781:GEI850848 FUM850781:FUM850848 FKQ850781:FKQ850848 FAU850781:FAU850848 EQY850781:EQY850848 EHC850781:EHC850848 DXG850781:DXG850848 DNK850781:DNK850848 DDO850781:DDO850848 CTS850781:CTS850848 CJW850781:CJW850848 CAA850781:CAA850848 BQE850781:BQE850848 BGI850781:BGI850848 AWM850781:AWM850848 AMQ850781:AMQ850848 ACU850781:ACU850848 SY850781:SY850848 JC850781:JC850848 G850781:G850848 WVO785245:WVO785312 WLS785245:WLS785312 WBW785245:WBW785312 VSA785245:VSA785312 VIE785245:VIE785312 UYI785245:UYI785312 UOM785245:UOM785312 UEQ785245:UEQ785312 TUU785245:TUU785312 TKY785245:TKY785312 TBC785245:TBC785312 SRG785245:SRG785312 SHK785245:SHK785312 RXO785245:RXO785312 RNS785245:RNS785312 RDW785245:RDW785312 QUA785245:QUA785312 QKE785245:QKE785312 QAI785245:QAI785312 PQM785245:PQM785312 PGQ785245:PGQ785312 OWU785245:OWU785312 OMY785245:OMY785312 ODC785245:ODC785312 NTG785245:NTG785312 NJK785245:NJK785312 MZO785245:MZO785312 MPS785245:MPS785312 MFW785245:MFW785312 LWA785245:LWA785312 LME785245:LME785312 LCI785245:LCI785312 KSM785245:KSM785312 KIQ785245:KIQ785312 JYU785245:JYU785312 JOY785245:JOY785312 JFC785245:JFC785312 IVG785245:IVG785312 ILK785245:ILK785312 IBO785245:IBO785312 HRS785245:HRS785312 HHW785245:HHW785312 GYA785245:GYA785312 GOE785245:GOE785312 GEI785245:GEI785312 FUM785245:FUM785312 FKQ785245:FKQ785312 FAU785245:FAU785312 EQY785245:EQY785312 EHC785245:EHC785312 DXG785245:DXG785312 DNK785245:DNK785312 DDO785245:DDO785312 CTS785245:CTS785312 CJW785245:CJW785312 CAA785245:CAA785312 BQE785245:BQE785312 BGI785245:BGI785312 AWM785245:AWM785312 AMQ785245:AMQ785312 ACU785245:ACU785312 SY785245:SY785312 JC785245:JC785312 G785245:G785312 WVO719709:WVO719776 WLS719709:WLS719776 WBW719709:WBW719776 VSA719709:VSA719776 VIE719709:VIE719776 UYI719709:UYI719776 UOM719709:UOM719776 UEQ719709:UEQ719776 TUU719709:TUU719776 TKY719709:TKY719776 TBC719709:TBC719776 SRG719709:SRG719776 SHK719709:SHK719776 RXO719709:RXO719776 RNS719709:RNS719776 RDW719709:RDW719776 QUA719709:QUA719776 QKE719709:QKE719776 QAI719709:QAI719776 PQM719709:PQM719776 PGQ719709:PGQ719776 OWU719709:OWU719776 OMY719709:OMY719776 ODC719709:ODC719776 NTG719709:NTG719776 NJK719709:NJK719776 MZO719709:MZO719776 MPS719709:MPS719776 MFW719709:MFW719776 LWA719709:LWA719776 LME719709:LME719776 LCI719709:LCI719776 KSM719709:KSM719776 KIQ719709:KIQ719776 JYU719709:JYU719776 JOY719709:JOY719776 JFC719709:JFC719776 IVG719709:IVG719776 ILK719709:ILK719776 IBO719709:IBO719776 HRS719709:HRS719776 HHW719709:HHW719776 GYA719709:GYA719776 GOE719709:GOE719776 GEI719709:GEI719776 FUM719709:FUM719776 FKQ719709:FKQ719776 FAU719709:FAU719776 EQY719709:EQY719776 EHC719709:EHC719776 DXG719709:DXG719776 DNK719709:DNK719776 DDO719709:DDO719776 CTS719709:CTS719776 CJW719709:CJW719776 CAA719709:CAA719776 BQE719709:BQE719776 BGI719709:BGI719776 AWM719709:AWM719776 AMQ719709:AMQ719776 ACU719709:ACU719776 SY719709:SY719776 JC719709:JC719776 G719709:G719776 WVO654173:WVO654240 WLS654173:WLS654240 WBW654173:WBW654240 VSA654173:VSA654240 VIE654173:VIE654240 UYI654173:UYI654240 UOM654173:UOM654240 UEQ654173:UEQ654240 TUU654173:TUU654240 TKY654173:TKY654240 TBC654173:TBC654240 SRG654173:SRG654240 SHK654173:SHK654240 RXO654173:RXO654240 RNS654173:RNS654240 RDW654173:RDW654240 QUA654173:QUA654240 QKE654173:QKE654240 QAI654173:QAI654240 PQM654173:PQM654240 PGQ654173:PGQ654240 OWU654173:OWU654240 OMY654173:OMY654240 ODC654173:ODC654240 NTG654173:NTG654240 NJK654173:NJK654240 MZO654173:MZO654240 MPS654173:MPS654240 MFW654173:MFW654240 LWA654173:LWA654240 LME654173:LME654240 LCI654173:LCI654240 KSM654173:KSM654240 KIQ654173:KIQ654240 JYU654173:JYU654240 JOY654173:JOY654240 JFC654173:JFC654240 IVG654173:IVG654240 ILK654173:ILK654240 IBO654173:IBO654240 HRS654173:HRS654240 HHW654173:HHW654240 GYA654173:GYA654240 GOE654173:GOE654240 GEI654173:GEI654240 FUM654173:FUM654240 FKQ654173:FKQ654240 FAU654173:FAU654240 EQY654173:EQY654240 EHC654173:EHC654240 DXG654173:DXG654240 DNK654173:DNK654240 DDO654173:DDO654240 CTS654173:CTS654240 CJW654173:CJW654240 CAA654173:CAA654240 BQE654173:BQE654240 BGI654173:BGI654240 AWM654173:AWM654240 AMQ654173:AMQ654240 ACU654173:ACU654240 SY654173:SY654240 JC654173:JC654240 G654173:G654240 WVO588637:WVO588704 WLS588637:WLS588704 WBW588637:WBW588704 VSA588637:VSA588704 VIE588637:VIE588704 UYI588637:UYI588704 UOM588637:UOM588704 UEQ588637:UEQ588704 TUU588637:TUU588704 TKY588637:TKY588704 TBC588637:TBC588704 SRG588637:SRG588704 SHK588637:SHK588704 RXO588637:RXO588704 RNS588637:RNS588704 RDW588637:RDW588704 QUA588637:QUA588704 QKE588637:QKE588704 QAI588637:QAI588704 PQM588637:PQM588704 PGQ588637:PGQ588704 OWU588637:OWU588704 OMY588637:OMY588704 ODC588637:ODC588704 NTG588637:NTG588704 NJK588637:NJK588704 MZO588637:MZO588704 MPS588637:MPS588704 MFW588637:MFW588704 LWA588637:LWA588704 LME588637:LME588704 LCI588637:LCI588704 KSM588637:KSM588704 KIQ588637:KIQ588704 JYU588637:JYU588704 JOY588637:JOY588704 JFC588637:JFC588704 IVG588637:IVG588704 ILK588637:ILK588704 IBO588637:IBO588704 HRS588637:HRS588704 HHW588637:HHW588704 GYA588637:GYA588704 GOE588637:GOE588704 GEI588637:GEI588704 FUM588637:FUM588704 FKQ588637:FKQ588704 FAU588637:FAU588704 EQY588637:EQY588704 EHC588637:EHC588704 DXG588637:DXG588704 DNK588637:DNK588704 DDO588637:DDO588704 CTS588637:CTS588704 CJW588637:CJW588704 CAA588637:CAA588704 BQE588637:BQE588704 BGI588637:BGI588704 AWM588637:AWM588704 AMQ588637:AMQ588704 ACU588637:ACU588704 SY588637:SY588704 JC588637:JC588704 G588637:G588704 WVO523101:WVO523168 WLS523101:WLS523168 WBW523101:WBW523168 VSA523101:VSA523168 VIE523101:VIE523168 UYI523101:UYI523168 UOM523101:UOM523168 UEQ523101:UEQ523168 TUU523101:TUU523168 TKY523101:TKY523168 TBC523101:TBC523168 SRG523101:SRG523168 SHK523101:SHK523168 RXO523101:RXO523168 RNS523101:RNS523168 RDW523101:RDW523168 QUA523101:QUA523168 QKE523101:QKE523168 QAI523101:QAI523168 PQM523101:PQM523168 PGQ523101:PGQ523168 OWU523101:OWU523168 OMY523101:OMY523168 ODC523101:ODC523168 NTG523101:NTG523168 NJK523101:NJK523168 MZO523101:MZO523168 MPS523101:MPS523168 MFW523101:MFW523168 LWA523101:LWA523168 LME523101:LME523168 LCI523101:LCI523168 KSM523101:KSM523168 KIQ523101:KIQ523168 JYU523101:JYU523168 JOY523101:JOY523168 JFC523101:JFC523168 IVG523101:IVG523168 ILK523101:ILK523168 IBO523101:IBO523168 HRS523101:HRS523168 HHW523101:HHW523168 GYA523101:GYA523168 GOE523101:GOE523168 GEI523101:GEI523168 FUM523101:FUM523168 FKQ523101:FKQ523168 FAU523101:FAU523168 EQY523101:EQY523168 EHC523101:EHC523168 DXG523101:DXG523168 DNK523101:DNK523168 DDO523101:DDO523168 CTS523101:CTS523168 CJW523101:CJW523168 CAA523101:CAA523168 BQE523101:BQE523168 BGI523101:BGI523168 AWM523101:AWM523168 AMQ523101:AMQ523168 ACU523101:ACU523168 SY523101:SY523168 JC523101:JC523168 G523101:G523168 WVO457565:WVO457632 WLS457565:WLS457632 WBW457565:WBW457632 VSA457565:VSA457632 VIE457565:VIE457632 UYI457565:UYI457632 UOM457565:UOM457632 UEQ457565:UEQ457632 TUU457565:TUU457632 TKY457565:TKY457632 TBC457565:TBC457632 SRG457565:SRG457632 SHK457565:SHK457632 RXO457565:RXO457632 RNS457565:RNS457632 RDW457565:RDW457632 QUA457565:QUA457632 QKE457565:QKE457632 QAI457565:QAI457632 PQM457565:PQM457632 PGQ457565:PGQ457632 OWU457565:OWU457632 OMY457565:OMY457632 ODC457565:ODC457632 NTG457565:NTG457632 NJK457565:NJK457632 MZO457565:MZO457632 MPS457565:MPS457632 MFW457565:MFW457632 LWA457565:LWA457632 LME457565:LME457632 LCI457565:LCI457632 KSM457565:KSM457632 KIQ457565:KIQ457632 JYU457565:JYU457632 JOY457565:JOY457632 JFC457565:JFC457632 IVG457565:IVG457632 ILK457565:ILK457632 IBO457565:IBO457632 HRS457565:HRS457632 HHW457565:HHW457632 GYA457565:GYA457632 GOE457565:GOE457632 GEI457565:GEI457632 FUM457565:FUM457632 FKQ457565:FKQ457632 FAU457565:FAU457632 EQY457565:EQY457632 EHC457565:EHC457632 DXG457565:DXG457632 DNK457565:DNK457632 DDO457565:DDO457632 CTS457565:CTS457632 CJW457565:CJW457632 CAA457565:CAA457632 BQE457565:BQE457632 BGI457565:BGI457632 AWM457565:AWM457632 AMQ457565:AMQ457632 ACU457565:ACU457632 SY457565:SY457632 JC457565:JC457632 G457565:G457632 WVO392029:WVO392096 WLS392029:WLS392096 WBW392029:WBW392096 VSA392029:VSA392096 VIE392029:VIE392096 UYI392029:UYI392096 UOM392029:UOM392096 UEQ392029:UEQ392096 TUU392029:TUU392096 TKY392029:TKY392096 TBC392029:TBC392096 SRG392029:SRG392096 SHK392029:SHK392096 RXO392029:RXO392096 RNS392029:RNS392096 RDW392029:RDW392096 QUA392029:QUA392096 QKE392029:QKE392096 QAI392029:QAI392096 PQM392029:PQM392096 PGQ392029:PGQ392096 OWU392029:OWU392096 OMY392029:OMY392096 ODC392029:ODC392096 NTG392029:NTG392096 NJK392029:NJK392096 MZO392029:MZO392096 MPS392029:MPS392096 MFW392029:MFW392096 LWA392029:LWA392096 LME392029:LME392096 LCI392029:LCI392096 KSM392029:KSM392096 KIQ392029:KIQ392096 JYU392029:JYU392096 JOY392029:JOY392096 JFC392029:JFC392096 IVG392029:IVG392096 ILK392029:ILK392096 IBO392029:IBO392096 HRS392029:HRS392096 HHW392029:HHW392096 GYA392029:GYA392096 GOE392029:GOE392096 GEI392029:GEI392096 FUM392029:FUM392096 FKQ392029:FKQ392096 FAU392029:FAU392096 EQY392029:EQY392096 EHC392029:EHC392096 DXG392029:DXG392096 DNK392029:DNK392096 DDO392029:DDO392096 CTS392029:CTS392096 CJW392029:CJW392096 CAA392029:CAA392096 BQE392029:BQE392096 BGI392029:BGI392096 AWM392029:AWM392096 AMQ392029:AMQ392096 ACU392029:ACU392096 SY392029:SY392096 JC392029:JC392096 G392029:G392096 WVO326493:WVO326560 WLS326493:WLS326560 WBW326493:WBW326560 VSA326493:VSA326560 VIE326493:VIE326560 UYI326493:UYI326560 UOM326493:UOM326560 UEQ326493:UEQ326560 TUU326493:TUU326560 TKY326493:TKY326560 TBC326493:TBC326560 SRG326493:SRG326560 SHK326493:SHK326560 RXO326493:RXO326560 RNS326493:RNS326560 RDW326493:RDW326560 QUA326493:QUA326560 QKE326493:QKE326560 QAI326493:QAI326560 PQM326493:PQM326560 PGQ326493:PGQ326560 OWU326493:OWU326560 OMY326493:OMY326560 ODC326493:ODC326560 NTG326493:NTG326560 NJK326493:NJK326560 MZO326493:MZO326560 MPS326493:MPS326560 MFW326493:MFW326560 LWA326493:LWA326560 LME326493:LME326560 LCI326493:LCI326560 KSM326493:KSM326560 KIQ326493:KIQ326560 JYU326493:JYU326560 JOY326493:JOY326560 JFC326493:JFC326560 IVG326493:IVG326560 ILK326493:ILK326560 IBO326493:IBO326560 HRS326493:HRS326560 HHW326493:HHW326560 GYA326493:GYA326560 GOE326493:GOE326560 GEI326493:GEI326560 FUM326493:FUM326560 FKQ326493:FKQ326560 FAU326493:FAU326560 EQY326493:EQY326560 EHC326493:EHC326560 DXG326493:DXG326560 DNK326493:DNK326560 DDO326493:DDO326560 CTS326493:CTS326560 CJW326493:CJW326560 CAA326493:CAA326560 BQE326493:BQE326560 BGI326493:BGI326560 AWM326493:AWM326560 AMQ326493:AMQ326560 ACU326493:ACU326560 SY326493:SY326560 JC326493:JC326560 G326493:G326560 WVO260957:WVO261024 WLS260957:WLS261024 WBW260957:WBW261024 VSA260957:VSA261024 VIE260957:VIE261024 UYI260957:UYI261024 UOM260957:UOM261024 UEQ260957:UEQ261024 TUU260957:TUU261024 TKY260957:TKY261024 TBC260957:TBC261024 SRG260957:SRG261024 SHK260957:SHK261024 RXO260957:RXO261024 RNS260957:RNS261024 RDW260957:RDW261024 QUA260957:QUA261024 QKE260957:QKE261024 QAI260957:QAI261024 PQM260957:PQM261024 PGQ260957:PGQ261024 OWU260957:OWU261024 OMY260957:OMY261024 ODC260957:ODC261024 NTG260957:NTG261024 NJK260957:NJK261024 MZO260957:MZO261024 MPS260957:MPS261024 MFW260957:MFW261024 LWA260957:LWA261024 LME260957:LME261024 LCI260957:LCI261024 KSM260957:KSM261024 KIQ260957:KIQ261024 JYU260957:JYU261024 JOY260957:JOY261024 JFC260957:JFC261024 IVG260957:IVG261024 ILK260957:ILK261024 IBO260957:IBO261024 HRS260957:HRS261024 HHW260957:HHW261024 GYA260957:GYA261024 GOE260957:GOE261024 GEI260957:GEI261024 FUM260957:FUM261024 FKQ260957:FKQ261024 FAU260957:FAU261024 EQY260957:EQY261024 EHC260957:EHC261024 DXG260957:DXG261024 DNK260957:DNK261024 DDO260957:DDO261024 CTS260957:CTS261024 CJW260957:CJW261024 CAA260957:CAA261024 BQE260957:BQE261024 BGI260957:BGI261024 AWM260957:AWM261024 AMQ260957:AMQ261024 ACU260957:ACU261024 SY260957:SY261024 JC260957:JC261024 G260957:G261024 WVO195421:WVO195488 WLS195421:WLS195488 WBW195421:WBW195488 VSA195421:VSA195488 VIE195421:VIE195488 UYI195421:UYI195488 UOM195421:UOM195488 UEQ195421:UEQ195488 TUU195421:TUU195488 TKY195421:TKY195488 TBC195421:TBC195488 SRG195421:SRG195488 SHK195421:SHK195488 RXO195421:RXO195488 RNS195421:RNS195488 RDW195421:RDW195488 QUA195421:QUA195488 QKE195421:QKE195488 QAI195421:QAI195488 PQM195421:PQM195488 PGQ195421:PGQ195488 OWU195421:OWU195488 OMY195421:OMY195488 ODC195421:ODC195488 NTG195421:NTG195488 NJK195421:NJK195488 MZO195421:MZO195488 MPS195421:MPS195488 MFW195421:MFW195488 LWA195421:LWA195488 LME195421:LME195488 LCI195421:LCI195488 KSM195421:KSM195488 KIQ195421:KIQ195488 JYU195421:JYU195488 JOY195421:JOY195488 JFC195421:JFC195488 IVG195421:IVG195488 ILK195421:ILK195488 IBO195421:IBO195488 HRS195421:HRS195488 HHW195421:HHW195488 GYA195421:GYA195488 GOE195421:GOE195488 GEI195421:GEI195488 FUM195421:FUM195488 FKQ195421:FKQ195488 FAU195421:FAU195488 EQY195421:EQY195488 EHC195421:EHC195488 DXG195421:DXG195488 DNK195421:DNK195488 DDO195421:DDO195488 CTS195421:CTS195488 CJW195421:CJW195488 CAA195421:CAA195488 BQE195421:BQE195488 BGI195421:BGI195488 AWM195421:AWM195488 AMQ195421:AMQ195488 ACU195421:ACU195488 SY195421:SY195488 JC195421:JC195488 G195421:G195488 WVO129885:WVO129952 WLS129885:WLS129952 WBW129885:WBW129952 VSA129885:VSA129952 VIE129885:VIE129952 UYI129885:UYI129952 UOM129885:UOM129952 UEQ129885:UEQ129952 TUU129885:TUU129952 TKY129885:TKY129952 TBC129885:TBC129952 SRG129885:SRG129952 SHK129885:SHK129952 RXO129885:RXO129952 RNS129885:RNS129952 RDW129885:RDW129952 QUA129885:QUA129952 QKE129885:QKE129952 QAI129885:QAI129952 PQM129885:PQM129952 PGQ129885:PGQ129952 OWU129885:OWU129952 OMY129885:OMY129952 ODC129885:ODC129952 NTG129885:NTG129952 NJK129885:NJK129952 MZO129885:MZO129952 MPS129885:MPS129952 MFW129885:MFW129952 LWA129885:LWA129952 LME129885:LME129952 LCI129885:LCI129952 KSM129885:KSM129952 KIQ129885:KIQ129952 JYU129885:JYU129952 JOY129885:JOY129952 JFC129885:JFC129952 IVG129885:IVG129952 ILK129885:ILK129952 IBO129885:IBO129952 HRS129885:HRS129952 HHW129885:HHW129952 GYA129885:GYA129952 GOE129885:GOE129952 GEI129885:GEI129952 FUM129885:FUM129952 FKQ129885:FKQ129952 FAU129885:FAU129952 EQY129885:EQY129952 EHC129885:EHC129952 DXG129885:DXG129952 DNK129885:DNK129952 DDO129885:DDO129952 CTS129885:CTS129952 CJW129885:CJW129952 CAA129885:CAA129952 BQE129885:BQE129952 BGI129885:BGI129952 AWM129885:AWM129952 AMQ129885:AMQ129952 ACU129885:ACU129952 SY129885:SY129952 JC129885:JC129952 G129885:G129952 WVO64349:WVO64416 WLS64349:WLS64416 WBW64349:WBW64416 VSA64349:VSA64416 VIE64349:VIE64416 UYI64349:UYI64416 UOM64349:UOM64416 UEQ64349:UEQ64416 TUU64349:TUU64416 TKY64349:TKY64416 TBC64349:TBC64416 SRG64349:SRG64416 SHK64349:SHK64416 RXO64349:RXO64416 RNS64349:RNS64416 RDW64349:RDW64416 QUA64349:QUA64416 QKE64349:QKE64416 QAI64349:QAI64416 PQM64349:PQM64416 PGQ64349:PGQ64416 OWU64349:OWU64416 OMY64349:OMY64416 ODC64349:ODC64416 NTG64349:NTG64416 NJK64349:NJK64416 MZO64349:MZO64416 MPS64349:MPS64416 MFW64349:MFW64416 LWA64349:LWA64416 LME64349:LME64416 LCI64349:LCI64416 KSM64349:KSM64416 KIQ64349:KIQ64416 JYU64349:JYU64416 JOY64349:JOY64416 JFC64349:JFC64416 IVG64349:IVG64416 ILK64349:ILK64416 IBO64349:IBO64416 HRS64349:HRS64416 HHW64349:HHW64416 GYA64349:GYA64416 GOE64349:GOE64416 GEI64349:GEI64416 FUM64349:FUM64416 FKQ64349:FKQ64416 FAU64349:FAU64416 EQY64349:EQY64416 EHC64349:EHC64416 DXG64349:DXG64416 DNK64349:DNK64416 DDO64349:DDO64416 CTS64349:CTS64416 CJW64349:CJW64416 CAA64349:CAA64416 BQE64349:BQE64416 BGI64349:BGI64416 AWM64349:AWM64416 AMQ64349:AMQ64416 ACU64349:ACU64416 SY64349:SY64416 SY2:SY61 G2:G486 ACU2:ACU61 AMQ2:AMQ61 AWM2:AWM61 BGI2:BGI61 BQE2:BQE61 CAA2:CAA61 CJW2:CJW61 CTS2:CTS61 DDO2:DDO61 DNK2:DNK61 DXG2:DXG61 EHC2:EHC61 EQY2:EQY61 FAU2:FAU61 FKQ2:FKQ61 FUM2:FUM61 GEI2:GEI61 GOE2:GOE61 GYA2:GYA61 HHW2:HHW61 HRS2:HRS61 IBO2:IBO61 ILK2:ILK61 IVG2:IVG61 JFC2:JFC61 JOY2:JOY61 JYU2:JYU61 KIQ2:KIQ61 KSM2:KSM61 LCI2:LCI61 LME2:LME61 LWA2:LWA61 MFW2:MFW61 MPS2:MPS61 MZO2:MZO61 NJK2:NJK61 NTG2:NTG61 ODC2:ODC61 OMY2:OMY61 OWU2:OWU61 PGQ2:PGQ61 PQM2:PQM61 QAI2:QAI61 QKE2:QKE61 QUA2:QUA61 RDW2:RDW61 RNS2:RNS61 RXO2:RXO61 SHK2:SHK61 SRG2:SRG61 TBC2:TBC61 TKY2:TKY61 TUU2:TUU61 UEQ2:UEQ61 UOM2:UOM61 UYI2:UYI61 VIE2:VIE61 VSA2:VSA61 WBW2:WBW61 WLS2:WLS61 WVO2:WVO61 JC2:JC61">
      <formula1>$AJ$2:$AJ$4</formula1>
    </dataValidation>
    <dataValidation type="list" allowBlank="1" showInputMessage="1" showErrorMessage="1" sqref="I64349:I64414 JE64349:JE64414 WLU983028:WLU983093 WBY983028:WBY983093 VSC983028:VSC983093 VIG983028:VIG983093 UYK983028:UYK983093 UOO983028:UOO983093 UES983028:UES983093 TUW983028:TUW983093 TLA983028:TLA983093 TBE983028:TBE983093 SRI983028:SRI983093 SHM983028:SHM983093 RXQ983028:RXQ983093 RNU983028:RNU983093 RDY983028:RDY983093 QUC983028:QUC983093 QKG983028:QKG983093 QAK983028:QAK983093 PQO983028:PQO983093 PGS983028:PGS983093 OWW983028:OWW983093 ONA983028:ONA983093 ODE983028:ODE983093 NTI983028:NTI983093 NJM983028:NJM983093 MZQ983028:MZQ983093 MPU983028:MPU983093 MFY983028:MFY983093 LWC983028:LWC983093 LMG983028:LMG983093 LCK983028:LCK983093 KSO983028:KSO983093 KIS983028:KIS983093 JYW983028:JYW983093 JPA983028:JPA983093 JFE983028:JFE983093 IVI983028:IVI983093 ILM983028:ILM983093 IBQ983028:IBQ983093 HRU983028:HRU983093 HHY983028:HHY983093 GYC983028:GYC983093 GOG983028:GOG983093 GEK983028:GEK983093 FUO983028:FUO983093 FKS983028:FKS983093 FAW983028:FAW983093 ERA983028:ERA983093 EHE983028:EHE983093 DXI983028:DXI983093 DNM983028:DNM983093 DDQ983028:DDQ983093 CTU983028:CTU983093 CJY983028:CJY983093 CAC983028:CAC983093 BQG983028:BQG983093 BGK983028:BGK983093 AWO983028:AWO983093 AMS983028:AMS983093 ACW983028:ACW983093 TA983028:TA983093 JE983028:JE983093 I983028:I983093 WVQ917492:WVQ917557 WLU917492:WLU917557 WBY917492:WBY917557 VSC917492:VSC917557 VIG917492:VIG917557 UYK917492:UYK917557 UOO917492:UOO917557 UES917492:UES917557 TUW917492:TUW917557 TLA917492:TLA917557 TBE917492:TBE917557 SRI917492:SRI917557 SHM917492:SHM917557 RXQ917492:RXQ917557 RNU917492:RNU917557 RDY917492:RDY917557 QUC917492:QUC917557 QKG917492:QKG917557 QAK917492:QAK917557 PQO917492:PQO917557 PGS917492:PGS917557 OWW917492:OWW917557 ONA917492:ONA917557 ODE917492:ODE917557 NTI917492:NTI917557 NJM917492:NJM917557 MZQ917492:MZQ917557 MPU917492:MPU917557 MFY917492:MFY917557 LWC917492:LWC917557 LMG917492:LMG917557 LCK917492:LCK917557 KSO917492:KSO917557 KIS917492:KIS917557 JYW917492:JYW917557 JPA917492:JPA917557 JFE917492:JFE917557 IVI917492:IVI917557 ILM917492:ILM917557 IBQ917492:IBQ917557 HRU917492:HRU917557 HHY917492:HHY917557 GYC917492:GYC917557 GOG917492:GOG917557 GEK917492:GEK917557 FUO917492:FUO917557 FKS917492:FKS917557 FAW917492:FAW917557 ERA917492:ERA917557 EHE917492:EHE917557 DXI917492:DXI917557 DNM917492:DNM917557 DDQ917492:DDQ917557 CTU917492:CTU917557 CJY917492:CJY917557 CAC917492:CAC917557 BQG917492:BQG917557 BGK917492:BGK917557 AWO917492:AWO917557 AMS917492:AMS917557 ACW917492:ACW917557 TA917492:TA917557 JE917492:JE917557 I917492:I917557 WVQ851956:WVQ852021 WLU851956:WLU852021 WBY851956:WBY852021 VSC851956:VSC852021 VIG851956:VIG852021 UYK851956:UYK852021 UOO851956:UOO852021 UES851956:UES852021 TUW851956:TUW852021 TLA851956:TLA852021 TBE851956:TBE852021 SRI851956:SRI852021 SHM851956:SHM852021 RXQ851956:RXQ852021 RNU851956:RNU852021 RDY851956:RDY852021 QUC851956:QUC852021 QKG851956:QKG852021 QAK851956:QAK852021 PQO851956:PQO852021 PGS851956:PGS852021 OWW851956:OWW852021 ONA851956:ONA852021 ODE851956:ODE852021 NTI851956:NTI852021 NJM851956:NJM852021 MZQ851956:MZQ852021 MPU851956:MPU852021 MFY851956:MFY852021 LWC851956:LWC852021 LMG851956:LMG852021 LCK851956:LCK852021 KSO851956:KSO852021 KIS851956:KIS852021 JYW851956:JYW852021 JPA851956:JPA852021 JFE851956:JFE852021 IVI851956:IVI852021 ILM851956:ILM852021 IBQ851956:IBQ852021 HRU851956:HRU852021 HHY851956:HHY852021 GYC851956:GYC852021 GOG851956:GOG852021 GEK851956:GEK852021 FUO851956:FUO852021 FKS851956:FKS852021 FAW851956:FAW852021 ERA851956:ERA852021 EHE851956:EHE852021 DXI851956:DXI852021 DNM851956:DNM852021 DDQ851956:DDQ852021 CTU851956:CTU852021 CJY851956:CJY852021 CAC851956:CAC852021 BQG851956:BQG852021 BGK851956:BGK852021 AWO851956:AWO852021 AMS851956:AMS852021 ACW851956:ACW852021 TA851956:TA852021 JE851956:JE852021 I851956:I852021 WVQ786420:WVQ786485 WLU786420:WLU786485 WBY786420:WBY786485 VSC786420:VSC786485 VIG786420:VIG786485 UYK786420:UYK786485 UOO786420:UOO786485 UES786420:UES786485 TUW786420:TUW786485 TLA786420:TLA786485 TBE786420:TBE786485 SRI786420:SRI786485 SHM786420:SHM786485 RXQ786420:RXQ786485 RNU786420:RNU786485 RDY786420:RDY786485 QUC786420:QUC786485 QKG786420:QKG786485 QAK786420:QAK786485 PQO786420:PQO786485 PGS786420:PGS786485 OWW786420:OWW786485 ONA786420:ONA786485 ODE786420:ODE786485 NTI786420:NTI786485 NJM786420:NJM786485 MZQ786420:MZQ786485 MPU786420:MPU786485 MFY786420:MFY786485 LWC786420:LWC786485 LMG786420:LMG786485 LCK786420:LCK786485 KSO786420:KSO786485 KIS786420:KIS786485 JYW786420:JYW786485 JPA786420:JPA786485 JFE786420:JFE786485 IVI786420:IVI786485 ILM786420:ILM786485 IBQ786420:IBQ786485 HRU786420:HRU786485 HHY786420:HHY786485 GYC786420:GYC786485 GOG786420:GOG786485 GEK786420:GEK786485 FUO786420:FUO786485 FKS786420:FKS786485 FAW786420:FAW786485 ERA786420:ERA786485 EHE786420:EHE786485 DXI786420:DXI786485 DNM786420:DNM786485 DDQ786420:DDQ786485 CTU786420:CTU786485 CJY786420:CJY786485 CAC786420:CAC786485 BQG786420:BQG786485 BGK786420:BGK786485 AWO786420:AWO786485 AMS786420:AMS786485 ACW786420:ACW786485 TA786420:TA786485 JE786420:JE786485 I786420:I786485 WVQ720884:WVQ720949 WLU720884:WLU720949 WBY720884:WBY720949 VSC720884:VSC720949 VIG720884:VIG720949 UYK720884:UYK720949 UOO720884:UOO720949 UES720884:UES720949 TUW720884:TUW720949 TLA720884:TLA720949 TBE720884:TBE720949 SRI720884:SRI720949 SHM720884:SHM720949 RXQ720884:RXQ720949 RNU720884:RNU720949 RDY720884:RDY720949 QUC720884:QUC720949 QKG720884:QKG720949 QAK720884:QAK720949 PQO720884:PQO720949 PGS720884:PGS720949 OWW720884:OWW720949 ONA720884:ONA720949 ODE720884:ODE720949 NTI720884:NTI720949 NJM720884:NJM720949 MZQ720884:MZQ720949 MPU720884:MPU720949 MFY720884:MFY720949 LWC720884:LWC720949 LMG720884:LMG720949 LCK720884:LCK720949 KSO720884:KSO720949 KIS720884:KIS720949 JYW720884:JYW720949 JPA720884:JPA720949 JFE720884:JFE720949 IVI720884:IVI720949 ILM720884:ILM720949 IBQ720884:IBQ720949 HRU720884:HRU720949 HHY720884:HHY720949 GYC720884:GYC720949 GOG720884:GOG720949 GEK720884:GEK720949 FUO720884:FUO720949 FKS720884:FKS720949 FAW720884:FAW720949 ERA720884:ERA720949 EHE720884:EHE720949 DXI720884:DXI720949 DNM720884:DNM720949 DDQ720884:DDQ720949 CTU720884:CTU720949 CJY720884:CJY720949 CAC720884:CAC720949 BQG720884:BQG720949 BGK720884:BGK720949 AWO720884:AWO720949 AMS720884:AMS720949 ACW720884:ACW720949 TA720884:TA720949 JE720884:JE720949 I720884:I720949 WVQ655348:WVQ655413 WLU655348:WLU655413 WBY655348:WBY655413 VSC655348:VSC655413 VIG655348:VIG655413 UYK655348:UYK655413 UOO655348:UOO655413 UES655348:UES655413 TUW655348:TUW655413 TLA655348:TLA655413 TBE655348:TBE655413 SRI655348:SRI655413 SHM655348:SHM655413 RXQ655348:RXQ655413 RNU655348:RNU655413 RDY655348:RDY655413 QUC655348:QUC655413 QKG655348:QKG655413 QAK655348:QAK655413 PQO655348:PQO655413 PGS655348:PGS655413 OWW655348:OWW655413 ONA655348:ONA655413 ODE655348:ODE655413 NTI655348:NTI655413 NJM655348:NJM655413 MZQ655348:MZQ655413 MPU655348:MPU655413 MFY655348:MFY655413 LWC655348:LWC655413 LMG655348:LMG655413 LCK655348:LCK655413 KSO655348:KSO655413 KIS655348:KIS655413 JYW655348:JYW655413 JPA655348:JPA655413 JFE655348:JFE655413 IVI655348:IVI655413 ILM655348:ILM655413 IBQ655348:IBQ655413 HRU655348:HRU655413 HHY655348:HHY655413 GYC655348:GYC655413 GOG655348:GOG655413 GEK655348:GEK655413 FUO655348:FUO655413 FKS655348:FKS655413 FAW655348:FAW655413 ERA655348:ERA655413 EHE655348:EHE655413 DXI655348:DXI655413 DNM655348:DNM655413 DDQ655348:DDQ655413 CTU655348:CTU655413 CJY655348:CJY655413 CAC655348:CAC655413 BQG655348:BQG655413 BGK655348:BGK655413 AWO655348:AWO655413 AMS655348:AMS655413 ACW655348:ACW655413 TA655348:TA655413 JE655348:JE655413 I655348:I655413 WVQ589812:WVQ589877 WLU589812:WLU589877 WBY589812:WBY589877 VSC589812:VSC589877 VIG589812:VIG589877 UYK589812:UYK589877 UOO589812:UOO589877 UES589812:UES589877 TUW589812:TUW589877 TLA589812:TLA589877 TBE589812:TBE589877 SRI589812:SRI589877 SHM589812:SHM589877 RXQ589812:RXQ589877 RNU589812:RNU589877 RDY589812:RDY589877 QUC589812:QUC589877 QKG589812:QKG589877 QAK589812:QAK589877 PQO589812:PQO589877 PGS589812:PGS589877 OWW589812:OWW589877 ONA589812:ONA589877 ODE589812:ODE589877 NTI589812:NTI589877 NJM589812:NJM589877 MZQ589812:MZQ589877 MPU589812:MPU589877 MFY589812:MFY589877 LWC589812:LWC589877 LMG589812:LMG589877 LCK589812:LCK589877 KSO589812:KSO589877 KIS589812:KIS589877 JYW589812:JYW589877 JPA589812:JPA589877 JFE589812:JFE589877 IVI589812:IVI589877 ILM589812:ILM589877 IBQ589812:IBQ589877 HRU589812:HRU589877 HHY589812:HHY589877 GYC589812:GYC589877 GOG589812:GOG589877 GEK589812:GEK589877 FUO589812:FUO589877 FKS589812:FKS589877 FAW589812:FAW589877 ERA589812:ERA589877 EHE589812:EHE589877 DXI589812:DXI589877 DNM589812:DNM589877 DDQ589812:DDQ589877 CTU589812:CTU589877 CJY589812:CJY589877 CAC589812:CAC589877 BQG589812:BQG589877 BGK589812:BGK589877 AWO589812:AWO589877 AMS589812:AMS589877 ACW589812:ACW589877 TA589812:TA589877 JE589812:JE589877 I589812:I589877 WVQ524276:WVQ524341 WLU524276:WLU524341 WBY524276:WBY524341 VSC524276:VSC524341 VIG524276:VIG524341 UYK524276:UYK524341 UOO524276:UOO524341 UES524276:UES524341 TUW524276:TUW524341 TLA524276:TLA524341 TBE524276:TBE524341 SRI524276:SRI524341 SHM524276:SHM524341 RXQ524276:RXQ524341 RNU524276:RNU524341 RDY524276:RDY524341 QUC524276:QUC524341 QKG524276:QKG524341 QAK524276:QAK524341 PQO524276:PQO524341 PGS524276:PGS524341 OWW524276:OWW524341 ONA524276:ONA524341 ODE524276:ODE524341 NTI524276:NTI524341 NJM524276:NJM524341 MZQ524276:MZQ524341 MPU524276:MPU524341 MFY524276:MFY524341 LWC524276:LWC524341 LMG524276:LMG524341 LCK524276:LCK524341 KSO524276:KSO524341 KIS524276:KIS524341 JYW524276:JYW524341 JPA524276:JPA524341 JFE524276:JFE524341 IVI524276:IVI524341 ILM524276:ILM524341 IBQ524276:IBQ524341 HRU524276:HRU524341 HHY524276:HHY524341 GYC524276:GYC524341 GOG524276:GOG524341 GEK524276:GEK524341 FUO524276:FUO524341 FKS524276:FKS524341 FAW524276:FAW524341 ERA524276:ERA524341 EHE524276:EHE524341 DXI524276:DXI524341 DNM524276:DNM524341 DDQ524276:DDQ524341 CTU524276:CTU524341 CJY524276:CJY524341 CAC524276:CAC524341 BQG524276:BQG524341 BGK524276:BGK524341 AWO524276:AWO524341 AMS524276:AMS524341 ACW524276:ACW524341 TA524276:TA524341 JE524276:JE524341 I524276:I524341 WVQ458740:WVQ458805 WLU458740:WLU458805 WBY458740:WBY458805 VSC458740:VSC458805 VIG458740:VIG458805 UYK458740:UYK458805 UOO458740:UOO458805 UES458740:UES458805 TUW458740:TUW458805 TLA458740:TLA458805 TBE458740:TBE458805 SRI458740:SRI458805 SHM458740:SHM458805 RXQ458740:RXQ458805 RNU458740:RNU458805 RDY458740:RDY458805 QUC458740:QUC458805 QKG458740:QKG458805 QAK458740:QAK458805 PQO458740:PQO458805 PGS458740:PGS458805 OWW458740:OWW458805 ONA458740:ONA458805 ODE458740:ODE458805 NTI458740:NTI458805 NJM458740:NJM458805 MZQ458740:MZQ458805 MPU458740:MPU458805 MFY458740:MFY458805 LWC458740:LWC458805 LMG458740:LMG458805 LCK458740:LCK458805 KSO458740:KSO458805 KIS458740:KIS458805 JYW458740:JYW458805 JPA458740:JPA458805 JFE458740:JFE458805 IVI458740:IVI458805 ILM458740:ILM458805 IBQ458740:IBQ458805 HRU458740:HRU458805 HHY458740:HHY458805 GYC458740:GYC458805 GOG458740:GOG458805 GEK458740:GEK458805 FUO458740:FUO458805 FKS458740:FKS458805 FAW458740:FAW458805 ERA458740:ERA458805 EHE458740:EHE458805 DXI458740:DXI458805 DNM458740:DNM458805 DDQ458740:DDQ458805 CTU458740:CTU458805 CJY458740:CJY458805 CAC458740:CAC458805 BQG458740:BQG458805 BGK458740:BGK458805 AWO458740:AWO458805 AMS458740:AMS458805 ACW458740:ACW458805 TA458740:TA458805 JE458740:JE458805 I458740:I458805 WVQ393204:WVQ393269 WLU393204:WLU393269 WBY393204:WBY393269 VSC393204:VSC393269 VIG393204:VIG393269 UYK393204:UYK393269 UOO393204:UOO393269 UES393204:UES393269 TUW393204:TUW393269 TLA393204:TLA393269 TBE393204:TBE393269 SRI393204:SRI393269 SHM393204:SHM393269 RXQ393204:RXQ393269 RNU393204:RNU393269 RDY393204:RDY393269 QUC393204:QUC393269 QKG393204:QKG393269 QAK393204:QAK393269 PQO393204:PQO393269 PGS393204:PGS393269 OWW393204:OWW393269 ONA393204:ONA393269 ODE393204:ODE393269 NTI393204:NTI393269 NJM393204:NJM393269 MZQ393204:MZQ393269 MPU393204:MPU393269 MFY393204:MFY393269 LWC393204:LWC393269 LMG393204:LMG393269 LCK393204:LCK393269 KSO393204:KSO393269 KIS393204:KIS393269 JYW393204:JYW393269 JPA393204:JPA393269 JFE393204:JFE393269 IVI393204:IVI393269 ILM393204:ILM393269 IBQ393204:IBQ393269 HRU393204:HRU393269 HHY393204:HHY393269 GYC393204:GYC393269 GOG393204:GOG393269 GEK393204:GEK393269 FUO393204:FUO393269 FKS393204:FKS393269 FAW393204:FAW393269 ERA393204:ERA393269 EHE393204:EHE393269 DXI393204:DXI393269 DNM393204:DNM393269 DDQ393204:DDQ393269 CTU393204:CTU393269 CJY393204:CJY393269 CAC393204:CAC393269 BQG393204:BQG393269 BGK393204:BGK393269 AWO393204:AWO393269 AMS393204:AMS393269 ACW393204:ACW393269 TA393204:TA393269 JE393204:JE393269 I393204:I393269 WVQ327668:WVQ327733 WLU327668:WLU327733 WBY327668:WBY327733 VSC327668:VSC327733 VIG327668:VIG327733 UYK327668:UYK327733 UOO327668:UOO327733 UES327668:UES327733 TUW327668:TUW327733 TLA327668:TLA327733 TBE327668:TBE327733 SRI327668:SRI327733 SHM327668:SHM327733 RXQ327668:RXQ327733 RNU327668:RNU327733 RDY327668:RDY327733 QUC327668:QUC327733 QKG327668:QKG327733 QAK327668:QAK327733 PQO327668:PQO327733 PGS327668:PGS327733 OWW327668:OWW327733 ONA327668:ONA327733 ODE327668:ODE327733 NTI327668:NTI327733 NJM327668:NJM327733 MZQ327668:MZQ327733 MPU327668:MPU327733 MFY327668:MFY327733 LWC327668:LWC327733 LMG327668:LMG327733 LCK327668:LCK327733 KSO327668:KSO327733 KIS327668:KIS327733 JYW327668:JYW327733 JPA327668:JPA327733 JFE327668:JFE327733 IVI327668:IVI327733 ILM327668:ILM327733 IBQ327668:IBQ327733 HRU327668:HRU327733 HHY327668:HHY327733 GYC327668:GYC327733 GOG327668:GOG327733 GEK327668:GEK327733 FUO327668:FUO327733 FKS327668:FKS327733 FAW327668:FAW327733 ERA327668:ERA327733 EHE327668:EHE327733 DXI327668:DXI327733 DNM327668:DNM327733 DDQ327668:DDQ327733 CTU327668:CTU327733 CJY327668:CJY327733 CAC327668:CAC327733 BQG327668:BQG327733 BGK327668:BGK327733 AWO327668:AWO327733 AMS327668:AMS327733 ACW327668:ACW327733 TA327668:TA327733 JE327668:JE327733 I327668:I327733 WVQ262132:WVQ262197 WLU262132:WLU262197 WBY262132:WBY262197 VSC262132:VSC262197 VIG262132:VIG262197 UYK262132:UYK262197 UOO262132:UOO262197 UES262132:UES262197 TUW262132:TUW262197 TLA262132:TLA262197 TBE262132:TBE262197 SRI262132:SRI262197 SHM262132:SHM262197 RXQ262132:RXQ262197 RNU262132:RNU262197 RDY262132:RDY262197 QUC262132:QUC262197 QKG262132:QKG262197 QAK262132:QAK262197 PQO262132:PQO262197 PGS262132:PGS262197 OWW262132:OWW262197 ONA262132:ONA262197 ODE262132:ODE262197 NTI262132:NTI262197 NJM262132:NJM262197 MZQ262132:MZQ262197 MPU262132:MPU262197 MFY262132:MFY262197 LWC262132:LWC262197 LMG262132:LMG262197 LCK262132:LCK262197 KSO262132:KSO262197 KIS262132:KIS262197 JYW262132:JYW262197 JPA262132:JPA262197 JFE262132:JFE262197 IVI262132:IVI262197 ILM262132:ILM262197 IBQ262132:IBQ262197 HRU262132:HRU262197 HHY262132:HHY262197 GYC262132:GYC262197 GOG262132:GOG262197 GEK262132:GEK262197 FUO262132:FUO262197 FKS262132:FKS262197 FAW262132:FAW262197 ERA262132:ERA262197 EHE262132:EHE262197 DXI262132:DXI262197 DNM262132:DNM262197 DDQ262132:DDQ262197 CTU262132:CTU262197 CJY262132:CJY262197 CAC262132:CAC262197 BQG262132:BQG262197 BGK262132:BGK262197 AWO262132:AWO262197 AMS262132:AMS262197 ACW262132:ACW262197 TA262132:TA262197 JE262132:JE262197 I262132:I262197 WVQ196596:WVQ196661 WLU196596:WLU196661 WBY196596:WBY196661 VSC196596:VSC196661 VIG196596:VIG196661 UYK196596:UYK196661 UOO196596:UOO196661 UES196596:UES196661 TUW196596:TUW196661 TLA196596:TLA196661 TBE196596:TBE196661 SRI196596:SRI196661 SHM196596:SHM196661 RXQ196596:RXQ196661 RNU196596:RNU196661 RDY196596:RDY196661 QUC196596:QUC196661 QKG196596:QKG196661 QAK196596:QAK196661 PQO196596:PQO196661 PGS196596:PGS196661 OWW196596:OWW196661 ONA196596:ONA196661 ODE196596:ODE196661 NTI196596:NTI196661 NJM196596:NJM196661 MZQ196596:MZQ196661 MPU196596:MPU196661 MFY196596:MFY196661 LWC196596:LWC196661 LMG196596:LMG196661 LCK196596:LCK196661 KSO196596:KSO196661 KIS196596:KIS196661 JYW196596:JYW196661 JPA196596:JPA196661 JFE196596:JFE196661 IVI196596:IVI196661 ILM196596:ILM196661 IBQ196596:IBQ196661 HRU196596:HRU196661 HHY196596:HHY196661 GYC196596:GYC196661 GOG196596:GOG196661 GEK196596:GEK196661 FUO196596:FUO196661 FKS196596:FKS196661 FAW196596:FAW196661 ERA196596:ERA196661 EHE196596:EHE196661 DXI196596:DXI196661 DNM196596:DNM196661 DDQ196596:DDQ196661 CTU196596:CTU196661 CJY196596:CJY196661 CAC196596:CAC196661 BQG196596:BQG196661 BGK196596:BGK196661 AWO196596:AWO196661 AMS196596:AMS196661 ACW196596:ACW196661 TA196596:TA196661 JE196596:JE196661 I196596:I196661 WVQ131060:WVQ131125 WLU131060:WLU131125 WBY131060:WBY131125 VSC131060:VSC131125 VIG131060:VIG131125 UYK131060:UYK131125 UOO131060:UOO131125 UES131060:UES131125 TUW131060:TUW131125 TLA131060:TLA131125 TBE131060:TBE131125 SRI131060:SRI131125 SHM131060:SHM131125 RXQ131060:RXQ131125 RNU131060:RNU131125 RDY131060:RDY131125 QUC131060:QUC131125 QKG131060:QKG131125 QAK131060:QAK131125 PQO131060:PQO131125 PGS131060:PGS131125 OWW131060:OWW131125 ONA131060:ONA131125 ODE131060:ODE131125 NTI131060:NTI131125 NJM131060:NJM131125 MZQ131060:MZQ131125 MPU131060:MPU131125 MFY131060:MFY131125 LWC131060:LWC131125 LMG131060:LMG131125 LCK131060:LCK131125 KSO131060:KSO131125 KIS131060:KIS131125 JYW131060:JYW131125 JPA131060:JPA131125 JFE131060:JFE131125 IVI131060:IVI131125 ILM131060:ILM131125 IBQ131060:IBQ131125 HRU131060:HRU131125 HHY131060:HHY131125 GYC131060:GYC131125 GOG131060:GOG131125 GEK131060:GEK131125 FUO131060:FUO131125 FKS131060:FKS131125 FAW131060:FAW131125 ERA131060:ERA131125 EHE131060:EHE131125 DXI131060:DXI131125 DNM131060:DNM131125 DDQ131060:DDQ131125 CTU131060:CTU131125 CJY131060:CJY131125 CAC131060:CAC131125 BQG131060:BQG131125 BGK131060:BGK131125 AWO131060:AWO131125 AMS131060:AMS131125 ACW131060:ACW131125 TA131060:TA131125 JE131060:JE131125 I131060:I131125 WVQ65524:WVQ65589 WLU65524:WLU65589 WBY65524:WBY65589 VSC65524:VSC65589 VIG65524:VIG65589 UYK65524:UYK65589 UOO65524:UOO65589 UES65524:UES65589 TUW65524:TUW65589 TLA65524:TLA65589 TBE65524:TBE65589 SRI65524:SRI65589 SHM65524:SHM65589 RXQ65524:RXQ65589 RNU65524:RNU65589 RDY65524:RDY65589 QUC65524:QUC65589 QKG65524:QKG65589 QAK65524:QAK65589 PQO65524:PQO65589 PGS65524:PGS65589 OWW65524:OWW65589 ONA65524:ONA65589 ODE65524:ODE65589 NTI65524:NTI65589 NJM65524:NJM65589 MZQ65524:MZQ65589 MPU65524:MPU65589 MFY65524:MFY65589 LWC65524:LWC65589 LMG65524:LMG65589 LCK65524:LCK65589 KSO65524:KSO65589 KIS65524:KIS65589 JYW65524:JYW65589 JPA65524:JPA65589 JFE65524:JFE65589 IVI65524:IVI65589 ILM65524:ILM65589 IBQ65524:IBQ65589 HRU65524:HRU65589 HHY65524:HHY65589 GYC65524:GYC65589 GOG65524:GOG65589 GEK65524:GEK65589 FUO65524:FUO65589 FKS65524:FKS65589 FAW65524:FAW65589 ERA65524:ERA65589 EHE65524:EHE65589 DXI65524:DXI65589 DNM65524:DNM65589 DDQ65524:DDQ65589 CTU65524:CTU65589 CJY65524:CJY65589 CAC65524:CAC65589 BQG65524:BQG65589 BGK65524:BGK65589 AWO65524:AWO65589 AMS65524:AMS65589 ACW65524:ACW65589 TA65524:TA65589 JE65524:JE65589 I65524:I65589 WVQ983028:WVQ983093 WVQ1047389:WVQ1047454 WLU1047389:WLU1047454 WBY1047389:WBY1047454 VSC1047389:VSC1047454 VIG1047389:VIG1047454 UYK1047389:UYK1047454 UOO1047389:UOO1047454 UES1047389:UES1047454 TUW1047389:TUW1047454 TLA1047389:TLA1047454 TBE1047389:TBE1047454 SRI1047389:SRI1047454 SHM1047389:SHM1047454 RXQ1047389:RXQ1047454 RNU1047389:RNU1047454 RDY1047389:RDY1047454 QUC1047389:QUC1047454 QKG1047389:QKG1047454 QAK1047389:QAK1047454 PQO1047389:PQO1047454 PGS1047389:PGS1047454 OWW1047389:OWW1047454 ONA1047389:ONA1047454 ODE1047389:ODE1047454 NTI1047389:NTI1047454 NJM1047389:NJM1047454 MZQ1047389:MZQ1047454 MPU1047389:MPU1047454 MFY1047389:MFY1047454 LWC1047389:LWC1047454 LMG1047389:LMG1047454 LCK1047389:LCK1047454 KSO1047389:KSO1047454 KIS1047389:KIS1047454 JYW1047389:JYW1047454 JPA1047389:JPA1047454 JFE1047389:JFE1047454 IVI1047389:IVI1047454 ILM1047389:ILM1047454 IBQ1047389:IBQ1047454 HRU1047389:HRU1047454 HHY1047389:HHY1047454 GYC1047389:GYC1047454 GOG1047389:GOG1047454 GEK1047389:GEK1047454 FUO1047389:FUO1047454 FKS1047389:FKS1047454 FAW1047389:FAW1047454 ERA1047389:ERA1047454 EHE1047389:EHE1047454 DXI1047389:DXI1047454 DNM1047389:DNM1047454 DDQ1047389:DDQ1047454 CTU1047389:CTU1047454 CJY1047389:CJY1047454 CAC1047389:CAC1047454 BQG1047389:BQG1047454 BGK1047389:BGK1047454 AWO1047389:AWO1047454 AMS1047389:AMS1047454 ACW1047389:ACW1047454 TA1047389:TA1047454 JE1047389:JE1047454 I1047389:I1047454 WVQ981853:WVQ981918 WLU981853:WLU981918 WBY981853:WBY981918 VSC981853:VSC981918 VIG981853:VIG981918 UYK981853:UYK981918 UOO981853:UOO981918 UES981853:UES981918 TUW981853:TUW981918 TLA981853:TLA981918 TBE981853:TBE981918 SRI981853:SRI981918 SHM981853:SHM981918 RXQ981853:RXQ981918 RNU981853:RNU981918 RDY981853:RDY981918 QUC981853:QUC981918 QKG981853:QKG981918 QAK981853:QAK981918 PQO981853:PQO981918 PGS981853:PGS981918 OWW981853:OWW981918 ONA981853:ONA981918 ODE981853:ODE981918 NTI981853:NTI981918 NJM981853:NJM981918 MZQ981853:MZQ981918 MPU981853:MPU981918 MFY981853:MFY981918 LWC981853:LWC981918 LMG981853:LMG981918 LCK981853:LCK981918 KSO981853:KSO981918 KIS981853:KIS981918 JYW981853:JYW981918 JPA981853:JPA981918 JFE981853:JFE981918 IVI981853:IVI981918 ILM981853:ILM981918 IBQ981853:IBQ981918 HRU981853:HRU981918 HHY981853:HHY981918 GYC981853:GYC981918 GOG981853:GOG981918 GEK981853:GEK981918 FUO981853:FUO981918 FKS981853:FKS981918 FAW981853:FAW981918 ERA981853:ERA981918 EHE981853:EHE981918 DXI981853:DXI981918 DNM981853:DNM981918 DDQ981853:DDQ981918 CTU981853:CTU981918 CJY981853:CJY981918 CAC981853:CAC981918 BQG981853:BQG981918 BGK981853:BGK981918 AWO981853:AWO981918 AMS981853:AMS981918 ACW981853:ACW981918 TA981853:TA981918 JE981853:JE981918 I981853:I981918 WVQ916317:WVQ916382 WLU916317:WLU916382 WBY916317:WBY916382 VSC916317:VSC916382 VIG916317:VIG916382 UYK916317:UYK916382 UOO916317:UOO916382 UES916317:UES916382 TUW916317:TUW916382 TLA916317:TLA916382 TBE916317:TBE916382 SRI916317:SRI916382 SHM916317:SHM916382 RXQ916317:RXQ916382 RNU916317:RNU916382 RDY916317:RDY916382 QUC916317:QUC916382 QKG916317:QKG916382 QAK916317:QAK916382 PQO916317:PQO916382 PGS916317:PGS916382 OWW916317:OWW916382 ONA916317:ONA916382 ODE916317:ODE916382 NTI916317:NTI916382 NJM916317:NJM916382 MZQ916317:MZQ916382 MPU916317:MPU916382 MFY916317:MFY916382 LWC916317:LWC916382 LMG916317:LMG916382 LCK916317:LCK916382 KSO916317:KSO916382 KIS916317:KIS916382 JYW916317:JYW916382 JPA916317:JPA916382 JFE916317:JFE916382 IVI916317:IVI916382 ILM916317:ILM916382 IBQ916317:IBQ916382 HRU916317:HRU916382 HHY916317:HHY916382 GYC916317:GYC916382 GOG916317:GOG916382 GEK916317:GEK916382 FUO916317:FUO916382 FKS916317:FKS916382 FAW916317:FAW916382 ERA916317:ERA916382 EHE916317:EHE916382 DXI916317:DXI916382 DNM916317:DNM916382 DDQ916317:DDQ916382 CTU916317:CTU916382 CJY916317:CJY916382 CAC916317:CAC916382 BQG916317:BQG916382 BGK916317:BGK916382 AWO916317:AWO916382 AMS916317:AMS916382 ACW916317:ACW916382 TA916317:TA916382 JE916317:JE916382 I916317:I916382 WVQ850781:WVQ850846 WLU850781:WLU850846 WBY850781:WBY850846 VSC850781:VSC850846 VIG850781:VIG850846 UYK850781:UYK850846 UOO850781:UOO850846 UES850781:UES850846 TUW850781:TUW850846 TLA850781:TLA850846 TBE850781:TBE850846 SRI850781:SRI850846 SHM850781:SHM850846 RXQ850781:RXQ850846 RNU850781:RNU850846 RDY850781:RDY850846 QUC850781:QUC850846 QKG850781:QKG850846 QAK850781:QAK850846 PQO850781:PQO850846 PGS850781:PGS850846 OWW850781:OWW850846 ONA850781:ONA850846 ODE850781:ODE850846 NTI850781:NTI850846 NJM850781:NJM850846 MZQ850781:MZQ850846 MPU850781:MPU850846 MFY850781:MFY850846 LWC850781:LWC850846 LMG850781:LMG850846 LCK850781:LCK850846 KSO850781:KSO850846 KIS850781:KIS850846 JYW850781:JYW850846 JPA850781:JPA850846 JFE850781:JFE850846 IVI850781:IVI850846 ILM850781:ILM850846 IBQ850781:IBQ850846 HRU850781:HRU850846 HHY850781:HHY850846 GYC850781:GYC850846 GOG850781:GOG850846 GEK850781:GEK850846 FUO850781:FUO850846 FKS850781:FKS850846 FAW850781:FAW850846 ERA850781:ERA850846 EHE850781:EHE850846 DXI850781:DXI850846 DNM850781:DNM850846 DDQ850781:DDQ850846 CTU850781:CTU850846 CJY850781:CJY850846 CAC850781:CAC850846 BQG850781:BQG850846 BGK850781:BGK850846 AWO850781:AWO850846 AMS850781:AMS850846 ACW850781:ACW850846 TA850781:TA850846 JE850781:JE850846 I850781:I850846 WVQ785245:WVQ785310 WLU785245:WLU785310 WBY785245:WBY785310 VSC785245:VSC785310 VIG785245:VIG785310 UYK785245:UYK785310 UOO785245:UOO785310 UES785245:UES785310 TUW785245:TUW785310 TLA785245:TLA785310 TBE785245:TBE785310 SRI785245:SRI785310 SHM785245:SHM785310 RXQ785245:RXQ785310 RNU785245:RNU785310 RDY785245:RDY785310 QUC785245:QUC785310 QKG785245:QKG785310 QAK785245:QAK785310 PQO785245:PQO785310 PGS785245:PGS785310 OWW785245:OWW785310 ONA785245:ONA785310 ODE785245:ODE785310 NTI785245:NTI785310 NJM785245:NJM785310 MZQ785245:MZQ785310 MPU785245:MPU785310 MFY785245:MFY785310 LWC785245:LWC785310 LMG785245:LMG785310 LCK785245:LCK785310 KSO785245:KSO785310 KIS785245:KIS785310 JYW785245:JYW785310 JPA785245:JPA785310 JFE785245:JFE785310 IVI785245:IVI785310 ILM785245:ILM785310 IBQ785245:IBQ785310 HRU785245:HRU785310 HHY785245:HHY785310 GYC785245:GYC785310 GOG785245:GOG785310 GEK785245:GEK785310 FUO785245:FUO785310 FKS785245:FKS785310 FAW785245:FAW785310 ERA785245:ERA785310 EHE785245:EHE785310 DXI785245:DXI785310 DNM785245:DNM785310 DDQ785245:DDQ785310 CTU785245:CTU785310 CJY785245:CJY785310 CAC785245:CAC785310 BQG785245:BQG785310 BGK785245:BGK785310 AWO785245:AWO785310 AMS785245:AMS785310 ACW785245:ACW785310 TA785245:TA785310 JE785245:JE785310 I785245:I785310 WVQ719709:WVQ719774 WLU719709:WLU719774 WBY719709:WBY719774 VSC719709:VSC719774 VIG719709:VIG719774 UYK719709:UYK719774 UOO719709:UOO719774 UES719709:UES719774 TUW719709:TUW719774 TLA719709:TLA719774 TBE719709:TBE719774 SRI719709:SRI719774 SHM719709:SHM719774 RXQ719709:RXQ719774 RNU719709:RNU719774 RDY719709:RDY719774 QUC719709:QUC719774 QKG719709:QKG719774 QAK719709:QAK719774 PQO719709:PQO719774 PGS719709:PGS719774 OWW719709:OWW719774 ONA719709:ONA719774 ODE719709:ODE719774 NTI719709:NTI719774 NJM719709:NJM719774 MZQ719709:MZQ719774 MPU719709:MPU719774 MFY719709:MFY719774 LWC719709:LWC719774 LMG719709:LMG719774 LCK719709:LCK719774 KSO719709:KSO719774 KIS719709:KIS719774 JYW719709:JYW719774 JPA719709:JPA719774 JFE719709:JFE719774 IVI719709:IVI719774 ILM719709:ILM719774 IBQ719709:IBQ719774 HRU719709:HRU719774 HHY719709:HHY719774 GYC719709:GYC719774 GOG719709:GOG719774 GEK719709:GEK719774 FUO719709:FUO719774 FKS719709:FKS719774 FAW719709:FAW719774 ERA719709:ERA719774 EHE719709:EHE719774 DXI719709:DXI719774 DNM719709:DNM719774 DDQ719709:DDQ719774 CTU719709:CTU719774 CJY719709:CJY719774 CAC719709:CAC719774 BQG719709:BQG719774 BGK719709:BGK719774 AWO719709:AWO719774 AMS719709:AMS719774 ACW719709:ACW719774 TA719709:TA719774 JE719709:JE719774 I719709:I719774 WVQ654173:WVQ654238 WLU654173:WLU654238 WBY654173:WBY654238 VSC654173:VSC654238 VIG654173:VIG654238 UYK654173:UYK654238 UOO654173:UOO654238 UES654173:UES654238 TUW654173:TUW654238 TLA654173:TLA654238 TBE654173:TBE654238 SRI654173:SRI654238 SHM654173:SHM654238 RXQ654173:RXQ654238 RNU654173:RNU654238 RDY654173:RDY654238 QUC654173:QUC654238 QKG654173:QKG654238 QAK654173:QAK654238 PQO654173:PQO654238 PGS654173:PGS654238 OWW654173:OWW654238 ONA654173:ONA654238 ODE654173:ODE654238 NTI654173:NTI654238 NJM654173:NJM654238 MZQ654173:MZQ654238 MPU654173:MPU654238 MFY654173:MFY654238 LWC654173:LWC654238 LMG654173:LMG654238 LCK654173:LCK654238 KSO654173:KSO654238 KIS654173:KIS654238 JYW654173:JYW654238 JPA654173:JPA654238 JFE654173:JFE654238 IVI654173:IVI654238 ILM654173:ILM654238 IBQ654173:IBQ654238 HRU654173:HRU654238 HHY654173:HHY654238 GYC654173:GYC654238 GOG654173:GOG654238 GEK654173:GEK654238 FUO654173:FUO654238 FKS654173:FKS654238 FAW654173:FAW654238 ERA654173:ERA654238 EHE654173:EHE654238 DXI654173:DXI654238 DNM654173:DNM654238 DDQ654173:DDQ654238 CTU654173:CTU654238 CJY654173:CJY654238 CAC654173:CAC654238 BQG654173:BQG654238 BGK654173:BGK654238 AWO654173:AWO654238 AMS654173:AMS654238 ACW654173:ACW654238 TA654173:TA654238 JE654173:JE654238 I654173:I654238 WVQ588637:WVQ588702 WLU588637:WLU588702 WBY588637:WBY588702 VSC588637:VSC588702 VIG588637:VIG588702 UYK588637:UYK588702 UOO588637:UOO588702 UES588637:UES588702 TUW588637:TUW588702 TLA588637:TLA588702 TBE588637:TBE588702 SRI588637:SRI588702 SHM588637:SHM588702 RXQ588637:RXQ588702 RNU588637:RNU588702 RDY588637:RDY588702 QUC588637:QUC588702 QKG588637:QKG588702 QAK588637:QAK588702 PQO588637:PQO588702 PGS588637:PGS588702 OWW588637:OWW588702 ONA588637:ONA588702 ODE588637:ODE588702 NTI588637:NTI588702 NJM588637:NJM588702 MZQ588637:MZQ588702 MPU588637:MPU588702 MFY588637:MFY588702 LWC588637:LWC588702 LMG588637:LMG588702 LCK588637:LCK588702 KSO588637:KSO588702 KIS588637:KIS588702 JYW588637:JYW588702 JPA588637:JPA588702 JFE588637:JFE588702 IVI588637:IVI588702 ILM588637:ILM588702 IBQ588637:IBQ588702 HRU588637:HRU588702 HHY588637:HHY588702 GYC588637:GYC588702 GOG588637:GOG588702 GEK588637:GEK588702 FUO588637:FUO588702 FKS588637:FKS588702 FAW588637:FAW588702 ERA588637:ERA588702 EHE588637:EHE588702 DXI588637:DXI588702 DNM588637:DNM588702 DDQ588637:DDQ588702 CTU588637:CTU588702 CJY588637:CJY588702 CAC588637:CAC588702 BQG588637:BQG588702 BGK588637:BGK588702 AWO588637:AWO588702 AMS588637:AMS588702 ACW588637:ACW588702 TA588637:TA588702 JE588637:JE588702 I588637:I588702 WVQ523101:WVQ523166 WLU523101:WLU523166 WBY523101:WBY523166 VSC523101:VSC523166 VIG523101:VIG523166 UYK523101:UYK523166 UOO523101:UOO523166 UES523101:UES523166 TUW523101:TUW523166 TLA523101:TLA523166 TBE523101:TBE523166 SRI523101:SRI523166 SHM523101:SHM523166 RXQ523101:RXQ523166 RNU523101:RNU523166 RDY523101:RDY523166 QUC523101:QUC523166 QKG523101:QKG523166 QAK523101:QAK523166 PQO523101:PQO523166 PGS523101:PGS523166 OWW523101:OWW523166 ONA523101:ONA523166 ODE523101:ODE523166 NTI523101:NTI523166 NJM523101:NJM523166 MZQ523101:MZQ523166 MPU523101:MPU523166 MFY523101:MFY523166 LWC523101:LWC523166 LMG523101:LMG523166 LCK523101:LCK523166 KSO523101:KSO523166 KIS523101:KIS523166 JYW523101:JYW523166 JPA523101:JPA523166 JFE523101:JFE523166 IVI523101:IVI523166 ILM523101:ILM523166 IBQ523101:IBQ523166 HRU523101:HRU523166 HHY523101:HHY523166 GYC523101:GYC523166 GOG523101:GOG523166 GEK523101:GEK523166 FUO523101:FUO523166 FKS523101:FKS523166 FAW523101:FAW523166 ERA523101:ERA523166 EHE523101:EHE523166 DXI523101:DXI523166 DNM523101:DNM523166 DDQ523101:DDQ523166 CTU523101:CTU523166 CJY523101:CJY523166 CAC523101:CAC523166 BQG523101:BQG523166 BGK523101:BGK523166 AWO523101:AWO523166 AMS523101:AMS523166 ACW523101:ACW523166 TA523101:TA523166 JE523101:JE523166 I523101:I523166 WVQ457565:WVQ457630 WLU457565:WLU457630 WBY457565:WBY457630 VSC457565:VSC457630 VIG457565:VIG457630 UYK457565:UYK457630 UOO457565:UOO457630 UES457565:UES457630 TUW457565:TUW457630 TLA457565:TLA457630 TBE457565:TBE457630 SRI457565:SRI457630 SHM457565:SHM457630 RXQ457565:RXQ457630 RNU457565:RNU457630 RDY457565:RDY457630 QUC457565:QUC457630 QKG457565:QKG457630 QAK457565:QAK457630 PQO457565:PQO457630 PGS457565:PGS457630 OWW457565:OWW457630 ONA457565:ONA457630 ODE457565:ODE457630 NTI457565:NTI457630 NJM457565:NJM457630 MZQ457565:MZQ457630 MPU457565:MPU457630 MFY457565:MFY457630 LWC457565:LWC457630 LMG457565:LMG457630 LCK457565:LCK457630 KSO457565:KSO457630 KIS457565:KIS457630 JYW457565:JYW457630 JPA457565:JPA457630 JFE457565:JFE457630 IVI457565:IVI457630 ILM457565:ILM457630 IBQ457565:IBQ457630 HRU457565:HRU457630 HHY457565:HHY457630 GYC457565:GYC457630 GOG457565:GOG457630 GEK457565:GEK457630 FUO457565:FUO457630 FKS457565:FKS457630 FAW457565:FAW457630 ERA457565:ERA457630 EHE457565:EHE457630 DXI457565:DXI457630 DNM457565:DNM457630 DDQ457565:DDQ457630 CTU457565:CTU457630 CJY457565:CJY457630 CAC457565:CAC457630 BQG457565:BQG457630 BGK457565:BGK457630 AWO457565:AWO457630 AMS457565:AMS457630 ACW457565:ACW457630 TA457565:TA457630 JE457565:JE457630 I457565:I457630 WVQ392029:WVQ392094 WLU392029:WLU392094 WBY392029:WBY392094 VSC392029:VSC392094 VIG392029:VIG392094 UYK392029:UYK392094 UOO392029:UOO392094 UES392029:UES392094 TUW392029:TUW392094 TLA392029:TLA392094 TBE392029:TBE392094 SRI392029:SRI392094 SHM392029:SHM392094 RXQ392029:RXQ392094 RNU392029:RNU392094 RDY392029:RDY392094 QUC392029:QUC392094 QKG392029:QKG392094 QAK392029:QAK392094 PQO392029:PQO392094 PGS392029:PGS392094 OWW392029:OWW392094 ONA392029:ONA392094 ODE392029:ODE392094 NTI392029:NTI392094 NJM392029:NJM392094 MZQ392029:MZQ392094 MPU392029:MPU392094 MFY392029:MFY392094 LWC392029:LWC392094 LMG392029:LMG392094 LCK392029:LCK392094 KSO392029:KSO392094 KIS392029:KIS392094 JYW392029:JYW392094 JPA392029:JPA392094 JFE392029:JFE392094 IVI392029:IVI392094 ILM392029:ILM392094 IBQ392029:IBQ392094 HRU392029:HRU392094 HHY392029:HHY392094 GYC392029:GYC392094 GOG392029:GOG392094 GEK392029:GEK392094 FUO392029:FUO392094 FKS392029:FKS392094 FAW392029:FAW392094 ERA392029:ERA392094 EHE392029:EHE392094 DXI392029:DXI392094 DNM392029:DNM392094 DDQ392029:DDQ392094 CTU392029:CTU392094 CJY392029:CJY392094 CAC392029:CAC392094 BQG392029:BQG392094 BGK392029:BGK392094 AWO392029:AWO392094 AMS392029:AMS392094 ACW392029:ACW392094 TA392029:TA392094 JE392029:JE392094 I392029:I392094 WVQ326493:WVQ326558 WLU326493:WLU326558 WBY326493:WBY326558 VSC326493:VSC326558 VIG326493:VIG326558 UYK326493:UYK326558 UOO326493:UOO326558 UES326493:UES326558 TUW326493:TUW326558 TLA326493:TLA326558 TBE326493:TBE326558 SRI326493:SRI326558 SHM326493:SHM326558 RXQ326493:RXQ326558 RNU326493:RNU326558 RDY326493:RDY326558 QUC326493:QUC326558 QKG326493:QKG326558 QAK326493:QAK326558 PQO326493:PQO326558 PGS326493:PGS326558 OWW326493:OWW326558 ONA326493:ONA326558 ODE326493:ODE326558 NTI326493:NTI326558 NJM326493:NJM326558 MZQ326493:MZQ326558 MPU326493:MPU326558 MFY326493:MFY326558 LWC326493:LWC326558 LMG326493:LMG326558 LCK326493:LCK326558 KSO326493:KSO326558 KIS326493:KIS326558 JYW326493:JYW326558 JPA326493:JPA326558 JFE326493:JFE326558 IVI326493:IVI326558 ILM326493:ILM326558 IBQ326493:IBQ326558 HRU326493:HRU326558 HHY326493:HHY326558 GYC326493:GYC326558 GOG326493:GOG326558 GEK326493:GEK326558 FUO326493:FUO326558 FKS326493:FKS326558 FAW326493:FAW326558 ERA326493:ERA326558 EHE326493:EHE326558 DXI326493:DXI326558 DNM326493:DNM326558 DDQ326493:DDQ326558 CTU326493:CTU326558 CJY326493:CJY326558 CAC326493:CAC326558 BQG326493:BQG326558 BGK326493:BGK326558 AWO326493:AWO326558 AMS326493:AMS326558 ACW326493:ACW326558 TA326493:TA326558 JE326493:JE326558 I326493:I326558 WVQ260957:WVQ261022 WLU260957:WLU261022 WBY260957:WBY261022 VSC260957:VSC261022 VIG260957:VIG261022 UYK260957:UYK261022 UOO260957:UOO261022 UES260957:UES261022 TUW260957:TUW261022 TLA260957:TLA261022 TBE260957:TBE261022 SRI260957:SRI261022 SHM260957:SHM261022 RXQ260957:RXQ261022 RNU260957:RNU261022 RDY260957:RDY261022 QUC260957:QUC261022 QKG260957:QKG261022 QAK260957:QAK261022 PQO260957:PQO261022 PGS260957:PGS261022 OWW260957:OWW261022 ONA260957:ONA261022 ODE260957:ODE261022 NTI260957:NTI261022 NJM260957:NJM261022 MZQ260957:MZQ261022 MPU260957:MPU261022 MFY260957:MFY261022 LWC260957:LWC261022 LMG260957:LMG261022 LCK260957:LCK261022 KSO260957:KSO261022 KIS260957:KIS261022 JYW260957:JYW261022 JPA260957:JPA261022 JFE260957:JFE261022 IVI260957:IVI261022 ILM260957:ILM261022 IBQ260957:IBQ261022 HRU260957:HRU261022 HHY260957:HHY261022 GYC260957:GYC261022 GOG260957:GOG261022 GEK260957:GEK261022 FUO260957:FUO261022 FKS260957:FKS261022 FAW260957:FAW261022 ERA260957:ERA261022 EHE260957:EHE261022 DXI260957:DXI261022 DNM260957:DNM261022 DDQ260957:DDQ261022 CTU260957:CTU261022 CJY260957:CJY261022 CAC260957:CAC261022 BQG260957:BQG261022 BGK260957:BGK261022 AWO260957:AWO261022 AMS260957:AMS261022 ACW260957:ACW261022 TA260957:TA261022 JE260957:JE261022 I260957:I261022 WVQ195421:WVQ195486 WLU195421:WLU195486 WBY195421:WBY195486 VSC195421:VSC195486 VIG195421:VIG195486 UYK195421:UYK195486 UOO195421:UOO195486 UES195421:UES195486 TUW195421:TUW195486 TLA195421:TLA195486 TBE195421:TBE195486 SRI195421:SRI195486 SHM195421:SHM195486 RXQ195421:RXQ195486 RNU195421:RNU195486 RDY195421:RDY195486 QUC195421:QUC195486 QKG195421:QKG195486 QAK195421:QAK195486 PQO195421:PQO195486 PGS195421:PGS195486 OWW195421:OWW195486 ONA195421:ONA195486 ODE195421:ODE195486 NTI195421:NTI195486 NJM195421:NJM195486 MZQ195421:MZQ195486 MPU195421:MPU195486 MFY195421:MFY195486 LWC195421:LWC195486 LMG195421:LMG195486 LCK195421:LCK195486 KSO195421:KSO195486 KIS195421:KIS195486 JYW195421:JYW195486 JPA195421:JPA195486 JFE195421:JFE195486 IVI195421:IVI195486 ILM195421:ILM195486 IBQ195421:IBQ195486 HRU195421:HRU195486 HHY195421:HHY195486 GYC195421:GYC195486 GOG195421:GOG195486 GEK195421:GEK195486 FUO195421:FUO195486 FKS195421:FKS195486 FAW195421:FAW195486 ERA195421:ERA195486 EHE195421:EHE195486 DXI195421:DXI195486 DNM195421:DNM195486 DDQ195421:DDQ195486 CTU195421:CTU195486 CJY195421:CJY195486 CAC195421:CAC195486 BQG195421:BQG195486 BGK195421:BGK195486 AWO195421:AWO195486 AMS195421:AMS195486 ACW195421:ACW195486 TA195421:TA195486 JE195421:JE195486 I195421:I195486 WVQ129885:WVQ129950 WLU129885:WLU129950 WBY129885:WBY129950 VSC129885:VSC129950 VIG129885:VIG129950 UYK129885:UYK129950 UOO129885:UOO129950 UES129885:UES129950 TUW129885:TUW129950 TLA129885:TLA129950 TBE129885:TBE129950 SRI129885:SRI129950 SHM129885:SHM129950 RXQ129885:RXQ129950 RNU129885:RNU129950 RDY129885:RDY129950 QUC129885:QUC129950 QKG129885:QKG129950 QAK129885:QAK129950 PQO129885:PQO129950 PGS129885:PGS129950 OWW129885:OWW129950 ONA129885:ONA129950 ODE129885:ODE129950 NTI129885:NTI129950 NJM129885:NJM129950 MZQ129885:MZQ129950 MPU129885:MPU129950 MFY129885:MFY129950 LWC129885:LWC129950 LMG129885:LMG129950 LCK129885:LCK129950 KSO129885:KSO129950 KIS129885:KIS129950 JYW129885:JYW129950 JPA129885:JPA129950 JFE129885:JFE129950 IVI129885:IVI129950 ILM129885:ILM129950 IBQ129885:IBQ129950 HRU129885:HRU129950 HHY129885:HHY129950 GYC129885:GYC129950 GOG129885:GOG129950 GEK129885:GEK129950 FUO129885:FUO129950 FKS129885:FKS129950 FAW129885:FAW129950 ERA129885:ERA129950 EHE129885:EHE129950 DXI129885:DXI129950 DNM129885:DNM129950 DDQ129885:DDQ129950 CTU129885:CTU129950 CJY129885:CJY129950 CAC129885:CAC129950 BQG129885:BQG129950 BGK129885:BGK129950 AWO129885:AWO129950 AMS129885:AMS129950 ACW129885:ACW129950 TA129885:TA129950 JE129885:JE129950 I129885:I129950 WVQ64349:WVQ64414 WLU64349:WLU64414 WBY64349:WBY64414 VSC64349:VSC64414 VIG64349:VIG64414 UYK64349:UYK64414 UOO64349:UOO64414 UES64349:UES64414 TUW64349:TUW64414 TLA64349:TLA64414 TBE64349:TBE64414 SRI64349:SRI64414 SHM64349:SHM64414 RXQ64349:RXQ64414 RNU64349:RNU64414 RDY64349:RDY64414 QUC64349:QUC64414 QKG64349:QKG64414 QAK64349:QAK64414 PQO64349:PQO64414 PGS64349:PGS64414 OWW64349:OWW64414 ONA64349:ONA64414 ODE64349:ODE64414 NTI64349:NTI64414 NJM64349:NJM64414 MZQ64349:MZQ64414 MPU64349:MPU64414 MFY64349:MFY64414 LWC64349:LWC64414 LMG64349:LMG64414 LCK64349:LCK64414 KSO64349:KSO64414 KIS64349:KIS64414 JYW64349:JYW64414 JPA64349:JPA64414 JFE64349:JFE64414 IVI64349:IVI64414 ILM64349:ILM64414 IBQ64349:IBQ64414 HRU64349:HRU64414 HHY64349:HHY64414 GYC64349:GYC64414 GOG64349:GOG64414 GEK64349:GEK64414 FUO64349:FUO64414 FKS64349:FKS64414 FAW64349:FAW64414 ERA64349:ERA64414 EHE64349:EHE64414 DXI64349:DXI64414 DNM64349:DNM64414 DDQ64349:DDQ64414 CTU64349:CTU64414 CJY64349:CJY64414 CAC64349:CAC64414 BQG64349:BQG64414 BGK64349:BGK64414 AWO64349:AWO64414 AMS64349:AMS64414 ACW64349:ACW64414 TA64349:TA64414 I2:I486 TA2:TA61 JE2:JE61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formula1>$AN$5:$AN$6</formula1>
    </dataValidation>
    <dataValidation type="list" allowBlank="1" showInputMessage="1" showErrorMessage="1" sqref="J64349:J64414 WVR1047389:WVR1047454 WLV1047389:WLV1047454 WBZ1047389:WBZ1047454 VSD1047389:VSD1047454 VIH1047389:VIH1047454 UYL1047389:UYL1047454 UOP1047389:UOP1047454 UET1047389:UET1047454 TUX1047389:TUX1047454 TLB1047389:TLB1047454 TBF1047389:TBF1047454 SRJ1047389:SRJ1047454 SHN1047389:SHN1047454 RXR1047389:RXR1047454 RNV1047389:RNV1047454 RDZ1047389:RDZ1047454 QUD1047389:QUD1047454 QKH1047389:QKH1047454 QAL1047389:QAL1047454 PQP1047389:PQP1047454 PGT1047389:PGT1047454 OWX1047389:OWX1047454 ONB1047389:ONB1047454 ODF1047389:ODF1047454 NTJ1047389:NTJ1047454 NJN1047389:NJN1047454 MZR1047389:MZR1047454 MPV1047389:MPV1047454 MFZ1047389:MFZ1047454 LWD1047389:LWD1047454 LMH1047389:LMH1047454 LCL1047389:LCL1047454 KSP1047389:KSP1047454 KIT1047389:KIT1047454 JYX1047389:JYX1047454 JPB1047389:JPB1047454 JFF1047389:JFF1047454 IVJ1047389:IVJ1047454 ILN1047389:ILN1047454 IBR1047389:IBR1047454 HRV1047389:HRV1047454 HHZ1047389:HHZ1047454 GYD1047389:GYD1047454 GOH1047389:GOH1047454 GEL1047389:GEL1047454 FUP1047389:FUP1047454 FKT1047389:FKT1047454 FAX1047389:FAX1047454 ERB1047389:ERB1047454 EHF1047389:EHF1047454 DXJ1047389:DXJ1047454 DNN1047389:DNN1047454 DDR1047389:DDR1047454 CTV1047389:CTV1047454 CJZ1047389:CJZ1047454 CAD1047389:CAD1047454 BQH1047389:BQH1047454 BGL1047389:BGL1047454 AWP1047389:AWP1047454 AMT1047389:AMT1047454 ACX1047389:ACX1047454 TB1047389:TB1047454 JF1047389:JF1047454 J1047389:J1047454 WVR981853:WVR981918 WLV981853:WLV981918 WBZ981853:WBZ981918 VSD981853:VSD981918 VIH981853:VIH981918 UYL981853:UYL981918 UOP981853:UOP981918 UET981853:UET981918 TUX981853:TUX981918 TLB981853:TLB981918 TBF981853:TBF981918 SRJ981853:SRJ981918 SHN981853:SHN981918 RXR981853:RXR981918 RNV981853:RNV981918 RDZ981853:RDZ981918 QUD981853:QUD981918 QKH981853:QKH981918 QAL981853:QAL981918 PQP981853:PQP981918 PGT981853:PGT981918 OWX981853:OWX981918 ONB981853:ONB981918 ODF981853:ODF981918 NTJ981853:NTJ981918 NJN981853:NJN981918 MZR981853:MZR981918 MPV981853:MPV981918 MFZ981853:MFZ981918 LWD981853:LWD981918 LMH981853:LMH981918 LCL981853:LCL981918 KSP981853:KSP981918 KIT981853:KIT981918 JYX981853:JYX981918 JPB981853:JPB981918 JFF981853:JFF981918 IVJ981853:IVJ981918 ILN981853:ILN981918 IBR981853:IBR981918 HRV981853:HRV981918 HHZ981853:HHZ981918 GYD981853:GYD981918 GOH981853:GOH981918 GEL981853:GEL981918 FUP981853:FUP981918 FKT981853:FKT981918 FAX981853:FAX981918 ERB981853:ERB981918 EHF981853:EHF981918 DXJ981853:DXJ981918 DNN981853:DNN981918 DDR981853:DDR981918 CTV981853:CTV981918 CJZ981853:CJZ981918 CAD981853:CAD981918 BQH981853:BQH981918 BGL981853:BGL981918 AWP981853:AWP981918 AMT981853:AMT981918 ACX981853:ACX981918 TB981853:TB981918 JF981853:JF981918 J981853:J981918 WVR916317:WVR916382 WLV916317:WLV916382 WBZ916317:WBZ916382 VSD916317:VSD916382 VIH916317:VIH916382 UYL916317:UYL916382 UOP916317:UOP916382 UET916317:UET916382 TUX916317:TUX916382 TLB916317:TLB916382 TBF916317:TBF916382 SRJ916317:SRJ916382 SHN916317:SHN916382 RXR916317:RXR916382 RNV916317:RNV916382 RDZ916317:RDZ916382 QUD916317:QUD916382 QKH916317:QKH916382 QAL916317:QAL916382 PQP916317:PQP916382 PGT916317:PGT916382 OWX916317:OWX916382 ONB916317:ONB916382 ODF916317:ODF916382 NTJ916317:NTJ916382 NJN916317:NJN916382 MZR916317:MZR916382 MPV916317:MPV916382 MFZ916317:MFZ916382 LWD916317:LWD916382 LMH916317:LMH916382 LCL916317:LCL916382 KSP916317:KSP916382 KIT916317:KIT916382 JYX916317:JYX916382 JPB916317:JPB916382 JFF916317:JFF916382 IVJ916317:IVJ916382 ILN916317:ILN916382 IBR916317:IBR916382 HRV916317:HRV916382 HHZ916317:HHZ916382 GYD916317:GYD916382 GOH916317:GOH916382 GEL916317:GEL916382 FUP916317:FUP916382 FKT916317:FKT916382 FAX916317:FAX916382 ERB916317:ERB916382 EHF916317:EHF916382 DXJ916317:DXJ916382 DNN916317:DNN916382 DDR916317:DDR916382 CTV916317:CTV916382 CJZ916317:CJZ916382 CAD916317:CAD916382 BQH916317:BQH916382 BGL916317:BGL916382 AWP916317:AWP916382 AMT916317:AMT916382 ACX916317:ACX916382 TB916317:TB916382 JF916317:JF916382 J916317:J916382 WVR850781:WVR850846 WLV850781:WLV850846 WBZ850781:WBZ850846 VSD850781:VSD850846 VIH850781:VIH850846 UYL850781:UYL850846 UOP850781:UOP850846 UET850781:UET850846 TUX850781:TUX850846 TLB850781:TLB850846 TBF850781:TBF850846 SRJ850781:SRJ850846 SHN850781:SHN850846 RXR850781:RXR850846 RNV850781:RNV850846 RDZ850781:RDZ850846 QUD850781:QUD850846 QKH850781:QKH850846 QAL850781:QAL850846 PQP850781:PQP850846 PGT850781:PGT850846 OWX850781:OWX850846 ONB850781:ONB850846 ODF850781:ODF850846 NTJ850781:NTJ850846 NJN850781:NJN850846 MZR850781:MZR850846 MPV850781:MPV850846 MFZ850781:MFZ850846 LWD850781:LWD850846 LMH850781:LMH850846 LCL850781:LCL850846 KSP850781:KSP850846 KIT850781:KIT850846 JYX850781:JYX850846 JPB850781:JPB850846 JFF850781:JFF850846 IVJ850781:IVJ850846 ILN850781:ILN850846 IBR850781:IBR850846 HRV850781:HRV850846 HHZ850781:HHZ850846 GYD850781:GYD850846 GOH850781:GOH850846 GEL850781:GEL850846 FUP850781:FUP850846 FKT850781:FKT850846 FAX850781:FAX850846 ERB850781:ERB850846 EHF850781:EHF850846 DXJ850781:DXJ850846 DNN850781:DNN850846 DDR850781:DDR850846 CTV850781:CTV850846 CJZ850781:CJZ850846 CAD850781:CAD850846 BQH850781:BQH850846 BGL850781:BGL850846 AWP850781:AWP850846 AMT850781:AMT850846 ACX850781:ACX850846 TB850781:TB850846 JF850781:JF850846 J850781:J850846 WVR785245:WVR785310 WLV785245:WLV785310 WBZ785245:WBZ785310 VSD785245:VSD785310 VIH785245:VIH785310 UYL785245:UYL785310 UOP785245:UOP785310 UET785245:UET785310 TUX785245:TUX785310 TLB785245:TLB785310 TBF785245:TBF785310 SRJ785245:SRJ785310 SHN785245:SHN785310 RXR785245:RXR785310 RNV785245:RNV785310 RDZ785245:RDZ785310 QUD785245:QUD785310 QKH785245:QKH785310 QAL785245:QAL785310 PQP785245:PQP785310 PGT785245:PGT785310 OWX785245:OWX785310 ONB785245:ONB785310 ODF785245:ODF785310 NTJ785245:NTJ785310 NJN785245:NJN785310 MZR785245:MZR785310 MPV785245:MPV785310 MFZ785245:MFZ785310 LWD785245:LWD785310 LMH785245:LMH785310 LCL785245:LCL785310 KSP785245:KSP785310 KIT785245:KIT785310 JYX785245:JYX785310 JPB785245:JPB785310 JFF785245:JFF785310 IVJ785245:IVJ785310 ILN785245:ILN785310 IBR785245:IBR785310 HRV785245:HRV785310 HHZ785245:HHZ785310 GYD785245:GYD785310 GOH785245:GOH785310 GEL785245:GEL785310 FUP785245:FUP785310 FKT785245:FKT785310 FAX785245:FAX785310 ERB785245:ERB785310 EHF785245:EHF785310 DXJ785245:DXJ785310 DNN785245:DNN785310 DDR785245:DDR785310 CTV785245:CTV785310 CJZ785245:CJZ785310 CAD785245:CAD785310 BQH785245:BQH785310 BGL785245:BGL785310 AWP785245:AWP785310 AMT785245:AMT785310 ACX785245:ACX785310 TB785245:TB785310 JF785245:JF785310 J785245:J785310 WVR719709:WVR719774 WLV719709:WLV719774 WBZ719709:WBZ719774 VSD719709:VSD719774 VIH719709:VIH719774 UYL719709:UYL719774 UOP719709:UOP719774 UET719709:UET719774 TUX719709:TUX719774 TLB719709:TLB719774 TBF719709:TBF719774 SRJ719709:SRJ719774 SHN719709:SHN719774 RXR719709:RXR719774 RNV719709:RNV719774 RDZ719709:RDZ719774 QUD719709:QUD719774 QKH719709:QKH719774 QAL719709:QAL719774 PQP719709:PQP719774 PGT719709:PGT719774 OWX719709:OWX719774 ONB719709:ONB719774 ODF719709:ODF719774 NTJ719709:NTJ719774 NJN719709:NJN719774 MZR719709:MZR719774 MPV719709:MPV719774 MFZ719709:MFZ719774 LWD719709:LWD719774 LMH719709:LMH719774 LCL719709:LCL719774 KSP719709:KSP719774 KIT719709:KIT719774 JYX719709:JYX719774 JPB719709:JPB719774 JFF719709:JFF719774 IVJ719709:IVJ719774 ILN719709:ILN719774 IBR719709:IBR719774 HRV719709:HRV719774 HHZ719709:HHZ719774 GYD719709:GYD719774 GOH719709:GOH719774 GEL719709:GEL719774 FUP719709:FUP719774 FKT719709:FKT719774 FAX719709:FAX719774 ERB719709:ERB719774 EHF719709:EHF719774 DXJ719709:DXJ719774 DNN719709:DNN719774 DDR719709:DDR719774 CTV719709:CTV719774 CJZ719709:CJZ719774 CAD719709:CAD719774 BQH719709:BQH719774 BGL719709:BGL719774 AWP719709:AWP719774 AMT719709:AMT719774 ACX719709:ACX719774 TB719709:TB719774 JF719709:JF719774 J719709:J719774 WVR654173:WVR654238 WLV654173:WLV654238 WBZ654173:WBZ654238 VSD654173:VSD654238 VIH654173:VIH654238 UYL654173:UYL654238 UOP654173:UOP654238 UET654173:UET654238 TUX654173:TUX654238 TLB654173:TLB654238 TBF654173:TBF654238 SRJ654173:SRJ654238 SHN654173:SHN654238 RXR654173:RXR654238 RNV654173:RNV654238 RDZ654173:RDZ654238 QUD654173:QUD654238 QKH654173:QKH654238 QAL654173:QAL654238 PQP654173:PQP654238 PGT654173:PGT654238 OWX654173:OWX654238 ONB654173:ONB654238 ODF654173:ODF654238 NTJ654173:NTJ654238 NJN654173:NJN654238 MZR654173:MZR654238 MPV654173:MPV654238 MFZ654173:MFZ654238 LWD654173:LWD654238 LMH654173:LMH654238 LCL654173:LCL654238 KSP654173:KSP654238 KIT654173:KIT654238 JYX654173:JYX654238 JPB654173:JPB654238 JFF654173:JFF654238 IVJ654173:IVJ654238 ILN654173:ILN654238 IBR654173:IBR654238 HRV654173:HRV654238 HHZ654173:HHZ654238 GYD654173:GYD654238 GOH654173:GOH654238 GEL654173:GEL654238 FUP654173:FUP654238 FKT654173:FKT654238 FAX654173:FAX654238 ERB654173:ERB654238 EHF654173:EHF654238 DXJ654173:DXJ654238 DNN654173:DNN654238 DDR654173:DDR654238 CTV654173:CTV654238 CJZ654173:CJZ654238 CAD654173:CAD654238 BQH654173:BQH654238 BGL654173:BGL654238 AWP654173:AWP654238 AMT654173:AMT654238 ACX654173:ACX654238 TB654173:TB654238 JF654173:JF654238 J654173:J654238 WVR588637:WVR588702 WLV588637:WLV588702 WBZ588637:WBZ588702 VSD588637:VSD588702 VIH588637:VIH588702 UYL588637:UYL588702 UOP588637:UOP588702 UET588637:UET588702 TUX588637:TUX588702 TLB588637:TLB588702 TBF588637:TBF588702 SRJ588637:SRJ588702 SHN588637:SHN588702 RXR588637:RXR588702 RNV588637:RNV588702 RDZ588637:RDZ588702 QUD588637:QUD588702 QKH588637:QKH588702 QAL588637:QAL588702 PQP588637:PQP588702 PGT588637:PGT588702 OWX588637:OWX588702 ONB588637:ONB588702 ODF588637:ODF588702 NTJ588637:NTJ588702 NJN588637:NJN588702 MZR588637:MZR588702 MPV588637:MPV588702 MFZ588637:MFZ588702 LWD588637:LWD588702 LMH588637:LMH588702 LCL588637:LCL588702 KSP588637:KSP588702 KIT588637:KIT588702 JYX588637:JYX588702 JPB588637:JPB588702 JFF588637:JFF588702 IVJ588637:IVJ588702 ILN588637:ILN588702 IBR588637:IBR588702 HRV588637:HRV588702 HHZ588637:HHZ588702 GYD588637:GYD588702 GOH588637:GOH588702 GEL588637:GEL588702 FUP588637:FUP588702 FKT588637:FKT588702 FAX588637:FAX588702 ERB588637:ERB588702 EHF588637:EHF588702 DXJ588637:DXJ588702 DNN588637:DNN588702 DDR588637:DDR588702 CTV588637:CTV588702 CJZ588637:CJZ588702 CAD588637:CAD588702 BQH588637:BQH588702 BGL588637:BGL588702 AWP588637:AWP588702 AMT588637:AMT588702 ACX588637:ACX588702 TB588637:TB588702 JF588637:JF588702 J588637:J588702 WVR523101:WVR523166 WLV523101:WLV523166 WBZ523101:WBZ523166 VSD523101:VSD523166 VIH523101:VIH523166 UYL523101:UYL523166 UOP523101:UOP523166 UET523101:UET523166 TUX523101:TUX523166 TLB523101:TLB523166 TBF523101:TBF523166 SRJ523101:SRJ523166 SHN523101:SHN523166 RXR523101:RXR523166 RNV523101:RNV523166 RDZ523101:RDZ523166 QUD523101:QUD523166 QKH523101:QKH523166 QAL523101:QAL523166 PQP523101:PQP523166 PGT523101:PGT523166 OWX523101:OWX523166 ONB523101:ONB523166 ODF523101:ODF523166 NTJ523101:NTJ523166 NJN523101:NJN523166 MZR523101:MZR523166 MPV523101:MPV523166 MFZ523101:MFZ523166 LWD523101:LWD523166 LMH523101:LMH523166 LCL523101:LCL523166 KSP523101:KSP523166 KIT523101:KIT523166 JYX523101:JYX523166 JPB523101:JPB523166 JFF523101:JFF523166 IVJ523101:IVJ523166 ILN523101:ILN523166 IBR523101:IBR523166 HRV523101:HRV523166 HHZ523101:HHZ523166 GYD523101:GYD523166 GOH523101:GOH523166 GEL523101:GEL523166 FUP523101:FUP523166 FKT523101:FKT523166 FAX523101:FAX523166 ERB523101:ERB523166 EHF523101:EHF523166 DXJ523101:DXJ523166 DNN523101:DNN523166 DDR523101:DDR523166 CTV523101:CTV523166 CJZ523101:CJZ523166 CAD523101:CAD523166 BQH523101:BQH523166 BGL523101:BGL523166 AWP523101:AWP523166 AMT523101:AMT523166 ACX523101:ACX523166 TB523101:TB523166 JF523101:JF523166 J523101:J523166 WVR457565:WVR457630 WLV457565:WLV457630 WBZ457565:WBZ457630 VSD457565:VSD457630 VIH457565:VIH457630 UYL457565:UYL457630 UOP457565:UOP457630 UET457565:UET457630 TUX457565:TUX457630 TLB457565:TLB457630 TBF457565:TBF457630 SRJ457565:SRJ457630 SHN457565:SHN457630 RXR457565:RXR457630 RNV457565:RNV457630 RDZ457565:RDZ457630 QUD457565:QUD457630 QKH457565:QKH457630 QAL457565:QAL457630 PQP457565:PQP457630 PGT457565:PGT457630 OWX457565:OWX457630 ONB457565:ONB457630 ODF457565:ODF457630 NTJ457565:NTJ457630 NJN457565:NJN457630 MZR457565:MZR457630 MPV457565:MPV457630 MFZ457565:MFZ457630 LWD457565:LWD457630 LMH457565:LMH457630 LCL457565:LCL457630 KSP457565:KSP457630 KIT457565:KIT457630 JYX457565:JYX457630 JPB457565:JPB457630 JFF457565:JFF457630 IVJ457565:IVJ457630 ILN457565:ILN457630 IBR457565:IBR457630 HRV457565:HRV457630 HHZ457565:HHZ457630 GYD457565:GYD457630 GOH457565:GOH457630 GEL457565:GEL457630 FUP457565:FUP457630 FKT457565:FKT457630 FAX457565:FAX457630 ERB457565:ERB457630 EHF457565:EHF457630 DXJ457565:DXJ457630 DNN457565:DNN457630 DDR457565:DDR457630 CTV457565:CTV457630 CJZ457565:CJZ457630 CAD457565:CAD457630 BQH457565:BQH457630 BGL457565:BGL457630 AWP457565:AWP457630 AMT457565:AMT457630 ACX457565:ACX457630 TB457565:TB457630 JF457565:JF457630 J457565:J457630 WVR392029:WVR392094 WLV392029:WLV392094 WBZ392029:WBZ392094 VSD392029:VSD392094 VIH392029:VIH392094 UYL392029:UYL392094 UOP392029:UOP392094 UET392029:UET392094 TUX392029:TUX392094 TLB392029:TLB392094 TBF392029:TBF392094 SRJ392029:SRJ392094 SHN392029:SHN392094 RXR392029:RXR392094 RNV392029:RNV392094 RDZ392029:RDZ392094 QUD392029:QUD392094 QKH392029:QKH392094 QAL392029:QAL392094 PQP392029:PQP392094 PGT392029:PGT392094 OWX392029:OWX392094 ONB392029:ONB392094 ODF392029:ODF392094 NTJ392029:NTJ392094 NJN392029:NJN392094 MZR392029:MZR392094 MPV392029:MPV392094 MFZ392029:MFZ392094 LWD392029:LWD392094 LMH392029:LMH392094 LCL392029:LCL392094 KSP392029:KSP392094 KIT392029:KIT392094 JYX392029:JYX392094 JPB392029:JPB392094 JFF392029:JFF392094 IVJ392029:IVJ392094 ILN392029:ILN392094 IBR392029:IBR392094 HRV392029:HRV392094 HHZ392029:HHZ392094 GYD392029:GYD392094 GOH392029:GOH392094 GEL392029:GEL392094 FUP392029:FUP392094 FKT392029:FKT392094 FAX392029:FAX392094 ERB392029:ERB392094 EHF392029:EHF392094 DXJ392029:DXJ392094 DNN392029:DNN392094 DDR392029:DDR392094 CTV392029:CTV392094 CJZ392029:CJZ392094 CAD392029:CAD392094 BQH392029:BQH392094 BGL392029:BGL392094 AWP392029:AWP392094 AMT392029:AMT392094 ACX392029:ACX392094 TB392029:TB392094 JF392029:JF392094 J392029:J392094 WVR326493:WVR326558 WLV326493:WLV326558 WBZ326493:WBZ326558 VSD326493:VSD326558 VIH326493:VIH326558 UYL326493:UYL326558 UOP326493:UOP326558 UET326493:UET326558 TUX326493:TUX326558 TLB326493:TLB326558 TBF326493:TBF326558 SRJ326493:SRJ326558 SHN326493:SHN326558 RXR326493:RXR326558 RNV326493:RNV326558 RDZ326493:RDZ326558 QUD326493:QUD326558 QKH326493:QKH326558 QAL326493:QAL326558 PQP326493:PQP326558 PGT326493:PGT326558 OWX326493:OWX326558 ONB326493:ONB326558 ODF326493:ODF326558 NTJ326493:NTJ326558 NJN326493:NJN326558 MZR326493:MZR326558 MPV326493:MPV326558 MFZ326493:MFZ326558 LWD326493:LWD326558 LMH326493:LMH326558 LCL326493:LCL326558 KSP326493:KSP326558 KIT326493:KIT326558 JYX326493:JYX326558 JPB326493:JPB326558 JFF326493:JFF326558 IVJ326493:IVJ326558 ILN326493:ILN326558 IBR326493:IBR326558 HRV326493:HRV326558 HHZ326493:HHZ326558 GYD326493:GYD326558 GOH326493:GOH326558 GEL326493:GEL326558 FUP326493:FUP326558 FKT326493:FKT326558 FAX326493:FAX326558 ERB326493:ERB326558 EHF326493:EHF326558 DXJ326493:DXJ326558 DNN326493:DNN326558 DDR326493:DDR326558 CTV326493:CTV326558 CJZ326493:CJZ326558 CAD326493:CAD326558 BQH326493:BQH326558 BGL326493:BGL326558 AWP326493:AWP326558 AMT326493:AMT326558 ACX326493:ACX326558 TB326493:TB326558 JF326493:JF326558 J326493:J326558 WVR260957:WVR261022 WLV260957:WLV261022 WBZ260957:WBZ261022 VSD260957:VSD261022 VIH260957:VIH261022 UYL260957:UYL261022 UOP260957:UOP261022 UET260957:UET261022 TUX260957:TUX261022 TLB260957:TLB261022 TBF260957:TBF261022 SRJ260957:SRJ261022 SHN260957:SHN261022 RXR260957:RXR261022 RNV260957:RNV261022 RDZ260957:RDZ261022 QUD260957:QUD261022 QKH260957:QKH261022 QAL260957:QAL261022 PQP260957:PQP261022 PGT260957:PGT261022 OWX260957:OWX261022 ONB260957:ONB261022 ODF260957:ODF261022 NTJ260957:NTJ261022 NJN260957:NJN261022 MZR260957:MZR261022 MPV260957:MPV261022 MFZ260957:MFZ261022 LWD260957:LWD261022 LMH260957:LMH261022 LCL260957:LCL261022 KSP260957:KSP261022 KIT260957:KIT261022 JYX260957:JYX261022 JPB260957:JPB261022 JFF260957:JFF261022 IVJ260957:IVJ261022 ILN260957:ILN261022 IBR260957:IBR261022 HRV260957:HRV261022 HHZ260957:HHZ261022 GYD260957:GYD261022 GOH260957:GOH261022 GEL260957:GEL261022 FUP260957:FUP261022 FKT260957:FKT261022 FAX260957:FAX261022 ERB260957:ERB261022 EHF260957:EHF261022 DXJ260957:DXJ261022 DNN260957:DNN261022 DDR260957:DDR261022 CTV260957:CTV261022 CJZ260957:CJZ261022 CAD260957:CAD261022 BQH260957:BQH261022 BGL260957:BGL261022 AWP260957:AWP261022 AMT260957:AMT261022 ACX260957:ACX261022 TB260957:TB261022 JF260957:JF261022 J260957:J261022 WVR195421:WVR195486 WLV195421:WLV195486 WBZ195421:WBZ195486 VSD195421:VSD195486 VIH195421:VIH195486 UYL195421:UYL195486 UOP195421:UOP195486 UET195421:UET195486 TUX195421:TUX195486 TLB195421:TLB195486 TBF195421:TBF195486 SRJ195421:SRJ195486 SHN195421:SHN195486 RXR195421:RXR195486 RNV195421:RNV195486 RDZ195421:RDZ195486 QUD195421:QUD195486 QKH195421:QKH195486 QAL195421:QAL195486 PQP195421:PQP195486 PGT195421:PGT195486 OWX195421:OWX195486 ONB195421:ONB195486 ODF195421:ODF195486 NTJ195421:NTJ195486 NJN195421:NJN195486 MZR195421:MZR195486 MPV195421:MPV195486 MFZ195421:MFZ195486 LWD195421:LWD195486 LMH195421:LMH195486 LCL195421:LCL195486 KSP195421:KSP195486 KIT195421:KIT195486 JYX195421:JYX195486 JPB195421:JPB195486 JFF195421:JFF195486 IVJ195421:IVJ195486 ILN195421:ILN195486 IBR195421:IBR195486 HRV195421:HRV195486 HHZ195421:HHZ195486 GYD195421:GYD195486 GOH195421:GOH195486 GEL195421:GEL195486 FUP195421:FUP195486 FKT195421:FKT195486 FAX195421:FAX195486 ERB195421:ERB195486 EHF195421:EHF195486 DXJ195421:DXJ195486 DNN195421:DNN195486 DDR195421:DDR195486 CTV195421:CTV195486 CJZ195421:CJZ195486 CAD195421:CAD195486 BQH195421:BQH195486 BGL195421:BGL195486 AWP195421:AWP195486 AMT195421:AMT195486 ACX195421:ACX195486 TB195421:TB195486 JF195421:JF195486 J195421:J195486 WVR129885:WVR129950 WLV129885:WLV129950 WBZ129885:WBZ129950 VSD129885:VSD129950 VIH129885:VIH129950 UYL129885:UYL129950 UOP129885:UOP129950 UET129885:UET129950 TUX129885:TUX129950 TLB129885:TLB129950 TBF129885:TBF129950 SRJ129885:SRJ129950 SHN129885:SHN129950 RXR129885:RXR129950 RNV129885:RNV129950 RDZ129885:RDZ129950 QUD129885:QUD129950 QKH129885:QKH129950 QAL129885:QAL129950 PQP129885:PQP129950 PGT129885:PGT129950 OWX129885:OWX129950 ONB129885:ONB129950 ODF129885:ODF129950 NTJ129885:NTJ129950 NJN129885:NJN129950 MZR129885:MZR129950 MPV129885:MPV129950 MFZ129885:MFZ129950 LWD129885:LWD129950 LMH129885:LMH129950 LCL129885:LCL129950 KSP129885:KSP129950 KIT129885:KIT129950 JYX129885:JYX129950 JPB129885:JPB129950 JFF129885:JFF129950 IVJ129885:IVJ129950 ILN129885:ILN129950 IBR129885:IBR129950 HRV129885:HRV129950 HHZ129885:HHZ129950 GYD129885:GYD129950 GOH129885:GOH129950 GEL129885:GEL129950 FUP129885:FUP129950 FKT129885:FKT129950 FAX129885:FAX129950 ERB129885:ERB129950 EHF129885:EHF129950 DXJ129885:DXJ129950 DNN129885:DNN129950 DDR129885:DDR129950 CTV129885:CTV129950 CJZ129885:CJZ129950 CAD129885:CAD129950 BQH129885:BQH129950 BGL129885:BGL129950 AWP129885:AWP129950 AMT129885:AMT129950 ACX129885:ACX129950 TB129885:TB129950 JF129885:JF129950 J129885:J129950 WVR64349:WVR64414 WLV64349:WLV64414 WBZ64349:WBZ64414 VSD64349:VSD64414 VIH64349:VIH64414 UYL64349:UYL64414 UOP64349:UOP64414 UET64349:UET64414 TUX64349:TUX64414 TLB64349:TLB64414 TBF64349:TBF64414 SRJ64349:SRJ64414 SHN64349:SHN64414 RXR64349:RXR64414 RNV64349:RNV64414 RDZ64349:RDZ64414 QUD64349:QUD64414 QKH64349:QKH64414 QAL64349:QAL64414 PQP64349:PQP64414 PGT64349:PGT64414 OWX64349:OWX64414 ONB64349:ONB64414 ODF64349:ODF64414 NTJ64349:NTJ64414 NJN64349:NJN64414 MZR64349:MZR64414 MPV64349:MPV64414 MFZ64349:MFZ64414 LWD64349:LWD64414 LMH64349:LMH64414 LCL64349:LCL64414 KSP64349:KSP64414 KIT64349:KIT64414 JYX64349:JYX64414 JPB64349:JPB64414 JFF64349:JFF64414 IVJ64349:IVJ64414 ILN64349:ILN64414 IBR64349:IBR64414 HRV64349:HRV64414 HHZ64349:HHZ64414 GYD64349:GYD64414 GOH64349:GOH64414 GEL64349:GEL64414 FUP64349:FUP64414 FKT64349:FKT64414 FAX64349:FAX64414 ERB64349:ERB64414 EHF64349:EHF64414 DXJ64349:DXJ64414 DNN64349:DNN64414 DDR64349:DDR64414 CTV64349:CTV64414 CJZ64349:CJZ64414 CAD64349:CAD64414 BQH64349:BQH64414 BGL64349:BGL64414 AWP64349:AWP64414 AMT64349:AMT64414 ACX64349:ACX64414 TB64349:TB64414 JF64349:JF64414">
      <formula1>$AP$2:$AP$15</formula1>
    </dataValidation>
    <dataValidation type="list" allowBlank="1" showInputMessage="1" showErrorMessage="1" sqref="K64349:K64414 WVS1047389:WVS1047454 WLW1047389:WLW1047454 WCA1047389:WCA1047454 VSE1047389:VSE1047454 VII1047389:VII1047454 UYM1047389:UYM1047454 UOQ1047389:UOQ1047454 UEU1047389:UEU1047454 TUY1047389:TUY1047454 TLC1047389:TLC1047454 TBG1047389:TBG1047454 SRK1047389:SRK1047454 SHO1047389:SHO1047454 RXS1047389:RXS1047454 RNW1047389:RNW1047454 REA1047389:REA1047454 QUE1047389:QUE1047454 QKI1047389:QKI1047454 QAM1047389:QAM1047454 PQQ1047389:PQQ1047454 PGU1047389:PGU1047454 OWY1047389:OWY1047454 ONC1047389:ONC1047454 ODG1047389:ODG1047454 NTK1047389:NTK1047454 NJO1047389:NJO1047454 MZS1047389:MZS1047454 MPW1047389:MPW1047454 MGA1047389:MGA1047454 LWE1047389:LWE1047454 LMI1047389:LMI1047454 LCM1047389:LCM1047454 KSQ1047389:KSQ1047454 KIU1047389:KIU1047454 JYY1047389:JYY1047454 JPC1047389:JPC1047454 JFG1047389:JFG1047454 IVK1047389:IVK1047454 ILO1047389:ILO1047454 IBS1047389:IBS1047454 HRW1047389:HRW1047454 HIA1047389:HIA1047454 GYE1047389:GYE1047454 GOI1047389:GOI1047454 GEM1047389:GEM1047454 FUQ1047389:FUQ1047454 FKU1047389:FKU1047454 FAY1047389:FAY1047454 ERC1047389:ERC1047454 EHG1047389:EHG1047454 DXK1047389:DXK1047454 DNO1047389:DNO1047454 DDS1047389:DDS1047454 CTW1047389:CTW1047454 CKA1047389:CKA1047454 CAE1047389:CAE1047454 BQI1047389:BQI1047454 BGM1047389:BGM1047454 AWQ1047389:AWQ1047454 AMU1047389:AMU1047454 ACY1047389:ACY1047454 TC1047389:TC1047454 JG1047389:JG1047454 K1047389:K1047454 WVS981853:WVS981918 WLW981853:WLW981918 WCA981853:WCA981918 VSE981853:VSE981918 VII981853:VII981918 UYM981853:UYM981918 UOQ981853:UOQ981918 UEU981853:UEU981918 TUY981853:TUY981918 TLC981853:TLC981918 TBG981853:TBG981918 SRK981853:SRK981918 SHO981853:SHO981918 RXS981853:RXS981918 RNW981853:RNW981918 REA981853:REA981918 QUE981853:QUE981918 QKI981853:QKI981918 QAM981853:QAM981918 PQQ981853:PQQ981918 PGU981853:PGU981918 OWY981853:OWY981918 ONC981853:ONC981918 ODG981853:ODG981918 NTK981853:NTK981918 NJO981853:NJO981918 MZS981853:MZS981918 MPW981853:MPW981918 MGA981853:MGA981918 LWE981853:LWE981918 LMI981853:LMI981918 LCM981853:LCM981918 KSQ981853:KSQ981918 KIU981853:KIU981918 JYY981853:JYY981918 JPC981853:JPC981918 JFG981853:JFG981918 IVK981853:IVK981918 ILO981853:ILO981918 IBS981853:IBS981918 HRW981853:HRW981918 HIA981853:HIA981918 GYE981853:GYE981918 GOI981853:GOI981918 GEM981853:GEM981918 FUQ981853:FUQ981918 FKU981853:FKU981918 FAY981853:FAY981918 ERC981853:ERC981918 EHG981853:EHG981918 DXK981853:DXK981918 DNO981853:DNO981918 DDS981853:DDS981918 CTW981853:CTW981918 CKA981853:CKA981918 CAE981853:CAE981918 BQI981853:BQI981918 BGM981853:BGM981918 AWQ981853:AWQ981918 AMU981853:AMU981918 ACY981853:ACY981918 TC981853:TC981918 JG981853:JG981918 K981853:K981918 WVS916317:WVS916382 WLW916317:WLW916382 WCA916317:WCA916382 VSE916317:VSE916382 VII916317:VII916382 UYM916317:UYM916382 UOQ916317:UOQ916382 UEU916317:UEU916382 TUY916317:TUY916382 TLC916317:TLC916382 TBG916317:TBG916382 SRK916317:SRK916382 SHO916317:SHO916382 RXS916317:RXS916382 RNW916317:RNW916382 REA916317:REA916382 QUE916317:QUE916382 QKI916317:QKI916382 QAM916317:QAM916382 PQQ916317:PQQ916382 PGU916317:PGU916382 OWY916317:OWY916382 ONC916317:ONC916382 ODG916317:ODG916382 NTK916317:NTK916382 NJO916317:NJO916382 MZS916317:MZS916382 MPW916317:MPW916382 MGA916317:MGA916382 LWE916317:LWE916382 LMI916317:LMI916382 LCM916317:LCM916382 KSQ916317:KSQ916382 KIU916317:KIU916382 JYY916317:JYY916382 JPC916317:JPC916382 JFG916317:JFG916382 IVK916317:IVK916382 ILO916317:ILO916382 IBS916317:IBS916382 HRW916317:HRW916382 HIA916317:HIA916382 GYE916317:GYE916382 GOI916317:GOI916382 GEM916317:GEM916382 FUQ916317:FUQ916382 FKU916317:FKU916382 FAY916317:FAY916382 ERC916317:ERC916382 EHG916317:EHG916382 DXK916317:DXK916382 DNO916317:DNO916382 DDS916317:DDS916382 CTW916317:CTW916382 CKA916317:CKA916382 CAE916317:CAE916382 BQI916317:BQI916382 BGM916317:BGM916382 AWQ916317:AWQ916382 AMU916317:AMU916382 ACY916317:ACY916382 TC916317:TC916382 JG916317:JG916382 K916317:K916382 WVS850781:WVS850846 WLW850781:WLW850846 WCA850781:WCA850846 VSE850781:VSE850846 VII850781:VII850846 UYM850781:UYM850846 UOQ850781:UOQ850846 UEU850781:UEU850846 TUY850781:TUY850846 TLC850781:TLC850846 TBG850781:TBG850846 SRK850781:SRK850846 SHO850781:SHO850846 RXS850781:RXS850846 RNW850781:RNW850846 REA850781:REA850846 QUE850781:QUE850846 QKI850781:QKI850846 QAM850781:QAM850846 PQQ850781:PQQ850846 PGU850781:PGU850846 OWY850781:OWY850846 ONC850781:ONC850846 ODG850781:ODG850846 NTK850781:NTK850846 NJO850781:NJO850846 MZS850781:MZS850846 MPW850781:MPW850846 MGA850781:MGA850846 LWE850781:LWE850846 LMI850781:LMI850846 LCM850781:LCM850846 KSQ850781:KSQ850846 KIU850781:KIU850846 JYY850781:JYY850846 JPC850781:JPC850846 JFG850781:JFG850846 IVK850781:IVK850846 ILO850781:ILO850846 IBS850781:IBS850846 HRW850781:HRW850846 HIA850781:HIA850846 GYE850781:GYE850846 GOI850781:GOI850846 GEM850781:GEM850846 FUQ850781:FUQ850846 FKU850781:FKU850846 FAY850781:FAY850846 ERC850781:ERC850846 EHG850781:EHG850846 DXK850781:DXK850846 DNO850781:DNO850846 DDS850781:DDS850846 CTW850781:CTW850846 CKA850781:CKA850846 CAE850781:CAE850846 BQI850781:BQI850846 BGM850781:BGM850846 AWQ850781:AWQ850846 AMU850781:AMU850846 ACY850781:ACY850846 TC850781:TC850846 JG850781:JG850846 K850781:K850846 WVS785245:WVS785310 WLW785245:WLW785310 WCA785245:WCA785310 VSE785245:VSE785310 VII785245:VII785310 UYM785245:UYM785310 UOQ785245:UOQ785310 UEU785245:UEU785310 TUY785245:TUY785310 TLC785245:TLC785310 TBG785245:TBG785310 SRK785245:SRK785310 SHO785245:SHO785310 RXS785245:RXS785310 RNW785245:RNW785310 REA785245:REA785310 QUE785245:QUE785310 QKI785245:QKI785310 QAM785245:QAM785310 PQQ785245:PQQ785310 PGU785245:PGU785310 OWY785245:OWY785310 ONC785245:ONC785310 ODG785245:ODG785310 NTK785245:NTK785310 NJO785245:NJO785310 MZS785245:MZS785310 MPW785245:MPW785310 MGA785245:MGA785310 LWE785245:LWE785310 LMI785245:LMI785310 LCM785245:LCM785310 KSQ785245:KSQ785310 KIU785245:KIU785310 JYY785245:JYY785310 JPC785245:JPC785310 JFG785245:JFG785310 IVK785245:IVK785310 ILO785245:ILO785310 IBS785245:IBS785310 HRW785245:HRW785310 HIA785245:HIA785310 GYE785245:GYE785310 GOI785245:GOI785310 GEM785245:GEM785310 FUQ785245:FUQ785310 FKU785245:FKU785310 FAY785245:FAY785310 ERC785245:ERC785310 EHG785245:EHG785310 DXK785245:DXK785310 DNO785245:DNO785310 DDS785245:DDS785310 CTW785245:CTW785310 CKA785245:CKA785310 CAE785245:CAE785310 BQI785245:BQI785310 BGM785245:BGM785310 AWQ785245:AWQ785310 AMU785245:AMU785310 ACY785245:ACY785310 TC785245:TC785310 JG785245:JG785310 K785245:K785310 WVS719709:WVS719774 WLW719709:WLW719774 WCA719709:WCA719774 VSE719709:VSE719774 VII719709:VII719774 UYM719709:UYM719774 UOQ719709:UOQ719774 UEU719709:UEU719774 TUY719709:TUY719774 TLC719709:TLC719774 TBG719709:TBG719774 SRK719709:SRK719774 SHO719709:SHO719774 RXS719709:RXS719774 RNW719709:RNW719774 REA719709:REA719774 QUE719709:QUE719774 QKI719709:QKI719774 QAM719709:QAM719774 PQQ719709:PQQ719774 PGU719709:PGU719774 OWY719709:OWY719774 ONC719709:ONC719774 ODG719709:ODG719774 NTK719709:NTK719774 NJO719709:NJO719774 MZS719709:MZS719774 MPW719709:MPW719774 MGA719709:MGA719774 LWE719709:LWE719774 LMI719709:LMI719774 LCM719709:LCM719774 KSQ719709:KSQ719774 KIU719709:KIU719774 JYY719709:JYY719774 JPC719709:JPC719774 JFG719709:JFG719774 IVK719709:IVK719774 ILO719709:ILO719774 IBS719709:IBS719774 HRW719709:HRW719774 HIA719709:HIA719774 GYE719709:GYE719774 GOI719709:GOI719774 GEM719709:GEM719774 FUQ719709:FUQ719774 FKU719709:FKU719774 FAY719709:FAY719774 ERC719709:ERC719774 EHG719709:EHG719774 DXK719709:DXK719774 DNO719709:DNO719774 DDS719709:DDS719774 CTW719709:CTW719774 CKA719709:CKA719774 CAE719709:CAE719774 BQI719709:BQI719774 BGM719709:BGM719774 AWQ719709:AWQ719774 AMU719709:AMU719774 ACY719709:ACY719774 TC719709:TC719774 JG719709:JG719774 K719709:K719774 WVS654173:WVS654238 WLW654173:WLW654238 WCA654173:WCA654238 VSE654173:VSE654238 VII654173:VII654238 UYM654173:UYM654238 UOQ654173:UOQ654238 UEU654173:UEU654238 TUY654173:TUY654238 TLC654173:TLC654238 TBG654173:TBG654238 SRK654173:SRK654238 SHO654173:SHO654238 RXS654173:RXS654238 RNW654173:RNW654238 REA654173:REA654238 QUE654173:QUE654238 QKI654173:QKI654238 QAM654173:QAM654238 PQQ654173:PQQ654238 PGU654173:PGU654238 OWY654173:OWY654238 ONC654173:ONC654238 ODG654173:ODG654238 NTK654173:NTK654238 NJO654173:NJO654238 MZS654173:MZS654238 MPW654173:MPW654238 MGA654173:MGA654238 LWE654173:LWE654238 LMI654173:LMI654238 LCM654173:LCM654238 KSQ654173:KSQ654238 KIU654173:KIU654238 JYY654173:JYY654238 JPC654173:JPC654238 JFG654173:JFG654238 IVK654173:IVK654238 ILO654173:ILO654238 IBS654173:IBS654238 HRW654173:HRW654238 HIA654173:HIA654238 GYE654173:GYE654238 GOI654173:GOI654238 GEM654173:GEM654238 FUQ654173:FUQ654238 FKU654173:FKU654238 FAY654173:FAY654238 ERC654173:ERC654238 EHG654173:EHG654238 DXK654173:DXK654238 DNO654173:DNO654238 DDS654173:DDS654238 CTW654173:CTW654238 CKA654173:CKA654238 CAE654173:CAE654238 BQI654173:BQI654238 BGM654173:BGM654238 AWQ654173:AWQ654238 AMU654173:AMU654238 ACY654173:ACY654238 TC654173:TC654238 JG654173:JG654238 K654173:K654238 WVS588637:WVS588702 WLW588637:WLW588702 WCA588637:WCA588702 VSE588637:VSE588702 VII588637:VII588702 UYM588637:UYM588702 UOQ588637:UOQ588702 UEU588637:UEU588702 TUY588637:TUY588702 TLC588637:TLC588702 TBG588637:TBG588702 SRK588637:SRK588702 SHO588637:SHO588702 RXS588637:RXS588702 RNW588637:RNW588702 REA588637:REA588702 QUE588637:QUE588702 QKI588637:QKI588702 QAM588637:QAM588702 PQQ588637:PQQ588702 PGU588637:PGU588702 OWY588637:OWY588702 ONC588637:ONC588702 ODG588637:ODG588702 NTK588637:NTK588702 NJO588637:NJO588702 MZS588637:MZS588702 MPW588637:MPW588702 MGA588637:MGA588702 LWE588637:LWE588702 LMI588637:LMI588702 LCM588637:LCM588702 KSQ588637:KSQ588702 KIU588637:KIU588702 JYY588637:JYY588702 JPC588637:JPC588702 JFG588637:JFG588702 IVK588637:IVK588702 ILO588637:ILO588702 IBS588637:IBS588702 HRW588637:HRW588702 HIA588637:HIA588702 GYE588637:GYE588702 GOI588637:GOI588702 GEM588637:GEM588702 FUQ588637:FUQ588702 FKU588637:FKU588702 FAY588637:FAY588702 ERC588637:ERC588702 EHG588637:EHG588702 DXK588637:DXK588702 DNO588637:DNO588702 DDS588637:DDS588702 CTW588637:CTW588702 CKA588637:CKA588702 CAE588637:CAE588702 BQI588637:BQI588702 BGM588637:BGM588702 AWQ588637:AWQ588702 AMU588637:AMU588702 ACY588637:ACY588702 TC588637:TC588702 JG588637:JG588702 K588637:K588702 WVS523101:WVS523166 WLW523101:WLW523166 WCA523101:WCA523166 VSE523101:VSE523166 VII523101:VII523166 UYM523101:UYM523166 UOQ523101:UOQ523166 UEU523101:UEU523166 TUY523101:TUY523166 TLC523101:TLC523166 TBG523101:TBG523166 SRK523101:SRK523166 SHO523101:SHO523166 RXS523101:RXS523166 RNW523101:RNW523166 REA523101:REA523166 QUE523101:QUE523166 QKI523101:QKI523166 QAM523101:QAM523166 PQQ523101:PQQ523166 PGU523101:PGU523166 OWY523101:OWY523166 ONC523101:ONC523166 ODG523101:ODG523166 NTK523101:NTK523166 NJO523101:NJO523166 MZS523101:MZS523166 MPW523101:MPW523166 MGA523101:MGA523166 LWE523101:LWE523166 LMI523101:LMI523166 LCM523101:LCM523166 KSQ523101:KSQ523166 KIU523101:KIU523166 JYY523101:JYY523166 JPC523101:JPC523166 JFG523101:JFG523166 IVK523101:IVK523166 ILO523101:ILO523166 IBS523101:IBS523166 HRW523101:HRW523166 HIA523101:HIA523166 GYE523101:GYE523166 GOI523101:GOI523166 GEM523101:GEM523166 FUQ523101:FUQ523166 FKU523101:FKU523166 FAY523101:FAY523166 ERC523101:ERC523166 EHG523101:EHG523166 DXK523101:DXK523166 DNO523101:DNO523166 DDS523101:DDS523166 CTW523101:CTW523166 CKA523101:CKA523166 CAE523101:CAE523166 BQI523101:BQI523166 BGM523101:BGM523166 AWQ523101:AWQ523166 AMU523101:AMU523166 ACY523101:ACY523166 TC523101:TC523166 JG523101:JG523166 K523101:K523166 WVS457565:WVS457630 WLW457565:WLW457630 WCA457565:WCA457630 VSE457565:VSE457630 VII457565:VII457630 UYM457565:UYM457630 UOQ457565:UOQ457630 UEU457565:UEU457630 TUY457565:TUY457630 TLC457565:TLC457630 TBG457565:TBG457630 SRK457565:SRK457630 SHO457565:SHO457630 RXS457565:RXS457630 RNW457565:RNW457630 REA457565:REA457630 QUE457565:QUE457630 QKI457565:QKI457630 QAM457565:QAM457630 PQQ457565:PQQ457630 PGU457565:PGU457630 OWY457565:OWY457630 ONC457565:ONC457630 ODG457565:ODG457630 NTK457565:NTK457630 NJO457565:NJO457630 MZS457565:MZS457630 MPW457565:MPW457630 MGA457565:MGA457630 LWE457565:LWE457630 LMI457565:LMI457630 LCM457565:LCM457630 KSQ457565:KSQ457630 KIU457565:KIU457630 JYY457565:JYY457630 JPC457565:JPC457630 JFG457565:JFG457630 IVK457565:IVK457630 ILO457565:ILO457630 IBS457565:IBS457630 HRW457565:HRW457630 HIA457565:HIA457630 GYE457565:GYE457630 GOI457565:GOI457630 GEM457565:GEM457630 FUQ457565:FUQ457630 FKU457565:FKU457630 FAY457565:FAY457630 ERC457565:ERC457630 EHG457565:EHG457630 DXK457565:DXK457630 DNO457565:DNO457630 DDS457565:DDS457630 CTW457565:CTW457630 CKA457565:CKA457630 CAE457565:CAE457630 BQI457565:BQI457630 BGM457565:BGM457630 AWQ457565:AWQ457630 AMU457565:AMU457630 ACY457565:ACY457630 TC457565:TC457630 JG457565:JG457630 K457565:K457630 WVS392029:WVS392094 WLW392029:WLW392094 WCA392029:WCA392094 VSE392029:VSE392094 VII392029:VII392094 UYM392029:UYM392094 UOQ392029:UOQ392094 UEU392029:UEU392094 TUY392029:TUY392094 TLC392029:TLC392094 TBG392029:TBG392094 SRK392029:SRK392094 SHO392029:SHO392094 RXS392029:RXS392094 RNW392029:RNW392094 REA392029:REA392094 QUE392029:QUE392094 QKI392029:QKI392094 QAM392029:QAM392094 PQQ392029:PQQ392094 PGU392029:PGU392094 OWY392029:OWY392094 ONC392029:ONC392094 ODG392029:ODG392094 NTK392029:NTK392094 NJO392029:NJO392094 MZS392029:MZS392094 MPW392029:MPW392094 MGA392029:MGA392094 LWE392029:LWE392094 LMI392029:LMI392094 LCM392029:LCM392094 KSQ392029:KSQ392094 KIU392029:KIU392094 JYY392029:JYY392094 JPC392029:JPC392094 JFG392029:JFG392094 IVK392029:IVK392094 ILO392029:ILO392094 IBS392029:IBS392094 HRW392029:HRW392094 HIA392029:HIA392094 GYE392029:GYE392094 GOI392029:GOI392094 GEM392029:GEM392094 FUQ392029:FUQ392094 FKU392029:FKU392094 FAY392029:FAY392094 ERC392029:ERC392094 EHG392029:EHG392094 DXK392029:DXK392094 DNO392029:DNO392094 DDS392029:DDS392094 CTW392029:CTW392094 CKA392029:CKA392094 CAE392029:CAE392094 BQI392029:BQI392094 BGM392029:BGM392094 AWQ392029:AWQ392094 AMU392029:AMU392094 ACY392029:ACY392094 TC392029:TC392094 JG392029:JG392094 K392029:K392094 WVS326493:WVS326558 WLW326493:WLW326558 WCA326493:WCA326558 VSE326493:VSE326558 VII326493:VII326558 UYM326493:UYM326558 UOQ326493:UOQ326558 UEU326493:UEU326558 TUY326493:TUY326558 TLC326493:TLC326558 TBG326493:TBG326558 SRK326493:SRK326558 SHO326493:SHO326558 RXS326493:RXS326558 RNW326493:RNW326558 REA326493:REA326558 QUE326493:QUE326558 QKI326493:QKI326558 QAM326493:QAM326558 PQQ326493:PQQ326558 PGU326493:PGU326558 OWY326493:OWY326558 ONC326493:ONC326558 ODG326493:ODG326558 NTK326493:NTK326558 NJO326493:NJO326558 MZS326493:MZS326558 MPW326493:MPW326558 MGA326493:MGA326558 LWE326493:LWE326558 LMI326493:LMI326558 LCM326493:LCM326558 KSQ326493:KSQ326558 KIU326493:KIU326558 JYY326493:JYY326558 JPC326493:JPC326558 JFG326493:JFG326558 IVK326493:IVK326558 ILO326493:ILO326558 IBS326493:IBS326558 HRW326493:HRW326558 HIA326493:HIA326558 GYE326493:GYE326558 GOI326493:GOI326558 GEM326493:GEM326558 FUQ326493:FUQ326558 FKU326493:FKU326558 FAY326493:FAY326558 ERC326493:ERC326558 EHG326493:EHG326558 DXK326493:DXK326558 DNO326493:DNO326558 DDS326493:DDS326558 CTW326493:CTW326558 CKA326493:CKA326558 CAE326493:CAE326558 BQI326493:BQI326558 BGM326493:BGM326558 AWQ326493:AWQ326558 AMU326493:AMU326558 ACY326493:ACY326558 TC326493:TC326558 JG326493:JG326558 K326493:K326558 WVS260957:WVS261022 WLW260957:WLW261022 WCA260957:WCA261022 VSE260957:VSE261022 VII260957:VII261022 UYM260957:UYM261022 UOQ260957:UOQ261022 UEU260957:UEU261022 TUY260957:TUY261022 TLC260957:TLC261022 TBG260957:TBG261022 SRK260957:SRK261022 SHO260957:SHO261022 RXS260957:RXS261022 RNW260957:RNW261022 REA260957:REA261022 QUE260957:QUE261022 QKI260957:QKI261022 QAM260957:QAM261022 PQQ260957:PQQ261022 PGU260957:PGU261022 OWY260957:OWY261022 ONC260957:ONC261022 ODG260957:ODG261022 NTK260957:NTK261022 NJO260957:NJO261022 MZS260957:MZS261022 MPW260957:MPW261022 MGA260957:MGA261022 LWE260957:LWE261022 LMI260957:LMI261022 LCM260957:LCM261022 KSQ260957:KSQ261022 KIU260957:KIU261022 JYY260957:JYY261022 JPC260957:JPC261022 JFG260957:JFG261022 IVK260957:IVK261022 ILO260957:ILO261022 IBS260957:IBS261022 HRW260957:HRW261022 HIA260957:HIA261022 GYE260957:GYE261022 GOI260957:GOI261022 GEM260957:GEM261022 FUQ260957:FUQ261022 FKU260957:FKU261022 FAY260957:FAY261022 ERC260957:ERC261022 EHG260957:EHG261022 DXK260957:DXK261022 DNO260957:DNO261022 DDS260957:DDS261022 CTW260957:CTW261022 CKA260957:CKA261022 CAE260957:CAE261022 BQI260957:BQI261022 BGM260957:BGM261022 AWQ260957:AWQ261022 AMU260957:AMU261022 ACY260957:ACY261022 TC260957:TC261022 JG260957:JG261022 K260957:K261022 WVS195421:WVS195486 WLW195421:WLW195486 WCA195421:WCA195486 VSE195421:VSE195486 VII195421:VII195486 UYM195421:UYM195486 UOQ195421:UOQ195486 UEU195421:UEU195486 TUY195421:TUY195486 TLC195421:TLC195486 TBG195421:TBG195486 SRK195421:SRK195486 SHO195421:SHO195486 RXS195421:RXS195486 RNW195421:RNW195486 REA195421:REA195486 QUE195421:QUE195486 QKI195421:QKI195486 QAM195421:QAM195486 PQQ195421:PQQ195486 PGU195421:PGU195486 OWY195421:OWY195486 ONC195421:ONC195486 ODG195421:ODG195486 NTK195421:NTK195486 NJO195421:NJO195486 MZS195421:MZS195486 MPW195421:MPW195486 MGA195421:MGA195486 LWE195421:LWE195486 LMI195421:LMI195486 LCM195421:LCM195486 KSQ195421:KSQ195486 KIU195421:KIU195486 JYY195421:JYY195486 JPC195421:JPC195486 JFG195421:JFG195486 IVK195421:IVK195486 ILO195421:ILO195486 IBS195421:IBS195486 HRW195421:HRW195486 HIA195421:HIA195486 GYE195421:GYE195486 GOI195421:GOI195486 GEM195421:GEM195486 FUQ195421:FUQ195486 FKU195421:FKU195486 FAY195421:FAY195486 ERC195421:ERC195486 EHG195421:EHG195486 DXK195421:DXK195486 DNO195421:DNO195486 DDS195421:DDS195486 CTW195421:CTW195486 CKA195421:CKA195486 CAE195421:CAE195486 BQI195421:BQI195486 BGM195421:BGM195486 AWQ195421:AWQ195486 AMU195421:AMU195486 ACY195421:ACY195486 TC195421:TC195486 JG195421:JG195486 K195421:K195486 WVS129885:WVS129950 WLW129885:WLW129950 WCA129885:WCA129950 VSE129885:VSE129950 VII129885:VII129950 UYM129885:UYM129950 UOQ129885:UOQ129950 UEU129885:UEU129950 TUY129885:TUY129950 TLC129885:TLC129950 TBG129885:TBG129950 SRK129885:SRK129950 SHO129885:SHO129950 RXS129885:RXS129950 RNW129885:RNW129950 REA129885:REA129950 QUE129885:QUE129950 QKI129885:QKI129950 QAM129885:QAM129950 PQQ129885:PQQ129950 PGU129885:PGU129950 OWY129885:OWY129950 ONC129885:ONC129950 ODG129885:ODG129950 NTK129885:NTK129950 NJO129885:NJO129950 MZS129885:MZS129950 MPW129885:MPW129950 MGA129885:MGA129950 LWE129885:LWE129950 LMI129885:LMI129950 LCM129885:LCM129950 KSQ129885:KSQ129950 KIU129885:KIU129950 JYY129885:JYY129950 JPC129885:JPC129950 JFG129885:JFG129950 IVK129885:IVK129950 ILO129885:ILO129950 IBS129885:IBS129950 HRW129885:HRW129950 HIA129885:HIA129950 GYE129885:GYE129950 GOI129885:GOI129950 GEM129885:GEM129950 FUQ129885:FUQ129950 FKU129885:FKU129950 FAY129885:FAY129950 ERC129885:ERC129950 EHG129885:EHG129950 DXK129885:DXK129950 DNO129885:DNO129950 DDS129885:DDS129950 CTW129885:CTW129950 CKA129885:CKA129950 CAE129885:CAE129950 BQI129885:BQI129950 BGM129885:BGM129950 AWQ129885:AWQ129950 AMU129885:AMU129950 ACY129885:ACY129950 TC129885:TC129950 JG129885:JG129950 K129885:K129950 WVS64349:WVS64414 WLW64349:WLW64414 WCA64349:WCA64414 VSE64349:VSE64414 VII64349:VII64414 UYM64349:UYM64414 UOQ64349:UOQ64414 UEU64349:UEU64414 TUY64349:TUY64414 TLC64349:TLC64414 TBG64349:TBG64414 SRK64349:SRK64414 SHO64349:SHO64414 RXS64349:RXS64414 RNW64349:RNW64414 REA64349:REA64414 QUE64349:QUE64414 QKI64349:QKI64414 QAM64349:QAM64414 PQQ64349:PQQ64414 PGU64349:PGU64414 OWY64349:OWY64414 ONC64349:ONC64414 ODG64349:ODG64414 NTK64349:NTK64414 NJO64349:NJO64414 MZS64349:MZS64414 MPW64349:MPW64414 MGA64349:MGA64414 LWE64349:LWE64414 LMI64349:LMI64414 LCM64349:LCM64414 KSQ64349:KSQ64414 KIU64349:KIU64414 JYY64349:JYY64414 JPC64349:JPC64414 JFG64349:JFG64414 IVK64349:IVK64414 ILO64349:ILO64414 IBS64349:IBS64414 HRW64349:HRW64414 HIA64349:HIA64414 GYE64349:GYE64414 GOI64349:GOI64414 GEM64349:GEM64414 FUQ64349:FUQ64414 FKU64349:FKU64414 FAY64349:FAY64414 ERC64349:ERC64414 EHG64349:EHG64414 DXK64349:DXK64414 DNO64349:DNO64414 DDS64349:DDS64414 CTW64349:CTW64414 CKA64349:CKA64414 CAE64349:CAE64414 BQI64349:BQI64414 BGM64349:BGM64414 AWQ64349:AWQ64414 AMU64349:AMU64414 ACY64349:ACY64414 TC64349:TC64414 JG64349:JG64414">
      <formula1>$AR$2:$AR$24</formula1>
    </dataValidation>
    <dataValidation type="list" allowBlank="1" showInputMessage="1" showErrorMessage="1" sqref="Y64349:AA64414 JU64349:JW64414 WMK983028:WMM983093 WCO983028:WCQ983093 VSS983028:VSU983093 VIW983028:VIY983093 UZA983028:UZC983093 UPE983028:UPG983093 UFI983028:UFK983093 TVM983028:TVO983093 TLQ983028:TLS983093 TBU983028:TBW983093 SRY983028:SSA983093 SIC983028:SIE983093 RYG983028:RYI983093 ROK983028:ROM983093 REO983028:REQ983093 QUS983028:QUU983093 QKW983028:QKY983093 QBA983028:QBC983093 PRE983028:PRG983093 PHI983028:PHK983093 OXM983028:OXO983093 ONQ983028:ONS983093 ODU983028:ODW983093 NTY983028:NUA983093 NKC983028:NKE983093 NAG983028:NAI983093 MQK983028:MQM983093 MGO983028:MGQ983093 LWS983028:LWU983093 LMW983028:LMY983093 LDA983028:LDC983093 KTE983028:KTG983093 KJI983028:KJK983093 JZM983028:JZO983093 JPQ983028:JPS983093 JFU983028:JFW983093 IVY983028:IWA983093 IMC983028:IME983093 ICG983028:ICI983093 HSK983028:HSM983093 HIO983028:HIQ983093 GYS983028:GYU983093 GOW983028:GOY983093 GFA983028:GFC983093 FVE983028:FVG983093 FLI983028:FLK983093 FBM983028:FBO983093 ERQ983028:ERS983093 EHU983028:EHW983093 DXY983028:DYA983093 DOC983028:DOE983093 DEG983028:DEI983093 CUK983028:CUM983093 CKO983028:CKQ983093 CAS983028:CAU983093 BQW983028:BQY983093 BHA983028:BHC983093 AXE983028:AXG983093 ANI983028:ANK983093 ADM983028:ADO983093 TQ983028:TS983093 JU983028:JW983093 Y983028:AA983093 WWG917492:WWI917557 WMK917492:WMM917557 WCO917492:WCQ917557 VSS917492:VSU917557 VIW917492:VIY917557 UZA917492:UZC917557 UPE917492:UPG917557 UFI917492:UFK917557 TVM917492:TVO917557 TLQ917492:TLS917557 TBU917492:TBW917557 SRY917492:SSA917557 SIC917492:SIE917557 RYG917492:RYI917557 ROK917492:ROM917557 REO917492:REQ917557 QUS917492:QUU917557 QKW917492:QKY917557 QBA917492:QBC917557 PRE917492:PRG917557 PHI917492:PHK917557 OXM917492:OXO917557 ONQ917492:ONS917557 ODU917492:ODW917557 NTY917492:NUA917557 NKC917492:NKE917557 NAG917492:NAI917557 MQK917492:MQM917557 MGO917492:MGQ917557 LWS917492:LWU917557 LMW917492:LMY917557 LDA917492:LDC917557 KTE917492:KTG917557 KJI917492:KJK917557 JZM917492:JZO917557 JPQ917492:JPS917557 JFU917492:JFW917557 IVY917492:IWA917557 IMC917492:IME917557 ICG917492:ICI917557 HSK917492:HSM917557 HIO917492:HIQ917557 GYS917492:GYU917557 GOW917492:GOY917557 GFA917492:GFC917557 FVE917492:FVG917557 FLI917492:FLK917557 FBM917492:FBO917557 ERQ917492:ERS917557 EHU917492:EHW917557 DXY917492:DYA917557 DOC917492:DOE917557 DEG917492:DEI917557 CUK917492:CUM917557 CKO917492:CKQ917557 CAS917492:CAU917557 BQW917492:BQY917557 BHA917492:BHC917557 AXE917492:AXG917557 ANI917492:ANK917557 ADM917492:ADO917557 TQ917492:TS917557 JU917492:JW917557 Y917492:AA917557 WWG851956:WWI852021 WMK851956:WMM852021 WCO851956:WCQ852021 VSS851956:VSU852021 VIW851956:VIY852021 UZA851956:UZC852021 UPE851956:UPG852021 UFI851956:UFK852021 TVM851956:TVO852021 TLQ851956:TLS852021 TBU851956:TBW852021 SRY851956:SSA852021 SIC851956:SIE852021 RYG851956:RYI852021 ROK851956:ROM852021 REO851956:REQ852021 QUS851956:QUU852021 QKW851956:QKY852021 QBA851956:QBC852021 PRE851956:PRG852021 PHI851956:PHK852021 OXM851956:OXO852021 ONQ851956:ONS852021 ODU851956:ODW852021 NTY851956:NUA852021 NKC851956:NKE852021 NAG851956:NAI852021 MQK851956:MQM852021 MGO851956:MGQ852021 LWS851956:LWU852021 LMW851956:LMY852021 LDA851956:LDC852021 KTE851956:KTG852021 KJI851956:KJK852021 JZM851956:JZO852021 JPQ851956:JPS852021 JFU851956:JFW852021 IVY851956:IWA852021 IMC851956:IME852021 ICG851956:ICI852021 HSK851956:HSM852021 HIO851956:HIQ852021 GYS851956:GYU852021 GOW851956:GOY852021 GFA851956:GFC852021 FVE851956:FVG852021 FLI851956:FLK852021 FBM851956:FBO852021 ERQ851956:ERS852021 EHU851956:EHW852021 DXY851956:DYA852021 DOC851956:DOE852021 DEG851956:DEI852021 CUK851956:CUM852021 CKO851956:CKQ852021 CAS851956:CAU852021 BQW851956:BQY852021 BHA851956:BHC852021 AXE851956:AXG852021 ANI851956:ANK852021 ADM851956:ADO852021 TQ851956:TS852021 JU851956:JW852021 Y851956:AA852021 WWG786420:WWI786485 WMK786420:WMM786485 WCO786420:WCQ786485 VSS786420:VSU786485 VIW786420:VIY786485 UZA786420:UZC786485 UPE786420:UPG786485 UFI786420:UFK786485 TVM786420:TVO786485 TLQ786420:TLS786485 TBU786420:TBW786485 SRY786420:SSA786485 SIC786420:SIE786485 RYG786420:RYI786485 ROK786420:ROM786485 REO786420:REQ786485 QUS786420:QUU786485 QKW786420:QKY786485 QBA786420:QBC786485 PRE786420:PRG786485 PHI786420:PHK786485 OXM786420:OXO786485 ONQ786420:ONS786485 ODU786420:ODW786485 NTY786420:NUA786485 NKC786420:NKE786485 NAG786420:NAI786485 MQK786420:MQM786485 MGO786420:MGQ786485 LWS786420:LWU786485 LMW786420:LMY786485 LDA786420:LDC786485 KTE786420:KTG786485 KJI786420:KJK786485 JZM786420:JZO786485 JPQ786420:JPS786485 JFU786420:JFW786485 IVY786420:IWA786485 IMC786420:IME786485 ICG786420:ICI786485 HSK786420:HSM786485 HIO786420:HIQ786485 GYS786420:GYU786485 GOW786420:GOY786485 GFA786420:GFC786485 FVE786420:FVG786485 FLI786420:FLK786485 FBM786420:FBO786485 ERQ786420:ERS786485 EHU786420:EHW786485 DXY786420:DYA786485 DOC786420:DOE786485 DEG786420:DEI786485 CUK786420:CUM786485 CKO786420:CKQ786485 CAS786420:CAU786485 BQW786420:BQY786485 BHA786420:BHC786485 AXE786420:AXG786485 ANI786420:ANK786485 ADM786420:ADO786485 TQ786420:TS786485 JU786420:JW786485 Y786420:AA786485 WWG720884:WWI720949 WMK720884:WMM720949 WCO720884:WCQ720949 VSS720884:VSU720949 VIW720884:VIY720949 UZA720884:UZC720949 UPE720884:UPG720949 UFI720884:UFK720949 TVM720884:TVO720949 TLQ720884:TLS720949 TBU720884:TBW720949 SRY720884:SSA720949 SIC720884:SIE720949 RYG720884:RYI720949 ROK720884:ROM720949 REO720884:REQ720949 QUS720884:QUU720949 QKW720884:QKY720949 QBA720884:QBC720949 PRE720884:PRG720949 PHI720884:PHK720949 OXM720884:OXO720949 ONQ720884:ONS720949 ODU720884:ODW720949 NTY720884:NUA720949 NKC720884:NKE720949 NAG720884:NAI720949 MQK720884:MQM720949 MGO720884:MGQ720949 LWS720884:LWU720949 LMW720884:LMY720949 LDA720884:LDC720949 KTE720884:KTG720949 KJI720884:KJK720949 JZM720884:JZO720949 JPQ720884:JPS720949 JFU720884:JFW720949 IVY720884:IWA720949 IMC720884:IME720949 ICG720884:ICI720949 HSK720884:HSM720949 HIO720884:HIQ720949 GYS720884:GYU720949 GOW720884:GOY720949 GFA720884:GFC720949 FVE720884:FVG720949 FLI720884:FLK720949 FBM720884:FBO720949 ERQ720884:ERS720949 EHU720884:EHW720949 DXY720884:DYA720949 DOC720884:DOE720949 DEG720884:DEI720949 CUK720884:CUM720949 CKO720884:CKQ720949 CAS720884:CAU720949 BQW720884:BQY720949 BHA720884:BHC720949 AXE720884:AXG720949 ANI720884:ANK720949 ADM720884:ADO720949 TQ720884:TS720949 JU720884:JW720949 Y720884:AA720949 WWG655348:WWI655413 WMK655348:WMM655413 WCO655348:WCQ655413 VSS655348:VSU655413 VIW655348:VIY655413 UZA655348:UZC655413 UPE655348:UPG655413 UFI655348:UFK655413 TVM655348:TVO655413 TLQ655348:TLS655413 TBU655348:TBW655413 SRY655348:SSA655413 SIC655348:SIE655413 RYG655348:RYI655413 ROK655348:ROM655413 REO655348:REQ655413 QUS655348:QUU655413 QKW655348:QKY655413 QBA655348:QBC655413 PRE655348:PRG655413 PHI655348:PHK655413 OXM655348:OXO655413 ONQ655348:ONS655413 ODU655348:ODW655413 NTY655348:NUA655413 NKC655348:NKE655413 NAG655348:NAI655413 MQK655348:MQM655413 MGO655348:MGQ655413 LWS655348:LWU655413 LMW655348:LMY655413 LDA655348:LDC655413 KTE655348:KTG655413 KJI655348:KJK655413 JZM655348:JZO655413 JPQ655348:JPS655413 JFU655348:JFW655413 IVY655348:IWA655413 IMC655348:IME655413 ICG655348:ICI655413 HSK655348:HSM655413 HIO655348:HIQ655413 GYS655348:GYU655413 GOW655348:GOY655413 GFA655348:GFC655413 FVE655348:FVG655413 FLI655348:FLK655413 FBM655348:FBO655413 ERQ655348:ERS655413 EHU655348:EHW655413 DXY655348:DYA655413 DOC655348:DOE655413 DEG655348:DEI655413 CUK655348:CUM655413 CKO655348:CKQ655413 CAS655348:CAU655413 BQW655348:BQY655413 BHA655348:BHC655413 AXE655348:AXG655413 ANI655348:ANK655413 ADM655348:ADO655413 TQ655348:TS655413 JU655348:JW655413 Y655348:AA655413 WWG589812:WWI589877 WMK589812:WMM589877 WCO589812:WCQ589877 VSS589812:VSU589877 VIW589812:VIY589877 UZA589812:UZC589877 UPE589812:UPG589877 UFI589812:UFK589877 TVM589812:TVO589877 TLQ589812:TLS589877 TBU589812:TBW589877 SRY589812:SSA589877 SIC589812:SIE589877 RYG589812:RYI589877 ROK589812:ROM589877 REO589812:REQ589877 QUS589812:QUU589877 QKW589812:QKY589877 QBA589812:QBC589877 PRE589812:PRG589877 PHI589812:PHK589877 OXM589812:OXO589877 ONQ589812:ONS589877 ODU589812:ODW589877 NTY589812:NUA589877 NKC589812:NKE589877 NAG589812:NAI589877 MQK589812:MQM589877 MGO589812:MGQ589877 LWS589812:LWU589877 LMW589812:LMY589877 LDA589812:LDC589877 KTE589812:KTG589877 KJI589812:KJK589877 JZM589812:JZO589877 JPQ589812:JPS589877 JFU589812:JFW589877 IVY589812:IWA589877 IMC589812:IME589877 ICG589812:ICI589877 HSK589812:HSM589877 HIO589812:HIQ589877 GYS589812:GYU589877 GOW589812:GOY589877 GFA589812:GFC589877 FVE589812:FVG589877 FLI589812:FLK589877 FBM589812:FBO589877 ERQ589812:ERS589877 EHU589812:EHW589877 DXY589812:DYA589877 DOC589812:DOE589877 DEG589812:DEI589877 CUK589812:CUM589877 CKO589812:CKQ589877 CAS589812:CAU589877 BQW589812:BQY589877 BHA589812:BHC589877 AXE589812:AXG589877 ANI589812:ANK589877 ADM589812:ADO589877 TQ589812:TS589877 JU589812:JW589877 Y589812:AA589877 WWG524276:WWI524341 WMK524276:WMM524341 WCO524276:WCQ524341 VSS524276:VSU524341 VIW524276:VIY524341 UZA524276:UZC524341 UPE524276:UPG524341 UFI524276:UFK524341 TVM524276:TVO524341 TLQ524276:TLS524341 TBU524276:TBW524341 SRY524276:SSA524341 SIC524276:SIE524341 RYG524276:RYI524341 ROK524276:ROM524341 REO524276:REQ524341 QUS524276:QUU524341 QKW524276:QKY524341 QBA524276:QBC524341 PRE524276:PRG524341 PHI524276:PHK524341 OXM524276:OXO524341 ONQ524276:ONS524341 ODU524276:ODW524341 NTY524276:NUA524341 NKC524276:NKE524341 NAG524276:NAI524341 MQK524276:MQM524341 MGO524276:MGQ524341 LWS524276:LWU524341 LMW524276:LMY524341 LDA524276:LDC524341 KTE524276:KTG524341 KJI524276:KJK524341 JZM524276:JZO524341 JPQ524276:JPS524341 JFU524276:JFW524341 IVY524276:IWA524341 IMC524276:IME524341 ICG524276:ICI524341 HSK524276:HSM524341 HIO524276:HIQ524341 GYS524276:GYU524341 GOW524276:GOY524341 GFA524276:GFC524341 FVE524276:FVG524341 FLI524276:FLK524341 FBM524276:FBO524341 ERQ524276:ERS524341 EHU524276:EHW524341 DXY524276:DYA524341 DOC524276:DOE524341 DEG524276:DEI524341 CUK524276:CUM524341 CKO524276:CKQ524341 CAS524276:CAU524341 BQW524276:BQY524341 BHA524276:BHC524341 AXE524276:AXG524341 ANI524276:ANK524341 ADM524276:ADO524341 TQ524276:TS524341 JU524276:JW524341 Y524276:AA524341 WWG458740:WWI458805 WMK458740:WMM458805 WCO458740:WCQ458805 VSS458740:VSU458805 VIW458740:VIY458805 UZA458740:UZC458805 UPE458740:UPG458805 UFI458740:UFK458805 TVM458740:TVO458805 TLQ458740:TLS458805 TBU458740:TBW458805 SRY458740:SSA458805 SIC458740:SIE458805 RYG458740:RYI458805 ROK458740:ROM458805 REO458740:REQ458805 QUS458740:QUU458805 QKW458740:QKY458805 QBA458740:QBC458805 PRE458740:PRG458805 PHI458740:PHK458805 OXM458740:OXO458805 ONQ458740:ONS458805 ODU458740:ODW458805 NTY458740:NUA458805 NKC458740:NKE458805 NAG458740:NAI458805 MQK458740:MQM458805 MGO458740:MGQ458805 LWS458740:LWU458805 LMW458740:LMY458805 LDA458740:LDC458805 KTE458740:KTG458805 KJI458740:KJK458805 JZM458740:JZO458805 JPQ458740:JPS458805 JFU458740:JFW458805 IVY458740:IWA458805 IMC458740:IME458805 ICG458740:ICI458805 HSK458740:HSM458805 HIO458740:HIQ458805 GYS458740:GYU458805 GOW458740:GOY458805 GFA458740:GFC458805 FVE458740:FVG458805 FLI458740:FLK458805 FBM458740:FBO458805 ERQ458740:ERS458805 EHU458740:EHW458805 DXY458740:DYA458805 DOC458740:DOE458805 DEG458740:DEI458805 CUK458740:CUM458805 CKO458740:CKQ458805 CAS458740:CAU458805 BQW458740:BQY458805 BHA458740:BHC458805 AXE458740:AXG458805 ANI458740:ANK458805 ADM458740:ADO458805 TQ458740:TS458805 JU458740:JW458805 Y458740:AA458805 WWG393204:WWI393269 WMK393204:WMM393269 WCO393204:WCQ393269 VSS393204:VSU393269 VIW393204:VIY393269 UZA393204:UZC393269 UPE393204:UPG393269 UFI393204:UFK393269 TVM393204:TVO393269 TLQ393204:TLS393269 TBU393204:TBW393269 SRY393204:SSA393269 SIC393204:SIE393269 RYG393204:RYI393269 ROK393204:ROM393269 REO393204:REQ393269 QUS393204:QUU393269 QKW393204:QKY393269 QBA393204:QBC393269 PRE393204:PRG393269 PHI393204:PHK393269 OXM393204:OXO393269 ONQ393204:ONS393269 ODU393204:ODW393269 NTY393204:NUA393269 NKC393204:NKE393269 NAG393204:NAI393269 MQK393204:MQM393269 MGO393204:MGQ393269 LWS393204:LWU393269 LMW393204:LMY393269 LDA393204:LDC393269 KTE393204:KTG393269 KJI393204:KJK393269 JZM393204:JZO393269 JPQ393204:JPS393269 JFU393204:JFW393269 IVY393204:IWA393269 IMC393204:IME393269 ICG393204:ICI393269 HSK393204:HSM393269 HIO393204:HIQ393269 GYS393204:GYU393269 GOW393204:GOY393269 GFA393204:GFC393269 FVE393204:FVG393269 FLI393204:FLK393269 FBM393204:FBO393269 ERQ393204:ERS393269 EHU393204:EHW393269 DXY393204:DYA393269 DOC393204:DOE393269 DEG393204:DEI393269 CUK393204:CUM393269 CKO393204:CKQ393269 CAS393204:CAU393269 BQW393204:BQY393269 BHA393204:BHC393269 AXE393204:AXG393269 ANI393204:ANK393269 ADM393204:ADO393269 TQ393204:TS393269 JU393204:JW393269 Y393204:AA393269 WWG327668:WWI327733 WMK327668:WMM327733 WCO327668:WCQ327733 VSS327668:VSU327733 VIW327668:VIY327733 UZA327668:UZC327733 UPE327668:UPG327733 UFI327668:UFK327733 TVM327668:TVO327733 TLQ327668:TLS327733 TBU327668:TBW327733 SRY327668:SSA327733 SIC327668:SIE327733 RYG327668:RYI327733 ROK327668:ROM327733 REO327668:REQ327733 QUS327668:QUU327733 QKW327668:QKY327733 QBA327668:QBC327733 PRE327668:PRG327733 PHI327668:PHK327733 OXM327668:OXO327733 ONQ327668:ONS327733 ODU327668:ODW327733 NTY327668:NUA327733 NKC327668:NKE327733 NAG327668:NAI327733 MQK327668:MQM327733 MGO327668:MGQ327733 LWS327668:LWU327733 LMW327668:LMY327733 LDA327668:LDC327733 KTE327668:KTG327733 KJI327668:KJK327733 JZM327668:JZO327733 JPQ327668:JPS327733 JFU327668:JFW327733 IVY327668:IWA327733 IMC327668:IME327733 ICG327668:ICI327733 HSK327668:HSM327733 HIO327668:HIQ327733 GYS327668:GYU327733 GOW327668:GOY327733 GFA327668:GFC327733 FVE327668:FVG327733 FLI327668:FLK327733 FBM327668:FBO327733 ERQ327668:ERS327733 EHU327668:EHW327733 DXY327668:DYA327733 DOC327668:DOE327733 DEG327668:DEI327733 CUK327668:CUM327733 CKO327668:CKQ327733 CAS327668:CAU327733 BQW327668:BQY327733 BHA327668:BHC327733 AXE327668:AXG327733 ANI327668:ANK327733 ADM327668:ADO327733 TQ327668:TS327733 JU327668:JW327733 Y327668:AA327733 WWG262132:WWI262197 WMK262132:WMM262197 WCO262132:WCQ262197 VSS262132:VSU262197 VIW262132:VIY262197 UZA262132:UZC262197 UPE262132:UPG262197 UFI262132:UFK262197 TVM262132:TVO262197 TLQ262132:TLS262197 TBU262132:TBW262197 SRY262132:SSA262197 SIC262132:SIE262197 RYG262132:RYI262197 ROK262132:ROM262197 REO262132:REQ262197 QUS262132:QUU262197 QKW262132:QKY262197 QBA262132:QBC262197 PRE262132:PRG262197 PHI262132:PHK262197 OXM262132:OXO262197 ONQ262132:ONS262197 ODU262132:ODW262197 NTY262132:NUA262197 NKC262132:NKE262197 NAG262132:NAI262197 MQK262132:MQM262197 MGO262132:MGQ262197 LWS262132:LWU262197 LMW262132:LMY262197 LDA262132:LDC262197 KTE262132:KTG262197 KJI262132:KJK262197 JZM262132:JZO262197 JPQ262132:JPS262197 JFU262132:JFW262197 IVY262132:IWA262197 IMC262132:IME262197 ICG262132:ICI262197 HSK262132:HSM262197 HIO262132:HIQ262197 GYS262132:GYU262197 GOW262132:GOY262197 GFA262132:GFC262197 FVE262132:FVG262197 FLI262132:FLK262197 FBM262132:FBO262197 ERQ262132:ERS262197 EHU262132:EHW262197 DXY262132:DYA262197 DOC262132:DOE262197 DEG262132:DEI262197 CUK262132:CUM262197 CKO262132:CKQ262197 CAS262132:CAU262197 BQW262132:BQY262197 BHA262132:BHC262197 AXE262132:AXG262197 ANI262132:ANK262197 ADM262132:ADO262197 TQ262132:TS262197 JU262132:JW262197 Y262132:AA262197 WWG196596:WWI196661 WMK196596:WMM196661 WCO196596:WCQ196661 VSS196596:VSU196661 VIW196596:VIY196661 UZA196596:UZC196661 UPE196596:UPG196661 UFI196596:UFK196661 TVM196596:TVO196661 TLQ196596:TLS196661 TBU196596:TBW196661 SRY196596:SSA196661 SIC196596:SIE196661 RYG196596:RYI196661 ROK196596:ROM196661 REO196596:REQ196661 QUS196596:QUU196661 QKW196596:QKY196661 QBA196596:QBC196661 PRE196596:PRG196661 PHI196596:PHK196661 OXM196596:OXO196661 ONQ196596:ONS196661 ODU196596:ODW196661 NTY196596:NUA196661 NKC196596:NKE196661 NAG196596:NAI196661 MQK196596:MQM196661 MGO196596:MGQ196661 LWS196596:LWU196661 LMW196596:LMY196661 LDA196596:LDC196661 KTE196596:KTG196661 KJI196596:KJK196661 JZM196596:JZO196661 JPQ196596:JPS196661 JFU196596:JFW196661 IVY196596:IWA196661 IMC196596:IME196661 ICG196596:ICI196661 HSK196596:HSM196661 HIO196596:HIQ196661 GYS196596:GYU196661 GOW196596:GOY196661 GFA196596:GFC196661 FVE196596:FVG196661 FLI196596:FLK196661 FBM196596:FBO196661 ERQ196596:ERS196661 EHU196596:EHW196661 DXY196596:DYA196661 DOC196596:DOE196661 DEG196596:DEI196661 CUK196596:CUM196661 CKO196596:CKQ196661 CAS196596:CAU196661 BQW196596:BQY196661 BHA196596:BHC196661 AXE196596:AXG196661 ANI196596:ANK196661 ADM196596:ADO196661 TQ196596:TS196661 JU196596:JW196661 Y196596:AA196661 WWG131060:WWI131125 WMK131060:WMM131125 WCO131060:WCQ131125 VSS131060:VSU131125 VIW131060:VIY131125 UZA131060:UZC131125 UPE131060:UPG131125 UFI131060:UFK131125 TVM131060:TVO131125 TLQ131060:TLS131125 TBU131060:TBW131125 SRY131060:SSA131125 SIC131060:SIE131125 RYG131060:RYI131125 ROK131060:ROM131125 REO131060:REQ131125 QUS131060:QUU131125 QKW131060:QKY131125 QBA131060:QBC131125 PRE131060:PRG131125 PHI131060:PHK131125 OXM131060:OXO131125 ONQ131060:ONS131125 ODU131060:ODW131125 NTY131060:NUA131125 NKC131060:NKE131125 NAG131060:NAI131125 MQK131060:MQM131125 MGO131060:MGQ131125 LWS131060:LWU131125 LMW131060:LMY131125 LDA131060:LDC131125 KTE131060:KTG131125 KJI131060:KJK131125 JZM131060:JZO131125 JPQ131060:JPS131125 JFU131060:JFW131125 IVY131060:IWA131125 IMC131060:IME131125 ICG131060:ICI131125 HSK131060:HSM131125 HIO131060:HIQ131125 GYS131060:GYU131125 GOW131060:GOY131125 GFA131060:GFC131125 FVE131060:FVG131125 FLI131060:FLK131125 FBM131060:FBO131125 ERQ131060:ERS131125 EHU131060:EHW131125 DXY131060:DYA131125 DOC131060:DOE131125 DEG131060:DEI131125 CUK131060:CUM131125 CKO131060:CKQ131125 CAS131060:CAU131125 BQW131060:BQY131125 BHA131060:BHC131125 AXE131060:AXG131125 ANI131060:ANK131125 ADM131060:ADO131125 TQ131060:TS131125 JU131060:JW131125 Y131060:AA131125 WWG65524:WWI65589 WMK65524:WMM65589 WCO65524:WCQ65589 VSS65524:VSU65589 VIW65524:VIY65589 UZA65524:UZC65589 UPE65524:UPG65589 UFI65524:UFK65589 TVM65524:TVO65589 TLQ65524:TLS65589 TBU65524:TBW65589 SRY65524:SSA65589 SIC65524:SIE65589 RYG65524:RYI65589 ROK65524:ROM65589 REO65524:REQ65589 QUS65524:QUU65589 QKW65524:QKY65589 QBA65524:QBC65589 PRE65524:PRG65589 PHI65524:PHK65589 OXM65524:OXO65589 ONQ65524:ONS65589 ODU65524:ODW65589 NTY65524:NUA65589 NKC65524:NKE65589 NAG65524:NAI65589 MQK65524:MQM65589 MGO65524:MGQ65589 LWS65524:LWU65589 LMW65524:LMY65589 LDA65524:LDC65589 KTE65524:KTG65589 KJI65524:KJK65589 JZM65524:JZO65589 JPQ65524:JPS65589 JFU65524:JFW65589 IVY65524:IWA65589 IMC65524:IME65589 ICG65524:ICI65589 HSK65524:HSM65589 HIO65524:HIQ65589 GYS65524:GYU65589 GOW65524:GOY65589 GFA65524:GFC65589 FVE65524:FVG65589 FLI65524:FLK65589 FBM65524:FBO65589 ERQ65524:ERS65589 EHU65524:EHW65589 DXY65524:DYA65589 DOC65524:DOE65589 DEG65524:DEI65589 CUK65524:CUM65589 CKO65524:CKQ65589 CAS65524:CAU65589 BQW65524:BQY65589 BHA65524:BHC65589 AXE65524:AXG65589 ANI65524:ANK65589 ADM65524:ADO65589 TQ65524:TS65589 JU65524:JW65589 Y65524:AA65589 WWG983028:WWI983093 WWG1047389:WWI1047454 WMK1047389:WMM1047454 WCO1047389:WCQ1047454 VSS1047389:VSU1047454 VIW1047389:VIY1047454 UZA1047389:UZC1047454 UPE1047389:UPG1047454 UFI1047389:UFK1047454 TVM1047389:TVO1047454 TLQ1047389:TLS1047454 TBU1047389:TBW1047454 SRY1047389:SSA1047454 SIC1047389:SIE1047454 RYG1047389:RYI1047454 ROK1047389:ROM1047454 REO1047389:REQ1047454 QUS1047389:QUU1047454 QKW1047389:QKY1047454 QBA1047389:QBC1047454 PRE1047389:PRG1047454 PHI1047389:PHK1047454 OXM1047389:OXO1047454 ONQ1047389:ONS1047454 ODU1047389:ODW1047454 NTY1047389:NUA1047454 NKC1047389:NKE1047454 NAG1047389:NAI1047454 MQK1047389:MQM1047454 MGO1047389:MGQ1047454 LWS1047389:LWU1047454 LMW1047389:LMY1047454 LDA1047389:LDC1047454 KTE1047389:KTG1047454 KJI1047389:KJK1047454 JZM1047389:JZO1047454 JPQ1047389:JPS1047454 JFU1047389:JFW1047454 IVY1047389:IWA1047454 IMC1047389:IME1047454 ICG1047389:ICI1047454 HSK1047389:HSM1047454 HIO1047389:HIQ1047454 GYS1047389:GYU1047454 GOW1047389:GOY1047454 GFA1047389:GFC1047454 FVE1047389:FVG1047454 FLI1047389:FLK1047454 FBM1047389:FBO1047454 ERQ1047389:ERS1047454 EHU1047389:EHW1047454 DXY1047389:DYA1047454 DOC1047389:DOE1047454 DEG1047389:DEI1047454 CUK1047389:CUM1047454 CKO1047389:CKQ1047454 CAS1047389:CAU1047454 BQW1047389:BQY1047454 BHA1047389:BHC1047454 AXE1047389:AXG1047454 ANI1047389:ANK1047454 ADM1047389:ADO1047454 TQ1047389:TS1047454 JU1047389:JW1047454 Y1047389:AA1047454 WWG981853:WWI981918 WMK981853:WMM981918 WCO981853:WCQ981918 VSS981853:VSU981918 VIW981853:VIY981918 UZA981853:UZC981918 UPE981853:UPG981918 UFI981853:UFK981918 TVM981853:TVO981918 TLQ981853:TLS981918 TBU981853:TBW981918 SRY981853:SSA981918 SIC981853:SIE981918 RYG981853:RYI981918 ROK981853:ROM981918 REO981853:REQ981918 QUS981853:QUU981918 QKW981853:QKY981918 QBA981853:QBC981918 PRE981853:PRG981918 PHI981853:PHK981918 OXM981853:OXO981918 ONQ981853:ONS981918 ODU981853:ODW981918 NTY981853:NUA981918 NKC981853:NKE981918 NAG981853:NAI981918 MQK981853:MQM981918 MGO981853:MGQ981918 LWS981853:LWU981918 LMW981853:LMY981918 LDA981853:LDC981918 KTE981853:KTG981918 KJI981853:KJK981918 JZM981853:JZO981918 JPQ981853:JPS981918 JFU981853:JFW981918 IVY981853:IWA981918 IMC981853:IME981918 ICG981853:ICI981918 HSK981853:HSM981918 HIO981853:HIQ981918 GYS981853:GYU981918 GOW981853:GOY981918 GFA981853:GFC981918 FVE981853:FVG981918 FLI981853:FLK981918 FBM981853:FBO981918 ERQ981853:ERS981918 EHU981853:EHW981918 DXY981853:DYA981918 DOC981853:DOE981918 DEG981853:DEI981918 CUK981853:CUM981918 CKO981853:CKQ981918 CAS981853:CAU981918 BQW981853:BQY981918 BHA981853:BHC981918 AXE981853:AXG981918 ANI981853:ANK981918 ADM981853:ADO981918 TQ981853:TS981918 JU981853:JW981918 Y981853:AA981918 WWG916317:WWI916382 WMK916317:WMM916382 WCO916317:WCQ916382 VSS916317:VSU916382 VIW916317:VIY916382 UZA916317:UZC916382 UPE916317:UPG916382 UFI916317:UFK916382 TVM916317:TVO916382 TLQ916317:TLS916382 TBU916317:TBW916382 SRY916317:SSA916382 SIC916317:SIE916382 RYG916317:RYI916382 ROK916317:ROM916382 REO916317:REQ916382 QUS916317:QUU916382 QKW916317:QKY916382 QBA916317:QBC916382 PRE916317:PRG916382 PHI916317:PHK916382 OXM916317:OXO916382 ONQ916317:ONS916382 ODU916317:ODW916382 NTY916317:NUA916382 NKC916317:NKE916382 NAG916317:NAI916382 MQK916317:MQM916382 MGO916317:MGQ916382 LWS916317:LWU916382 LMW916317:LMY916382 LDA916317:LDC916382 KTE916317:KTG916382 KJI916317:KJK916382 JZM916317:JZO916382 JPQ916317:JPS916382 JFU916317:JFW916382 IVY916317:IWA916382 IMC916317:IME916382 ICG916317:ICI916382 HSK916317:HSM916382 HIO916317:HIQ916382 GYS916317:GYU916382 GOW916317:GOY916382 GFA916317:GFC916382 FVE916317:FVG916382 FLI916317:FLK916382 FBM916317:FBO916382 ERQ916317:ERS916382 EHU916317:EHW916382 DXY916317:DYA916382 DOC916317:DOE916382 DEG916317:DEI916382 CUK916317:CUM916382 CKO916317:CKQ916382 CAS916317:CAU916382 BQW916317:BQY916382 BHA916317:BHC916382 AXE916317:AXG916382 ANI916317:ANK916382 ADM916317:ADO916382 TQ916317:TS916382 JU916317:JW916382 Y916317:AA916382 WWG850781:WWI850846 WMK850781:WMM850846 WCO850781:WCQ850846 VSS850781:VSU850846 VIW850781:VIY850846 UZA850781:UZC850846 UPE850781:UPG850846 UFI850781:UFK850846 TVM850781:TVO850846 TLQ850781:TLS850846 TBU850781:TBW850846 SRY850781:SSA850846 SIC850781:SIE850846 RYG850781:RYI850846 ROK850781:ROM850846 REO850781:REQ850846 QUS850781:QUU850846 QKW850781:QKY850846 QBA850781:QBC850846 PRE850781:PRG850846 PHI850781:PHK850846 OXM850781:OXO850846 ONQ850781:ONS850846 ODU850781:ODW850846 NTY850781:NUA850846 NKC850781:NKE850846 NAG850781:NAI850846 MQK850781:MQM850846 MGO850781:MGQ850846 LWS850781:LWU850846 LMW850781:LMY850846 LDA850781:LDC850846 KTE850781:KTG850846 KJI850781:KJK850846 JZM850781:JZO850846 JPQ850781:JPS850846 JFU850781:JFW850846 IVY850781:IWA850846 IMC850781:IME850846 ICG850781:ICI850846 HSK850781:HSM850846 HIO850781:HIQ850846 GYS850781:GYU850846 GOW850781:GOY850846 GFA850781:GFC850846 FVE850781:FVG850846 FLI850781:FLK850846 FBM850781:FBO850846 ERQ850781:ERS850846 EHU850781:EHW850846 DXY850781:DYA850846 DOC850781:DOE850846 DEG850781:DEI850846 CUK850781:CUM850846 CKO850781:CKQ850846 CAS850781:CAU850846 BQW850781:BQY850846 BHA850781:BHC850846 AXE850781:AXG850846 ANI850781:ANK850846 ADM850781:ADO850846 TQ850781:TS850846 JU850781:JW850846 Y850781:AA850846 WWG785245:WWI785310 WMK785245:WMM785310 WCO785245:WCQ785310 VSS785245:VSU785310 VIW785245:VIY785310 UZA785245:UZC785310 UPE785245:UPG785310 UFI785245:UFK785310 TVM785245:TVO785310 TLQ785245:TLS785310 TBU785245:TBW785310 SRY785245:SSA785310 SIC785245:SIE785310 RYG785245:RYI785310 ROK785245:ROM785310 REO785245:REQ785310 QUS785245:QUU785310 QKW785245:QKY785310 QBA785245:QBC785310 PRE785245:PRG785310 PHI785245:PHK785310 OXM785245:OXO785310 ONQ785245:ONS785310 ODU785245:ODW785310 NTY785245:NUA785310 NKC785245:NKE785310 NAG785245:NAI785310 MQK785245:MQM785310 MGO785245:MGQ785310 LWS785245:LWU785310 LMW785245:LMY785310 LDA785245:LDC785310 KTE785245:KTG785310 KJI785245:KJK785310 JZM785245:JZO785310 JPQ785245:JPS785310 JFU785245:JFW785310 IVY785245:IWA785310 IMC785245:IME785310 ICG785245:ICI785310 HSK785245:HSM785310 HIO785245:HIQ785310 GYS785245:GYU785310 GOW785245:GOY785310 GFA785245:GFC785310 FVE785245:FVG785310 FLI785245:FLK785310 FBM785245:FBO785310 ERQ785245:ERS785310 EHU785245:EHW785310 DXY785245:DYA785310 DOC785245:DOE785310 DEG785245:DEI785310 CUK785245:CUM785310 CKO785245:CKQ785310 CAS785245:CAU785310 BQW785245:BQY785310 BHA785245:BHC785310 AXE785245:AXG785310 ANI785245:ANK785310 ADM785245:ADO785310 TQ785245:TS785310 JU785245:JW785310 Y785245:AA785310 WWG719709:WWI719774 WMK719709:WMM719774 WCO719709:WCQ719774 VSS719709:VSU719774 VIW719709:VIY719774 UZA719709:UZC719774 UPE719709:UPG719774 UFI719709:UFK719774 TVM719709:TVO719774 TLQ719709:TLS719774 TBU719709:TBW719774 SRY719709:SSA719774 SIC719709:SIE719774 RYG719709:RYI719774 ROK719709:ROM719774 REO719709:REQ719774 QUS719709:QUU719774 QKW719709:QKY719774 QBA719709:QBC719774 PRE719709:PRG719774 PHI719709:PHK719774 OXM719709:OXO719774 ONQ719709:ONS719774 ODU719709:ODW719774 NTY719709:NUA719774 NKC719709:NKE719774 NAG719709:NAI719774 MQK719709:MQM719774 MGO719709:MGQ719774 LWS719709:LWU719774 LMW719709:LMY719774 LDA719709:LDC719774 KTE719709:KTG719774 KJI719709:KJK719774 JZM719709:JZO719774 JPQ719709:JPS719774 JFU719709:JFW719774 IVY719709:IWA719774 IMC719709:IME719774 ICG719709:ICI719774 HSK719709:HSM719774 HIO719709:HIQ719774 GYS719709:GYU719774 GOW719709:GOY719774 GFA719709:GFC719774 FVE719709:FVG719774 FLI719709:FLK719774 FBM719709:FBO719774 ERQ719709:ERS719774 EHU719709:EHW719774 DXY719709:DYA719774 DOC719709:DOE719774 DEG719709:DEI719774 CUK719709:CUM719774 CKO719709:CKQ719774 CAS719709:CAU719774 BQW719709:BQY719774 BHA719709:BHC719774 AXE719709:AXG719774 ANI719709:ANK719774 ADM719709:ADO719774 TQ719709:TS719774 JU719709:JW719774 Y719709:AA719774 WWG654173:WWI654238 WMK654173:WMM654238 WCO654173:WCQ654238 VSS654173:VSU654238 VIW654173:VIY654238 UZA654173:UZC654238 UPE654173:UPG654238 UFI654173:UFK654238 TVM654173:TVO654238 TLQ654173:TLS654238 TBU654173:TBW654238 SRY654173:SSA654238 SIC654173:SIE654238 RYG654173:RYI654238 ROK654173:ROM654238 REO654173:REQ654238 QUS654173:QUU654238 QKW654173:QKY654238 QBA654173:QBC654238 PRE654173:PRG654238 PHI654173:PHK654238 OXM654173:OXO654238 ONQ654173:ONS654238 ODU654173:ODW654238 NTY654173:NUA654238 NKC654173:NKE654238 NAG654173:NAI654238 MQK654173:MQM654238 MGO654173:MGQ654238 LWS654173:LWU654238 LMW654173:LMY654238 LDA654173:LDC654238 KTE654173:KTG654238 KJI654173:KJK654238 JZM654173:JZO654238 JPQ654173:JPS654238 JFU654173:JFW654238 IVY654173:IWA654238 IMC654173:IME654238 ICG654173:ICI654238 HSK654173:HSM654238 HIO654173:HIQ654238 GYS654173:GYU654238 GOW654173:GOY654238 GFA654173:GFC654238 FVE654173:FVG654238 FLI654173:FLK654238 FBM654173:FBO654238 ERQ654173:ERS654238 EHU654173:EHW654238 DXY654173:DYA654238 DOC654173:DOE654238 DEG654173:DEI654238 CUK654173:CUM654238 CKO654173:CKQ654238 CAS654173:CAU654238 BQW654173:BQY654238 BHA654173:BHC654238 AXE654173:AXG654238 ANI654173:ANK654238 ADM654173:ADO654238 TQ654173:TS654238 JU654173:JW654238 Y654173:AA654238 WWG588637:WWI588702 WMK588637:WMM588702 WCO588637:WCQ588702 VSS588637:VSU588702 VIW588637:VIY588702 UZA588637:UZC588702 UPE588637:UPG588702 UFI588637:UFK588702 TVM588637:TVO588702 TLQ588637:TLS588702 TBU588637:TBW588702 SRY588637:SSA588702 SIC588637:SIE588702 RYG588637:RYI588702 ROK588637:ROM588702 REO588637:REQ588702 QUS588637:QUU588702 QKW588637:QKY588702 QBA588637:QBC588702 PRE588637:PRG588702 PHI588637:PHK588702 OXM588637:OXO588702 ONQ588637:ONS588702 ODU588637:ODW588702 NTY588637:NUA588702 NKC588637:NKE588702 NAG588637:NAI588702 MQK588637:MQM588702 MGO588637:MGQ588702 LWS588637:LWU588702 LMW588637:LMY588702 LDA588637:LDC588702 KTE588637:KTG588702 KJI588637:KJK588702 JZM588637:JZO588702 JPQ588637:JPS588702 JFU588637:JFW588702 IVY588637:IWA588702 IMC588637:IME588702 ICG588637:ICI588702 HSK588637:HSM588702 HIO588637:HIQ588702 GYS588637:GYU588702 GOW588637:GOY588702 GFA588637:GFC588702 FVE588637:FVG588702 FLI588637:FLK588702 FBM588637:FBO588702 ERQ588637:ERS588702 EHU588637:EHW588702 DXY588637:DYA588702 DOC588637:DOE588702 DEG588637:DEI588702 CUK588637:CUM588702 CKO588637:CKQ588702 CAS588637:CAU588702 BQW588637:BQY588702 BHA588637:BHC588702 AXE588637:AXG588702 ANI588637:ANK588702 ADM588637:ADO588702 TQ588637:TS588702 JU588637:JW588702 Y588637:AA588702 WWG523101:WWI523166 WMK523101:WMM523166 WCO523101:WCQ523166 VSS523101:VSU523166 VIW523101:VIY523166 UZA523101:UZC523166 UPE523101:UPG523166 UFI523101:UFK523166 TVM523101:TVO523166 TLQ523101:TLS523166 TBU523101:TBW523166 SRY523101:SSA523166 SIC523101:SIE523166 RYG523101:RYI523166 ROK523101:ROM523166 REO523101:REQ523166 QUS523101:QUU523166 QKW523101:QKY523166 QBA523101:QBC523166 PRE523101:PRG523166 PHI523101:PHK523166 OXM523101:OXO523166 ONQ523101:ONS523166 ODU523101:ODW523166 NTY523101:NUA523166 NKC523101:NKE523166 NAG523101:NAI523166 MQK523101:MQM523166 MGO523101:MGQ523166 LWS523101:LWU523166 LMW523101:LMY523166 LDA523101:LDC523166 KTE523101:KTG523166 KJI523101:KJK523166 JZM523101:JZO523166 JPQ523101:JPS523166 JFU523101:JFW523166 IVY523101:IWA523166 IMC523101:IME523166 ICG523101:ICI523166 HSK523101:HSM523166 HIO523101:HIQ523166 GYS523101:GYU523166 GOW523101:GOY523166 GFA523101:GFC523166 FVE523101:FVG523166 FLI523101:FLK523166 FBM523101:FBO523166 ERQ523101:ERS523166 EHU523101:EHW523166 DXY523101:DYA523166 DOC523101:DOE523166 DEG523101:DEI523166 CUK523101:CUM523166 CKO523101:CKQ523166 CAS523101:CAU523166 BQW523101:BQY523166 BHA523101:BHC523166 AXE523101:AXG523166 ANI523101:ANK523166 ADM523101:ADO523166 TQ523101:TS523166 JU523101:JW523166 Y523101:AA523166 WWG457565:WWI457630 WMK457565:WMM457630 WCO457565:WCQ457630 VSS457565:VSU457630 VIW457565:VIY457630 UZA457565:UZC457630 UPE457565:UPG457630 UFI457565:UFK457630 TVM457565:TVO457630 TLQ457565:TLS457630 TBU457565:TBW457630 SRY457565:SSA457630 SIC457565:SIE457630 RYG457565:RYI457630 ROK457565:ROM457630 REO457565:REQ457630 QUS457565:QUU457630 QKW457565:QKY457630 QBA457565:QBC457630 PRE457565:PRG457630 PHI457565:PHK457630 OXM457565:OXO457630 ONQ457565:ONS457630 ODU457565:ODW457630 NTY457565:NUA457630 NKC457565:NKE457630 NAG457565:NAI457630 MQK457565:MQM457630 MGO457565:MGQ457630 LWS457565:LWU457630 LMW457565:LMY457630 LDA457565:LDC457630 KTE457565:KTG457630 KJI457565:KJK457630 JZM457565:JZO457630 JPQ457565:JPS457630 JFU457565:JFW457630 IVY457565:IWA457630 IMC457565:IME457630 ICG457565:ICI457630 HSK457565:HSM457630 HIO457565:HIQ457630 GYS457565:GYU457630 GOW457565:GOY457630 GFA457565:GFC457630 FVE457565:FVG457630 FLI457565:FLK457630 FBM457565:FBO457630 ERQ457565:ERS457630 EHU457565:EHW457630 DXY457565:DYA457630 DOC457565:DOE457630 DEG457565:DEI457630 CUK457565:CUM457630 CKO457565:CKQ457630 CAS457565:CAU457630 BQW457565:BQY457630 BHA457565:BHC457630 AXE457565:AXG457630 ANI457565:ANK457630 ADM457565:ADO457630 TQ457565:TS457630 JU457565:JW457630 Y457565:AA457630 WWG392029:WWI392094 WMK392029:WMM392094 WCO392029:WCQ392094 VSS392029:VSU392094 VIW392029:VIY392094 UZA392029:UZC392094 UPE392029:UPG392094 UFI392029:UFK392094 TVM392029:TVO392094 TLQ392029:TLS392094 TBU392029:TBW392094 SRY392029:SSA392094 SIC392029:SIE392094 RYG392029:RYI392094 ROK392029:ROM392094 REO392029:REQ392094 QUS392029:QUU392094 QKW392029:QKY392094 QBA392029:QBC392094 PRE392029:PRG392094 PHI392029:PHK392094 OXM392029:OXO392094 ONQ392029:ONS392094 ODU392029:ODW392094 NTY392029:NUA392094 NKC392029:NKE392094 NAG392029:NAI392094 MQK392029:MQM392094 MGO392029:MGQ392094 LWS392029:LWU392094 LMW392029:LMY392094 LDA392029:LDC392094 KTE392029:KTG392094 KJI392029:KJK392094 JZM392029:JZO392094 JPQ392029:JPS392094 JFU392029:JFW392094 IVY392029:IWA392094 IMC392029:IME392094 ICG392029:ICI392094 HSK392029:HSM392094 HIO392029:HIQ392094 GYS392029:GYU392094 GOW392029:GOY392094 GFA392029:GFC392094 FVE392029:FVG392094 FLI392029:FLK392094 FBM392029:FBO392094 ERQ392029:ERS392094 EHU392029:EHW392094 DXY392029:DYA392094 DOC392029:DOE392094 DEG392029:DEI392094 CUK392029:CUM392094 CKO392029:CKQ392094 CAS392029:CAU392094 BQW392029:BQY392094 BHA392029:BHC392094 AXE392029:AXG392094 ANI392029:ANK392094 ADM392029:ADO392094 TQ392029:TS392094 JU392029:JW392094 Y392029:AA392094 WWG326493:WWI326558 WMK326493:WMM326558 WCO326493:WCQ326558 VSS326493:VSU326558 VIW326493:VIY326558 UZA326493:UZC326558 UPE326493:UPG326558 UFI326493:UFK326558 TVM326493:TVO326558 TLQ326493:TLS326558 TBU326493:TBW326558 SRY326493:SSA326558 SIC326493:SIE326558 RYG326493:RYI326558 ROK326493:ROM326558 REO326493:REQ326558 QUS326493:QUU326558 QKW326493:QKY326558 QBA326493:QBC326558 PRE326493:PRG326558 PHI326493:PHK326558 OXM326493:OXO326558 ONQ326493:ONS326558 ODU326493:ODW326558 NTY326493:NUA326558 NKC326493:NKE326558 NAG326493:NAI326558 MQK326493:MQM326558 MGO326493:MGQ326558 LWS326493:LWU326558 LMW326493:LMY326558 LDA326493:LDC326558 KTE326493:KTG326558 KJI326493:KJK326558 JZM326493:JZO326558 JPQ326493:JPS326558 JFU326493:JFW326558 IVY326493:IWA326558 IMC326493:IME326558 ICG326493:ICI326558 HSK326493:HSM326558 HIO326493:HIQ326558 GYS326493:GYU326558 GOW326493:GOY326558 GFA326493:GFC326558 FVE326493:FVG326558 FLI326493:FLK326558 FBM326493:FBO326558 ERQ326493:ERS326558 EHU326493:EHW326558 DXY326493:DYA326558 DOC326493:DOE326558 DEG326493:DEI326558 CUK326493:CUM326558 CKO326493:CKQ326558 CAS326493:CAU326558 BQW326493:BQY326558 BHA326493:BHC326558 AXE326493:AXG326558 ANI326493:ANK326558 ADM326493:ADO326558 TQ326493:TS326558 JU326493:JW326558 Y326493:AA326558 WWG260957:WWI261022 WMK260957:WMM261022 WCO260957:WCQ261022 VSS260957:VSU261022 VIW260957:VIY261022 UZA260957:UZC261022 UPE260957:UPG261022 UFI260957:UFK261022 TVM260957:TVO261022 TLQ260957:TLS261022 TBU260957:TBW261022 SRY260957:SSA261022 SIC260957:SIE261022 RYG260957:RYI261022 ROK260957:ROM261022 REO260957:REQ261022 QUS260957:QUU261022 QKW260957:QKY261022 QBA260957:QBC261022 PRE260957:PRG261022 PHI260957:PHK261022 OXM260957:OXO261022 ONQ260957:ONS261022 ODU260957:ODW261022 NTY260957:NUA261022 NKC260957:NKE261022 NAG260957:NAI261022 MQK260957:MQM261022 MGO260957:MGQ261022 LWS260957:LWU261022 LMW260957:LMY261022 LDA260957:LDC261022 KTE260957:KTG261022 KJI260957:KJK261022 JZM260957:JZO261022 JPQ260957:JPS261022 JFU260957:JFW261022 IVY260957:IWA261022 IMC260957:IME261022 ICG260957:ICI261022 HSK260957:HSM261022 HIO260957:HIQ261022 GYS260957:GYU261022 GOW260957:GOY261022 GFA260957:GFC261022 FVE260957:FVG261022 FLI260957:FLK261022 FBM260957:FBO261022 ERQ260957:ERS261022 EHU260957:EHW261022 DXY260957:DYA261022 DOC260957:DOE261022 DEG260957:DEI261022 CUK260957:CUM261022 CKO260957:CKQ261022 CAS260957:CAU261022 BQW260957:BQY261022 BHA260957:BHC261022 AXE260957:AXG261022 ANI260957:ANK261022 ADM260957:ADO261022 TQ260957:TS261022 JU260957:JW261022 Y260957:AA261022 WWG195421:WWI195486 WMK195421:WMM195486 WCO195421:WCQ195486 VSS195421:VSU195486 VIW195421:VIY195486 UZA195421:UZC195486 UPE195421:UPG195486 UFI195421:UFK195486 TVM195421:TVO195486 TLQ195421:TLS195486 TBU195421:TBW195486 SRY195421:SSA195486 SIC195421:SIE195486 RYG195421:RYI195486 ROK195421:ROM195486 REO195421:REQ195486 QUS195421:QUU195486 QKW195421:QKY195486 QBA195421:QBC195486 PRE195421:PRG195486 PHI195421:PHK195486 OXM195421:OXO195486 ONQ195421:ONS195486 ODU195421:ODW195486 NTY195421:NUA195486 NKC195421:NKE195486 NAG195421:NAI195486 MQK195421:MQM195486 MGO195421:MGQ195486 LWS195421:LWU195486 LMW195421:LMY195486 LDA195421:LDC195486 KTE195421:KTG195486 KJI195421:KJK195486 JZM195421:JZO195486 JPQ195421:JPS195486 JFU195421:JFW195486 IVY195421:IWA195486 IMC195421:IME195486 ICG195421:ICI195486 HSK195421:HSM195486 HIO195421:HIQ195486 GYS195421:GYU195486 GOW195421:GOY195486 GFA195421:GFC195486 FVE195421:FVG195486 FLI195421:FLK195486 FBM195421:FBO195486 ERQ195421:ERS195486 EHU195421:EHW195486 DXY195421:DYA195486 DOC195421:DOE195486 DEG195421:DEI195486 CUK195421:CUM195486 CKO195421:CKQ195486 CAS195421:CAU195486 BQW195421:BQY195486 BHA195421:BHC195486 AXE195421:AXG195486 ANI195421:ANK195486 ADM195421:ADO195486 TQ195421:TS195486 JU195421:JW195486 Y195421:AA195486 WWG129885:WWI129950 WMK129885:WMM129950 WCO129885:WCQ129950 VSS129885:VSU129950 VIW129885:VIY129950 UZA129885:UZC129950 UPE129885:UPG129950 UFI129885:UFK129950 TVM129885:TVO129950 TLQ129885:TLS129950 TBU129885:TBW129950 SRY129885:SSA129950 SIC129885:SIE129950 RYG129885:RYI129950 ROK129885:ROM129950 REO129885:REQ129950 QUS129885:QUU129950 QKW129885:QKY129950 QBA129885:QBC129950 PRE129885:PRG129950 PHI129885:PHK129950 OXM129885:OXO129950 ONQ129885:ONS129950 ODU129885:ODW129950 NTY129885:NUA129950 NKC129885:NKE129950 NAG129885:NAI129950 MQK129885:MQM129950 MGO129885:MGQ129950 LWS129885:LWU129950 LMW129885:LMY129950 LDA129885:LDC129950 KTE129885:KTG129950 KJI129885:KJK129950 JZM129885:JZO129950 JPQ129885:JPS129950 JFU129885:JFW129950 IVY129885:IWA129950 IMC129885:IME129950 ICG129885:ICI129950 HSK129885:HSM129950 HIO129885:HIQ129950 GYS129885:GYU129950 GOW129885:GOY129950 GFA129885:GFC129950 FVE129885:FVG129950 FLI129885:FLK129950 FBM129885:FBO129950 ERQ129885:ERS129950 EHU129885:EHW129950 DXY129885:DYA129950 DOC129885:DOE129950 DEG129885:DEI129950 CUK129885:CUM129950 CKO129885:CKQ129950 CAS129885:CAU129950 BQW129885:BQY129950 BHA129885:BHC129950 AXE129885:AXG129950 ANI129885:ANK129950 ADM129885:ADO129950 TQ129885:TS129950 JU129885:JW129950 Y129885:AA129950 WWG64349:WWI64414 WMK64349:WMM64414 WCO64349:WCQ64414 VSS64349:VSU64414 VIW64349:VIY64414 UZA64349:UZC64414 UPE64349:UPG64414 UFI64349:UFK64414 TVM64349:TVO64414 TLQ64349:TLS64414 TBU64349:TBW64414 SRY64349:SSA64414 SIC64349:SIE64414 RYG64349:RYI64414 ROK64349:ROM64414 REO64349:REQ64414 QUS64349:QUU64414 QKW64349:QKY64414 QBA64349:QBC64414 PRE64349:PRG64414 PHI64349:PHK64414 OXM64349:OXO64414 ONQ64349:ONS64414 ODU64349:ODW64414 NTY64349:NUA64414 NKC64349:NKE64414 NAG64349:NAI64414 MQK64349:MQM64414 MGO64349:MGQ64414 LWS64349:LWU64414 LMW64349:LMY64414 LDA64349:LDC64414 KTE64349:KTG64414 KJI64349:KJK64414 JZM64349:JZO64414 JPQ64349:JPS64414 JFU64349:JFW64414 IVY64349:IWA64414 IMC64349:IME64414 ICG64349:ICI64414 HSK64349:HSM64414 HIO64349:HIQ64414 GYS64349:GYU64414 GOW64349:GOY64414 GFA64349:GFC64414 FVE64349:FVG64414 FLI64349:FLK64414 FBM64349:FBO64414 ERQ64349:ERS64414 EHU64349:EHW64414 DXY64349:DYA64414 DOC64349:DOE64414 DEG64349:DEI64414 CUK64349:CUM64414 CKO64349:CKQ64414 CAS64349:CAU64414 BQW64349:BQY64414 BHA64349:BHC64414 AXE64349:AXG64414 ANI64349:ANK64414 ADM64349:ADO64414 TQ64349:TS64414 JU2:JW61 WWG2:WWI61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formula1>$AV$2:$AV$20</formula1>
    </dataValidation>
    <dataValidation type="list" allowBlank="1" showInputMessage="1" showErrorMessage="1" sqref="H64349:H64414 WVP1047389:WVP1047454 WLT1047389:WLT1047454 WBX1047389:WBX1047454 VSB1047389:VSB1047454 VIF1047389:VIF1047454 UYJ1047389:UYJ1047454 UON1047389:UON1047454 UER1047389:UER1047454 TUV1047389:TUV1047454 TKZ1047389:TKZ1047454 TBD1047389:TBD1047454 SRH1047389:SRH1047454 SHL1047389:SHL1047454 RXP1047389:RXP1047454 RNT1047389:RNT1047454 RDX1047389:RDX1047454 QUB1047389:QUB1047454 QKF1047389:QKF1047454 QAJ1047389:QAJ1047454 PQN1047389:PQN1047454 PGR1047389:PGR1047454 OWV1047389:OWV1047454 OMZ1047389:OMZ1047454 ODD1047389:ODD1047454 NTH1047389:NTH1047454 NJL1047389:NJL1047454 MZP1047389:MZP1047454 MPT1047389:MPT1047454 MFX1047389:MFX1047454 LWB1047389:LWB1047454 LMF1047389:LMF1047454 LCJ1047389:LCJ1047454 KSN1047389:KSN1047454 KIR1047389:KIR1047454 JYV1047389:JYV1047454 JOZ1047389:JOZ1047454 JFD1047389:JFD1047454 IVH1047389:IVH1047454 ILL1047389:ILL1047454 IBP1047389:IBP1047454 HRT1047389:HRT1047454 HHX1047389:HHX1047454 GYB1047389:GYB1047454 GOF1047389:GOF1047454 GEJ1047389:GEJ1047454 FUN1047389:FUN1047454 FKR1047389:FKR1047454 FAV1047389:FAV1047454 EQZ1047389:EQZ1047454 EHD1047389:EHD1047454 DXH1047389:DXH1047454 DNL1047389:DNL1047454 DDP1047389:DDP1047454 CTT1047389:CTT1047454 CJX1047389:CJX1047454 CAB1047389:CAB1047454 BQF1047389:BQF1047454 BGJ1047389:BGJ1047454 AWN1047389:AWN1047454 AMR1047389:AMR1047454 ACV1047389:ACV1047454 SZ1047389:SZ1047454 JD1047389:JD1047454 H1047389:H1047454 WVP981853:WVP981918 WLT981853:WLT981918 WBX981853:WBX981918 VSB981853:VSB981918 VIF981853:VIF981918 UYJ981853:UYJ981918 UON981853:UON981918 UER981853:UER981918 TUV981853:TUV981918 TKZ981853:TKZ981918 TBD981853:TBD981918 SRH981853:SRH981918 SHL981853:SHL981918 RXP981853:RXP981918 RNT981853:RNT981918 RDX981853:RDX981918 QUB981853:QUB981918 QKF981853:QKF981918 QAJ981853:QAJ981918 PQN981853:PQN981918 PGR981853:PGR981918 OWV981853:OWV981918 OMZ981853:OMZ981918 ODD981853:ODD981918 NTH981853:NTH981918 NJL981853:NJL981918 MZP981853:MZP981918 MPT981853:MPT981918 MFX981853:MFX981918 LWB981853:LWB981918 LMF981853:LMF981918 LCJ981853:LCJ981918 KSN981853:KSN981918 KIR981853:KIR981918 JYV981853:JYV981918 JOZ981853:JOZ981918 JFD981853:JFD981918 IVH981853:IVH981918 ILL981853:ILL981918 IBP981853:IBP981918 HRT981853:HRT981918 HHX981853:HHX981918 GYB981853:GYB981918 GOF981853:GOF981918 GEJ981853:GEJ981918 FUN981853:FUN981918 FKR981853:FKR981918 FAV981853:FAV981918 EQZ981853:EQZ981918 EHD981853:EHD981918 DXH981853:DXH981918 DNL981853:DNL981918 DDP981853:DDP981918 CTT981853:CTT981918 CJX981853:CJX981918 CAB981853:CAB981918 BQF981853:BQF981918 BGJ981853:BGJ981918 AWN981853:AWN981918 AMR981853:AMR981918 ACV981853:ACV981918 SZ981853:SZ981918 JD981853:JD981918 H981853:H981918 WVP916317:WVP916382 WLT916317:WLT916382 WBX916317:WBX916382 VSB916317:VSB916382 VIF916317:VIF916382 UYJ916317:UYJ916382 UON916317:UON916382 UER916317:UER916382 TUV916317:TUV916382 TKZ916317:TKZ916382 TBD916317:TBD916382 SRH916317:SRH916382 SHL916317:SHL916382 RXP916317:RXP916382 RNT916317:RNT916382 RDX916317:RDX916382 QUB916317:QUB916382 QKF916317:QKF916382 QAJ916317:QAJ916382 PQN916317:PQN916382 PGR916317:PGR916382 OWV916317:OWV916382 OMZ916317:OMZ916382 ODD916317:ODD916382 NTH916317:NTH916382 NJL916317:NJL916382 MZP916317:MZP916382 MPT916317:MPT916382 MFX916317:MFX916382 LWB916317:LWB916382 LMF916317:LMF916382 LCJ916317:LCJ916382 KSN916317:KSN916382 KIR916317:KIR916382 JYV916317:JYV916382 JOZ916317:JOZ916382 JFD916317:JFD916382 IVH916317:IVH916382 ILL916317:ILL916382 IBP916317:IBP916382 HRT916317:HRT916382 HHX916317:HHX916382 GYB916317:GYB916382 GOF916317:GOF916382 GEJ916317:GEJ916382 FUN916317:FUN916382 FKR916317:FKR916382 FAV916317:FAV916382 EQZ916317:EQZ916382 EHD916317:EHD916382 DXH916317:DXH916382 DNL916317:DNL916382 DDP916317:DDP916382 CTT916317:CTT916382 CJX916317:CJX916382 CAB916317:CAB916382 BQF916317:BQF916382 BGJ916317:BGJ916382 AWN916317:AWN916382 AMR916317:AMR916382 ACV916317:ACV916382 SZ916317:SZ916382 JD916317:JD916382 H916317:H916382 WVP850781:WVP850846 WLT850781:WLT850846 WBX850781:WBX850846 VSB850781:VSB850846 VIF850781:VIF850846 UYJ850781:UYJ850846 UON850781:UON850846 UER850781:UER850846 TUV850781:TUV850846 TKZ850781:TKZ850846 TBD850781:TBD850846 SRH850781:SRH850846 SHL850781:SHL850846 RXP850781:RXP850846 RNT850781:RNT850846 RDX850781:RDX850846 QUB850781:QUB850846 QKF850781:QKF850846 QAJ850781:QAJ850846 PQN850781:PQN850846 PGR850781:PGR850846 OWV850781:OWV850846 OMZ850781:OMZ850846 ODD850781:ODD850846 NTH850781:NTH850846 NJL850781:NJL850846 MZP850781:MZP850846 MPT850781:MPT850846 MFX850781:MFX850846 LWB850781:LWB850846 LMF850781:LMF850846 LCJ850781:LCJ850846 KSN850781:KSN850846 KIR850781:KIR850846 JYV850781:JYV850846 JOZ850781:JOZ850846 JFD850781:JFD850846 IVH850781:IVH850846 ILL850781:ILL850846 IBP850781:IBP850846 HRT850781:HRT850846 HHX850781:HHX850846 GYB850781:GYB850846 GOF850781:GOF850846 GEJ850781:GEJ850846 FUN850781:FUN850846 FKR850781:FKR850846 FAV850781:FAV850846 EQZ850781:EQZ850846 EHD850781:EHD850846 DXH850781:DXH850846 DNL850781:DNL850846 DDP850781:DDP850846 CTT850781:CTT850846 CJX850781:CJX850846 CAB850781:CAB850846 BQF850781:BQF850846 BGJ850781:BGJ850846 AWN850781:AWN850846 AMR850781:AMR850846 ACV850781:ACV850846 SZ850781:SZ850846 JD850781:JD850846 H850781:H850846 WVP785245:WVP785310 WLT785245:WLT785310 WBX785245:WBX785310 VSB785245:VSB785310 VIF785245:VIF785310 UYJ785245:UYJ785310 UON785245:UON785310 UER785245:UER785310 TUV785245:TUV785310 TKZ785245:TKZ785310 TBD785245:TBD785310 SRH785245:SRH785310 SHL785245:SHL785310 RXP785245:RXP785310 RNT785245:RNT785310 RDX785245:RDX785310 QUB785245:QUB785310 QKF785245:QKF785310 QAJ785245:QAJ785310 PQN785245:PQN785310 PGR785245:PGR785310 OWV785245:OWV785310 OMZ785245:OMZ785310 ODD785245:ODD785310 NTH785245:NTH785310 NJL785245:NJL785310 MZP785245:MZP785310 MPT785245:MPT785310 MFX785245:MFX785310 LWB785245:LWB785310 LMF785245:LMF785310 LCJ785245:LCJ785310 KSN785245:KSN785310 KIR785245:KIR785310 JYV785245:JYV785310 JOZ785245:JOZ785310 JFD785245:JFD785310 IVH785245:IVH785310 ILL785245:ILL785310 IBP785245:IBP785310 HRT785245:HRT785310 HHX785245:HHX785310 GYB785245:GYB785310 GOF785245:GOF785310 GEJ785245:GEJ785310 FUN785245:FUN785310 FKR785245:FKR785310 FAV785245:FAV785310 EQZ785245:EQZ785310 EHD785245:EHD785310 DXH785245:DXH785310 DNL785245:DNL785310 DDP785245:DDP785310 CTT785245:CTT785310 CJX785245:CJX785310 CAB785245:CAB785310 BQF785245:BQF785310 BGJ785245:BGJ785310 AWN785245:AWN785310 AMR785245:AMR785310 ACV785245:ACV785310 SZ785245:SZ785310 JD785245:JD785310 H785245:H785310 WVP719709:WVP719774 WLT719709:WLT719774 WBX719709:WBX719774 VSB719709:VSB719774 VIF719709:VIF719774 UYJ719709:UYJ719774 UON719709:UON719774 UER719709:UER719774 TUV719709:TUV719774 TKZ719709:TKZ719774 TBD719709:TBD719774 SRH719709:SRH719774 SHL719709:SHL719774 RXP719709:RXP719774 RNT719709:RNT719774 RDX719709:RDX719774 QUB719709:QUB719774 QKF719709:QKF719774 QAJ719709:QAJ719774 PQN719709:PQN719774 PGR719709:PGR719774 OWV719709:OWV719774 OMZ719709:OMZ719774 ODD719709:ODD719774 NTH719709:NTH719774 NJL719709:NJL719774 MZP719709:MZP719774 MPT719709:MPT719774 MFX719709:MFX719774 LWB719709:LWB719774 LMF719709:LMF719774 LCJ719709:LCJ719774 KSN719709:KSN719774 KIR719709:KIR719774 JYV719709:JYV719774 JOZ719709:JOZ719774 JFD719709:JFD719774 IVH719709:IVH719774 ILL719709:ILL719774 IBP719709:IBP719774 HRT719709:HRT719774 HHX719709:HHX719774 GYB719709:GYB719774 GOF719709:GOF719774 GEJ719709:GEJ719774 FUN719709:FUN719774 FKR719709:FKR719774 FAV719709:FAV719774 EQZ719709:EQZ719774 EHD719709:EHD719774 DXH719709:DXH719774 DNL719709:DNL719774 DDP719709:DDP719774 CTT719709:CTT719774 CJX719709:CJX719774 CAB719709:CAB719774 BQF719709:BQF719774 BGJ719709:BGJ719774 AWN719709:AWN719774 AMR719709:AMR719774 ACV719709:ACV719774 SZ719709:SZ719774 JD719709:JD719774 H719709:H719774 WVP654173:WVP654238 WLT654173:WLT654238 WBX654173:WBX654238 VSB654173:VSB654238 VIF654173:VIF654238 UYJ654173:UYJ654238 UON654173:UON654238 UER654173:UER654238 TUV654173:TUV654238 TKZ654173:TKZ654238 TBD654173:TBD654238 SRH654173:SRH654238 SHL654173:SHL654238 RXP654173:RXP654238 RNT654173:RNT654238 RDX654173:RDX654238 QUB654173:QUB654238 QKF654173:QKF654238 QAJ654173:QAJ654238 PQN654173:PQN654238 PGR654173:PGR654238 OWV654173:OWV654238 OMZ654173:OMZ654238 ODD654173:ODD654238 NTH654173:NTH654238 NJL654173:NJL654238 MZP654173:MZP654238 MPT654173:MPT654238 MFX654173:MFX654238 LWB654173:LWB654238 LMF654173:LMF654238 LCJ654173:LCJ654238 KSN654173:KSN654238 KIR654173:KIR654238 JYV654173:JYV654238 JOZ654173:JOZ654238 JFD654173:JFD654238 IVH654173:IVH654238 ILL654173:ILL654238 IBP654173:IBP654238 HRT654173:HRT654238 HHX654173:HHX654238 GYB654173:GYB654238 GOF654173:GOF654238 GEJ654173:GEJ654238 FUN654173:FUN654238 FKR654173:FKR654238 FAV654173:FAV654238 EQZ654173:EQZ654238 EHD654173:EHD654238 DXH654173:DXH654238 DNL654173:DNL654238 DDP654173:DDP654238 CTT654173:CTT654238 CJX654173:CJX654238 CAB654173:CAB654238 BQF654173:BQF654238 BGJ654173:BGJ654238 AWN654173:AWN654238 AMR654173:AMR654238 ACV654173:ACV654238 SZ654173:SZ654238 JD654173:JD654238 H654173:H654238 WVP588637:WVP588702 WLT588637:WLT588702 WBX588637:WBX588702 VSB588637:VSB588702 VIF588637:VIF588702 UYJ588637:UYJ588702 UON588637:UON588702 UER588637:UER588702 TUV588637:TUV588702 TKZ588637:TKZ588702 TBD588637:TBD588702 SRH588637:SRH588702 SHL588637:SHL588702 RXP588637:RXP588702 RNT588637:RNT588702 RDX588637:RDX588702 QUB588637:QUB588702 QKF588637:QKF588702 QAJ588637:QAJ588702 PQN588637:PQN588702 PGR588637:PGR588702 OWV588637:OWV588702 OMZ588637:OMZ588702 ODD588637:ODD588702 NTH588637:NTH588702 NJL588637:NJL588702 MZP588637:MZP588702 MPT588637:MPT588702 MFX588637:MFX588702 LWB588637:LWB588702 LMF588637:LMF588702 LCJ588637:LCJ588702 KSN588637:KSN588702 KIR588637:KIR588702 JYV588637:JYV588702 JOZ588637:JOZ588702 JFD588637:JFD588702 IVH588637:IVH588702 ILL588637:ILL588702 IBP588637:IBP588702 HRT588637:HRT588702 HHX588637:HHX588702 GYB588637:GYB588702 GOF588637:GOF588702 GEJ588637:GEJ588702 FUN588637:FUN588702 FKR588637:FKR588702 FAV588637:FAV588702 EQZ588637:EQZ588702 EHD588637:EHD588702 DXH588637:DXH588702 DNL588637:DNL588702 DDP588637:DDP588702 CTT588637:CTT588702 CJX588637:CJX588702 CAB588637:CAB588702 BQF588637:BQF588702 BGJ588637:BGJ588702 AWN588637:AWN588702 AMR588637:AMR588702 ACV588637:ACV588702 SZ588637:SZ588702 JD588637:JD588702 H588637:H588702 WVP523101:WVP523166 WLT523101:WLT523166 WBX523101:WBX523166 VSB523101:VSB523166 VIF523101:VIF523166 UYJ523101:UYJ523166 UON523101:UON523166 UER523101:UER523166 TUV523101:TUV523166 TKZ523101:TKZ523166 TBD523101:TBD523166 SRH523101:SRH523166 SHL523101:SHL523166 RXP523101:RXP523166 RNT523101:RNT523166 RDX523101:RDX523166 QUB523101:QUB523166 QKF523101:QKF523166 QAJ523101:QAJ523166 PQN523101:PQN523166 PGR523101:PGR523166 OWV523101:OWV523166 OMZ523101:OMZ523166 ODD523101:ODD523166 NTH523101:NTH523166 NJL523101:NJL523166 MZP523101:MZP523166 MPT523101:MPT523166 MFX523101:MFX523166 LWB523101:LWB523166 LMF523101:LMF523166 LCJ523101:LCJ523166 KSN523101:KSN523166 KIR523101:KIR523166 JYV523101:JYV523166 JOZ523101:JOZ523166 JFD523101:JFD523166 IVH523101:IVH523166 ILL523101:ILL523166 IBP523101:IBP523166 HRT523101:HRT523166 HHX523101:HHX523166 GYB523101:GYB523166 GOF523101:GOF523166 GEJ523101:GEJ523166 FUN523101:FUN523166 FKR523101:FKR523166 FAV523101:FAV523166 EQZ523101:EQZ523166 EHD523101:EHD523166 DXH523101:DXH523166 DNL523101:DNL523166 DDP523101:DDP523166 CTT523101:CTT523166 CJX523101:CJX523166 CAB523101:CAB523166 BQF523101:BQF523166 BGJ523101:BGJ523166 AWN523101:AWN523166 AMR523101:AMR523166 ACV523101:ACV523166 SZ523101:SZ523166 JD523101:JD523166 H523101:H523166 WVP457565:WVP457630 WLT457565:WLT457630 WBX457565:WBX457630 VSB457565:VSB457630 VIF457565:VIF457630 UYJ457565:UYJ457630 UON457565:UON457630 UER457565:UER457630 TUV457565:TUV457630 TKZ457565:TKZ457630 TBD457565:TBD457630 SRH457565:SRH457630 SHL457565:SHL457630 RXP457565:RXP457630 RNT457565:RNT457630 RDX457565:RDX457630 QUB457565:QUB457630 QKF457565:QKF457630 QAJ457565:QAJ457630 PQN457565:PQN457630 PGR457565:PGR457630 OWV457565:OWV457630 OMZ457565:OMZ457630 ODD457565:ODD457630 NTH457565:NTH457630 NJL457565:NJL457630 MZP457565:MZP457630 MPT457565:MPT457630 MFX457565:MFX457630 LWB457565:LWB457630 LMF457565:LMF457630 LCJ457565:LCJ457630 KSN457565:KSN457630 KIR457565:KIR457630 JYV457565:JYV457630 JOZ457565:JOZ457630 JFD457565:JFD457630 IVH457565:IVH457630 ILL457565:ILL457630 IBP457565:IBP457630 HRT457565:HRT457630 HHX457565:HHX457630 GYB457565:GYB457630 GOF457565:GOF457630 GEJ457565:GEJ457630 FUN457565:FUN457630 FKR457565:FKR457630 FAV457565:FAV457630 EQZ457565:EQZ457630 EHD457565:EHD457630 DXH457565:DXH457630 DNL457565:DNL457630 DDP457565:DDP457630 CTT457565:CTT457630 CJX457565:CJX457630 CAB457565:CAB457630 BQF457565:BQF457630 BGJ457565:BGJ457630 AWN457565:AWN457630 AMR457565:AMR457630 ACV457565:ACV457630 SZ457565:SZ457630 JD457565:JD457630 H457565:H457630 WVP392029:WVP392094 WLT392029:WLT392094 WBX392029:WBX392094 VSB392029:VSB392094 VIF392029:VIF392094 UYJ392029:UYJ392094 UON392029:UON392094 UER392029:UER392094 TUV392029:TUV392094 TKZ392029:TKZ392094 TBD392029:TBD392094 SRH392029:SRH392094 SHL392029:SHL392094 RXP392029:RXP392094 RNT392029:RNT392094 RDX392029:RDX392094 QUB392029:QUB392094 QKF392029:QKF392094 QAJ392029:QAJ392094 PQN392029:PQN392094 PGR392029:PGR392094 OWV392029:OWV392094 OMZ392029:OMZ392094 ODD392029:ODD392094 NTH392029:NTH392094 NJL392029:NJL392094 MZP392029:MZP392094 MPT392029:MPT392094 MFX392029:MFX392094 LWB392029:LWB392094 LMF392029:LMF392094 LCJ392029:LCJ392094 KSN392029:KSN392094 KIR392029:KIR392094 JYV392029:JYV392094 JOZ392029:JOZ392094 JFD392029:JFD392094 IVH392029:IVH392094 ILL392029:ILL392094 IBP392029:IBP392094 HRT392029:HRT392094 HHX392029:HHX392094 GYB392029:GYB392094 GOF392029:GOF392094 GEJ392029:GEJ392094 FUN392029:FUN392094 FKR392029:FKR392094 FAV392029:FAV392094 EQZ392029:EQZ392094 EHD392029:EHD392094 DXH392029:DXH392094 DNL392029:DNL392094 DDP392029:DDP392094 CTT392029:CTT392094 CJX392029:CJX392094 CAB392029:CAB392094 BQF392029:BQF392094 BGJ392029:BGJ392094 AWN392029:AWN392094 AMR392029:AMR392094 ACV392029:ACV392094 SZ392029:SZ392094 JD392029:JD392094 H392029:H392094 WVP326493:WVP326558 WLT326493:WLT326558 WBX326493:WBX326558 VSB326493:VSB326558 VIF326493:VIF326558 UYJ326493:UYJ326558 UON326493:UON326558 UER326493:UER326558 TUV326493:TUV326558 TKZ326493:TKZ326558 TBD326493:TBD326558 SRH326493:SRH326558 SHL326493:SHL326558 RXP326493:RXP326558 RNT326493:RNT326558 RDX326493:RDX326558 QUB326493:QUB326558 QKF326493:QKF326558 QAJ326493:QAJ326558 PQN326493:PQN326558 PGR326493:PGR326558 OWV326493:OWV326558 OMZ326493:OMZ326558 ODD326493:ODD326558 NTH326493:NTH326558 NJL326493:NJL326558 MZP326493:MZP326558 MPT326493:MPT326558 MFX326493:MFX326558 LWB326493:LWB326558 LMF326493:LMF326558 LCJ326493:LCJ326558 KSN326493:KSN326558 KIR326493:KIR326558 JYV326493:JYV326558 JOZ326493:JOZ326558 JFD326493:JFD326558 IVH326493:IVH326558 ILL326493:ILL326558 IBP326493:IBP326558 HRT326493:HRT326558 HHX326493:HHX326558 GYB326493:GYB326558 GOF326493:GOF326558 GEJ326493:GEJ326558 FUN326493:FUN326558 FKR326493:FKR326558 FAV326493:FAV326558 EQZ326493:EQZ326558 EHD326493:EHD326558 DXH326493:DXH326558 DNL326493:DNL326558 DDP326493:DDP326558 CTT326493:CTT326558 CJX326493:CJX326558 CAB326493:CAB326558 BQF326493:BQF326558 BGJ326493:BGJ326558 AWN326493:AWN326558 AMR326493:AMR326558 ACV326493:ACV326558 SZ326493:SZ326558 JD326493:JD326558 H326493:H326558 WVP260957:WVP261022 WLT260957:WLT261022 WBX260957:WBX261022 VSB260957:VSB261022 VIF260957:VIF261022 UYJ260957:UYJ261022 UON260957:UON261022 UER260957:UER261022 TUV260957:TUV261022 TKZ260957:TKZ261022 TBD260957:TBD261022 SRH260957:SRH261022 SHL260957:SHL261022 RXP260957:RXP261022 RNT260957:RNT261022 RDX260957:RDX261022 QUB260957:QUB261022 QKF260957:QKF261022 QAJ260957:QAJ261022 PQN260957:PQN261022 PGR260957:PGR261022 OWV260957:OWV261022 OMZ260957:OMZ261022 ODD260957:ODD261022 NTH260957:NTH261022 NJL260957:NJL261022 MZP260957:MZP261022 MPT260957:MPT261022 MFX260957:MFX261022 LWB260957:LWB261022 LMF260957:LMF261022 LCJ260957:LCJ261022 KSN260957:KSN261022 KIR260957:KIR261022 JYV260957:JYV261022 JOZ260957:JOZ261022 JFD260957:JFD261022 IVH260957:IVH261022 ILL260957:ILL261022 IBP260957:IBP261022 HRT260957:HRT261022 HHX260957:HHX261022 GYB260957:GYB261022 GOF260957:GOF261022 GEJ260957:GEJ261022 FUN260957:FUN261022 FKR260957:FKR261022 FAV260957:FAV261022 EQZ260957:EQZ261022 EHD260957:EHD261022 DXH260957:DXH261022 DNL260957:DNL261022 DDP260957:DDP261022 CTT260957:CTT261022 CJX260957:CJX261022 CAB260957:CAB261022 BQF260957:BQF261022 BGJ260957:BGJ261022 AWN260957:AWN261022 AMR260957:AMR261022 ACV260957:ACV261022 SZ260957:SZ261022 JD260957:JD261022 H260957:H261022 WVP195421:WVP195486 WLT195421:WLT195486 WBX195421:WBX195486 VSB195421:VSB195486 VIF195421:VIF195486 UYJ195421:UYJ195486 UON195421:UON195486 UER195421:UER195486 TUV195421:TUV195486 TKZ195421:TKZ195486 TBD195421:TBD195486 SRH195421:SRH195486 SHL195421:SHL195486 RXP195421:RXP195486 RNT195421:RNT195486 RDX195421:RDX195486 QUB195421:QUB195486 QKF195421:QKF195486 QAJ195421:QAJ195486 PQN195421:PQN195486 PGR195421:PGR195486 OWV195421:OWV195486 OMZ195421:OMZ195486 ODD195421:ODD195486 NTH195421:NTH195486 NJL195421:NJL195486 MZP195421:MZP195486 MPT195421:MPT195486 MFX195421:MFX195486 LWB195421:LWB195486 LMF195421:LMF195486 LCJ195421:LCJ195486 KSN195421:KSN195486 KIR195421:KIR195486 JYV195421:JYV195486 JOZ195421:JOZ195486 JFD195421:JFD195486 IVH195421:IVH195486 ILL195421:ILL195486 IBP195421:IBP195486 HRT195421:HRT195486 HHX195421:HHX195486 GYB195421:GYB195486 GOF195421:GOF195486 GEJ195421:GEJ195486 FUN195421:FUN195486 FKR195421:FKR195486 FAV195421:FAV195486 EQZ195421:EQZ195486 EHD195421:EHD195486 DXH195421:DXH195486 DNL195421:DNL195486 DDP195421:DDP195486 CTT195421:CTT195486 CJX195421:CJX195486 CAB195421:CAB195486 BQF195421:BQF195486 BGJ195421:BGJ195486 AWN195421:AWN195486 AMR195421:AMR195486 ACV195421:ACV195486 SZ195421:SZ195486 JD195421:JD195486 H195421:H195486 WVP129885:WVP129950 WLT129885:WLT129950 WBX129885:WBX129950 VSB129885:VSB129950 VIF129885:VIF129950 UYJ129885:UYJ129950 UON129885:UON129950 UER129885:UER129950 TUV129885:TUV129950 TKZ129885:TKZ129950 TBD129885:TBD129950 SRH129885:SRH129950 SHL129885:SHL129950 RXP129885:RXP129950 RNT129885:RNT129950 RDX129885:RDX129950 QUB129885:QUB129950 QKF129885:QKF129950 QAJ129885:QAJ129950 PQN129885:PQN129950 PGR129885:PGR129950 OWV129885:OWV129950 OMZ129885:OMZ129950 ODD129885:ODD129950 NTH129885:NTH129950 NJL129885:NJL129950 MZP129885:MZP129950 MPT129885:MPT129950 MFX129885:MFX129950 LWB129885:LWB129950 LMF129885:LMF129950 LCJ129885:LCJ129950 KSN129885:KSN129950 KIR129885:KIR129950 JYV129885:JYV129950 JOZ129885:JOZ129950 JFD129885:JFD129950 IVH129885:IVH129950 ILL129885:ILL129950 IBP129885:IBP129950 HRT129885:HRT129950 HHX129885:HHX129950 GYB129885:GYB129950 GOF129885:GOF129950 GEJ129885:GEJ129950 FUN129885:FUN129950 FKR129885:FKR129950 FAV129885:FAV129950 EQZ129885:EQZ129950 EHD129885:EHD129950 DXH129885:DXH129950 DNL129885:DNL129950 DDP129885:DDP129950 CTT129885:CTT129950 CJX129885:CJX129950 CAB129885:CAB129950 BQF129885:BQF129950 BGJ129885:BGJ129950 AWN129885:AWN129950 AMR129885:AMR129950 ACV129885:ACV129950 SZ129885:SZ129950 JD129885:JD129950 H129885:H129950 WVP64349:WVP64414 WLT64349:WLT64414 WBX64349:WBX64414 VSB64349:VSB64414 VIF64349:VIF64414 UYJ64349:UYJ64414 UON64349:UON64414 UER64349:UER64414 TUV64349:TUV64414 TKZ64349:TKZ64414 TBD64349:TBD64414 SRH64349:SRH64414 SHL64349:SHL64414 RXP64349:RXP64414 RNT64349:RNT64414 RDX64349:RDX64414 QUB64349:QUB64414 QKF64349:QKF64414 QAJ64349:QAJ64414 PQN64349:PQN64414 PGR64349:PGR64414 OWV64349:OWV64414 OMZ64349:OMZ64414 ODD64349:ODD64414 NTH64349:NTH64414 NJL64349:NJL64414 MZP64349:MZP64414 MPT64349:MPT64414 MFX64349:MFX64414 LWB64349:LWB64414 LMF64349:LMF64414 LCJ64349:LCJ64414 KSN64349:KSN64414 KIR64349:KIR64414 JYV64349:JYV64414 JOZ64349:JOZ64414 JFD64349:JFD64414 IVH64349:IVH64414 ILL64349:ILL64414 IBP64349:IBP64414 HRT64349:HRT64414 HHX64349:HHX64414 GYB64349:GYB64414 GOF64349:GOF64414 GEJ64349:GEJ64414 FUN64349:FUN64414 FKR64349:FKR64414 FAV64349:FAV64414 EQZ64349:EQZ64414 EHD64349:EHD64414 DXH64349:DXH64414 DNL64349:DNL64414 DDP64349:DDP64414 CTT64349:CTT64414 CJX64349:CJX64414 CAB64349:CAB64414 BQF64349:BQF64414 BGJ64349:BGJ64414 AWN64349:AWN64414 AMR64349:AMR64414 ACV64349:ACV64414 SZ64349:SZ64414 JD64349:JD64414">
      <formula1>$AL$5:$AL$12</formula1>
    </dataValidation>
    <dataValidation type="list" allowBlank="1" showInputMessage="1" showErrorMessage="1" sqref="E64349:F64414 WVM983028:WVN983099 SW64349:SX64414 ACS64349:ACT64414 AMO64349:AMP64414 AWK64349:AWL64414 BGG64349:BGH64414 BQC64349:BQD64414 BZY64349:BZZ64414 CJU64349:CJV64414 CTQ64349:CTR64414 DDM64349:DDN64414 DNI64349:DNJ64414 DXE64349:DXF64414 EHA64349:EHB64414 EQW64349:EQX64414 FAS64349:FAT64414 FKO64349:FKP64414 FUK64349:FUL64414 GEG64349:GEH64414 GOC64349:GOD64414 GXY64349:GXZ64414 HHU64349:HHV64414 HRQ64349:HRR64414 IBM64349:IBN64414 ILI64349:ILJ64414 IVE64349:IVF64414 JFA64349:JFB64414 JOW64349:JOX64414 JYS64349:JYT64414 KIO64349:KIP64414 KSK64349:KSL64414 LCG64349:LCH64414 LMC64349:LMD64414 LVY64349:LVZ64414 MFU64349:MFV64414 MPQ64349:MPR64414 MZM64349:MZN64414 NJI64349:NJJ64414 NTE64349:NTF64414 ODA64349:ODB64414 OMW64349:OMX64414 OWS64349:OWT64414 PGO64349:PGP64414 PQK64349:PQL64414 QAG64349:QAH64414 QKC64349:QKD64414 QTY64349:QTZ64414 RDU64349:RDV64414 RNQ64349:RNR64414 RXM64349:RXN64414 SHI64349:SHJ64414 SRE64349:SRF64414 TBA64349:TBB64414 TKW64349:TKX64414 TUS64349:TUT64414 UEO64349:UEP64414 UOK64349:UOL64414 UYG64349:UYH64414 VIC64349:VID64414 VRY64349:VRZ64414 WBU64349:WBV64414 WLQ64349:WLR64414 WVM64349:WVN64414 E129885:F129950 JA129885:JB129950 SW129885:SX129950 ACS129885:ACT129950 AMO129885:AMP129950 AWK129885:AWL129950 BGG129885:BGH129950 BQC129885:BQD129950 BZY129885:BZZ129950 CJU129885:CJV129950 CTQ129885:CTR129950 DDM129885:DDN129950 DNI129885:DNJ129950 DXE129885:DXF129950 EHA129885:EHB129950 EQW129885:EQX129950 FAS129885:FAT129950 FKO129885:FKP129950 FUK129885:FUL129950 GEG129885:GEH129950 GOC129885:GOD129950 GXY129885:GXZ129950 HHU129885:HHV129950 HRQ129885:HRR129950 IBM129885:IBN129950 ILI129885:ILJ129950 IVE129885:IVF129950 JFA129885:JFB129950 JOW129885:JOX129950 JYS129885:JYT129950 KIO129885:KIP129950 KSK129885:KSL129950 LCG129885:LCH129950 LMC129885:LMD129950 LVY129885:LVZ129950 MFU129885:MFV129950 MPQ129885:MPR129950 MZM129885:MZN129950 NJI129885:NJJ129950 NTE129885:NTF129950 ODA129885:ODB129950 OMW129885:OMX129950 OWS129885:OWT129950 PGO129885:PGP129950 PQK129885:PQL129950 QAG129885:QAH129950 QKC129885:QKD129950 QTY129885:QTZ129950 RDU129885:RDV129950 RNQ129885:RNR129950 RXM129885:RXN129950 SHI129885:SHJ129950 SRE129885:SRF129950 TBA129885:TBB129950 TKW129885:TKX129950 TUS129885:TUT129950 UEO129885:UEP129950 UOK129885:UOL129950 UYG129885:UYH129950 VIC129885:VID129950 VRY129885:VRZ129950 WBU129885:WBV129950 WLQ129885:WLR129950 WVM129885:WVN129950 E195421:F195486 JA195421:JB195486 SW195421:SX195486 ACS195421:ACT195486 AMO195421:AMP195486 AWK195421:AWL195486 BGG195421:BGH195486 BQC195421:BQD195486 BZY195421:BZZ195486 CJU195421:CJV195486 CTQ195421:CTR195486 DDM195421:DDN195486 DNI195421:DNJ195486 DXE195421:DXF195486 EHA195421:EHB195486 EQW195421:EQX195486 FAS195421:FAT195486 FKO195421:FKP195486 FUK195421:FUL195486 GEG195421:GEH195486 GOC195421:GOD195486 GXY195421:GXZ195486 HHU195421:HHV195486 HRQ195421:HRR195486 IBM195421:IBN195486 ILI195421:ILJ195486 IVE195421:IVF195486 JFA195421:JFB195486 JOW195421:JOX195486 JYS195421:JYT195486 KIO195421:KIP195486 KSK195421:KSL195486 LCG195421:LCH195486 LMC195421:LMD195486 LVY195421:LVZ195486 MFU195421:MFV195486 MPQ195421:MPR195486 MZM195421:MZN195486 NJI195421:NJJ195486 NTE195421:NTF195486 ODA195421:ODB195486 OMW195421:OMX195486 OWS195421:OWT195486 PGO195421:PGP195486 PQK195421:PQL195486 QAG195421:QAH195486 QKC195421:QKD195486 QTY195421:QTZ195486 RDU195421:RDV195486 RNQ195421:RNR195486 RXM195421:RXN195486 SHI195421:SHJ195486 SRE195421:SRF195486 TBA195421:TBB195486 TKW195421:TKX195486 TUS195421:TUT195486 UEO195421:UEP195486 UOK195421:UOL195486 UYG195421:UYH195486 VIC195421:VID195486 VRY195421:VRZ195486 WBU195421:WBV195486 WLQ195421:WLR195486 WVM195421:WVN195486 E260957:F261022 JA260957:JB261022 SW260957:SX261022 ACS260957:ACT261022 AMO260957:AMP261022 AWK260957:AWL261022 BGG260957:BGH261022 BQC260957:BQD261022 BZY260957:BZZ261022 CJU260957:CJV261022 CTQ260957:CTR261022 DDM260957:DDN261022 DNI260957:DNJ261022 DXE260957:DXF261022 EHA260957:EHB261022 EQW260957:EQX261022 FAS260957:FAT261022 FKO260957:FKP261022 FUK260957:FUL261022 GEG260957:GEH261022 GOC260957:GOD261022 GXY260957:GXZ261022 HHU260957:HHV261022 HRQ260957:HRR261022 IBM260957:IBN261022 ILI260957:ILJ261022 IVE260957:IVF261022 JFA260957:JFB261022 JOW260957:JOX261022 JYS260957:JYT261022 KIO260957:KIP261022 KSK260957:KSL261022 LCG260957:LCH261022 LMC260957:LMD261022 LVY260957:LVZ261022 MFU260957:MFV261022 MPQ260957:MPR261022 MZM260957:MZN261022 NJI260957:NJJ261022 NTE260957:NTF261022 ODA260957:ODB261022 OMW260957:OMX261022 OWS260957:OWT261022 PGO260957:PGP261022 PQK260957:PQL261022 QAG260957:QAH261022 QKC260957:QKD261022 QTY260957:QTZ261022 RDU260957:RDV261022 RNQ260957:RNR261022 RXM260957:RXN261022 SHI260957:SHJ261022 SRE260957:SRF261022 TBA260957:TBB261022 TKW260957:TKX261022 TUS260957:TUT261022 UEO260957:UEP261022 UOK260957:UOL261022 UYG260957:UYH261022 VIC260957:VID261022 VRY260957:VRZ261022 WBU260957:WBV261022 WLQ260957:WLR261022 WVM260957:WVN261022 E326493:F326558 JA326493:JB326558 SW326493:SX326558 ACS326493:ACT326558 AMO326493:AMP326558 AWK326493:AWL326558 BGG326493:BGH326558 BQC326493:BQD326558 BZY326493:BZZ326558 CJU326493:CJV326558 CTQ326493:CTR326558 DDM326493:DDN326558 DNI326493:DNJ326558 DXE326493:DXF326558 EHA326493:EHB326558 EQW326493:EQX326558 FAS326493:FAT326558 FKO326493:FKP326558 FUK326493:FUL326558 GEG326493:GEH326558 GOC326493:GOD326558 GXY326493:GXZ326558 HHU326493:HHV326558 HRQ326493:HRR326558 IBM326493:IBN326558 ILI326493:ILJ326558 IVE326493:IVF326558 JFA326493:JFB326558 JOW326493:JOX326558 JYS326493:JYT326558 KIO326493:KIP326558 KSK326493:KSL326558 LCG326493:LCH326558 LMC326493:LMD326558 LVY326493:LVZ326558 MFU326493:MFV326558 MPQ326493:MPR326558 MZM326493:MZN326558 NJI326493:NJJ326558 NTE326493:NTF326558 ODA326493:ODB326558 OMW326493:OMX326558 OWS326493:OWT326558 PGO326493:PGP326558 PQK326493:PQL326558 QAG326493:QAH326558 QKC326493:QKD326558 QTY326493:QTZ326558 RDU326493:RDV326558 RNQ326493:RNR326558 RXM326493:RXN326558 SHI326493:SHJ326558 SRE326493:SRF326558 TBA326493:TBB326558 TKW326493:TKX326558 TUS326493:TUT326558 UEO326493:UEP326558 UOK326493:UOL326558 UYG326493:UYH326558 VIC326493:VID326558 VRY326493:VRZ326558 WBU326493:WBV326558 WLQ326493:WLR326558 WVM326493:WVN326558 E392029:F392094 JA392029:JB392094 SW392029:SX392094 ACS392029:ACT392094 AMO392029:AMP392094 AWK392029:AWL392094 BGG392029:BGH392094 BQC392029:BQD392094 BZY392029:BZZ392094 CJU392029:CJV392094 CTQ392029:CTR392094 DDM392029:DDN392094 DNI392029:DNJ392094 DXE392029:DXF392094 EHA392029:EHB392094 EQW392029:EQX392094 FAS392029:FAT392094 FKO392029:FKP392094 FUK392029:FUL392094 GEG392029:GEH392094 GOC392029:GOD392094 GXY392029:GXZ392094 HHU392029:HHV392094 HRQ392029:HRR392094 IBM392029:IBN392094 ILI392029:ILJ392094 IVE392029:IVF392094 JFA392029:JFB392094 JOW392029:JOX392094 JYS392029:JYT392094 KIO392029:KIP392094 KSK392029:KSL392094 LCG392029:LCH392094 LMC392029:LMD392094 LVY392029:LVZ392094 MFU392029:MFV392094 MPQ392029:MPR392094 MZM392029:MZN392094 NJI392029:NJJ392094 NTE392029:NTF392094 ODA392029:ODB392094 OMW392029:OMX392094 OWS392029:OWT392094 PGO392029:PGP392094 PQK392029:PQL392094 QAG392029:QAH392094 QKC392029:QKD392094 QTY392029:QTZ392094 RDU392029:RDV392094 RNQ392029:RNR392094 RXM392029:RXN392094 SHI392029:SHJ392094 SRE392029:SRF392094 TBA392029:TBB392094 TKW392029:TKX392094 TUS392029:TUT392094 UEO392029:UEP392094 UOK392029:UOL392094 UYG392029:UYH392094 VIC392029:VID392094 VRY392029:VRZ392094 WBU392029:WBV392094 WLQ392029:WLR392094 WVM392029:WVN392094 E457565:F457630 JA457565:JB457630 SW457565:SX457630 ACS457565:ACT457630 AMO457565:AMP457630 AWK457565:AWL457630 BGG457565:BGH457630 BQC457565:BQD457630 BZY457565:BZZ457630 CJU457565:CJV457630 CTQ457565:CTR457630 DDM457565:DDN457630 DNI457565:DNJ457630 DXE457565:DXF457630 EHA457565:EHB457630 EQW457565:EQX457630 FAS457565:FAT457630 FKO457565:FKP457630 FUK457565:FUL457630 GEG457565:GEH457630 GOC457565:GOD457630 GXY457565:GXZ457630 HHU457565:HHV457630 HRQ457565:HRR457630 IBM457565:IBN457630 ILI457565:ILJ457630 IVE457565:IVF457630 JFA457565:JFB457630 JOW457565:JOX457630 JYS457565:JYT457630 KIO457565:KIP457630 KSK457565:KSL457630 LCG457565:LCH457630 LMC457565:LMD457630 LVY457565:LVZ457630 MFU457565:MFV457630 MPQ457565:MPR457630 MZM457565:MZN457630 NJI457565:NJJ457630 NTE457565:NTF457630 ODA457565:ODB457630 OMW457565:OMX457630 OWS457565:OWT457630 PGO457565:PGP457630 PQK457565:PQL457630 QAG457565:QAH457630 QKC457565:QKD457630 QTY457565:QTZ457630 RDU457565:RDV457630 RNQ457565:RNR457630 RXM457565:RXN457630 SHI457565:SHJ457630 SRE457565:SRF457630 TBA457565:TBB457630 TKW457565:TKX457630 TUS457565:TUT457630 UEO457565:UEP457630 UOK457565:UOL457630 UYG457565:UYH457630 VIC457565:VID457630 VRY457565:VRZ457630 WBU457565:WBV457630 WLQ457565:WLR457630 WVM457565:WVN457630 E523101:F523166 JA523101:JB523166 SW523101:SX523166 ACS523101:ACT523166 AMO523101:AMP523166 AWK523101:AWL523166 BGG523101:BGH523166 BQC523101:BQD523166 BZY523101:BZZ523166 CJU523101:CJV523166 CTQ523101:CTR523166 DDM523101:DDN523166 DNI523101:DNJ523166 DXE523101:DXF523166 EHA523101:EHB523166 EQW523101:EQX523166 FAS523101:FAT523166 FKO523101:FKP523166 FUK523101:FUL523166 GEG523101:GEH523166 GOC523101:GOD523166 GXY523101:GXZ523166 HHU523101:HHV523166 HRQ523101:HRR523166 IBM523101:IBN523166 ILI523101:ILJ523166 IVE523101:IVF523166 JFA523101:JFB523166 JOW523101:JOX523166 JYS523101:JYT523166 KIO523101:KIP523166 KSK523101:KSL523166 LCG523101:LCH523166 LMC523101:LMD523166 LVY523101:LVZ523166 MFU523101:MFV523166 MPQ523101:MPR523166 MZM523101:MZN523166 NJI523101:NJJ523166 NTE523101:NTF523166 ODA523101:ODB523166 OMW523101:OMX523166 OWS523101:OWT523166 PGO523101:PGP523166 PQK523101:PQL523166 QAG523101:QAH523166 QKC523101:QKD523166 QTY523101:QTZ523166 RDU523101:RDV523166 RNQ523101:RNR523166 RXM523101:RXN523166 SHI523101:SHJ523166 SRE523101:SRF523166 TBA523101:TBB523166 TKW523101:TKX523166 TUS523101:TUT523166 UEO523101:UEP523166 UOK523101:UOL523166 UYG523101:UYH523166 VIC523101:VID523166 VRY523101:VRZ523166 WBU523101:WBV523166 WLQ523101:WLR523166 WVM523101:WVN523166 E588637:F588702 JA588637:JB588702 SW588637:SX588702 ACS588637:ACT588702 AMO588637:AMP588702 AWK588637:AWL588702 BGG588637:BGH588702 BQC588637:BQD588702 BZY588637:BZZ588702 CJU588637:CJV588702 CTQ588637:CTR588702 DDM588637:DDN588702 DNI588637:DNJ588702 DXE588637:DXF588702 EHA588637:EHB588702 EQW588637:EQX588702 FAS588637:FAT588702 FKO588637:FKP588702 FUK588637:FUL588702 GEG588637:GEH588702 GOC588637:GOD588702 GXY588637:GXZ588702 HHU588637:HHV588702 HRQ588637:HRR588702 IBM588637:IBN588702 ILI588637:ILJ588702 IVE588637:IVF588702 JFA588637:JFB588702 JOW588637:JOX588702 JYS588637:JYT588702 KIO588637:KIP588702 KSK588637:KSL588702 LCG588637:LCH588702 LMC588637:LMD588702 LVY588637:LVZ588702 MFU588637:MFV588702 MPQ588637:MPR588702 MZM588637:MZN588702 NJI588637:NJJ588702 NTE588637:NTF588702 ODA588637:ODB588702 OMW588637:OMX588702 OWS588637:OWT588702 PGO588637:PGP588702 PQK588637:PQL588702 QAG588637:QAH588702 QKC588637:QKD588702 QTY588637:QTZ588702 RDU588637:RDV588702 RNQ588637:RNR588702 RXM588637:RXN588702 SHI588637:SHJ588702 SRE588637:SRF588702 TBA588637:TBB588702 TKW588637:TKX588702 TUS588637:TUT588702 UEO588637:UEP588702 UOK588637:UOL588702 UYG588637:UYH588702 VIC588637:VID588702 VRY588637:VRZ588702 WBU588637:WBV588702 WLQ588637:WLR588702 WVM588637:WVN588702 E654173:F654238 JA654173:JB654238 SW654173:SX654238 ACS654173:ACT654238 AMO654173:AMP654238 AWK654173:AWL654238 BGG654173:BGH654238 BQC654173:BQD654238 BZY654173:BZZ654238 CJU654173:CJV654238 CTQ654173:CTR654238 DDM654173:DDN654238 DNI654173:DNJ654238 DXE654173:DXF654238 EHA654173:EHB654238 EQW654173:EQX654238 FAS654173:FAT654238 FKO654173:FKP654238 FUK654173:FUL654238 GEG654173:GEH654238 GOC654173:GOD654238 GXY654173:GXZ654238 HHU654173:HHV654238 HRQ654173:HRR654238 IBM654173:IBN654238 ILI654173:ILJ654238 IVE654173:IVF654238 JFA654173:JFB654238 JOW654173:JOX654238 JYS654173:JYT654238 KIO654173:KIP654238 KSK654173:KSL654238 LCG654173:LCH654238 LMC654173:LMD654238 LVY654173:LVZ654238 MFU654173:MFV654238 MPQ654173:MPR654238 MZM654173:MZN654238 NJI654173:NJJ654238 NTE654173:NTF654238 ODA654173:ODB654238 OMW654173:OMX654238 OWS654173:OWT654238 PGO654173:PGP654238 PQK654173:PQL654238 QAG654173:QAH654238 QKC654173:QKD654238 QTY654173:QTZ654238 RDU654173:RDV654238 RNQ654173:RNR654238 RXM654173:RXN654238 SHI654173:SHJ654238 SRE654173:SRF654238 TBA654173:TBB654238 TKW654173:TKX654238 TUS654173:TUT654238 UEO654173:UEP654238 UOK654173:UOL654238 UYG654173:UYH654238 VIC654173:VID654238 VRY654173:VRZ654238 WBU654173:WBV654238 WLQ654173:WLR654238 WVM654173:WVN654238 E719709:F719774 JA719709:JB719774 SW719709:SX719774 ACS719709:ACT719774 AMO719709:AMP719774 AWK719709:AWL719774 BGG719709:BGH719774 BQC719709:BQD719774 BZY719709:BZZ719774 CJU719709:CJV719774 CTQ719709:CTR719774 DDM719709:DDN719774 DNI719709:DNJ719774 DXE719709:DXF719774 EHA719709:EHB719774 EQW719709:EQX719774 FAS719709:FAT719774 FKO719709:FKP719774 FUK719709:FUL719774 GEG719709:GEH719774 GOC719709:GOD719774 GXY719709:GXZ719774 HHU719709:HHV719774 HRQ719709:HRR719774 IBM719709:IBN719774 ILI719709:ILJ719774 IVE719709:IVF719774 JFA719709:JFB719774 JOW719709:JOX719774 JYS719709:JYT719774 KIO719709:KIP719774 KSK719709:KSL719774 LCG719709:LCH719774 LMC719709:LMD719774 LVY719709:LVZ719774 MFU719709:MFV719774 MPQ719709:MPR719774 MZM719709:MZN719774 NJI719709:NJJ719774 NTE719709:NTF719774 ODA719709:ODB719774 OMW719709:OMX719774 OWS719709:OWT719774 PGO719709:PGP719774 PQK719709:PQL719774 QAG719709:QAH719774 QKC719709:QKD719774 QTY719709:QTZ719774 RDU719709:RDV719774 RNQ719709:RNR719774 RXM719709:RXN719774 SHI719709:SHJ719774 SRE719709:SRF719774 TBA719709:TBB719774 TKW719709:TKX719774 TUS719709:TUT719774 UEO719709:UEP719774 UOK719709:UOL719774 UYG719709:UYH719774 VIC719709:VID719774 VRY719709:VRZ719774 WBU719709:WBV719774 WLQ719709:WLR719774 WVM719709:WVN719774 E785245:F785310 JA785245:JB785310 SW785245:SX785310 ACS785245:ACT785310 AMO785245:AMP785310 AWK785245:AWL785310 BGG785245:BGH785310 BQC785245:BQD785310 BZY785245:BZZ785310 CJU785245:CJV785310 CTQ785245:CTR785310 DDM785245:DDN785310 DNI785245:DNJ785310 DXE785245:DXF785310 EHA785245:EHB785310 EQW785245:EQX785310 FAS785245:FAT785310 FKO785245:FKP785310 FUK785245:FUL785310 GEG785245:GEH785310 GOC785245:GOD785310 GXY785245:GXZ785310 HHU785245:HHV785310 HRQ785245:HRR785310 IBM785245:IBN785310 ILI785245:ILJ785310 IVE785245:IVF785310 JFA785245:JFB785310 JOW785245:JOX785310 JYS785245:JYT785310 KIO785245:KIP785310 KSK785245:KSL785310 LCG785245:LCH785310 LMC785245:LMD785310 LVY785245:LVZ785310 MFU785245:MFV785310 MPQ785245:MPR785310 MZM785245:MZN785310 NJI785245:NJJ785310 NTE785245:NTF785310 ODA785245:ODB785310 OMW785245:OMX785310 OWS785245:OWT785310 PGO785245:PGP785310 PQK785245:PQL785310 QAG785245:QAH785310 QKC785245:QKD785310 QTY785245:QTZ785310 RDU785245:RDV785310 RNQ785245:RNR785310 RXM785245:RXN785310 SHI785245:SHJ785310 SRE785245:SRF785310 TBA785245:TBB785310 TKW785245:TKX785310 TUS785245:TUT785310 UEO785245:UEP785310 UOK785245:UOL785310 UYG785245:UYH785310 VIC785245:VID785310 VRY785245:VRZ785310 WBU785245:WBV785310 WLQ785245:WLR785310 WVM785245:WVN785310 E850781:F850846 JA850781:JB850846 SW850781:SX850846 ACS850781:ACT850846 AMO850781:AMP850846 AWK850781:AWL850846 BGG850781:BGH850846 BQC850781:BQD850846 BZY850781:BZZ850846 CJU850781:CJV850846 CTQ850781:CTR850846 DDM850781:DDN850846 DNI850781:DNJ850846 DXE850781:DXF850846 EHA850781:EHB850846 EQW850781:EQX850846 FAS850781:FAT850846 FKO850781:FKP850846 FUK850781:FUL850846 GEG850781:GEH850846 GOC850781:GOD850846 GXY850781:GXZ850846 HHU850781:HHV850846 HRQ850781:HRR850846 IBM850781:IBN850846 ILI850781:ILJ850846 IVE850781:IVF850846 JFA850781:JFB850846 JOW850781:JOX850846 JYS850781:JYT850846 KIO850781:KIP850846 KSK850781:KSL850846 LCG850781:LCH850846 LMC850781:LMD850846 LVY850781:LVZ850846 MFU850781:MFV850846 MPQ850781:MPR850846 MZM850781:MZN850846 NJI850781:NJJ850846 NTE850781:NTF850846 ODA850781:ODB850846 OMW850781:OMX850846 OWS850781:OWT850846 PGO850781:PGP850846 PQK850781:PQL850846 QAG850781:QAH850846 QKC850781:QKD850846 QTY850781:QTZ850846 RDU850781:RDV850846 RNQ850781:RNR850846 RXM850781:RXN850846 SHI850781:SHJ850846 SRE850781:SRF850846 TBA850781:TBB850846 TKW850781:TKX850846 TUS850781:TUT850846 UEO850781:UEP850846 UOK850781:UOL850846 UYG850781:UYH850846 VIC850781:VID850846 VRY850781:VRZ850846 WBU850781:WBV850846 WLQ850781:WLR850846 WVM850781:WVN850846 E916317:F916382 JA916317:JB916382 SW916317:SX916382 ACS916317:ACT916382 AMO916317:AMP916382 AWK916317:AWL916382 BGG916317:BGH916382 BQC916317:BQD916382 BZY916317:BZZ916382 CJU916317:CJV916382 CTQ916317:CTR916382 DDM916317:DDN916382 DNI916317:DNJ916382 DXE916317:DXF916382 EHA916317:EHB916382 EQW916317:EQX916382 FAS916317:FAT916382 FKO916317:FKP916382 FUK916317:FUL916382 GEG916317:GEH916382 GOC916317:GOD916382 GXY916317:GXZ916382 HHU916317:HHV916382 HRQ916317:HRR916382 IBM916317:IBN916382 ILI916317:ILJ916382 IVE916317:IVF916382 JFA916317:JFB916382 JOW916317:JOX916382 JYS916317:JYT916382 KIO916317:KIP916382 KSK916317:KSL916382 LCG916317:LCH916382 LMC916317:LMD916382 LVY916317:LVZ916382 MFU916317:MFV916382 MPQ916317:MPR916382 MZM916317:MZN916382 NJI916317:NJJ916382 NTE916317:NTF916382 ODA916317:ODB916382 OMW916317:OMX916382 OWS916317:OWT916382 PGO916317:PGP916382 PQK916317:PQL916382 QAG916317:QAH916382 QKC916317:QKD916382 QTY916317:QTZ916382 RDU916317:RDV916382 RNQ916317:RNR916382 RXM916317:RXN916382 SHI916317:SHJ916382 SRE916317:SRF916382 TBA916317:TBB916382 TKW916317:TKX916382 TUS916317:TUT916382 UEO916317:UEP916382 UOK916317:UOL916382 UYG916317:UYH916382 VIC916317:VID916382 VRY916317:VRZ916382 WBU916317:WBV916382 WLQ916317:WLR916382 WVM916317:WVN916382 E981853:F981918 JA981853:JB981918 SW981853:SX981918 ACS981853:ACT981918 AMO981853:AMP981918 AWK981853:AWL981918 BGG981853:BGH981918 BQC981853:BQD981918 BZY981853:BZZ981918 CJU981853:CJV981918 CTQ981853:CTR981918 DDM981853:DDN981918 DNI981853:DNJ981918 DXE981853:DXF981918 EHA981853:EHB981918 EQW981853:EQX981918 FAS981853:FAT981918 FKO981853:FKP981918 FUK981853:FUL981918 GEG981853:GEH981918 GOC981853:GOD981918 GXY981853:GXZ981918 HHU981853:HHV981918 HRQ981853:HRR981918 IBM981853:IBN981918 ILI981853:ILJ981918 IVE981853:IVF981918 JFA981853:JFB981918 JOW981853:JOX981918 JYS981853:JYT981918 KIO981853:KIP981918 KSK981853:KSL981918 LCG981853:LCH981918 LMC981853:LMD981918 LVY981853:LVZ981918 MFU981853:MFV981918 MPQ981853:MPR981918 MZM981853:MZN981918 NJI981853:NJJ981918 NTE981853:NTF981918 ODA981853:ODB981918 OMW981853:OMX981918 OWS981853:OWT981918 PGO981853:PGP981918 PQK981853:PQL981918 QAG981853:QAH981918 QKC981853:QKD981918 QTY981853:QTZ981918 RDU981853:RDV981918 RNQ981853:RNR981918 RXM981853:RXN981918 SHI981853:SHJ981918 SRE981853:SRF981918 TBA981853:TBB981918 TKW981853:TKX981918 TUS981853:TUT981918 UEO981853:UEP981918 UOK981853:UOL981918 UYG981853:UYH981918 VIC981853:VID981918 VRY981853:VRZ981918 WBU981853:WBV981918 WLQ981853:WLR981918 WVM981853:WVN981918 E1047389:F1047454 JA1047389:JB1047454 SW1047389:SX1047454 ACS1047389:ACT1047454 AMO1047389:AMP1047454 AWK1047389:AWL1047454 BGG1047389:BGH1047454 BQC1047389:BQD1047454 BZY1047389:BZZ1047454 CJU1047389:CJV1047454 CTQ1047389:CTR1047454 DDM1047389:DDN1047454 DNI1047389:DNJ1047454 DXE1047389:DXF1047454 EHA1047389:EHB1047454 EQW1047389:EQX1047454 FAS1047389:FAT1047454 FKO1047389:FKP1047454 FUK1047389:FUL1047454 GEG1047389:GEH1047454 GOC1047389:GOD1047454 GXY1047389:GXZ1047454 HHU1047389:HHV1047454 HRQ1047389:HRR1047454 IBM1047389:IBN1047454 ILI1047389:ILJ1047454 IVE1047389:IVF1047454 JFA1047389:JFB1047454 JOW1047389:JOX1047454 JYS1047389:JYT1047454 KIO1047389:KIP1047454 KSK1047389:KSL1047454 LCG1047389:LCH1047454 LMC1047389:LMD1047454 LVY1047389:LVZ1047454 MFU1047389:MFV1047454 MPQ1047389:MPR1047454 MZM1047389:MZN1047454 NJI1047389:NJJ1047454 NTE1047389:NTF1047454 ODA1047389:ODB1047454 OMW1047389:OMX1047454 OWS1047389:OWT1047454 PGO1047389:PGP1047454 PQK1047389:PQL1047454 QAG1047389:QAH1047454 QKC1047389:QKD1047454 QTY1047389:QTZ1047454 RDU1047389:RDV1047454 RNQ1047389:RNR1047454 RXM1047389:RXN1047454 SHI1047389:SHJ1047454 SRE1047389:SRF1047454 TBA1047389:TBB1047454 TKW1047389:TKX1047454 TUS1047389:TUT1047454 UEO1047389:UEP1047454 UOK1047389:UOL1047454 UYG1047389:UYH1047454 VIC1047389:VID1047454 VRY1047389:VRZ1047454 WBU1047389:WBV1047454 WLQ1047389:WLR1047454 WVM1047389:WVN1047454 JA64349:JB64414 E65524:F65595 JA65524:JB65595 SW65524:SX65595 ACS65524:ACT65595 AMO65524:AMP65595 AWK65524:AWL65595 BGG65524:BGH65595 BQC65524:BQD65595 BZY65524:BZZ65595 CJU65524:CJV65595 CTQ65524:CTR65595 DDM65524:DDN65595 DNI65524:DNJ65595 DXE65524:DXF65595 EHA65524:EHB65595 EQW65524:EQX65595 FAS65524:FAT65595 FKO65524:FKP65595 FUK65524:FUL65595 GEG65524:GEH65595 GOC65524:GOD65595 GXY65524:GXZ65595 HHU65524:HHV65595 HRQ65524:HRR65595 IBM65524:IBN65595 ILI65524:ILJ65595 IVE65524:IVF65595 JFA65524:JFB65595 JOW65524:JOX65595 JYS65524:JYT65595 KIO65524:KIP65595 KSK65524:KSL65595 LCG65524:LCH65595 LMC65524:LMD65595 LVY65524:LVZ65595 MFU65524:MFV65595 MPQ65524:MPR65595 MZM65524:MZN65595 NJI65524:NJJ65595 NTE65524:NTF65595 ODA65524:ODB65595 OMW65524:OMX65595 OWS65524:OWT65595 PGO65524:PGP65595 PQK65524:PQL65595 QAG65524:QAH65595 QKC65524:QKD65595 QTY65524:QTZ65595 RDU65524:RDV65595 RNQ65524:RNR65595 RXM65524:RXN65595 SHI65524:SHJ65595 SRE65524:SRF65595 TBA65524:TBB65595 TKW65524:TKX65595 TUS65524:TUT65595 UEO65524:UEP65595 UOK65524:UOL65595 UYG65524:UYH65595 VIC65524:VID65595 VRY65524:VRZ65595 WBU65524:WBV65595 WLQ65524:WLR65595 WVM65524:WVN65595 E131060:F131131 JA131060:JB131131 SW131060:SX131131 ACS131060:ACT131131 AMO131060:AMP131131 AWK131060:AWL131131 BGG131060:BGH131131 BQC131060:BQD131131 BZY131060:BZZ131131 CJU131060:CJV131131 CTQ131060:CTR131131 DDM131060:DDN131131 DNI131060:DNJ131131 DXE131060:DXF131131 EHA131060:EHB131131 EQW131060:EQX131131 FAS131060:FAT131131 FKO131060:FKP131131 FUK131060:FUL131131 GEG131060:GEH131131 GOC131060:GOD131131 GXY131060:GXZ131131 HHU131060:HHV131131 HRQ131060:HRR131131 IBM131060:IBN131131 ILI131060:ILJ131131 IVE131060:IVF131131 JFA131060:JFB131131 JOW131060:JOX131131 JYS131060:JYT131131 KIO131060:KIP131131 KSK131060:KSL131131 LCG131060:LCH131131 LMC131060:LMD131131 LVY131060:LVZ131131 MFU131060:MFV131131 MPQ131060:MPR131131 MZM131060:MZN131131 NJI131060:NJJ131131 NTE131060:NTF131131 ODA131060:ODB131131 OMW131060:OMX131131 OWS131060:OWT131131 PGO131060:PGP131131 PQK131060:PQL131131 QAG131060:QAH131131 QKC131060:QKD131131 QTY131060:QTZ131131 RDU131060:RDV131131 RNQ131060:RNR131131 RXM131060:RXN131131 SHI131060:SHJ131131 SRE131060:SRF131131 TBA131060:TBB131131 TKW131060:TKX131131 TUS131060:TUT131131 UEO131060:UEP131131 UOK131060:UOL131131 UYG131060:UYH131131 VIC131060:VID131131 VRY131060:VRZ131131 WBU131060:WBV131131 WLQ131060:WLR131131 WVM131060:WVN131131 E196596:F196667 JA196596:JB196667 SW196596:SX196667 ACS196596:ACT196667 AMO196596:AMP196667 AWK196596:AWL196667 BGG196596:BGH196667 BQC196596:BQD196667 BZY196596:BZZ196667 CJU196596:CJV196667 CTQ196596:CTR196667 DDM196596:DDN196667 DNI196596:DNJ196667 DXE196596:DXF196667 EHA196596:EHB196667 EQW196596:EQX196667 FAS196596:FAT196667 FKO196596:FKP196667 FUK196596:FUL196667 GEG196596:GEH196667 GOC196596:GOD196667 GXY196596:GXZ196667 HHU196596:HHV196667 HRQ196596:HRR196667 IBM196596:IBN196667 ILI196596:ILJ196667 IVE196596:IVF196667 JFA196596:JFB196667 JOW196596:JOX196667 JYS196596:JYT196667 KIO196596:KIP196667 KSK196596:KSL196667 LCG196596:LCH196667 LMC196596:LMD196667 LVY196596:LVZ196667 MFU196596:MFV196667 MPQ196596:MPR196667 MZM196596:MZN196667 NJI196596:NJJ196667 NTE196596:NTF196667 ODA196596:ODB196667 OMW196596:OMX196667 OWS196596:OWT196667 PGO196596:PGP196667 PQK196596:PQL196667 QAG196596:QAH196667 QKC196596:QKD196667 QTY196596:QTZ196667 RDU196596:RDV196667 RNQ196596:RNR196667 RXM196596:RXN196667 SHI196596:SHJ196667 SRE196596:SRF196667 TBA196596:TBB196667 TKW196596:TKX196667 TUS196596:TUT196667 UEO196596:UEP196667 UOK196596:UOL196667 UYG196596:UYH196667 VIC196596:VID196667 VRY196596:VRZ196667 WBU196596:WBV196667 WLQ196596:WLR196667 WVM196596:WVN196667 E262132:F262203 JA262132:JB262203 SW262132:SX262203 ACS262132:ACT262203 AMO262132:AMP262203 AWK262132:AWL262203 BGG262132:BGH262203 BQC262132:BQD262203 BZY262132:BZZ262203 CJU262132:CJV262203 CTQ262132:CTR262203 DDM262132:DDN262203 DNI262132:DNJ262203 DXE262132:DXF262203 EHA262132:EHB262203 EQW262132:EQX262203 FAS262132:FAT262203 FKO262132:FKP262203 FUK262132:FUL262203 GEG262132:GEH262203 GOC262132:GOD262203 GXY262132:GXZ262203 HHU262132:HHV262203 HRQ262132:HRR262203 IBM262132:IBN262203 ILI262132:ILJ262203 IVE262132:IVF262203 JFA262132:JFB262203 JOW262132:JOX262203 JYS262132:JYT262203 KIO262132:KIP262203 KSK262132:KSL262203 LCG262132:LCH262203 LMC262132:LMD262203 LVY262132:LVZ262203 MFU262132:MFV262203 MPQ262132:MPR262203 MZM262132:MZN262203 NJI262132:NJJ262203 NTE262132:NTF262203 ODA262132:ODB262203 OMW262132:OMX262203 OWS262132:OWT262203 PGO262132:PGP262203 PQK262132:PQL262203 QAG262132:QAH262203 QKC262132:QKD262203 QTY262132:QTZ262203 RDU262132:RDV262203 RNQ262132:RNR262203 RXM262132:RXN262203 SHI262132:SHJ262203 SRE262132:SRF262203 TBA262132:TBB262203 TKW262132:TKX262203 TUS262132:TUT262203 UEO262132:UEP262203 UOK262132:UOL262203 UYG262132:UYH262203 VIC262132:VID262203 VRY262132:VRZ262203 WBU262132:WBV262203 WLQ262132:WLR262203 WVM262132:WVN262203 E327668:F327739 JA327668:JB327739 SW327668:SX327739 ACS327668:ACT327739 AMO327668:AMP327739 AWK327668:AWL327739 BGG327668:BGH327739 BQC327668:BQD327739 BZY327668:BZZ327739 CJU327668:CJV327739 CTQ327668:CTR327739 DDM327668:DDN327739 DNI327668:DNJ327739 DXE327668:DXF327739 EHA327668:EHB327739 EQW327668:EQX327739 FAS327668:FAT327739 FKO327668:FKP327739 FUK327668:FUL327739 GEG327668:GEH327739 GOC327668:GOD327739 GXY327668:GXZ327739 HHU327668:HHV327739 HRQ327668:HRR327739 IBM327668:IBN327739 ILI327668:ILJ327739 IVE327668:IVF327739 JFA327668:JFB327739 JOW327668:JOX327739 JYS327668:JYT327739 KIO327668:KIP327739 KSK327668:KSL327739 LCG327668:LCH327739 LMC327668:LMD327739 LVY327668:LVZ327739 MFU327668:MFV327739 MPQ327668:MPR327739 MZM327668:MZN327739 NJI327668:NJJ327739 NTE327668:NTF327739 ODA327668:ODB327739 OMW327668:OMX327739 OWS327668:OWT327739 PGO327668:PGP327739 PQK327668:PQL327739 QAG327668:QAH327739 QKC327668:QKD327739 QTY327668:QTZ327739 RDU327668:RDV327739 RNQ327668:RNR327739 RXM327668:RXN327739 SHI327668:SHJ327739 SRE327668:SRF327739 TBA327668:TBB327739 TKW327668:TKX327739 TUS327668:TUT327739 UEO327668:UEP327739 UOK327668:UOL327739 UYG327668:UYH327739 VIC327668:VID327739 VRY327668:VRZ327739 WBU327668:WBV327739 WLQ327668:WLR327739 WVM327668:WVN327739 E393204:F393275 JA393204:JB393275 SW393204:SX393275 ACS393204:ACT393275 AMO393204:AMP393275 AWK393204:AWL393275 BGG393204:BGH393275 BQC393204:BQD393275 BZY393204:BZZ393275 CJU393204:CJV393275 CTQ393204:CTR393275 DDM393204:DDN393275 DNI393204:DNJ393275 DXE393204:DXF393275 EHA393204:EHB393275 EQW393204:EQX393275 FAS393204:FAT393275 FKO393204:FKP393275 FUK393204:FUL393275 GEG393204:GEH393275 GOC393204:GOD393275 GXY393204:GXZ393275 HHU393204:HHV393275 HRQ393204:HRR393275 IBM393204:IBN393275 ILI393204:ILJ393275 IVE393204:IVF393275 JFA393204:JFB393275 JOW393204:JOX393275 JYS393204:JYT393275 KIO393204:KIP393275 KSK393204:KSL393275 LCG393204:LCH393275 LMC393204:LMD393275 LVY393204:LVZ393275 MFU393204:MFV393275 MPQ393204:MPR393275 MZM393204:MZN393275 NJI393204:NJJ393275 NTE393204:NTF393275 ODA393204:ODB393275 OMW393204:OMX393275 OWS393204:OWT393275 PGO393204:PGP393275 PQK393204:PQL393275 QAG393204:QAH393275 QKC393204:QKD393275 QTY393204:QTZ393275 RDU393204:RDV393275 RNQ393204:RNR393275 RXM393204:RXN393275 SHI393204:SHJ393275 SRE393204:SRF393275 TBA393204:TBB393275 TKW393204:TKX393275 TUS393204:TUT393275 UEO393204:UEP393275 UOK393204:UOL393275 UYG393204:UYH393275 VIC393204:VID393275 VRY393204:VRZ393275 WBU393204:WBV393275 WLQ393204:WLR393275 WVM393204:WVN393275 E458740:F458811 JA458740:JB458811 SW458740:SX458811 ACS458740:ACT458811 AMO458740:AMP458811 AWK458740:AWL458811 BGG458740:BGH458811 BQC458740:BQD458811 BZY458740:BZZ458811 CJU458740:CJV458811 CTQ458740:CTR458811 DDM458740:DDN458811 DNI458740:DNJ458811 DXE458740:DXF458811 EHA458740:EHB458811 EQW458740:EQX458811 FAS458740:FAT458811 FKO458740:FKP458811 FUK458740:FUL458811 GEG458740:GEH458811 GOC458740:GOD458811 GXY458740:GXZ458811 HHU458740:HHV458811 HRQ458740:HRR458811 IBM458740:IBN458811 ILI458740:ILJ458811 IVE458740:IVF458811 JFA458740:JFB458811 JOW458740:JOX458811 JYS458740:JYT458811 KIO458740:KIP458811 KSK458740:KSL458811 LCG458740:LCH458811 LMC458740:LMD458811 LVY458740:LVZ458811 MFU458740:MFV458811 MPQ458740:MPR458811 MZM458740:MZN458811 NJI458740:NJJ458811 NTE458740:NTF458811 ODA458740:ODB458811 OMW458740:OMX458811 OWS458740:OWT458811 PGO458740:PGP458811 PQK458740:PQL458811 QAG458740:QAH458811 QKC458740:QKD458811 QTY458740:QTZ458811 RDU458740:RDV458811 RNQ458740:RNR458811 RXM458740:RXN458811 SHI458740:SHJ458811 SRE458740:SRF458811 TBA458740:TBB458811 TKW458740:TKX458811 TUS458740:TUT458811 UEO458740:UEP458811 UOK458740:UOL458811 UYG458740:UYH458811 VIC458740:VID458811 VRY458740:VRZ458811 WBU458740:WBV458811 WLQ458740:WLR458811 WVM458740:WVN458811 E524276:F524347 JA524276:JB524347 SW524276:SX524347 ACS524276:ACT524347 AMO524276:AMP524347 AWK524276:AWL524347 BGG524276:BGH524347 BQC524276:BQD524347 BZY524276:BZZ524347 CJU524276:CJV524347 CTQ524276:CTR524347 DDM524276:DDN524347 DNI524276:DNJ524347 DXE524276:DXF524347 EHA524276:EHB524347 EQW524276:EQX524347 FAS524276:FAT524347 FKO524276:FKP524347 FUK524276:FUL524347 GEG524276:GEH524347 GOC524276:GOD524347 GXY524276:GXZ524347 HHU524276:HHV524347 HRQ524276:HRR524347 IBM524276:IBN524347 ILI524276:ILJ524347 IVE524276:IVF524347 JFA524276:JFB524347 JOW524276:JOX524347 JYS524276:JYT524347 KIO524276:KIP524347 KSK524276:KSL524347 LCG524276:LCH524347 LMC524276:LMD524347 LVY524276:LVZ524347 MFU524276:MFV524347 MPQ524276:MPR524347 MZM524276:MZN524347 NJI524276:NJJ524347 NTE524276:NTF524347 ODA524276:ODB524347 OMW524276:OMX524347 OWS524276:OWT524347 PGO524276:PGP524347 PQK524276:PQL524347 QAG524276:QAH524347 QKC524276:QKD524347 QTY524276:QTZ524347 RDU524276:RDV524347 RNQ524276:RNR524347 RXM524276:RXN524347 SHI524276:SHJ524347 SRE524276:SRF524347 TBA524276:TBB524347 TKW524276:TKX524347 TUS524276:TUT524347 UEO524276:UEP524347 UOK524276:UOL524347 UYG524276:UYH524347 VIC524276:VID524347 VRY524276:VRZ524347 WBU524276:WBV524347 WLQ524276:WLR524347 WVM524276:WVN524347 E589812:F589883 JA589812:JB589883 SW589812:SX589883 ACS589812:ACT589883 AMO589812:AMP589883 AWK589812:AWL589883 BGG589812:BGH589883 BQC589812:BQD589883 BZY589812:BZZ589883 CJU589812:CJV589883 CTQ589812:CTR589883 DDM589812:DDN589883 DNI589812:DNJ589883 DXE589812:DXF589883 EHA589812:EHB589883 EQW589812:EQX589883 FAS589812:FAT589883 FKO589812:FKP589883 FUK589812:FUL589883 GEG589812:GEH589883 GOC589812:GOD589883 GXY589812:GXZ589883 HHU589812:HHV589883 HRQ589812:HRR589883 IBM589812:IBN589883 ILI589812:ILJ589883 IVE589812:IVF589883 JFA589812:JFB589883 JOW589812:JOX589883 JYS589812:JYT589883 KIO589812:KIP589883 KSK589812:KSL589883 LCG589812:LCH589883 LMC589812:LMD589883 LVY589812:LVZ589883 MFU589812:MFV589883 MPQ589812:MPR589883 MZM589812:MZN589883 NJI589812:NJJ589883 NTE589812:NTF589883 ODA589812:ODB589883 OMW589812:OMX589883 OWS589812:OWT589883 PGO589812:PGP589883 PQK589812:PQL589883 QAG589812:QAH589883 QKC589812:QKD589883 QTY589812:QTZ589883 RDU589812:RDV589883 RNQ589812:RNR589883 RXM589812:RXN589883 SHI589812:SHJ589883 SRE589812:SRF589883 TBA589812:TBB589883 TKW589812:TKX589883 TUS589812:TUT589883 UEO589812:UEP589883 UOK589812:UOL589883 UYG589812:UYH589883 VIC589812:VID589883 VRY589812:VRZ589883 WBU589812:WBV589883 WLQ589812:WLR589883 WVM589812:WVN589883 E655348:F655419 JA655348:JB655419 SW655348:SX655419 ACS655348:ACT655419 AMO655348:AMP655419 AWK655348:AWL655419 BGG655348:BGH655419 BQC655348:BQD655419 BZY655348:BZZ655419 CJU655348:CJV655419 CTQ655348:CTR655419 DDM655348:DDN655419 DNI655348:DNJ655419 DXE655348:DXF655419 EHA655348:EHB655419 EQW655348:EQX655419 FAS655348:FAT655419 FKO655348:FKP655419 FUK655348:FUL655419 GEG655348:GEH655419 GOC655348:GOD655419 GXY655348:GXZ655419 HHU655348:HHV655419 HRQ655348:HRR655419 IBM655348:IBN655419 ILI655348:ILJ655419 IVE655348:IVF655419 JFA655348:JFB655419 JOW655348:JOX655419 JYS655348:JYT655419 KIO655348:KIP655419 KSK655348:KSL655419 LCG655348:LCH655419 LMC655348:LMD655419 LVY655348:LVZ655419 MFU655348:MFV655419 MPQ655348:MPR655419 MZM655348:MZN655419 NJI655348:NJJ655419 NTE655348:NTF655419 ODA655348:ODB655419 OMW655348:OMX655419 OWS655348:OWT655419 PGO655348:PGP655419 PQK655348:PQL655419 QAG655348:QAH655419 QKC655348:QKD655419 QTY655348:QTZ655419 RDU655348:RDV655419 RNQ655348:RNR655419 RXM655348:RXN655419 SHI655348:SHJ655419 SRE655348:SRF655419 TBA655348:TBB655419 TKW655348:TKX655419 TUS655348:TUT655419 UEO655348:UEP655419 UOK655348:UOL655419 UYG655348:UYH655419 VIC655348:VID655419 VRY655348:VRZ655419 WBU655348:WBV655419 WLQ655348:WLR655419 WVM655348:WVN655419 E720884:F720955 JA720884:JB720955 SW720884:SX720955 ACS720884:ACT720955 AMO720884:AMP720955 AWK720884:AWL720955 BGG720884:BGH720955 BQC720884:BQD720955 BZY720884:BZZ720955 CJU720884:CJV720955 CTQ720884:CTR720955 DDM720884:DDN720955 DNI720884:DNJ720955 DXE720884:DXF720955 EHA720884:EHB720955 EQW720884:EQX720955 FAS720884:FAT720955 FKO720884:FKP720955 FUK720884:FUL720955 GEG720884:GEH720955 GOC720884:GOD720955 GXY720884:GXZ720955 HHU720884:HHV720955 HRQ720884:HRR720955 IBM720884:IBN720955 ILI720884:ILJ720955 IVE720884:IVF720955 JFA720884:JFB720955 JOW720884:JOX720955 JYS720884:JYT720955 KIO720884:KIP720955 KSK720884:KSL720955 LCG720884:LCH720955 LMC720884:LMD720955 LVY720884:LVZ720955 MFU720884:MFV720955 MPQ720884:MPR720955 MZM720884:MZN720955 NJI720884:NJJ720955 NTE720884:NTF720955 ODA720884:ODB720955 OMW720884:OMX720955 OWS720884:OWT720955 PGO720884:PGP720955 PQK720884:PQL720955 QAG720884:QAH720955 QKC720884:QKD720955 QTY720884:QTZ720955 RDU720884:RDV720955 RNQ720884:RNR720955 RXM720884:RXN720955 SHI720884:SHJ720955 SRE720884:SRF720955 TBA720884:TBB720955 TKW720884:TKX720955 TUS720884:TUT720955 UEO720884:UEP720955 UOK720884:UOL720955 UYG720884:UYH720955 VIC720884:VID720955 VRY720884:VRZ720955 WBU720884:WBV720955 WLQ720884:WLR720955 WVM720884:WVN720955 E786420:F786491 JA786420:JB786491 SW786420:SX786491 ACS786420:ACT786491 AMO786420:AMP786491 AWK786420:AWL786491 BGG786420:BGH786491 BQC786420:BQD786491 BZY786420:BZZ786491 CJU786420:CJV786491 CTQ786420:CTR786491 DDM786420:DDN786491 DNI786420:DNJ786491 DXE786420:DXF786491 EHA786420:EHB786491 EQW786420:EQX786491 FAS786420:FAT786491 FKO786420:FKP786491 FUK786420:FUL786491 GEG786420:GEH786491 GOC786420:GOD786491 GXY786420:GXZ786491 HHU786420:HHV786491 HRQ786420:HRR786491 IBM786420:IBN786491 ILI786420:ILJ786491 IVE786420:IVF786491 JFA786420:JFB786491 JOW786420:JOX786491 JYS786420:JYT786491 KIO786420:KIP786491 KSK786420:KSL786491 LCG786420:LCH786491 LMC786420:LMD786491 LVY786420:LVZ786491 MFU786420:MFV786491 MPQ786420:MPR786491 MZM786420:MZN786491 NJI786420:NJJ786491 NTE786420:NTF786491 ODA786420:ODB786491 OMW786420:OMX786491 OWS786420:OWT786491 PGO786420:PGP786491 PQK786420:PQL786491 QAG786420:QAH786491 QKC786420:QKD786491 QTY786420:QTZ786491 RDU786420:RDV786491 RNQ786420:RNR786491 RXM786420:RXN786491 SHI786420:SHJ786491 SRE786420:SRF786491 TBA786420:TBB786491 TKW786420:TKX786491 TUS786420:TUT786491 UEO786420:UEP786491 UOK786420:UOL786491 UYG786420:UYH786491 VIC786420:VID786491 VRY786420:VRZ786491 WBU786420:WBV786491 WLQ786420:WLR786491 WVM786420:WVN786491 E851956:F852027 JA851956:JB852027 SW851956:SX852027 ACS851956:ACT852027 AMO851956:AMP852027 AWK851956:AWL852027 BGG851956:BGH852027 BQC851956:BQD852027 BZY851956:BZZ852027 CJU851956:CJV852027 CTQ851956:CTR852027 DDM851956:DDN852027 DNI851956:DNJ852027 DXE851956:DXF852027 EHA851956:EHB852027 EQW851956:EQX852027 FAS851956:FAT852027 FKO851956:FKP852027 FUK851956:FUL852027 GEG851956:GEH852027 GOC851956:GOD852027 GXY851956:GXZ852027 HHU851956:HHV852027 HRQ851956:HRR852027 IBM851956:IBN852027 ILI851956:ILJ852027 IVE851956:IVF852027 JFA851956:JFB852027 JOW851956:JOX852027 JYS851956:JYT852027 KIO851956:KIP852027 KSK851956:KSL852027 LCG851956:LCH852027 LMC851956:LMD852027 LVY851956:LVZ852027 MFU851956:MFV852027 MPQ851956:MPR852027 MZM851956:MZN852027 NJI851956:NJJ852027 NTE851956:NTF852027 ODA851956:ODB852027 OMW851956:OMX852027 OWS851956:OWT852027 PGO851956:PGP852027 PQK851956:PQL852027 QAG851956:QAH852027 QKC851956:QKD852027 QTY851956:QTZ852027 RDU851956:RDV852027 RNQ851956:RNR852027 RXM851956:RXN852027 SHI851956:SHJ852027 SRE851956:SRF852027 TBA851956:TBB852027 TKW851956:TKX852027 TUS851956:TUT852027 UEO851956:UEP852027 UOK851956:UOL852027 UYG851956:UYH852027 VIC851956:VID852027 VRY851956:VRZ852027 WBU851956:WBV852027 WLQ851956:WLR852027 WVM851956:WVN852027 E917492:F917563 JA917492:JB917563 SW917492:SX917563 ACS917492:ACT917563 AMO917492:AMP917563 AWK917492:AWL917563 BGG917492:BGH917563 BQC917492:BQD917563 BZY917492:BZZ917563 CJU917492:CJV917563 CTQ917492:CTR917563 DDM917492:DDN917563 DNI917492:DNJ917563 DXE917492:DXF917563 EHA917492:EHB917563 EQW917492:EQX917563 FAS917492:FAT917563 FKO917492:FKP917563 FUK917492:FUL917563 GEG917492:GEH917563 GOC917492:GOD917563 GXY917492:GXZ917563 HHU917492:HHV917563 HRQ917492:HRR917563 IBM917492:IBN917563 ILI917492:ILJ917563 IVE917492:IVF917563 JFA917492:JFB917563 JOW917492:JOX917563 JYS917492:JYT917563 KIO917492:KIP917563 KSK917492:KSL917563 LCG917492:LCH917563 LMC917492:LMD917563 LVY917492:LVZ917563 MFU917492:MFV917563 MPQ917492:MPR917563 MZM917492:MZN917563 NJI917492:NJJ917563 NTE917492:NTF917563 ODA917492:ODB917563 OMW917492:OMX917563 OWS917492:OWT917563 PGO917492:PGP917563 PQK917492:PQL917563 QAG917492:QAH917563 QKC917492:QKD917563 QTY917492:QTZ917563 RDU917492:RDV917563 RNQ917492:RNR917563 RXM917492:RXN917563 SHI917492:SHJ917563 SRE917492:SRF917563 TBA917492:TBB917563 TKW917492:TKX917563 TUS917492:TUT917563 UEO917492:UEP917563 UOK917492:UOL917563 UYG917492:UYH917563 VIC917492:VID917563 VRY917492:VRZ917563 WBU917492:WBV917563 WLQ917492:WLR917563 WVM917492:WVN917563 E983028:F983099 JA983028:JB983099 SW983028:SX983099 ACS983028:ACT983099 AMO983028:AMP983099 AWK983028:AWL983099 BGG983028:BGH983099 BQC983028:BQD983099 BZY983028:BZZ983099 CJU983028:CJV983099 CTQ983028:CTR983099 DDM983028:DDN983099 DNI983028:DNJ983099 DXE983028:DXF983099 EHA983028:EHB983099 EQW983028:EQX983099 FAS983028:FAT983099 FKO983028:FKP983099 FUK983028:FUL983099 GEG983028:GEH983099 GOC983028:GOD983099 GXY983028:GXZ983099 HHU983028:HHV983099 HRQ983028:HRR983099 IBM983028:IBN983099 ILI983028:ILJ983099 IVE983028:IVF983099 JFA983028:JFB983099 JOW983028:JOX983099 JYS983028:JYT983099 KIO983028:KIP983099 KSK983028:KSL983099 LCG983028:LCH983099 LMC983028:LMD983099 LVY983028:LVZ983099 MFU983028:MFV983099 MPQ983028:MPR983099 MZM983028:MZN983099 NJI983028:NJJ983099 NTE983028:NTF983099 ODA983028:ODB983099 OMW983028:OMX983099 OWS983028:OWT983099 PGO983028:PGP983099 PQK983028:PQL983099 QAG983028:QAH983099 QKC983028:QKD983099 QTY983028:QTZ983099 RDU983028:RDV983099 RNQ983028:RNR983099 RXM983028:RXN983099 SHI983028:SHJ983099 SRE983028:SRF983099 TBA983028:TBB983099 TKW983028:TKX983099 TUS983028:TUT983099 UEO983028:UEP983099 UOK983028:UOL983099 UYG983028:UYH983099 VIC983028:VID983099 VRY983028:VRZ983099 WBU983028:WBV983099 WLQ983028:WLR983099 JA2:JB61 WVM2:WVN61 WLQ2:WLR61 WBU2:WBV61 VRY2:VRZ61 VIC2:VID61 UYG2:UYH61 UOK2:UOL61 UEO2:UEP61 TUS2:TUT61 TKW2:TKX61 TBA2:TBB61 SRE2:SRF61 SHI2:SHJ61 RXM2:RXN61 RNQ2:RNR61 RDU2:RDV61 QTY2:QTZ61 QKC2:QKD61 QAG2:QAH61 PQK2:PQL61 PGO2:PGP61 OWS2:OWT61 OMW2:OMX61 ODA2:ODB61 NTE2:NTF61 NJI2:NJJ61 MZM2:MZN61 MPQ2:MPR61 MFU2:MFV61 LVY2:LVZ61 LMC2:LMD61 LCG2:LCH61 KSK2:KSL61 KIO2:KIP61 JYS2:JYT61 JOW2:JOX61 JFA2:JFB61 IVE2:IVF61 ILI2:ILJ61 IBM2:IBN61 HRQ2:HRR61 HHU2:HHV61 GXY2:GXZ61 GOC2:GOD61 GEG2:GEH61 FUK2:FUL61 FKO2:FKP61 FAS2:FAT61 EQW2:EQX61 EHA2:EHB61 DXE2:DXF61 DNI2:DNJ61 DDM2:DDN61 CTQ2:CTR61 CJU2:CJV61 BZY2:BZZ61 BQC2:BQD61 BGG2:BGH61 AWK2:AWL61 AMO2:AMP61 ACS2:ACT61 SW2:SX61">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AH39" sqref="AH39"/>
    </sheetView>
  </sheetViews>
  <sheetFormatPr defaultRowHeight="13.5" x14ac:dyDescent="0.15"/>
  <cols>
    <col min="1" max="3" width="9" style="140"/>
    <col min="4" max="4" width="10.5" style="140" bestFit="1" customWidth="1"/>
    <col min="5" max="16" width="9" style="140"/>
    <col min="17" max="17" width="9" style="149"/>
    <col min="18" max="19" width="9" style="140"/>
    <col min="20" max="20" width="9" style="149"/>
    <col min="21" max="21" width="9" style="140"/>
    <col min="22" max="22" width="9" style="149"/>
    <col min="23" max="32" width="9" style="140"/>
    <col min="33" max="33" width="16.875" style="140" bestFit="1" customWidth="1"/>
    <col min="34" max="34" width="15.625" style="140" customWidth="1"/>
    <col min="35" max="39" width="9" style="192"/>
    <col min="40" max="16384" width="9" style="140"/>
  </cols>
  <sheetData>
    <row r="1" spans="1:53" ht="45" x14ac:dyDescent="0.15">
      <c r="A1" s="168" t="s">
        <v>0</v>
      </c>
      <c r="B1" s="134" t="s">
        <v>1</v>
      </c>
      <c r="C1" s="134" t="s">
        <v>475</v>
      </c>
      <c r="D1" s="135" t="s">
        <v>3</v>
      </c>
      <c r="E1" s="169" t="s">
        <v>4</v>
      </c>
      <c r="F1" s="169" t="s">
        <v>5</v>
      </c>
      <c r="G1" s="169" t="s">
        <v>6</v>
      </c>
      <c r="H1" s="169" t="s">
        <v>7</v>
      </c>
      <c r="I1" s="169" t="s">
        <v>8</v>
      </c>
      <c r="J1" s="169" t="s">
        <v>9</v>
      </c>
      <c r="K1" s="211" t="s">
        <v>10</v>
      </c>
      <c r="L1" s="135" t="s">
        <v>476</v>
      </c>
      <c r="M1" s="135" t="s">
        <v>12</v>
      </c>
      <c r="N1" s="135" t="s">
        <v>13</v>
      </c>
      <c r="O1" s="135" t="s">
        <v>477</v>
      </c>
      <c r="P1" s="135" t="s">
        <v>478</v>
      </c>
      <c r="Q1" s="136" t="s">
        <v>16</v>
      </c>
      <c r="R1" s="135" t="s">
        <v>479</v>
      </c>
      <c r="S1" s="135" t="s">
        <v>480</v>
      </c>
      <c r="T1" s="136" t="s">
        <v>19</v>
      </c>
      <c r="U1" s="137" t="s">
        <v>108</v>
      </c>
      <c r="V1" s="138" t="s">
        <v>20</v>
      </c>
      <c r="W1" s="135" t="s">
        <v>21</v>
      </c>
      <c r="X1" s="169" t="s">
        <v>22</v>
      </c>
      <c r="Y1" s="169" t="s">
        <v>23</v>
      </c>
      <c r="Z1" s="169" t="s">
        <v>24</v>
      </c>
      <c r="AA1" s="170" t="s">
        <v>25</v>
      </c>
      <c r="AB1" s="139" t="s">
        <v>481</v>
      </c>
      <c r="AE1" s="141" t="s">
        <v>0</v>
      </c>
      <c r="AF1" s="142"/>
      <c r="AG1" s="141" t="s">
        <v>4</v>
      </c>
      <c r="AH1" s="141" t="s">
        <v>5</v>
      </c>
      <c r="AI1" s="212"/>
      <c r="AJ1" s="213" t="s">
        <v>6</v>
      </c>
      <c r="AK1" s="212"/>
      <c r="AL1" s="214" t="s">
        <v>7</v>
      </c>
      <c r="AM1" s="212"/>
      <c r="AN1" s="143" t="s">
        <v>8</v>
      </c>
      <c r="AO1" s="142"/>
      <c r="AP1" s="143" t="s">
        <v>27</v>
      </c>
      <c r="AQ1" s="142"/>
      <c r="AR1" s="143" t="s">
        <v>10</v>
      </c>
      <c r="AS1" s="142"/>
      <c r="AT1" s="144" t="s">
        <v>28</v>
      </c>
      <c r="AU1" s="142"/>
      <c r="AV1" s="143" t="s">
        <v>29</v>
      </c>
      <c r="AX1" s="145" t="s">
        <v>482</v>
      </c>
      <c r="AY1" s="146" t="s">
        <v>483</v>
      </c>
      <c r="AZ1" s="146" t="s">
        <v>484</v>
      </c>
      <c r="BA1" s="147" t="s">
        <v>485</v>
      </c>
    </row>
    <row r="2" spans="1:53" x14ac:dyDescent="0.15">
      <c r="A2" s="215" t="s">
        <v>34</v>
      </c>
      <c r="B2" s="215" t="s">
        <v>486</v>
      </c>
      <c r="C2" s="215">
        <v>2018</v>
      </c>
      <c r="D2" s="216" t="s">
        <v>487</v>
      </c>
      <c r="E2" s="215" t="s">
        <v>488</v>
      </c>
      <c r="F2" s="215" t="s">
        <v>489</v>
      </c>
      <c r="G2" s="217" t="s">
        <v>36</v>
      </c>
      <c r="H2" s="218" t="s">
        <v>155</v>
      </c>
      <c r="I2" s="185" t="s">
        <v>153</v>
      </c>
      <c r="J2" s="219" t="s">
        <v>38</v>
      </c>
      <c r="K2" s="185" t="s">
        <v>154</v>
      </c>
      <c r="L2" s="220">
        <v>1</v>
      </c>
      <c r="M2" s="221"/>
      <c r="N2" s="221">
        <v>1</v>
      </c>
      <c r="O2" s="221">
        <v>0.7</v>
      </c>
      <c r="P2" s="221">
        <v>0.6</v>
      </c>
      <c r="Q2" s="222">
        <f t="shared" ref="Q2:Q65" si="0">IF(OR(O2="",P2=""),"",AVERAGE(O2,P2))</f>
        <v>0.64999999999999991</v>
      </c>
      <c r="R2" s="223">
        <v>15.1</v>
      </c>
      <c r="S2" s="218">
        <v>121</v>
      </c>
      <c r="T2" s="224">
        <f t="shared" ref="T2:T65" si="1">IF(H2="","",IF(OR(H2="GREEN",H2="GK"),IF(S2&gt;=$AX$2,VLOOKUP(S2,$AX$2:$AY$7,2,1),""),IF(S2&gt;=$AZ$2,VLOOKUP(S2,$AZ$2:$BA$7,2,1),"")))</f>
        <v>30</v>
      </c>
      <c r="U2" s="185">
        <v>78</v>
      </c>
      <c r="V2" s="224">
        <f t="shared" ref="V2:V65" si="2">IF(OR(N2="",U2="",T2=""),"",U2/N2*T2)</f>
        <v>2340</v>
      </c>
      <c r="W2" s="225">
        <v>4</v>
      </c>
      <c r="X2" s="226" t="s">
        <v>46</v>
      </c>
      <c r="Y2" s="226" t="s">
        <v>69</v>
      </c>
      <c r="Z2" s="226" t="s">
        <v>50</v>
      </c>
      <c r="AA2" s="227" t="s">
        <v>84</v>
      </c>
      <c r="AB2" s="55" t="s">
        <v>490</v>
      </c>
      <c r="AE2" s="150" t="s">
        <v>35</v>
      </c>
      <c r="AG2" s="171" t="s">
        <v>491</v>
      </c>
      <c r="AH2" s="171" t="s">
        <v>492</v>
      </c>
      <c r="AJ2" s="193" t="s">
        <v>36</v>
      </c>
      <c r="AL2" s="151" t="s">
        <v>127</v>
      </c>
      <c r="AN2" s="151" t="s">
        <v>37</v>
      </c>
      <c r="AO2" s="148"/>
      <c r="AP2" s="151" t="s">
        <v>38</v>
      </c>
      <c r="AQ2" s="148"/>
      <c r="AR2" s="151" t="s">
        <v>493</v>
      </c>
      <c r="AS2" s="148"/>
      <c r="AT2" s="151" t="s">
        <v>39</v>
      </c>
      <c r="AU2" s="148"/>
      <c r="AV2" s="204" t="s">
        <v>40</v>
      </c>
      <c r="AW2" s="148"/>
      <c r="AX2" s="152">
        <v>1</v>
      </c>
      <c r="AY2" s="153">
        <v>50</v>
      </c>
      <c r="AZ2" s="153">
        <v>1</v>
      </c>
      <c r="BA2" s="154">
        <v>50</v>
      </c>
    </row>
    <row r="3" spans="1:53" x14ac:dyDescent="0.15">
      <c r="A3" s="228" t="s">
        <v>34</v>
      </c>
      <c r="B3" s="228" t="s">
        <v>253</v>
      </c>
      <c r="C3" s="229">
        <v>2018</v>
      </c>
      <c r="D3" s="251" t="s">
        <v>494</v>
      </c>
      <c r="E3" s="228" t="s">
        <v>488</v>
      </c>
      <c r="F3" s="228" t="s">
        <v>489</v>
      </c>
      <c r="G3" s="231" t="s">
        <v>36</v>
      </c>
      <c r="H3" s="185" t="s">
        <v>155</v>
      </c>
      <c r="I3" s="185" t="s">
        <v>153</v>
      </c>
      <c r="J3" s="185" t="s">
        <v>38</v>
      </c>
      <c r="K3" s="185" t="s">
        <v>154</v>
      </c>
      <c r="L3" s="140">
        <v>2</v>
      </c>
      <c r="N3" s="140">
        <v>1</v>
      </c>
      <c r="O3" s="140">
        <v>0.75</v>
      </c>
      <c r="P3" s="34">
        <v>0.8</v>
      </c>
      <c r="Q3" s="232">
        <f t="shared" si="0"/>
        <v>0.77500000000000002</v>
      </c>
      <c r="R3" s="233">
        <v>15.4</v>
      </c>
      <c r="S3" s="233">
        <v>124</v>
      </c>
      <c r="T3" s="149">
        <f t="shared" si="1"/>
        <v>30</v>
      </c>
      <c r="U3" s="234">
        <v>78</v>
      </c>
      <c r="V3" s="235">
        <f t="shared" si="2"/>
        <v>2340</v>
      </c>
      <c r="W3" s="236">
        <v>4</v>
      </c>
      <c r="X3" s="237" t="s">
        <v>46</v>
      </c>
      <c r="Y3" s="237" t="s">
        <v>69</v>
      </c>
      <c r="Z3" s="237" t="s">
        <v>50</v>
      </c>
      <c r="AA3" s="227" t="s">
        <v>84</v>
      </c>
      <c r="AB3" s="55" t="s">
        <v>255</v>
      </c>
      <c r="AE3" s="155" t="s">
        <v>41</v>
      </c>
      <c r="AG3" s="171" t="s">
        <v>495</v>
      </c>
      <c r="AH3" s="171" t="s">
        <v>496</v>
      </c>
      <c r="AJ3" s="238" t="s">
        <v>42</v>
      </c>
      <c r="AL3" s="156" t="s">
        <v>128</v>
      </c>
      <c r="AN3" s="156" t="s">
        <v>43</v>
      </c>
      <c r="AP3" s="156" t="s">
        <v>44</v>
      </c>
      <c r="AR3" s="166" t="s">
        <v>45</v>
      </c>
      <c r="AT3" s="156" t="s">
        <v>46</v>
      </c>
      <c r="AV3" s="156" t="s">
        <v>47</v>
      </c>
      <c r="AX3" s="157">
        <v>72</v>
      </c>
      <c r="AY3" s="158">
        <v>46</v>
      </c>
      <c r="AZ3" s="158">
        <v>71</v>
      </c>
      <c r="BA3" s="159">
        <v>42</v>
      </c>
    </row>
    <row r="4" spans="1:53" x14ac:dyDescent="0.15">
      <c r="A4" s="228" t="s">
        <v>34</v>
      </c>
      <c r="B4" s="228" t="s">
        <v>253</v>
      </c>
      <c r="C4" s="228">
        <v>2018</v>
      </c>
      <c r="D4" s="251" t="s">
        <v>494</v>
      </c>
      <c r="E4" s="228" t="s">
        <v>488</v>
      </c>
      <c r="F4" s="228" t="s">
        <v>489</v>
      </c>
      <c r="G4" s="231" t="s">
        <v>36</v>
      </c>
      <c r="H4" s="185" t="s">
        <v>155</v>
      </c>
      <c r="I4" s="185" t="s">
        <v>153</v>
      </c>
      <c r="J4" s="185" t="s">
        <v>38</v>
      </c>
      <c r="K4" s="185" t="s">
        <v>154</v>
      </c>
      <c r="L4" s="140">
        <v>3</v>
      </c>
      <c r="N4" s="140">
        <v>1</v>
      </c>
      <c r="O4" s="140">
        <v>0.7</v>
      </c>
      <c r="P4" s="34">
        <v>0.65</v>
      </c>
      <c r="Q4" s="173">
        <f t="shared" si="0"/>
        <v>0.67500000000000004</v>
      </c>
      <c r="R4" s="239">
        <v>14.8</v>
      </c>
      <c r="S4" s="239">
        <v>117</v>
      </c>
      <c r="T4" s="149">
        <f t="shared" si="1"/>
        <v>30</v>
      </c>
      <c r="U4" s="240">
        <v>78</v>
      </c>
      <c r="V4" s="235">
        <f t="shared" si="2"/>
        <v>2340</v>
      </c>
      <c r="W4" s="241">
        <v>4</v>
      </c>
      <c r="X4" s="237" t="s">
        <v>46</v>
      </c>
      <c r="Y4" s="237" t="s">
        <v>69</v>
      </c>
      <c r="Z4" s="237" t="s">
        <v>50</v>
      </c>
      <c r="AA4" s="227" t="s">
        <v>84</v>
      </c>
      <c r="AB4" s="55" t="s">
        <v>255</v>
      </c>
      <c r="AE4" s="155" t="s">
        <v>34</v>
      </c>
      <c r="AG4" s="171" t="s">
        <v>497</v>
      </c>
      <c r="AH4" s="171" t="s">
        <v>498</v>
      </c>
      <c r="AJ4" s="242" t="s">
        <v>48</v>
      </c>
      <c r="AL4" s="160" t="s">
        <v>129</v>
      </c>
      <c r="AN4" s="161" t="s">
        <v>49</v>
      </c>
      <c r="AP4" s="156" t="s">
        <v>499</v>
      </c>
      <c r="AR4" s="166" t="s">
        <v>500</v>
      </c>
      <c r="AT4" s="161"/>
      <c r="AV4" s="156" t="s">
        <v>50</v>
      </c>
      <c r="AX4" s="157">
        <v>75</v>
      </c>
      <c r="AY4" s="158">
        <v>42</v>
      </c>
      <c r="AZ4" s="158">
        <v>76</v>
      </c>
      <c r="BA4" s="159">
        <v>39</v>
      </c>
    </row>
    <row r="5" spans="1:53" x14ac:dyDescent="0.15">
      <c r="A5" s="228" t="s">
        <v>34</v>
      </c>
      <c r="B5" s="228" t="s">
        <v>253</v>
      </c>
      <c r="C5" s="229">
        <v>2018</v>
      </c>
      <c r="D5" s="252" t="s">
        <v>494</v>
      </c>
      <c r="E5" s="228" t="s">
        <v>488</v>
      </c>
      <c r="F5" s="228" t="s">
        <v>489</v>
      </c>
      <c r="G5" s="231" t="s">
        <v>36</v>
      </c>
      <c r="H5" s="185" t="s">
        <v>158</v>
      </c>
      <c r="I5" s="185" t="s">
        <v>153</v>
      </c>
      <c r="J5" s="185" t="s">
        <v>38</v>
      </c>
      <c r="K5" s="185" t="s">
        <v>154</v>
      </c>
      <c r="L5" s="140">
        <v>1</v>
      </c>
      <c r="N5" s="140">
        <v>1</v>
      </c>
      <c r="O5" s="140">
        <v>0.6</v>
      </c>
      <c r="P5" s="165">
        <v>0.55000000000000004</v>
      </c>
      <c r="Q5" s="173">
        <f t="shared" si="0"/>
        <v>0.57499999999999996</v>
      </c>
      <c r="R5" s="239">
        <v>15.8</v>
      </c>
      <c r="S5" s="239">
        <v>191</v>
      </c>
      <c r="T5" s="149">
        <f t="shared" si="1"/>
        <v>30</v>
      </c>
      <c r="U5" s="240">
        <v>138</v>
      </c>
      <c r="V5" s="235">
        <f t="shared" si="2"/>
        <v>4140</v>
      </c>
      <c r="W5" s="241">
        <v>4</v>
      </c>
      <c r="X5" s="237" t="s">
        <v>46</v>
      </c>
      <c r="Y5" s="237" t="s">
        <v>69</v>
      </c>
      <c r="Z5" s="237" t="s">
        <v>50</v>
      </c>
      <c r="AA5" s="227" t="s">
        <v>84</v>
      </c>
      <c r="AB5" s="55" t="s">
        <v>255</v>
      </c>
      <c r="AE5" s="155" t="s">
        <v>51</v>
      </c>
      <c r="AG5" s="171" t="s">
        <v>501</v>
      </c>
      <c r="AH5" s="171" t="s">
        <v>502</v>
      </c>
      <c r="AJ5" s="243"/>
      <c r="AL5" s="162" t="s">
        <v>503</v>
      </c>
      <c r="AN5" s="162" t="s">
        <v>504</v>
      </c>
      <c r="AP5" s="156" t="s">
        <v>505</v>
      </c>
      <c r="AR5" s="166" t="s">
        <v>54</v>
      </c>
      <c r="AT5" s="187"/>
      <c r="AV5" s="156" t="s">
        <v>55</v>
      </c>
      <c r="AX5" s="157">
        <v>84</v>
      </c>
      <c r="AY5" s="158">
        <v>39</v>
      </c>
      <c r="AZ5" s="158">
        <v>84</v>
      </c>
      <c r="BA5" s="159">
        <v>36</v>
      </c>
    </row>
    <row r="6" spans="1:53" x14ac:dyDescent="0.15">
      <c r="A6" s="228" t="s">
        <v>34</v>
      </c>
      <c r="B6" s="228" t="s">
        <v>253</v>
      </c>
      <c r="C6" s="228">
        <v>2018</v>
      </c>
      <c r="D6" s="230" t="s">
        <v>494</v>
      </c>
      <c r="E6" s="228" t="s">
        <v>488</v>
      </c>
      <c r="F6" s="228" t="s">
        <v>489</v>
      </c>
      <c r="G6" s="231" t="s">
        <v>36</v>
      </c>
      <c r="H6" s="185" t="s">
        <v>158</v>
      </c>
      <c r="I6" s="185" t="s">
        <v>153</v>
      </c>
      <c r="J6" s="185" t="s">
        <v>38</v>
      </c>
      <c r="K6" s="185" t="s">
        <v>154</v>
      </c>
      <c r="L6" s="140">
        <v>2</v>
      </c>
      <c r="N6" s="140">
        <v>1</v>
      </c>
      <c r="O6" s="140">
        <v>0.45</v>
      </c>
      <c r="P6" s="165">
        <v>0.5</v>
      </c>
      <c r="Q6" s="173">
        <f t="shared" si="0"/>
        <v>0.47499999999999998</v>
      </c>
      <c r="R6" s="239">
        <v>16.2</v>
      </c>
      <c r="S6" s="239">
        <v>199</v>
      </c>
      <c r="T6" s="149">
        <f t="shared" si="1"/>
        <v>30</v>
      </c>
      <c r="U6" s="240">
        <v>138</v>
      </c>
      <c r="V6" s="235">
        <f t="shared" si="2"/>
        <v>4140</v>
      </c>
      <c r="W6" s="241">
        <v>4</v>
      </c>
      <c r="X6" s="237" t="s">
        <v>46</v>
      </c>
      <c r="Y6" s="237" t="s">
        <v>69</v>
      </c>
      <c r="Z6" s="237" t="s">
        <v>50</v>
      </c>
      <c r="AA6" s="227" t="s">
        <v>84</v>
      </c>
      <c r="AB6" s="55" t="s">
        <v>255</v>
      </c>
      <c r="AE6" s="155" t="s">
        <v>56</v>
      </c>
      <c r="AG6" s="171" t="s">
        <v>506</v>
      </c>
      <c r="AH6" s="171" t="s">
        <v>507</v>
      </c>
      <c r="AL6" s="162" t="s">
        <v>508</v>
      </c>
      <c r="AN6" s="162" t="s">
        <v>509</v>
      </c>
      <c r="AP6" s="156" t="s">
        <v>53</v>
      </c>
      <c r="AR6" s="166" t="s">
        <v>59</v>
      </c>
      <c r="AV6" s="156" t="s">
        <v>60</v>
      </c>
      <c r="AX6" s="157">
        <v>97</v>
      </c>
      <c r="AY6" s="158">
        <v>36</v>
      </c>
      <c r="AZ6" s="158">
        <v>99</v>
      </c>
      <c r="BA6" s="159">
        <v>33</v>
      </c>
    </row>
    <row r="7" spans="1:53" x14ac:dyDescent="0.15">
      <c r="A7" s="228" t="s">
        <v>34</v>
      </c>
      <c r="B7" s="228" t="s">
        <v>253</v>
      </c>
      <c r="C7" s="229">
        <v>2018</v>
      </c>
      <c r="D7" s="230" t="s">
        <v>494</v>
      </c>
      <c r="E7" s="228" t="s">
        <v>488</v>
      </c>
      <c r="F7" s="228" t="s">
        <v>489</v>
      </c>
      <c r="G7" s="231" t="s">
        <v>36</v>
      </c>
      <c r="H7" s="185" t="s">
        <v>158</v>
      </c>
      <c r="I7" s="185" t="s">
        <v>153</v>
      </c>
      <c r="J7" s="185" t="s">
        <v>38</v>
      </c>
      <c r="K7" s="185" t="s">
        <v>154</v>
      </c>
      <c r="L7" s="140">
        <v>3</v>
      </c>
      <c r="N7" s="140">
        <v>1</v>
      </c>
      <c r="O7" s="140">
        <v>0.6</v>
      </c>
      <c r="P7" s="165">
        <v>0.6</v>
      </c>
      <c r="Q7" s="173">
        <f t="shared" si="0"/>
        <v>0.6</v>
      </c>
      <c r="R7" s="239">
        <v>15.6</v>
      </c>
      <c r="S7" s="239">
        <v>192</v>
      </c>
      <c r="T7" s="149">
        <f t="shared" si="1"/>
        <v>30</v>
      </c>
      <c r="U7" s="240">
        <v>138</v>
      </c>
      <c r="V7" s="235">
        <f t="shared" si="2"/>
        <v>4140</v>
      </c>
      <c r="W7" s="241">
        <v>4</v>
      </c>
      <c r="X7" s="237" t="s">
        <v>46</v>
      </c>
      <c r="Y7" s="237" t="s">
        <v>69</v>
      </c>
      <c r="Z7" s="237" t="s">
        <v>50</v>
      </c>
      <c r="AA7" s="227" t="s">
        <v>84</v>
      </c>
      <c r="AB7" s="55" t="s">
        <v>255</v>
      </c>
      <c r="AE7" s="155" t="s">
        <v>61</v>
      </c>
      <c r="AG7" s="171" t="s">
        <v>510</v>
      </c>
      <c r="AH7" s="171" t="s">
        <v>489</v>
      </c>
      <c r="AL7" s="34" t="s">
        <v>511</v>
      </c>
      <c r="AP7" s="156" t="s">
        <v>58</v>
      </c>
      <c r="AR7" s="163" t="s">
        <v>122</v>
      </c>
      <c r="AV7" s="156" t="s">
        <v>64</v>
      </c>
      <c r="AX7" s="157">
        <v>109</v>
      </c>
      <c r="AY7" s="158">
        <v>33</v>
      </c>
      <c r="AZ7" s="158">
        <v>113</v>
      </c>
      <c r="BA7" s="159">
        <v>30</v>
      </c>
    </row>
    <row r="8" spans="1:53" x14ac:dyDescent="0.15">
      <c r="A8" s="228" t="s">
        <v>34</v>
      </c>
      <c r="B8" s="228" t="s">
        <v>253</v>
      </c>
      <c r="C8" s="228">
        <v>2018</v>
      </c>
      <c r="D8" s="230" t="s">
        <v>494</v>
      </c>
      <c r="E8" s="229" t="s">
        <v>510</v>
      </c>
      <c r="F8" s="228" t="s">
        <v>507</v>
      </c>
      <c r="G8" s="231" t="s">
        <v>36</v>
      </c>
      <c r="H8" s="185" t="s">
        <v>155</v>
      </c>
      <c r="I8" s="185" t="s">
        <v>153</v>
      </c>
      <c r="J8" s="185" t="s">
        <v>38</v>
      </c>
      <c r="K8" s="185" t="s">
        <v>154</v>
      </c>
      <c r="L8" s="140">
        <v>1</v>
      </c>
      <c r="N8" s="140">
        <v>1</v>
      </c>
      <c r="O8" s="140">
        <v>0.5</v>
      </c>
      <c r="P8" s="140">
        <v>0.45</v>
      </c>
      <c r="Q8" s="173">
        <f t="shared" si="0"/>
        <v>0.47499999999999998</v>
      </c>
      <c r="R8" s="239">
        <v>15</v>
      </c>
      <c r="S8" s="239">
        <v>123</v>
      </c>
      <c r="T8" s="149">
        <f t="shared" si="1"/>
        <v>30</v>
      </c>
      <c r="U8" s="244">
        <v>138</v>
      </c>
      <c r="V8" s="235">
        <f t="shared" si="2"/>
        <v>4140</v>
      </c>
      <c r="W8" s="241">
        <v>2</v>
      </c>
      <c r="X8" s="237" t="s">
        <v>46</v>
      </c>
      <c r="Y8" s="245" t="s">
        <v>90</v>
      </c>
      <c r="Z8" s="237" t="s">
        <v>50</v>
      </c>
      <c r="AA8" s="227" t="s">
        <v>84</v>
      </c>
      <c r="AB8" s="55" t="s">
        <v>255</v>
      </c>
      <c r="AE8" s="155" t="s">
        <v>59</v>
      </c>
      <c r="AG8" s="171" t="s">
        <v>512</v>
      </c>
      <c r="AH8" s="171" t="s">
        <v>513</v>
      </c>
      <c r="AL8" s="34" t="s">
        <v>359</v>
      </c>
      <c r="AP8" s="156" t="s">
        <v>62</v>
      </c>
      <c r="AR8" s="166" t="s">
        <v>81</v>
      </c>
      <c r="AV8" s="156" t="s">
        <v>97</v>
      </c>
      <c r="AX8" s="157">
        <v>151</v>
      </c>
      <c r="AY8" s="158">
        <v>22</v>
      </c>
      <c r="AZ8" s="158">
        <v>152</v>
      </c>
      <c r="BA8" s="159">
        <v>18</v>
      </c>
    </row>
    <row r="9" spans="1:53" x14ac:dyDescent="0.15">
      <c r="A9" s="228" t="s">
        <v>34</v>
      </c>
      <c r="B9" s="228" t="s">
        <v>253</v>
      </c>
      <c r="C9" s="229">
        <v>2018</v>
      </c>
      <c r="D9" s="230" t="s">
        <v>494</v>
      </c>
      <c r="E9" s="229" t="s">
        <v>510</v>
      </c>
      <c r="F9" s="228" t="s">
        <v>507</v>
      </c>
      <c r="G9" s="231" t="s">
        <v>36</v>
      </c>
      <c r="H9" s="185" t="s">
        <v>155</v>
      </c>
      <c r="I9" s="185" t="s">
        <v>153</v>
      </c>
      <c r="J9" s="185" t="s">
        <v>38</v>
      </c>
      <c r="K9" s="185" t="s">
        <v>154</v>
      </c>
      <c r="L9" s="140">
        <v>2</v>
      </c>
      <c r="N9" s="140">
        <v>1</v>
      </c>
      <c r="O9" s="140">
        <v>0.55000000000000004</v>
      </c>
      <c r="P9" s="140">
        <v>0.5</v>
      </c>
      <c r="Q9" s="173">
        <f t="shared" si="0"/>
        <v>0.52500000000000002</v>
      </c>
      <c r="R9" s="239">
        <v>14.4</v>
      </c>
      <c r="S9" s="239">
        <v>118</v>
      </c>
      <c r="T9" s="149">
        <f t="shared" si="1"/>
        <v>30</v>
      </c>
      <c r="U9" s="244">
        <v>138</v>
      </c>
      <c r="V9" s="235">
        <f t="shared" si="2"/>
        <v>4140</v>
      </c>
      <c r="W9" s="241">
        <v>2</v>
      </c>
      <c r="X9" s="237" t="s">
        <v>46</v>
      </c>
      <c r="Y9" s="245" t="s">
        <v>90</v>
      </c>
      <c r="Z9" s="237" t="s">
        <v>50</v>
      </c>
      <c r="AA9" s="227" t="s">
        <v>84</v>
      </c>
      <c r="AB9" s="55" t="s">
        <v>255</v>
      </c>
      <c r="AE9" s="155" t="s">
        <v>98</v>
      </c>
      <c r="AG9" s="171" t="s">
        <v>514</v>
      </c>
      <c r="AH9" s="171" t="s">
        <v>515</v>
      </c>
      <c r="AL9" s="162"/>
      <c r="AP9" s="156" t="s">
        <v>95</v>
      </c>
      <c r="AR9" s="163" t="s">
        <v>89</v>
      </c>
      <c r="AV9" s="156" t="s">
        <v>102</v>
      </c>
      <c r="AX9" s="31">
        <v>180</v>
      </c>
      <c r="AY9" s="32">
        <v>18</v>
      </c>
      <c r="AZ9" s="32">
        <v>181</v>
      </c>
      <c r="BA9" s="33">
        <v>16</v>
      </c>
    </row>
    <row r="10" spans="1:53" x14ac:dyDescent="0.15">
      <c r="A10" s="228" t="s">
        <v>34</v>
      </c>
      <c r="B10" s="228" t="s">
        <v>253</v>
      </c>
      <c r="C10" s="228">
        <v>2018</v>
      </c>
      <c r="D10" s="230" t="s">
        <v>494</v>
      </c>
      <c r="E10" s="229" t="s">
        <v>510</v>
      </c>
      <c r="F10" s="228" t="s">
        <v>507</v>
      </c>
      <c r="G10" s="231" t="s">
        <v>36</v>
      </c>
      <c r="H10" s="185" t="s">
        <v>155</v>
      </c>
      <c r="I10" s="185" t="s">
        <v>153</v>
      </c>
      <c r="J10" s="185" t="s">
        <v>38</v>
      </c>
      <c r="K10" s="185" t="s">
        <v>154</v>
      </c>
      <c r="L10" s="140">
        <v>3</v>
      </c>
      <c r="N10" s="140">
        <v>1</v>
      </c>
      <c r="O10" s="140">
        <v>0.45</v>
      </c>
      <c r="P10" s="140">
        <v>0.5</v>
      </c>
      <c r="Q10" s="173">
        <f t="shared" si="0"/>
        <v>0.47499999999999998</v>
      </c>
      <c r="R10" s="239">
        <v>14.9</v>
      </c>
      <c r="S10" s="239">
        <v>118</v>
      </c>
      <c r="T10" s="149">
        <f t="shared" si="1"/>
        <v>30</v>
      </c>
      <c r="U10" s="244">
        <v>138</v>
      </c>
      <c r="V10" s="235">
        <f t="shared" si="2"/>
        <v>4140</v>
      </c>
      <c r="W10" s="241">
        <v>2</v>
      </c>
      <c r="X10" s="237" t="s">
        <v>46</v>
      </c>
      <c r="Y10" s="245" t="s">
        <v>90</v>
      </c>
      <c r="Z10" s="237" t="s">
        <v>50</v>
      </c>
      <c r="AA10" s="227" t="s">
        <v>84</v>
      </c>
      <c r="AB10" s="55" t="s">
        <v>255</v>
      </c>
      <c r="AE10" s="155" t="s">
        <v>103</v>
      </c>
      <c r="AG10" s="171" t="s">
        <v>516</v>
      </c>
      <c r="AH10" s="171" t="s">
        <v>517</v>
      </c>
      <c r="AL10" s="34"/>
      <c r="AP10" s="156" t="s">
        <v>100</v>
      </c>
      <c r="AR10" s="163" t="s">
        <v>123</v>
      </c>
      <c r="AV10" s="156" t="s">
        <v>106</v>
      </c>
    </row>
    <row r="11" spans="1:53" x14ac:dyDescent="0.15">
      <c r="A11" s="228" t="s">
        <v>34</v>
      </c>
      <c r="B11" s="228" t="s">
        <v>361</v>
      </c>
      <c r="C11" s="229">
        <v>2018</v>
      </c>
      <c r="D11" s="230" t="s">
        <v>494</v>
      </c>
      <c r="E11" s="229" t="s">
        <v>510</v>
      </c>
      <c r="F11" s="228" t="s">
        <v>507</v>
      </c>
      <c r="G11" s="231" t="s">
        <v>36</v>
      </c>
      <c r="H11" s="185" t="s">
        <v>158</v>
      </c>
      <c r="I11" s="185" t="s">
        <v>153</v>
      </c>
      <c r="J11" s="185" t="s">
        <v>38</v>
      </c>
      <c r="K11" s="185" t="s">
        <v>154</v>
      </c>
      <c r="L11" s="140">
        <v>1</v>
      </c>
      <c r="N11" s="140">
        <v>1</v>
      </c>
      <c r="O11" s="140">
        <v>0.65</v>
      </c>
      <c r="P11" s="140">
        <v>0.75</v>
      </c>
      <c r="Q11" s="173">
        <f t="shared" si="0"/>
        <v>0.7</v>
      </c>
      <c r="R11" s="239">
        <v>16.3</v>
      </c>
      <c r="S11" s="239">
        <v>181</v>
      </c>
      <c r="T11" s="149">
        <f t="shared" si="1"/>
        <v>30</v>
      </c>
      <c r="U11" s="244">
        <v>148</v>
      </c>
      <c r="V11" s="235">
        <f t="shared" si="2"/>
        <v>4440</v>
      </c>
      <c r="W11" s="241">
        <v>2</v>
      </c>
      <c r="X11" s="237" t="s">
        <v>46</v>
      </c>
      <c r="Y11" s="245" t="s">
        <v>90</v>
      </c>
      <c r="Z11" s="237" t="s">
        <v>50</v>
      </c>
      <c r="AA11" s="246" t="s">
        <v>84</v>
      </c>
      <c r="AB11" s="55" t="s">
        <v>255</v>
      </c>
      <c r="AE11" s="155" t="s">
        <v>65</v>
      </c>
      <c r="AG11" s="166"/>
      <c r="AH11" s="166"/>
      <c r="AL11" s="34"/>
      <c r="AP11" s="156" t="s">
        <v>104</v>
      </c>
      <c r="AR11" s="163" t="s">
        <v>87</v>
      </c>
      <c r="AV11" s="156" t="s">
        <v>69</v>
      </c>
    </row>
    <row r="12" spans="1:53" x14ac:dyDescent="0.15">
      <c r="A12" s="228" t="s">
        <v>34</v>
      </c>
      <c r="B12" s="228" t="s">
        <v>253</v>
      </c>
      <c r="C12" s="228">
        <v>2018</v>
      </c>
      <c r="D12" s="230" t="s">
        <v>494</v>
      </c>
      <c r="E12" s="229" t="s">
        <v>510</v>
      </c>
      <c r="F12" s="228" t="s">
        <v>507</v>
      </c>
      <c r="G12" s="231" t="s">
        <v>36</v>
      </c>
      <c r="H12" s="185" t="s">
        <v>158</v>
      </c>
      <c r="I12" s="185" t="s">
        <v>153</v>
      </c>
      <c r="J12" s="185" t="s">
        <v>38</v>
      </c>
      <c r="K12" s="185" t="s">
        <v>154</v>
      </c>
      <c r="L12" s="140">
        <v>2</v>
      </c>
      <c r="N12" s="140">
        <v>1</v>
      </c>
      <c r="O12" s="140">
        <v>0.65</v>
      </c>
      <c r="P12" s="140">
        <v>0.6</v>
      </c>
      <c r="Q12" s="173">
        <f t="shared" si="0"/>
        <v>0.625</v>
      </c>
      <c r="R12" s="239">
        <v>17.2</v>
      </c>
      <c r="S12" s="239">
        <v>158</v>
      </c>
      <c r="T12" s="149">
        <f t="shared" si="1"/>
        <v>30</v>
      </c>
      <c r="U12" s="244">
        <v>148</v>
      </c>
      <c r="V12" s="235">
        <f t="shared" si="2"/>
        <v>4440</v>
      </c>
      <c r="W12" s="241">
        <v>2</v>
      </c>
      <c r="X12" s="237" t="s">
        <v>46</v>
      </c>
      <c r="Y12" s="245" t="s">
        <v>90</v>
      </c>
      <c r="Z12" s="237" t="s">
        <v>50</v>
      </c>
      <c r="AA12" s="246" t="s">
        <v>84</v>
      </c>
      <c r="AB12" s="55" t="s">
        <v>255</v>
      </c>
      <c r="AE12" s="155" t="s">
        <v>70</v>
      </c>
      <c r="AG12" s="166"/>
      <c r="AH12" s="166"/>
      <c r="AL12" s="34"/>
      <c r="AP12" s="156" t="s">
        <v>67</v>
      </c>
      <c r="AR12" s="163" t="s">
        <v>124</v>
      </c>
      <c r="AV12" s="156" t="s">
        <v>72</v>
      </c>
    </row>
    <row r="13" spans="1:53" x14ac:dyDescent="0.15">
      <c r="A13" s="228" t="s">
        <v>34</v>
      </c>
      <c r="B13" s="228" t="s">
        <v>253</v>
      </c>
      <c r="C13" s="229">
        <v>2018</v>
      </c>
      <c r="D13" s="230" t="s">
        <v>494</v>
      </c>
      <c r="E13" s="229" t="s">
        <v>510</v>
      </c>
      <c r="F13" s="228" t="s">
        <v>507</v>
      </c>
      <c r="G13" s="231" t="s">
        <v>36</v>
      </c>
      <c r="H13" s="185" t="s">
        <v>158</v>
      </c>
      <c r="I13" s="185" t="s">
        <v>153</v>
      </c>
      <c r="J13" s="185" t="s">
        <v>38</v>
      </c>
      <c r="K13" s="185" t="s">
        <v>154</v>
      </c>
      <c r="L13" s="140">
        <v>3</v>
      </c>
      <c r="N13" s="140">
        <v>1</v>
      </c>
      <c r="O13" s="140">
        <v>0.55000000000000004</v>
      </c>
      <c r="P13" s="140">
        <v>0.6</v>
      </c>
      <c r="Q13" s="173">
        <f t="shared" si="0"/>
        <v>0.57499999999999996</v>
      </c>
      <c r="R13" s="239">
        <v>16.5</v>
      </c>
      <c r="S13" s="239">
        <v>164</v>
      </c>
      <c r="T13" s="149">
        <f t="shared" si="1"/>
        <v>30</v>
      </c>
      <c r="U13" s="244">
        <v>148</v>
      </c>
      <c r="V13" s="235">
        <f t="shared" si="2"/>
        <v>4440</v>
      </c>
      <c r="W13" s="241">
        <v>2</v>
      </c>
      <c r="X13" s="237" t="s">
        <v>46</v>
      </c>
      <c r="Y13" s="245" t="s">
        <v>90</v>
      </c>
      <c r="Z13" s="237" t="s">
        <v>50</v>
      </c>
      <c r="AA13" s="246" t="s">
        <v>84</v>
      </c>
      <c r="AB13" s="55" t="s">
        <v>255</v>
      </c>
      <c r="AE13" s="155" t="s">
        <v>73</v>
      </c>
      <c r="AG13" s="247"/>
      <c r="AH13" s="247"/>
      <c r="AP13" s="156" t="s">
        <v>71</v>
      </c>
      <c r="AR13" s="163" t="s">
        <v>103</v>
      </c>
      <c r="AV13" s="156" t="s">
        <v>75</v>
      </c>
    </row>
    <row r="14" spans="1:53" x14ac:dyDescent="0.15">
      <c r="A14" s="228" t="s">
        <v>34</v>
      </c>
      <c r="B14" s="228" t="s">
        <v>253</v>
      </c>
      <c r="C14" s="228">
        <v>2018</v>
      </c>
      <c r="D14" s="230" t="s">
        <v>494</v>
      </c>
      <c r="E14" s="229" t="s">
        <v>518</v>
      </c>
      <c r="F14" s="228" t="s">
        <v>507</v>
      </c>
      <c r="G14" s="231" t="s">
        <v>36</v>
      </c>
      <c r="H14" s="185" t="s">
        <v>155</v>
      </c>
      <c r="I14" s="185" t="s">
        <v>153</v>
      </c>
      <c r="J14" s="185" t="s">
        <v>38</v>
      </c>
      <c r="K14" s="185" t="s">
        <v>154</v>
      </c>
      <c r="L14" s="140">
        <v>1</v>
      </c>
      <c r="N14" s="140">
        <v>1</v>
      </c>
      <c r="O14" s="140">
        <v>0.95</v>
      </c>
      <c r="P14" s="140">
        <v>1.1499999999999999</v>
      </c>
      <c r="Q14" s="173">
        <f t="shared" si="0"/>
        <v>1.0499999999999998</v>
      </c>
      <c r="R14" s="239">
        <v>14</v>
      </c>
      <c r="S14" s="239">
        <v>129</v>
      </c>
      <c r="T14" s="149">
        <f t="shared" si="1"/>
        <v>30</v>
      </c>
      <c r="U14" s="244">
        <v>59</v>
      </c>
      <c r="V14" s="235">
        <v>3582</v>
      </c>
      <c r="W14" s="241">
        <v>6</v>
      </c>
      <c r="X14" s="237" t="s">
        <v>46</v>
      </c>
      <c r="Y14" s="245" t="s">
        <v>84</v>
      </c>
      <c r="Z14" s="245" t="s">
        <v>50</v>
      </c>
      <c r="AA14" s="246" t="s">
        <v>90</v>
      </c>
      <c r="AB14" s="55" t="s">
        <v>255</v>
      </c>
      <c r="AC14" s="34"/>
      <c r="AE14" s="155" t="s">
        <v>76</v>
      </c>
      <c r="AG14" s="187"/>
      <c r="AH14" s="187"/>
      <c r="AP14" s="156" t="s">
        <v>74</v>
      </c>
      <c r="AR14" s="163" t="s">
        <v>125</v>
      </c>
      <c r="AV14" s="156" t="s">
        <v>78</v>
      </c>
    </row>
    <row r="15" spans="1:53" x14ac:dyDescent="0.15">
      <c r="A15" s="228" t="s">
        <v>34</v>
      </c>
      <c r="B15" s="228" t="s">
        <v>253</v>
      </c>
      <c r="C15" s="229">
        <v>2018</v>
      </c>
      <c r="D15" s="230" t="s">
        <v>494</v>
      </c>
      <c r="E15" s="229" t="s">
        <v>518</v>
      </c>
      <c r="F15" s="228" t="s">
        <v>507</v>
      </c>
      <c r="G15" s="231" t="s">
        <v>36</v>
      </c>
      <c r="H15" s="185" t="s">
        <v>155</v>
      </c>
      <c r="I15" s="185" t="s">
        <v>153</v>
      </c>
      <c r="J15" s="185" t="s">
        <v>38</v>
      </c>
      <c r="K15" s="185" t="s">
        <v>154</v>
      </c>
      <c r="L15" s="140">
        <v>2</v>
      </c>
      <c r="N15" s="140">
        <v>1</v>
      </c>
      <c r="O15" s="140">
        <v>1.1000000000000001</v>
      </c>
      <c r="P15" s="140">
        <v>0.95</v>
      </c>
      <c r="Q15" s="173">
        <f t="shared" si="0"/>
        <v>1.0249999999999999</v>
      </c>
      <c r="R15" s="239">
        <v>13.6</v>
      </c>
      <c r="S15" s="239">
        <v>134</v>
      </c>
      <c r="T15" s="149">
        <f t="shared" si="1"/>
        <v>30</v>
      </c>
      <c r="U15" s="244">
        <v>59</v>
      </c>
      <c r="V15" s="235">
        <f t="shared" si="2"/>
        <v>1770</v>
      </c>
      <c r="W15" s="241">
        <v>6</v>
      </c>
      <c r="X15" s="237" t="s">
        <v>46</v>
      </c>
      <c r="Y15" s="245" t="s">
        <v>84</v>
      </c>
      <c r="Z15" s="245" t="s">
        <v>50</v>
      </c>
      <c r="AA15" s="246" t="s">
        <v>90</v>
      </c>
      <c r="AB15" s="55" t="s">
        <v>255</v>
      </c>
      <c r="AC15" s="34"/>
      <c r="AE15" s="155" t="s">
        <v>79</v>
      </c>
      <c r="AP15" s="156" t="s">
        <v>77</v>
      </c>
      <c r="AR15" s="163" t="s">
        <v>94</v>
      </c>
      <c r="AV15" s="156" t="s">
        <v>107</v>
      </c>
    </row>
    <row r="16" spans="1:53" x14ac:dyDescent="0.15">
      <c r="A16" s="228" t="s">
        <v>34</v>
      </c>
      <c r="B16" s="228" t="s">
        <v>253</v>
      </c>
      <c r="C16" s="228">
        <v>2018</v>
      </c>
      <c r="D16" s="230" t="s">
        <v>494</v>
      </c>
      <c r="E16" s="229" t="s">
        <v>518</v>
      </c>
      <c r="F16" s="228" t="s">
        <v>507</v>
      </c>
      <c r="G16" s="231" t="s">
        <v>36</v>
      </c>
      <c r="H16" s="185" t="s">
        <v>155</v>
      </c>
      <c r="I16" s="185" t="s">
        <v>153</v>
      </c>
      <c r="J16" s="185" t="s">
        <v>38</v>
      </c>
      <c r="K16" s="185" t="s">
        <v>154</v>
      </c>
      <c r="L16" s="140">
        <v>3</v>
      </c>
      <c r="N16" s="140">
        <v>1</v>
      </c>
      <c r="O16" s="140">
        <v>1</v>
      </c>
      <c r="P16" s="140">
        <v>1.2</v>
      </c>
      <c r="Q16" s="173">
        <f t="shared" si="0"/>
        <v>1.1000000000000001</v>
      </c>
      <c r="R16" s="239">
        <v>14.4</v>
      </c>
      <c r="S16" s="239">
        <v>125</v>
      </c>
      <c r="T16" s="149">
        <f t="shared" si="1"/>
        <v>30</v>
      </c>
      <c r="U16" s="244">
        <v>59</v>
      </c>
      <c r="V16" s="235">
        <f t="shared" si="2"/>
        <v>1770</v>
      </c>
      <c r="W16" s="241">
        <v>6</v>
      </c>
      <c r="X16" s="237" t="s">
        <v>46</v>
      </c>
      <c r="Y16" s="245" t="s">
        <v>84</v>
      </c>
      <c r="Z16" s="245" t="s">
        <v>50</v>
      </c>
      <c r="AA16" s="246" t="s">
        <v>90</v>
      </c>
      <c r="AB16" s="55" t="s">
        <v>255</v>
      </c>
      <c r="AC16" s="34"/>
      <c r="AE16" s="155" t="s">
        <v>82</v>
      </c>
      <c r="AP16" s="156" t="s">
        <v>80</v>
      </c>
      <c r="AR16" s="166" t="s">
        <v>63</v>
      </c>
      <c r="AV16" s="156" t="s">
        <v>84</v>
      </c>
    </row>
    <row r="17" spans="1:48" x14ac:dyDescent="0.15">
      <c r="A17" s="228" t="s">
        <v>34</v>
      </c>
      <c r="B17" s="228" t="s">
        <v>253</v>
      </c>
      <c r="C17" s="229">
        <v>2018</v>
      </c>
      <c r="D17" s="230" t="s">
        <v>494</v>
      </c>
      <c r="E17" s="229" t="s">
        <v>518</v>
      </c>
      <c r="F17" s="228" t="s">
        <v>507</v>
      </c>
      <c r="G17" s="231" t="s">
        <v>36</v>
      </c>
      <c r="H17" s="185" t="s">
        <v>158</v>
      </c>
      <c r="I17" s="185" t="s">
        <v>153</v>
      </c>
      <c r="J17" s="185" t="s">
        <v>38</v>
      </c>
      <c r="K17" s="185" t="s">
        <v>154</v>
      </c>
      <c r="L17" s="140">
        <v>1</v>
      </c>
      <c r="N17" s="140">
        <v>1</v>
      </c>
      <c r="O17" s="140">
        <v>0.6</v>
      </c>
      <c r="P17" s="140">
        <v>0.5</v>
      </c>
      <c r="Q17" s="173">
        <f t="shared" si="0"/>
        <v>0.55000000000000004</v>
      </c>
      <c r="R17" s="239">
        <v>15.1</v>
      </c>
      <c r="S17" s="239">
        <v>147</v>
      </c>
      <c r="T17" s="149">
        <f t="shared" si="1"/>
        <v>30</v>
      </c>
      <c r="U17" s="244">
        <v>98</v>
      </c>
      <c r="V17" s="235">
        <f t="shared" si="2"/>
        <v>2940</v>
      </c>
      <c r="W17" s="241">
        <v>6</v>
      </c>
      <c r="X17" s="237" t="s">
        <v>46</v>
      </c>
      <c r="Y17" s="245" t="s">
        <v>84</v>
      </c>
      <c r="Z17" s="245" t="s">
        <v>50</v>
      </c>
      <c r="AA17" s="246" t="s">
        <v>90</v>
      </c>
      <c r="AB17" s="55" t="s">
        <v>255</v>
      </c>
      <c r="AC17" s="34"/>
      <c r="AE17" s="155" t="s">
        <v>85</v>
      </c>
      <c r="AP17" s="167" t="s">
        <v>110</v>
      </c>
      <c r="AR17" s="166" t="s">
        <v>96</v>
      </c>
      <c r="AV17" s="156" t="s">
        <v>86</v>
      </c>
    </row>
    <row r="18" spans="1:48" x14ac:dyDescent="0.15">
      <c r="A18" s="228" t="s">
        <v>34</v>
      </c>
      <c r="B18" s="228" t="s">
        <v>253</v>
      </c>
      <c r="C18" s="228">
        <v>2018</v>
      </c>
      <c r="D18" s="230" t="s">
        <v>494</v>
      </c>
      <c r="E18" s="229" t="s">
        <v>518</v>
      </c>
      <c r="F18" s="228" t="s">
        <v>507</v>
      </c>
      <c r="G18" s="231" t="s">
        <v>36</v>
      </c>
      <c r="H18" s="185" t="s">
        <v>158</v>
      </c>
      <c r="I18" s="185" t="s">
        <v>153</v>
      </c>
      <c r="J18" s="185" t="s">
        <v>38</v>
      </c>
      <c r="K18" s="185" t="s">
        <v>154</v>
      </c>
      <c r="L18" s="140">
        <v>2</v>
      </c>
      <c r="N18" s="140">
        <v>1</v>
      </c>
      <c r="O18" s="140">
        <v>0.6</v>
      </c>
      <c r="P18" s="140">
        <v>0.55000000000000004</v>
      </c>
      <c r="Q18" s="173">
        <f t="shared" si="0"/>
        <v>0.57499999999999996</v>
      </c>
      <c r="R18" s="239">
        <v>15.3</v>
      </c>
      <c r="S18" s="239">
        <v>141</v>
      </c>
      <c r="T18" s="149">
        <f t="shared" si="1"/>
        <v>30</v>
      </c>
      <c r="U18" s="244">
        <v>98</v>
      </c>
      <c r="V18" s="235">
        <f t="shared" si="2"/>
        <v>2940</v>
      </c>
      <c r="W18" s="241">
        <v>6</v>
      </c>
      <c r="X18" s="237" t="s">
        <v>46</v>
      </c>
      <c r="Y18" s="245" t="s">
        <v>84</v>
      </c>
      <c r="Z18" s="245" t="s">
        <v>50</v>
      </c>
      <c r="AA18" s="246" t="s">
        <v>90</v>
      </c>
      <c r="AB18" s="55" t="s">
        <v>255</v>
      </c>
      <c r="AC18" s="34"/>
      <c r="AE18" s="155" t="s">
        <v>87</v>
      </c>
      <c r="AP18" s="167" t="s">
        <v>111</v>
      </c>
      <c r="AR18" s="166" t="s">
        <v>101</v>
      </c>
      <c r="AV18" s="156" t="s">
        <v>88</v>
      </c>
    </row>
    <row r="19" spans="1:48" x14ac:dyDescent="0.15">
      <c r="A19" s="228" t="s">
        <v>34</v>
      </c>
      <c r="B19" s="228" t="s">
        <v>253</v>
      </c>
      <c r="C19" s="229">
        <v>2018</v>
      </c>
      <c r="D19" s="230" t="s">
        <v>494</v>
      </c>
      <c r="E19" s="229" t="s">
        <v>518</v>
      </c>
      <c r="F19" s="228" t="s">
        <v>507</v>
      </c>
      <c r="G19" s="231" t="s">
        <v>36</v>
      </c>
      <c r="H19" s="185" t="s">
        <v>158</v>
      </c>
      <c r="I19" s="185" t="s">
        <v>153</v>
      </c>
      <c r="J19" s="185" t="s">
        <v>38</v>
      </c>
      <c r="K19" s="185" t="s">
        <v>154</v>
      </c>
      <c r="L19" s="140">
        <v>3</v>
      </c>
      <c r="N19" s="140">
        <v>1</v>
      </c>
      <c r="O19" s="140">
        <v>0.6</v>
      </c>
      <c r="P19" s="140">
        <v>0.5</v>
      </c>
      <c r="Q19" s="173">
        <f t="shared" si="0"/>
        <v>0.55000000000000004</v>
      </c>
      <c r="R19" s="239">
        <v>15.2</v>
      </c>
      <c r="S19" s="239">
        <v>136</v>
      </c>
      <c r="T19" s="149">
        <f t="shared" si="1"/>
        <v>30</v>
      </c>
      <c r="U19" s="244">
        <v>98</v>
      </c>
      <c r="V19" s="235">
        <f t="shared" si="2"/>
        <v>2940</v>
      </c>
      <c r="W19" s="241">
        <v>6</v>
      </c>
      <c r="X19" s="237" t="s">
        <v>46</v>
      </c>
      <c r="Y19" s="245" t="s">
        <v>84</v>
      </c>
      <c r="Z19" s="245" t="s">
        <v>50</v>
      </c>
      <c r="AA19" s="246" t="s">
        <v>90</v>
      </c>
      <c r="AB19" s="55" t="s">
        <v>255</v>
      </c>
      <c r="AC19" s="34"/>
      <c r="AE19" s="164" t="s">
        <v>89</v>
      </c>
      <c r="AP19" s="167" t="s">
        <v>112</v>
      </c>
      <c r="AR19" s="163" t="s">
        <v>126</v>
      </c>
      <c r="AV19" s="156" t="s">
        <v>90</v>
      </c>
    </row>
    <row r="20" spans="1:48" x14ac:dyDescent="0.15">
      <c r="A20" s="228" t="s">
        <v>34</v>
      </c>
      <c r="B20" s="228" t="s">
        <v>253</v>
      </c>
      <c r="C20" s="228">
        <v>2018</v>
      </c>
      <c r="D20" s="230" t="s">
        <v>494</v>
      </c>
      <c r="E20" s="229" t="s">
        <v>488</v>
      </c>
      <c r="F20" s="228" t="s">
        <v>519</v>
      </c>
      <c r="G20" s="231" t="s">
        <v>36</v>
      </c>
      <c r="H20" s="185" t="s">
        <v>155</v>
      </c>
      <c r="I20" s="185" t="s">
        <v>153</v>
      </c>
      <c r="J20" s="185" t="s">
        <v>38</v>
      </c>
      <c r="K20" s="185" t="s">
        <v>154</v>
      </c>
      <c r="L20" s="140">
        <v>1</v>
      </c>
      <c r="N20" s="140">
        <v>1</v>
      </c>
      <c r="O20" s="140">
        <v>0.6</v>
      </c>
      <c r="P20" s="140">
        <v>0.75</v>
      </c>
      <c r="Q20" s="173">
        <f t="shared" si="0"/>
        <v>0.67500000000000004</v>
      </c>
      <c r="R20" s="239">
        <v>15.5</v>
      </c>
      <c r="S20" s="248">
        <v>119</v>
      </c>
      <c r="T20" s="149">
        <f t="shared" si="1"/>
        <v>30</v>
      </c>
      <c r="U20" s="244">
        <v>78</v>
      </c>
      <c r="V20" s="235">
        <f t="shared" si="2"/>
        <v>2340</v>
      </c>
      <c r="W20" s="241">
        <v>4</v>
      </c>
      <c r="X20" s="237" t="s">
        <v>46</v>
      </c>
      <c r="Y20" s="245" t="s">
        <v>69</v>
      </c>
      <c r="Z20" s="245" t="s">
        <v>50</v>
      </c>
      <c r="AA20" s="246" t="s">
        <v>84</v>
      </c>
      <c r="AB20" s="55" t="s">
        <v>255</v>
      </c>
      <c r="AE20" s="164"/>
      <c r="AP20" s="167" t="s">
        <v>113</v>
      </c>
      <c r="AR20" s="166" t="s">
        <v>105</v>
      </c>
      <c r="AV20" s="160" t="s">
        <v>386</v>
      </c>
    </row>
    <row r="21" spans="1:48" x14ac:dyDescent="0.15">
      <c r="A21" s="228" t="s">
        <v>34</v>
      </c>
      <c r="B21" s="228" t="s">
        <v>253</v>
      </c>
      <c r="C21" s="229">
        <v>2018</v>
      </c>
      <c r="D21" s="230" t="s">
        <v>494</v>
      </c>
      <c r="E21" s="229" t="s">
        <v>488</v>
      </c>
      <c r="F21" s="228" t="s">
        <v>519</v>
      </c>
      <c r="G21" s="231" t="s">
        <v>36</v>
      </c>
      <c r="H21" s="185" t="s">
        <v>155</v>
      </c>
      <c r="I21" s="185" t="s">
        <v>153</v>
      </c>
      <c r="J21" s="185" t="s">
        <v>38</v>
      </c>
      <c r="K21" s="185" t="s">
        <v>154</v>
      </c>
      <c r="L21" s="140">
        <v>2</v>
      </c>
      <c r="N21" s="140">
        <v>1</v>
      </c>
      <c r="O21" s="140">
        <v>0.65</v>
      </c>
      <c r="P21" s="140">
        <v>0.6</v>
      </c>
      <c r="Q21" s="173">
        <f t="shared" si="0"/>
        <v>0.625</v>
      </c>
      <c r="R21" s="248">
        <v>14.9</v>
      </c>
      <c r="S21" s="239">
        <v>118</v>
      </c>
      <c r="T21" s="149">
        <f t="shared" si="1"/>
        <v>30</v>
      </c>
      <c r="U21" s="244">
        <v>78</v>
      </c>
      <c r="V21" s="235">
        <f t="shared" si="2"/>
        <v>2340</v>
      </c>
      <c r="W21" s="241">
        <v>4</v>
      </c>
      <c r="X21" s="237" t="s">
        <v>46</v>
      </c>
      <c r="Y21" s="245" t="s">
        <v>69</v>
      </c>
      <c r="Z21" s="245" t="s">
        <v>50</v>
      </c>
      <c r="AA21" s="246" t="s">
        <v>84</v>
      </c>
      <c r="AB21" s="55" t="s">
        <v>255</v>
      </c>
      <c r="AE21" s="161"/>
      <c r="AP21" s="167" t="s">
        <v>114</v>
      </c>
      <c r="AR21" s="166" t="s">
        <v>68</v>
      </c>
      <c r="AV21" s="160" t="s">
        <v>520</v>
      </c>
    </row>
    <row r="22" spans="1:48" x14ac:dyDescent="0.15">
      <c r="A22" s="228" t="s">
        <v>34</v>
      </c>
      <c r="B22" s="228" t="s">
        <v>253</v>
      </c>
      <c r="C22" s="228">
        <v>2018</v>
      </c>
      <c r="D22" s="230" t="s">
        <v>494</v>
      </c>
      <c r="E22" s="229" t="s">
        <v>488</v>
      </c>
      <c r="F22" s="228" t="s">
        <v>519</v>
      </c>
      <c r="G22" s="231" t="s">
        <v>36</v>
      </c>
      <c r="H22" s="185" t="s">
        <v>155</v>
      </c>
      <c r="I22" s="185" t="s">
        <v>153</v>
      </c>
      <c r="J22" s="185" t="s">
        <v>38</v>
      </c>
      <c r="K22" s="185" t="s">
        <v>154</v>
      </c>
      <c r="L22" s="140">
        <v>3</v>
      </c>
      <c r="N22" s="140">
        <v>1</v>
      </c>
      <c r="O22" s="140">
        <v>0.7</v>
      </c>
      <c r="P22" s="34">
        <v>0.75</v>
      </c>
      <c r="Q22" s="173">
        <f t="shared" si="0"/>
        <v>0.72499999999999998</v>
      </c>
      <c r="R22" s="239">
        <v>14.7</v>
      </c>
      <c r="S22" s="239">
        <v>119</v>
      </c>
      <c r="T22" s="149">
        <f t="shared" si="1"/>
        <v>30</v>
      </c>
      <c r="U22" s="244">
        <v>78</v>
      </c>
      <c r="V22" s="235">
        <f t="shared" si="2"/>
        <v>2340</v>
      </c>
      <c r="W22" s="241">
        <v>4</v>
      </c>
      <c r="X22" s="237" t="s">
        <v>46</v>
      </c>
      <c r="Y22" s="245" t="s">
        <v>69</v>
      </c>
      <c r="Z22" s="245" t="s">
        <v>50</v>
      </c>
      <c r="AA22" s="246" t="s">
        <v>84</v>
      </c>
      <c r="AB22" s="55" t="s">
        <v>255</v>
      </c>
      <c r="AP22" s="167" t="s">
        <v>115</v>
      </c>
      <c r="AR22" s="166" t="s">
        <v>83</v>
      </c>
      <c r="AV22" s="156"/>
    </row>
    <row r="23" spans="1:48" x14ac:dyDescent="0.15">
      <c r="A23" s="228" t="s">
        <v>34</v>
      </c>
      <c r="B23" s="228" t="s">
        <v>253</v>
      </c>
      <c r="C23" s="229">
        <v>2018</v>
      </c>
      <c r="D23" s="230" t="s">
        <v>494</v>
      </c>
      <c r="E23" s="229" t="s">
        <v>488</v>
      </c>
      <c r="F23" s="228" t="s">
        <v>519</v>
      </c>
      <c r="G23" s="231" t="s">
        <v>36</v>
      </c>
      <c r="H23" s="185" t="s">
        <v>158</v>
      </c>
      <c r="I23" s="185" t="s">
        <v>153</v>
      </c>
      <c r="J23" s="185" t="s">
        <v>38</v>
      </c>
      <c r="K23" s="185" t="s">
        <v>154</v>
      </c>
      <c r="L23" s="140">
        <v>1</v>
      </c>
      <c r="N23" s="140">
        <v>4</v>
      </c>
      <c r="O23" s="140">
        <v>0.55000000000000004</v>
      </c>
      <c r="P23" s="34">
        <v>0.6</v>
      </c>
      <c r="Q23" s="173">
        <f t="shared" si="0"/>
        <v>0.57499999999999996</v>
      </c>
      <c r="R23" s="239">
        <v>15.2</v>
      </c>
      <c r="S23" s="239">
        <v>125</v>
      </c>
      <c r="T23" s="149">
        <f t="shared" si="1"/>
        <v>30</v>
      </c>
      <c r="U23" s="244">
        <v>458</v>
      </c>
      <c r="V23" s="235">
        <f t="shared" si="2"/>
        <v>3435</v>
      </c>
      <c r="W23" s="241">
        <v>4</v>
      </c>
      <c r="X23" s="237" t="s">
        <v>46</v>
      </c>
      <c r="Y23" s="245" t="s">
        <v>69</v>
      </c>
      <c r="Z23" s="245" t="s">
        <v>50</v>
      </c>
      <c r="AA23" s="246" t="s">
        <v>84</v>
      </c>
      <c r="AB23" s="55" t="s">
        <v>255</v>
      </c>
      <c r="AP23" s="167" t="s">
        <v>390</v>
      </c>
      <c r="AR23" s="166" t="s">
        <v>61</v>
      </c>
      <c r="AV23" s="156"/>
    </row>
    <row r="24" spans="1:48" x14ac:dyDescent="0.15">
      <c r="A24" s="228" t="s">
        <v>34</v>
      </c>
      <c r="B24" s="228" t="s">
        <v>253</v>
      </c>
      <c r="C24" s="228">
        <v>2018</v>
      </c>
      <c r="D24" s="230" t="s">
        <v>494</v>
      </c>
      <c r="E24" s="229" t="s">
        <v>488</v>
      </c>
      <c r="F24" s="228" t="s">
        <v>519</v>
      </c>
      <c r="G24" s="231" t="s">
        <v>36</v>
      </c>
      <c r="H24" s="185" t="s">
        <v>158</v>
      </c>
      <c r="I24" s="185" t="s">
        <v>153</v>
      </c>
      <c r="J24" s="185" t="s">
        <v>38</v>
      </c>
      <c r="K24" s="185" t="s">
        <v>154</v>
      </c>
      <c r="L24" s="140">
        <v>2</v>
      </c>
      <c r="N24" s="140">
        <v>4</v>
      </c>
      <c r="O24" s="140">
        <v>0.55000000000000004</v>
      </c>
      <c r="P24" s="34">
        <v>0.55000000000000004</v>
      </c>
      <c r="Q24" s="173">
        <f t="shared" si="0"/>
        <v>0.55000000000000004</v>
      </c>
      <c r="R24" s="239">
        <v>15.4</v>
      </c>
      <c r="S24" s="239">
        <v>126</v>
      </c>
      <c r="T24" s="149">
        <f t="shared" si="1"/>
        <v>30</v>
      </c>
      <c r="U24" s="244">
        <v>458</v>
      </c>
      <c r="V24" s="235">
        <f t="shared" si="2"/>
        <v>3435</v>
      </c>
      <c r="W24" s="241">
        <v>4</v>
      </c>
      <c r="X24" s="237" t="s">
        <v>46</v>
      </c>
      <c r="Y24" s="245" t="s">
        <v>69</v>
      </c>
      <c r="Z24" s="245" t="s">
        <v>50</v>
      </c>
      <c r="AA24" s="246" t="s">
        <v>84</v>
      </c>
      <c r="AB24" s="55" t="s">
        <v>255</v>
      </c>
      <c r="AP24" s="167" t="s">
        <v>521</v>
      </c>
      <c r="AR24" s="166" t="s">
        <v>91</v>
      </c>
      <c r="AV24" s="156"/>
    </row>
    <row r="25" spans="1:48" x14ac:dyDescent="0.15">
      <c r="A25" s="228" t="s">
        <v>34</v>
      </c>
      <c r="B25" s="228" t="s">
        <v>253</v>
      </c>
      <c r="C25" s="229">
        <v>2018</v>
      </c>
      <c r="D25" s="230" t="s">
        <v>494</v>
      </c>
      <c r="E25" s="229" t="s">
        <v>488</v>
      </c>
      <c r="F25" s="228" t="s">
        <v>519</v>
      </c>
      <c r="G25" s="231" t="s">
        <v>36</v>
      </c>
      <c r="H25" s="185" t="s">
        <v>158</v>
      </c>
      <c r="I25" s="185" t="s">
        <v>153</v>
      </c>
      <c r="J25" s="185" t="s">
        <v>38</v>
      </c>
      <c r="K25" s="185" t="s">
        <v>154</v>
      </c>
      <c r="L25" s="140">
        <v>3</v>
      </c>
      <c r="N25" s="140">
        <v>4</v>
      </c>
      <c r="O25" s="140">
        <v>0.5</v>
      </c>
      <c r="P25" s="34">
        <v>0.45</v>
      </c>
      <c r="Q25" s="173">
        <f t="shared" si="0"/>
        <v>0.47499999999999998</v>
      </c>
      <c r="R25" s="239">
        <v>15.1</v>
      </c>
      <c r="S25" s="239">
        <v>133</v>
      </c>
      <c r="T25" s="149">
        <f t="shared" si="1"/>
        <v>30</v>
      </c>
      <c r="U25" s="244">
        <v>458</v>
      </c>
      <c r="V25" s="235">
        <f t="shared" si="2"/>
        <v>3435</v>
      </c>
      <c r="W25" s="241">
        <v>4</v>
      </c>
      <c r="X25" s="237" t="s">
        <v>46</v>
      </c>
      <c r="Y25" s="245" t="s">
        <v>69</v>
      </c>
      <c r="Z25" s="245" t="s">
        <v>50</v>
      </c>
      <c r="AA25" s="246" t="s">
        <v>84</v>
      </c>
      <c r="AB25" s="55" t="s">
        <v>255</v>
      </c>
      <c r="AP25" s="167" t="s">
        <v>116</v>
      </c>
      <c r="AR25" s="42" t="s">
        <v>92</v>
      </c>
      <c r="AV25" s="156"/>
    </row>
    <row r="26" spans="1:48" x14ac:dyDescent="0.15">
      <c r="A26" s="228" t="s">
        <v>34</v>
      </c>
      <c r="B26" s="228" t="s">
        <v>253</v>
      </c>
      <c r="C26" s="228">
        <v>2018</v>
      </c>
      <c r="D26" s="230" t="s">
        <v>494</v>
      </c>
      <c r="E26" s="229" t="s">
        <v>495</v>
      </c>
      <c r="F26" s="228" t="s">
        <v>496</v>
      </c>
      <c r="G26" s="231" t="s">
        <v>42</v>
      </c>
      <c r="H26" s="185" t="s">
        <v>155</v>
      </c>
      <c r="I26" s="185" t="s">
        <v>153</v>
      </c>
      <c r="J26" s="185" t="s">
        <v>38</v>
      </c>
      <c r="K26" s="185" t="s">
        <v>154</v>
      </c>
      <c r="L26" s="140">
        <v>1</v>
      </c>
      <c r="N26" s="140">
        <v>1</v>
      </c>
      <c r="O26" s="140">
        <v>0.6</v>
      </c>
      <c r="P26" s="165">
        <v>0.55000000000000004</v>
      </c>
      <c r="Q26" s="173">
        <f t="shared" si="0"/>
        <v>0.57499999999999996</v>
      </c>
      <c r="R26" s="239">
        <v>15.1</v>
      </c>
      <c r="S26" s="239">
        <v>138</v>
      </c>
      <c r="T26" s="149">
        <f t="shared" si="1"/>
        <v>30</v>
      </c>
      <c r="U26" s="244">
        <v>127</v>
      </c>
      <c r="V26" s="235">
        <f t="shared" si="2"/>
        <v>3810</v>
      </c>
      <c r="W26" s="241">
        <v>6</v>
      </c>
      <c r="X26" s="237" t="s">
        <v>46</v>
      </c>
      <c r="Y26" s="246" t="s">
        <v>84</v>
      </c>
      <c r="Z26" s="245" t="s">
        <v>90</v>
      </c>
      <c r="AA26" s="246" t="s">
        <v>50</v>
      </c>
      <c r="AB26" s="55" t="s">
        <v>255</v>
      </c>
      <c r="AP26" s="167" t="s">
        <v>117</v>
      </c>
      <c r="AR26" s="156" t="s">
        <v>238</v>
      </c>
      <c r="AV26" s="160"/>
    </row>
    <row r="27" spans="1:48" x14ac:dyDescent="0.15">
      <c r="A27" s="228" t="s">
        <v>34</v>
      </c>
      <c r="B27" s="228" t="s">
        <v>253</v>
      </c>
      <c r="C27" s="229">
        <v>2018</v>
      </c>
      <c r="D27" s="230" t="s">
        <v>494</v>
      </c>
      <c r="E27" s="229" t="s">
        <v>495</v>
      </c>
      <c r="F27" s="228" t="s">
        <v>496</v>
      </c>
      <c r="G27" s="231" t="s">
        <v>42</v>
      </c>
      <c r="H27" s="185" t="s">
        <v>155</v>
      </c>
      <c r="I27" s="185" t="s">
        <v>153</v>
      </c>
      <c r="J27" s="185" t="s">
        <v>38</v>
      </c>
      <c r="K27" s="185" t="s">
        <v>154</v>
      </c>
      <c r="L27" s="140">
        <v>2</v>
      </c>
      <c r="N27" s="140">
        <v>1</v>
      </c>
      <c r="O27" s="34">
        <v>0.55000000000000004</v>
      </c>
      <c r="P27" s="165">
        <v>0.6</v>
      </c>
      <c r="Q27" s="173">
        <f t="shared" si="0"/>
        <v>0.57499999999999996</v>
      </c>
      <c r="R27" s="239">
        <v>14.8</v>
      </c>
      <c r="S27" s="239">
        <v>145</v>
      </c>
      <c r="T27" s="149">
        <f t="shared" si="1"/>
        <v>30</v>
      </c>
      <c r="U27" s="244">
        <v>127</v>
      </c>
      <c r="V27" s="235">
        <f t="shared" si="2"/>
        <v>3810</v>
      </c>
      <c r="W27" s="241">
        <v>6</v>
      </c>
      <c r="X27" s="237" t="s">
        <v>46</v>
      </c>
      <c r="Y27" s="246" t="s">
        <v>84</v>
      </c>
      <c r="Z27" s="245" t="s">
        <v>90</v>
      </c>
      <c r="AA27" s="246" t="s">
        <v>50</v>
      </c>
      <c r="AB27" s="55" t="s">
        <v>255</v>
      </c>
      <c r="AP27" s="167" t="s">
        <v>118</v>
      </c>
      <c r="AR27" s="156"/>
    </row>
    <row r="28" spans="1:48" x14ac:dyDescent="0.15">
      <c r="A28" s="228" t="s">
        <v>34</v>
      </c>
      <c r="B28" s="228" t="s">
        <v>253</v>
      </c>
      <c r="C28" s="228">
        <v>2018</v>
      </c>
      <c r="D28" s="230" t="s">
        <v>494</v>
      </c>
      <c r="E28" s="229" t="s">
        <v>495</v>
      </c>
      <c r="F28" s="228" t="s">
        <v>496</v>
      </c>
      <c r="G28" s="231" t="s">
        <v>42</v>
      </c>
      <c r="H28" s="185" t="s">
        <v>155</v>
      </c>
      <c r="I28" s="185" t="s">
        <v>153</v>
      </c>
      <c r="J28" s="185" t="s">
        <v>38</v>
      </c>
      <c r="K28" s="185" t="s">
        <v>154</v>
      </c>
      <c r="L28" s="140">
        <v>3</v>
      </c>
      <c r="N28" s="140">
        <v>1</v>
      </c>
      <c r="O28" s="34">
        <v>0.6</v>
      </c>
      <c r="P28" s="140">
        <v>0.55000000000000004</v>
      </c>
      <c r="Q28" s="173">
        <f t="shared" si="0"/>
        <v>0.57499999999999996</v>
      </c>
      <c r="R28" s="239">
        <v>14.9</v>
      </c>
      <c r="S28" s="239">
        <v>156</v>
      </c>
      <c r="T28" s="149">
        <f t="shared" si="1"/>
        <v>30</v>
      </c>
      <c r="U28" s="244">
        <v>127</v>
      </c>
      <c r="V28" s="235">
        <f t="shared" si="2"/>
        <v>3810</v>
      </c>
      <c r="W28" s="241">
        <v>6</v>
      </c>
      <c r="X28" s="237" t="s">
        <v>46</v>
      </c>
      <c r="Y28" s="246" t="s">
        <v>84</v>
      </c>
      <c r="Z28" s="245" t="s">
        <v>90</v>
      </c>
      <c r="AA28" s="246" t="s">
        <v>50</v>
      </c>
      <c r="AB28" s="55" t="s">
        <v>255</v>
      </c>
      <c r="AR28" s="156"/>
    </row>
    <row r="29" spans="1:48" x14ac:dyDescent="0.15">
      <c r="A29" s="228" t="s">
        <v>34</v>
      </c>
      <c r="B29" s="228" t="s">
        <v>253</v>
      </c>
      <c r="C29" s="228">
        <v>2018</v>
      </c>
      <c r="D29" s="230" t="s">
        <v>494</v>
      </c>
      <c r="E29" s="229" t="s">
        <v>495</v>
      </c>
      <c r="F29" s="228" t="s">
        <v>496</v>
      </c>
      <c r="G29" s="231" t="s">
        <v>42</v>
      </c>
      <c r="H29" s="185" t="s">
        <v>158</v>
      </c>
      <c r="I29" s="185" t="s">
        <v>153</v>
      </c>
      <c r="J29" s="185" t="s">
        <v>38</v>
      </c>
      <c r="K29" s="185" t="s">
        <v>154</v>
      </c>
      <c r="L29" s="140">
        <v>1</v>
      </c>
      <c r="N29" s="140">
        <v>1</v>
      </c>
      <c r="O29" s="140">
        <v>0.55000000000000004</v>
      </c>
      <c r="P29" s="140">
        <v>0.7</v>
      </c>
      <c r="Q29" s="173">
        <f t="shared" si="0"/>
        <v>0.625</v>
      </c>
      <c r="R29" s="239">
        <v>15.3</v>
      </c>
      <c r="S29" s="239">
        <v>160</v>
      </c>
      <c r="T29" s="149">
        <f t="shared" si="1"/>
        <v>30</v>
      </c>
      <c r="U29" s="244">
        <v>127</v>
      </c>
      <c r="V29" s="235">
        <f t="shared" si="2"/>
        <v>3810</v>
      </c>
      <c r="W29" s="241">
        <v>6</v>
      </c>
      <c r="X29" s="237" t="s">
        <v>46</v>
      </c>
      <c r="Y29" s="246" t="s">
        <v>84</v>
      </c>
      <c r="Z29" s="245" t="s">
        <v>90</v>
      </c>
      <c r="AA29" s="246" t="s">
        <v>50</v>
      </c>
      <c r="AB29" s="55" t="s">
        <v>255</v>
      </c>
      <c r="AR29" s="161"/>
    </row>
    <row r="30" spans="1:48" x14ac:dyDescent="0.15">
      <c r="A30" s="228" t="s">
        <v>34</v>
      </c>
      <c r="B30" s="228" t="s">
        <v>253</v>
      </c>
      <c r="C30" s="229">
        <v>2018</v>
      </c>
      <c r="D30" s="230" t="s">
        <v>494</v>
      </c>
      <c r="E30" s="229" t="s">
        <v>495</v>
      </c>
      <c r="F30" s="228" t="s">
        <v>496</v>
      </c>
      <c r="G30" s="231" t="s">
        <v>42</v>
      </c>
      <c r="H30" s="185" t="s">
        <v>158</v>
      </c>
      <c r="I30" s="185" t="s">
        <v>153</v>
      </c>
      <c r="J30" s="185" t="s">
        <v>38</v>
      </c>
      <c r="K30" s="185" t="s">
        <v>154</v>
      </c>
      <c r="L30" s="140">
        <v>2</v>
      </c>
      <c r="N30" s="140">
        <v>1</v>
      </c>
      <c r="O30" s="140">
        <v>0.6</v>
      </c>
      <c r="P30" s="140">
        <v>0.65</v>
      </c>
      <c r="Q30" s="173">
        <f t="shared" si="0"/>
        <v>0.625</v>
      </c>
      <c r="R30" s="239">
        <v>15.5</v>
      </c>
      <c r="S30" s="239">
        <v>160</v>
      </c>
      <c r="T30" s="149">
        <f t="shared" si="1"/>
        <v>30</v>
      </c>
      <c r="U30" s="244">
        <v>127</v>
      </c>
      <c r="V30" s="235">
        <f t="shared" si="2"/>
        <v>3810</v>
      </c>
      <c r="W30" s="241">
        <v>6</v>
      </c>
      <c r="X30" s="237" t="s">
        <v>46</v>
      </c>
      <c r="Y30" s="246" t="s">
        <v>84</v>
      </c>
      <c r="Z30" s="245" t="s">
        <v>90</v>
      </c>
      <c r="AA30" s="246" t="s">
        <v>50</v>
      </c>
      <c r="AB30" s="55" t="s">
        <v>255</v>
      </c>
    </row>
    <row r="31" spans="1:48" x14ac:dyDescent="0.15">
      <c r="A31" s="228" t="s">
        <v>34</v>
      </c>
      <c r="B31" s="228" t="s">
        <v>253</v>
      </c>
      <c r="C31" s="228">
        <v>2018</v>
      </c>
      <c r="D31" s="230" t="s">
        <v>494</v>
      </c>
      <c r="E31" s="229" t="s">
        <v>495</v>
      </c>
      <c r="F31" s="228" t="s">
        <v>496</v>
      </c>
      <c r="G31" s="231" t="s">
        <v>42</v>
      </c>
      <c r="H31" s="185" t="s">
        <v>158</v>
      </c>
      <c r="I31" s="185" t="s">
        <v>153</v>
      </c>
      <c r="J31" s="185" t="s">
        <v>38</v>
      </c>
      <c r="K31" s="185" t="s">
        <v>154</v>
      </c>
      <c r="L31" s="140">
        <v>3</v>
      </c>
      <c r="N31" s="140">
        <v>1</v>
      </c>
      <c r="O31" s="140">
        <v>0.65</v>
      </c>
      <c r="P31" s="140">
        <v>0.6</v>
      </c>
      <c r="Q31" s="173">
        <f t="shared" si="0"/>
        <v>0.625</v>
      </c>
      <c r="R31" s="239">
        <v>15.1</v>
      </c>
      <c r="S31" s="239">
        <v>151</v>
      </c>
      <c r="T31" s="149">
        <f t="shared" si="1"/>
        <v>30</v>
      </c>
      <c r="U31" s="244">
        <v>127</v>
      </c>
      <c r="V31" s="235">
        <f t="shared" si="2"/>
        <v>3810</v>
      </c>
      <c r="W31" s="241">
        <v>6</v>
      </c>
      <c r="X31" s="237" t="s">
        <v>46</v>
      </c>
      <c r="Y31" s="246" t="s">
        <v>84</v>
      </c>
      <c r="Z31" s="245" t="s">
        <v>90</v>
      </c>
      <c r="AA31" s="246" t="s">
        <v>50</v>
      </c>
      <c r="AB31" s="55" t="s">
        <v>255</v>
      </c>
    </row>
    <row r="32" spans="1:48" ht="14.25" customHeight="1" x14ac:dyDescent="0.15">
      <c r="A32" s="228" t="s">
        <v>34</v>
      </c>
      <c r="B32" s="228" t="s">
        <v>253</v>
      </c>
      <c r="C32" s="229">
        <v>2018</v>
      </c>
      <c r="D32" s="230" t="s">
        <v>494</v>
      </c>
      <c r="E32" s="229" t="s">
        <v>522</v>
      </c>
      <c r="F32" s="228" t="s">
        <v>496</v>
      </c>
      <c r="G32" s="231" t="s">
        <v>42</v>
      </c>
      <c r="H32" s="185" t="s">
        <v>155</v>
      </c>
      <c r="I32" s="185" t="s">
        <v>153</v>
      </c>
      <c r="J32" s="185" t="s">
        <v>38</v>
      </c>
      <c r="K32" s="185" t="s">
        <v>154</v>
      </c>
      <c r="L32" s="140">
        <v>1</v>
      </c>
      <c r="N32" s="140">
        <v>1</v>
      </c>
      <c r="O32" s="140">
        <v>1.1000000000000001</v>
      </c>
      <c r="P32" s="140">
        <v>0.95</v>
      </c>
      <c r="Q32" s="173">
        <f t="shared" si="0"/>
        <v>1.0249999999999999</v>
      </c>
      <c r="R32" s="239">
        <v>13.1</v>
      </c>
      <c r="S32" s="239">
        <v>136</v>
      </c>
      <c r="T32" s="149">
        <f t="shared" si="1"/>
        <v>30</v>
      </c>
      <c r="U32" s="244">
        <v>139</v>
      </c>
      <c r="V32" s="235">
        <f t="shared" si="2"/>
        <v>4170</v>
      </c>
      <c r="W32" s="241">
        <v>2</v>
      </c>
      <c r="X32" s="237" t="s">
        <v>46</v>
      </c>
      <c r="Y32" s="246" t="s">
        <v>50</v>
      </c>
      <c r="Z32" s="245" t="s">
        <v>84</v>
      </c>
      <c r="AA32" s="245" t="s">
        <v>78</v>
      </c>
      <c r="AB32" s="55" t="s">
        <v>255</v>
      </c>
    </row>
    <row r="33" spans="1:28" x14ac:dyDescent="0.15">
      <c r="A33" s="228" t="s">
        <v>34</v>
      </c>
      <c r="B33" s="228" t="s">
        <v>253</v>
      </c>
      <c r="C33" s="228">
        <v>2018</v>
      </c>
      <c r="D33" s="230" t="s">
        <v>494</v>
      </c>
      <c r="E33" s="229" t="s">
        <v>522</v>
      </c>
      <c r="F33" s="228" t="s">
        <v>496</v>
      </c>
      <c r="G33" s="231" t="s">
        <v>42</v>
      </c>
      <c r="H33" s="185" t="s">
        <v>155</v>
      </c>
      <c r="I33" s="185" t="s">
        <v>153</v>
      </c>
      <c r="J33" s="185" t="s">
        <v>38</v>
      </c>
      <c r="K33" s="185" t="s">
        <v>154</v>
      </c>
      <c r="L33" s="140">
        <v>2</v>
      </c>
      <c r="N33" s="140">
        <v>1</v>
      </c>
      <c r="O33" s="140">
        <v>0.8</v>
      </c>
      <c r="P33" s="140">
        <v>0.8</v>
      </c>
      <c r="Q33" s="173">
        <f t="shared" si="0"/>
        <v>0.8</v>
      </c>
      <c r="R33" s="239">
        <v>13.5</v>
      </c>
      <c r="S33" s="239">
        <v>151</v>
      </c>
      <c r="T33" s="149">
        <f t="shared" si="1"/>
        <v>30</v>
      </c>
      <c r="U33" s="244">
        <v>139</v>
      </c>
      <c r="V33" s="235">
        <f t="shared" si="2"/>
        <v>4170</v>
      </c>
      <c r="W33" s="241">
        <v>2</v>
      </c>
      <c r="X33" s="237" t="s">
        <v>46</v>
      </c>
      <c r="Y33" s="246" t="s">
        <v>50</v>
      </c>
      <c r="Z33" s="245" t="s">
        <v>84</v>
      </c>
      <c r="AA33" s="245" t="s">
        <v>78</v>
      </c>
      <c r="AB33" s="55" t="s">
        <v>255</v>
      </c>
    </row>
    <row r="34" spans="1:28" x14ac:dyDescent="0.15">
      <c r="A34" s="228" t="s">
        <v>34</v>
      </c>
      <c r="B34" s="228" t="s">
        <v>253</v>
      </c>
      <c r="C34" s="229">
        <v>2018</v>
      </c>
      <c r="D34" s="230" t="s">
        <v>494</v>
      </c>
      <c r="E34" s="229" t="s">
        <v>522</v>
      </c>
      <c r="F34" s="228" t="s">
        <v>496</v>
      </c>
      <c r="G34" s="231" t="s">
        <v>42</v>
      </c>
      <c r="H34" s="185" t="s">
        <v>155</v>
      </c>
      <c r="I34" s="185" t="s">
        <v>153</v>
      </c>
      <c r="J34" s="185" t="s">
        <v>38</v>
      </c>
      <c r="K34" s="185" t="s">
        <v>154</v>
      </c>
      <c r="L34" s="140">
        <v>3</v>
      </c>
      <c r="N34" s="140">
        <v>1</v>
      </c>
      <c r="O34" s="140">
        <v>0.9</v>
      </c>
      <c r="P34" s="34">
        <v>0.8</v>
      </c>
      <c r="Q34" s="173">
        <f t="shared" si="0"/>
        <v>0.85000000000000009</v>
      </c>
      <c r="R34" s="239">
        <v>14.1</v>
      </c>
      <c r="S34" s="239">
        <v>142</v>
      </c>
      <c r="T34" s="149">
        <f t="shared" si="1"/>
        <v>30</v>
      </c>
      <c r="U34" s="244">
        <v>139</v>
      </c>
      <c r="V34" s="235">
        <f t="shared" si="2"/>
        <v>4170</v>
      </c>
      <c r="W34" s="241">
        <v>2</v>
      </c>
      <c r="X34" s="237" t="s">
        <v>46</v>
      </c>
      <c r="Y34" s="246" t="s">
        <v>50</v>
      </c>
      <c r="Z34" s="245" t="s">
        <v>84</v>
      </c>
      <c r="AA34" s="245" t="s">
        <v>78</v>
      </c>
      <c r="AB34" s="55" t="s">
        <v>255</v>
      </c>
    </row>
    <row r="35" spans="1:28" x14ac:dyDescent="0.15">
      <c r="A35" s="228" t="s">
        <v>34</v>
      </c>
      <c r="B35" s="228" t="s">
        <v>253</v>
      </c>
      <c r="C35" s="228">
        <v>2018</v>
      </c>
      <c r="D35" s="230" t="s">
        <v>494</v>
      </c>
      <c r="E35" s="229" t="s">
        <v>522</v>
      </c>
      <c r="F35" s="228" t="s">
        <v>496</v>
      </c>
      <c r="G35" s="231" t="s">
        <v>42</v>
      </c>
      <c r="H35" s="185" t="s">
        <v>158</v>
      </c>
      <c r="I35" s="185" t="s">
        <v>153</v>
      </c>
      <c r="J35" s="185" t="s">
        <v>38</v>
      </c>
      <c r="K35" s="185" t="s">
        <v>154</v>
      </c>
      <c r="L35" s="140">
        <v>1</v>
      </c>
      <c r="N35" s="140">
        <v>1</v>
      </c>
      <c r="O35" s="140">
        <v>0.8</v>
      </c>
      <c r="P35" s="140">
        <v>0.7</v>
      </c>
      <c r="Q35" s="173">
        <f t="shared" si="0"/>
        <v>0.75</v>
      </c>
      <c r="R35" s="239">
        <v>14.6</v>
      </c>
      <c r="S35" s="239">
        <v>143</v>
      </c>
      <c r="T35" s="149">
        <f t="shared" si="1"/>
        <v>30</v>
      </c>
      <c r="U35" s="244">
        <v>139</v>
      </c>
      <c r="V35" s="235">
        <f t="shared" si="2"/>
        <v>4170</v>
      </c>
      <c r="W35" s="241">
        <v>2</v>
      </c>
      <c r="X35" s="237" t="s">
        <v>46</v>
      </c>
      <c r="Y35" s="245" t="s">
        <v>50</v>
      </c>
      <c r="Z35" s="245" t="s">
        <v>84</v>
      </c>
      <c r="AA35" s="245" t="s">
        <v>78</v>
      </c>
      <c r="AB35" s="55" t="s">
        <v>255</v>
      </c>
    </row>
    <row r="36" spans="1:28" x14ac:dyDescent="0.15">
      <c r="A36" s="228" t="s">
        <v>34</v>
      </c>
      <c r="B36" s="228" t="s">
        <v>253</v>
      </c>
      <c r="C36" s="229">
        <v>2018</v>
      </c>
      <c r="D36" s="230" t="s">
        <v>494</v>
      </c>
      <c r="E36" s="229" t="s">
        <v>522</v>
      </c>
      <c r="F36" s="228" t="s">
        <v>496</v>
      </c>
      <c r="G36" s="231" t="s">
        <v>42</v>
      </c>
      <c r="H36" s="185" t="s">
        <v>158</v>
      </c>
      <c r="I36" s="185" t="s">
        <v>153</v>
      </c>
      <c r="J36" s="185" t="s">
        <v>38</v>
      </c>
      <c r="K36" s="185" t="s">
        <v>154</v>
      </c>
      <c r="L36" s="140">
        <v>2</v>
      </c>
      <c r="N36" s="140">
        <v>1</v>
      </c>
      <c r="O36" s="140">
        <v>0.6</v>
      </c>
      <c r="P36" s="140">
        <v>0.65</v>
      </c>
      <c r="Q36" s="173">
        <f t="shared" si="0"/>
        <v>0.625</v>
      </c>
      <c r="R36" s="239">
        <v>15.2</v>
      </c>
      <c r="S36" s="239">
        <v>140</v>
      </c>
      <c r="T36" s="149">
        <f t="shared" si="1"/>
        <v>30</v>
      </c>
      <c r="U36" s="244">
        <v>139</v>
      </c>
      <c r="V36" s="235">
        <f t="shared" si="2"/>
        <v>4170</v>
      </c>
      <c r="W36" s="241">
        <v>2</v>
      </c>
      <c r="X36" s="237" t="s">
        <v>46</v>
      </c>
      <c r="Y36" s="245" t="s">
        <v>50</v>
      </c>
      <c r="Z36" s="245" t="s">
        <v>84</v>
      </c>
      <c r="AA36" s="245" t="s">
        <v>78</v>
      </c>
      <c r="AB36" s="55" t="s">
        <v>255</v>
      </c>
    </row>
    <row r="37" spans="1:28" x14ac:dyDescent="0.15">
      <c r="A37" s="228" t="s">
        <v>34</v>
      </c>
      <c r="B37" s="228" t="s">
        <v>253</v>
      </c>
      <c r="C37" s="228">
        <v>2018</v>
      </c>
      <c r="D37" s="230" t="s">
        <v>494</v>
      </c>
      <c r="E37" s="229" t="s">
        <v>522</v>
      </c>
      <c r="F37" s="228" t="s">
        <v>496</v>
      </c>
      <c r="G37" s="231" t="s">
        <v>42</v>
      </c>
      <c r="H37" s="185" t="s">
        <v>158</v>
      </c>
      <c r="I37" s="185" t="s">
        <v>153</v>
      </c>
      <c r="J37" s="185" t="s">
        <v>38</v>
      </c>
      <c r="K37" s="185" t="s">
        <v>154</v>
      </c>
      <c r="L37" s="140">
        <v>3</v>
      </c>
      <c r="N37" s="140">
        <v>1</v>
      </c>
      <c r="O37" s="140">
        <v>0.55000000000000004</v>
      </c>
      <c r="P37" s="140">
        <v>0.65</v>
      </c>
      <c r="Q37" s="173">
        <f t="shared" si="0"/>
        <v>0.60000000000000009</v>
      </c>
      <c r="R37" s="239">
        <v>15.1</v>
      </c>
      <c r="S37" s="239">
        <v>136</v>
      </c>
      <c r="T37" s="149">
        <f t="shared" si="1"/>
        <v>30</v>
      </c>
      <c r="U37" s="244">
        <v>139</v>
      </c>
      <c r="V37" s="235">
        <f t="shared" si="2"/>
        <v>4170</v>
      </c>
      <c r="W37" s="241">
        <v>2</v>
      </c>
      <c r="X37" s="237" t="s">
        <v>46</v>
      </c>
      <c r="Y37" s="245" t="s">
        <v>50</v>
      </c>
      <c r="Z37" s="245" t="s">
        <v>84</v>
      </c>
      <c r="AA37" s="245" t="s">
        <v>78</v>
      </c>
      <c r="AB37" s="55" t="s">
        <v>255</v>
      </c>
    </row>
    <row r="38" spans="1:28" x14ac:dyDescent="0.15">
      <c r="A38" s="228" t="s">
        <v>34</v>
      </c>
      <c r="B38" s="228" t="s">
        <v>253</v>
      </c>
      <c r="C38" s="229">
        <v>2018</v>
      </c>
      <c r="D38" s="230" t="s">
        <v>494</v>
      </c>
      <c r="E38" s="229" t="s">
        <v>495</v>
      </c>
      <c r="F38" s="228" t="s">
        <v>515</v>
      </c>
      <c r="G38" s="231" t="s">
        <v>42</v>
      </c>
      <c r="H38" s="185" t="s">
        <v>155</v>
      </c>
      <c r="I38" s="185" t="s">
        <v>153</v>
      </c>
      <c r="J38" s="185" t="s">
        <v>38</v>
      </c>
      <c r="K38" s="185" t="s">
        <v>154</v>
      </c>
      <c r="L38" s="140">
        <v>1</v>
      </c>
      <c r="N38" s="140">
        <v>1</v>
      </c>
      <c r="O38" s="140">
        <v>0.65</v>
      </c>
      <c r="P38" s="140">
        <v>0.6</v>
      </c>
      <c r="Q38" s="173">
        <f t="shared" si="0"/>
        <v>0.625</v>
      </c>
      <c r="R38" s="239">
        <v>14.9</v>
      </c>
      <c r="S38" s="239">
        <v>138</v>
      </c>
      <c r="T38" s="149">
        <f t="shared" si="1"/>
        <v>30</v>
      </c>
      <c r="U38" s="244">
        <v>127</v>
      </c>
      <c r="V38" s="235">
        <f t="shared" si="2"/>
        <v>3810</v>
      </c>
      <c r="W38" s="241">
        <v>6</v>
      </c>
      <c r="X38" s="237" t="s">
        <v>46</v>
      </c>
      <c r="Y38" s="245" t="s">
        <v>50</v>
      </c>
      <c r="Z38" s="245" t="s">
        <v>78</v>
      </c>
      <c r="AA38" s="245" t="s">
        <v>69</v>
      </c>
      <c r="AB38" s="55" t="s">
        <v>255</v>
      </c>
    </row>
    <row r="39" spans="1:28" x14ac:dyDescent="0.15">
      <c r="A39" s="228" t="s">
        <v>34</v>
      </c>
      <c r="B39" s="228" t="s">
        <v>253</v>
      </c>
      <c r="C39" s="228">
        <v>2018</v>
      </c>
      <c r="D39" s="230" t="s">
        <v>494</v>
      </c>
      <c r="E39" s="229" t="s">
        <v>495</v>
      </c>
      <c r="F39" s="228" t="s">
        <v>515</v>
      </c>
      <c r="G39" s="231" t="s">
        <v>42</v>
      </c>
      <c r="H39" s="185" t="s">
        <v>155</v>
      </c>
      <c r="I39" s="185" t="s">
        <v>153</v>
      </c>
      <c r="J39" s="185" t="s">
        <v>38</v>
      </c>
      <c r="K39" s="185" t="s">
        <v>154</v>
      </c>
      <c r="L39" s="140">
        <v>2</v>
      </c>
      <c r="N39" s="140">
        <v>1</v>
      </c>
      <c r="O39" s="140">
        <v>0.6</v>
      </c>
      <c r="P39" s="140">
        <v>0.55000000000000004</v>
      </c>
      <c r="Q39" s="173">
        <f t="shared" si="0"/>
        <v>0.57499999999999996</v>
      </c>
      <c r="R39" s="239">
        <v>15.3</v>
      </c>
      <c r="S39" s="239">
        <v>132</v>
      </c>
      <c r="T39" s="149">
        <f t="shared" si="1"/>
        <v>30</v>
      </c>
      <c r="U39" s="244">
        <v>127</v>
      </c>
      <c r="V39" s="235">
        <f t="shared" si="2"/>
        <v>3810</v>
      </c>
      <c r="W39" s="241">
        <v>6</v>
      </c>
      <c r="X39" s="237" t="s">
        <v>46</v>
      </c>
      <c r="Y39" s="245" t="s">
        <v>50</v>
      </c>
      <c r="Z39" s="245" t="s">
        <v>78</v>
      </c>
      <c r="AA39" s="245" t="s">
        <v>69</v>
      </c>
      <c r="AB39" s="55" t="s">
        <v>255</v>
      </c>
    </row>
    <row r="40" spans="1:28" ht="12.75" customHeight="1" x14ac:dyDescent="0.15">
      <c r="A40" s="228" t="s">
        <v>34</v>
      </c>
      <c r="B40" s="228" t="s">
        <v>253</v>
      </c>
      <c r="C40" s="229">
        <v>2018</v>
      </c>
      <c r="D40" s="230" t="s">
        <v>494</v>
      </c>
      <c r="E40" s="229" t="s">
        <v>495</v>
      </c>
      <c r="F40" s="228" t="s">
        <v>515</v>
      </c>
      <c r="G40" s="231" t="s">
        <v>42</v>
      </c>
      <c r="H40" s="185" t="s">
        <v>155</v>
      </c>
      <c r="I40" s="185" t="s">
        <v>153</v>
      </c>
      <c r="J40" s="185" t="s">
        <v>38</v>
      </c>
      <c r="K40" s="185" t="s">
        <v>154</v>
      </c>
      <c r="L40" s="140">
        <v>3</v>
      </c>
      <c r="N40" s="140">
        <v>1</v>
      </c>
      <c r="O40" s="140">
        <v>0.5</v>
      </c>
      <c r="P40" s="140">
        <v>0.6</v>
      </c>
      <c r="Q40" s="173">
        <f t="shared" si="0"/>
        <v>0.55000000000000004</v>
      </c>
      <c r="R40" s="239">
        <v>15.3</v>
      </c>
      <c r="S40" s="239">
        <v>138</v>
      </c>
      <c r="T40" s="149">
        <f t="shared" si="1"/>
        <v>30</v>
      </c>
      <c r="U40" s="244">
        <v>127</v>
      </c>
      <c r="V40" s="235">
        <f t="shared" si="2"/>
        <v>3810</v>
      </c>
      <c r="W40" s="241">
        <v>6</v>
      </c>
      <c r="X40" s="237" t="s">
        <v>46</v>
      </c>
      <c r="Y40" s="245" t="s">
        <v>50</v>
      </c>
      <c r="Z40" s="245" t="s">
        <v>78</v>
      </c>
      <c r="AA40" s="245" t="s">
        <v>69</v>
      </c>
      <c r="AB40" s="55" t="s">
        <v>255</v>
      </c>
    </row>
    <row r="41" spans="1:28" ht="12.75" customHeight="1" x14ac:dyDescent="0.15">
      <c r="A41" s="185" t="s">
        <v>34</v>
      </c>
      <c r="B41" s="228" t="s">
        <v>253</v>
      </c>
      <c r="C41" s="229">
        <v>2018</v>
      </c>
      <c r="D41" s="230" t="s">
        <v>494</v>
      </c>
      <c r="E41" s="229" t="s">
        <v>495</v>
      </c>
      <c r="F41" s="228" t="s">
        <v>515</v>
      </c>
      <c r="G41" s="231" t="s">
        <v>42</v>
      </c>
      <c r="H41" s="185" t="s">
        <v>158</v>
      </c>
      <c r="I41" s="185" t="s">
        <v>153</v>
      </c>
      <c r="J41" s="185" t="s">
        <v>38</v>
      </c>
      <c r="K41" s="185" t="s">
        <v>154</v>
      </c>
      <c r="L41" s="140">
        <v>1</v>
      </c>
      <c r="N41" s="140">
        <v>1</v>
      </c>
      <c r="O41" s="140">
        <v>0.55000000000000004</v>
      </c>
      <c r="P41" s="140">
        <v>0.6</v>
      </c>
      <c r="Q41" s="173">
        <f t="shared" si="0"/>
        <v>0.57499999999999996</v>
      </c>
      <c r="R41" s="239">
        <v>15.6</v>
      </c>
      <c r="S41" s="239">
        <v>154</v>
      </c>
      <c r="T41" s="149">
        <f t="shared" si="1"/>
        <v>30</v>
      </c>
      <c r="U41" s="244">
        <v>127</v>
      </c>
      <c r="V41" s="235">
        <f t="shared" si="2"/>
        <v>3810</v>
      </c>
      <c r="W41" s="187">
        <v>6</v>
      </c>
      <c r="X41" s="237" t="s">
        <v>46</v>
      </c>
      <c r="Y41" s="249" t="s">
        <v>50</v>
      </c>
      <c r="Z41" s="249" t="s">
        <v>78</v>
      </c>
      <c r="AA41" s="249" t="s">
        <v>69</v>
      </c>
      <c r="AB41" s="55" t="s">
        <v>255</v>
      </c>
    </row>
    <row r="42" spans="1:28" ht="12.75" customHeight="1" x14ac:dyDescent="0.15">
      <c r="A42" s="185" t="s">
        <v>34</v>
      </c>
      <c r="B42" s="228" t="s">
        <v>253</v>
      </c>
      <c r="C42" s="229">
        <v>2018</v>
      </c>
      <c r="D42" s="230" t="s">
        <v>494</v>
      </c>
      <c r="E42" s="229" t="s">
        <v>495</v>
      </c>
      <c r="F42" s="228" t="s">
        <v>515</v>
      </c>
      <c r="G42" s="231" t="s">
        <v>42</v>
      </c>
      <c r="H42" s="185" t="s">
        <v>158</v>
      </c>
      <c r="I42" s="185" t="s">
        <v>153</v>
      </c>
      <c r="J42" s="185" t="s">
        <v>38</v>
      </c>
      <c r="K42" s="185" t="s">
        <v>154</v>
      </c>
      <c r="L42" s="140">
        <v>2</v>
      </c>
      <c r="N42" s="140">
        <v>1</v>
      </c>
      <c r="O42" s="140">
        <v>0.6</v>
      </c>
      <c r="P42" s="140">
        <v>0.7</v>
      </c>
      <c r="Q42" s="173">
        <f t="shared" si="0"/>
        <v>0.64999999999999991</v>
      </c>
      <c r="R42" s="239">
        <v>15.2</v>
      </c>
      <c r="S42" s="239">
        <v>151</v>
      </c>
      <c r="T42" s="149">
        <f t="shared" si="1"/>
        <v>30</v>
      </c>
      <c r="U42" s="244">
        <v>127</v>
      </c>
      <c r="V42" s="235">
        <f t="shared" si="2"/>
        <v>3810</v>
      </c>
      <c r="W42" s="187">
        <v>6</v>
      </c>
      <c r="X42" s="237" t="s">
        <v>46</v>
      </c>
      <c r="Y42" s="249" t="s">
        <v>50</v>
      </c>
      <c r="Z42" s="249" t="s">
        <v>78</v>
      </c>
      <c r="AA42" s="249" t="s">
        <v>69</v>
      </c>
      <c r="AB42" s="55" t="s">
        <v>255</v>
      </c>
    </row>
    <row r="43" spans="1:28" ht="12.75" customHeight="1" x14ac:dyDescent="0.15">
      <c r="A43" s="185" t="s">
        <v>34</v>
      </c>
      <c r="B43" s="228" t="s">
        <v>253</v>
      </c>
      <c r="C43" s="229">
        <v>2018</v>
      </c>
      <c r="D43" s="230" t="s">
        <v>494</v>
      </c>
      <c r="E43" s="229" t="s">
        <v>495</v>
      </c>
      <c r="F43" s="228" t="s">
        <v>515</v>
      </c>
      <c r="G43" s="231" t="s">
        <v>42</v>
      </c>
      <c r="H43" s="185" t="s">
        <v>158</v>
      </c>
      <c r="I43" s="185" t="s">
        <v>153</v>
      </c>
      <c r="J43" s="185" t="s">
        <v>38</v>
      </c>
      <c r="K43" s="185" t="s">
        <v>154</v>
      </c>
      <c r="L43" s="140">
        <v>3</v>
      </c>
      <c r="N43" s="140">
        <v>1</v>
      </c>
      <c r="O43" s="140">
        <v>0.8</v>
      </c>
      <c r="P43" s="140">
        <v>0.75</v>
      </c>
      <c r="Q43" s="173">
        <f t="shared" si="0"/>
        <v>0.77500000000000002</v>
      </c>
      <c r="R43" s="239">
        <v>15.4</v>
      </c>
      <c r="S43" s="239">
        <v>155</v>
      </c>
      <c r="T43" s="149">
        <f t="shared" si="1"/>
        <v>30</v>
      </c>
      <c r="U43" s="244">
        <v>127</v>
      </c>
      <c r="V43" s="235">
        <f t="shared" si="2"/>
        <v>3810</v>
      </c>
      <c r="W43" s="187">
        <v>6</v>
      </c>
      <c r="X43" s="237" t="s">
        <v>46</v>
      </c>
      <c r="Y43" s="249" t="s">
        <v>50</v>
      </c>
      <c r="Z43" s="249" t="s">
        <v>78</v>
      </c>
      <c r="AA43" s="249" t="s">
        <v>69</v>
      </c>
      <c r="AB43" s="55" t="s">
        <v>255</v>
      </c>
    </row>
    <row r="44" spans="1:28" x14ac:dyDescent="0.15">
      <c r="A44" s="140" t="s">
        <v>34</v>
      </c>
      <c r="B44" s="228" t="s">
        <v>253</v>
      </c>
      <c r="C44" s="229">
        <v>2018</v>
      </c>
      <c r="D44" s="230" t="s">
        <v>494</v>
      </c>
      <c r="E44" s="229" t="s">
        <v>139</v>
      </c>
      <c r="F44" s="228" t="s">
        <v>515</v>
      </c>
      <c r="G44" s="231" t="s">
        <v>36</v>
      </c>
      <c r="H44" s="185" t="s">
        <v>155</v>
      </c>
      <c r="I44" s="185" t="s">
        <v>153</v>
      </c>
      <c r="J44" s="187" t="s">
        <v>38</v>
      </c>
      <c r="K44" s="185" t="s">
        <v>154</v>
      </c>
      <c r="L44" s="140">
        <v>1</v>
      </c>
      <c r="N44" s="140">
        <v>1</v>
      </c>
      <c r="O44" s="140">
        <v>0.8</v>
      </c>
      <c r="P44" s="140">
        <v>0.85</v>
      </c>
      <c r="Q44" s="173">
        <f t="shared" si="0"/>
        <v>0.82499999999999996</v>
      </c>
      <c r="R44" s="239">
        <v>14.4</v>
      </c>
      <c r="S44" s="239">
        <v>135</v>
      </c>
      <c r="T44" s="149">
        <f t="shared" si="1"/>
        <v>30</v>
      </c>
      <c r="U44" s="244">
        <v>138</v>
      </c>
      <c r="V44" s="149">
        <f t="shared" si="2"/>
        <v>4140</v>
      </c>
      <c r="W44" s="140">
        <v>16</v>
      </c>
      <c r="X44" s="237" t="s">
        <v>46</v>
      </c>
      <c r="Y44" s="249" t="s">
        <v>50</v>
      </c>
      <c r="Z44" s="249" t="s">
        <v>90</v>
      </c>
      <c r="AA44" s="249" t="s">
        <v>84</v>
      </c>
      <c r="AB44" s="55" t="s">
        <v>255</v>
      </c>
    </row>
    <row r="45" spans="1:28" x14ac:dyDescent="0.15">
      <c r="A45" s="140" t="s">
        <v>34</v>
      </c>
      <c r="B45" s="228" t="s">
        <v>253</v>
      </c>
      <c r="C45" s="228">
        <v>2018</v>
      </c>
      <c r="D45" s="230" t="s">
        <v>494</v>
      </c>
      <c r="E45" s="229" t="s">
        <v>139</v>
      </c>
      <c r="F45" s="228" t="s">
        <v>515</v>
      </c>
      <c r="G45" s="231" t="s">
        <v>36</v>
      </c>
      <c r="H45" s="185" t="s">
        <v>155</v>
      </c>
      <c r="I45" s="185" t="s">
        <v>153</v>
      </c>
      <c r="J45" s="187" t="s">
        <v>38</v>
      </c>
      <c r="K45" s="185" t="s">
        <v>154</v>
      </c>
      <c r="L45" s="140">
        <v>2</v>
      </c>
      <c r="N45" s="140">
        <v>1</v>
      </c>
      <c r="O45" s="140">
        <v>0.8</v>
      </c>
      <c r="P45" s="140">
        <v>0.7</v>
      </c>
      <c r="Q45" s="173">
        <f t="shared" si="0"/>
        <v>0.75</v>
      </c>
      <c r="R45" s="239">
        <v>14.7</v>
      </c>
      <c r="S45" s="239">
        <v>166</v>
      </c>
      <c r="T45" s="149">
        <f t="shared" si="1"/>
        <v>30</v>
      </c>
      <c r="U45" s="244">
        <v>138</v>
      </c>
      <c r="V45" s="149">
        <f t="shared" si="2"/>
        <v>4140</v>
      </c>
      <c r="W45" s="140">
        <v>16</v>
      </c>
      <c r="X45" s="237" t="s">
        <v>46</v>
      </c>
      <c r="Y45" s="249" t="s">
        <v>50</v>
      </c>
      <c r="Z45" s="249" t="s">
        <v>90</v>
      </c>
      <c r="AA45" s="249" t="s">
        <v>84</v>
      </c>
      <c r="AB45" s="55" t="s">
        <v>255</v>
      </c>
    </row>
    <row r="46" spans="1:28" x14ac:dyDescent="0.15">
      <c r="A46" s="140" t="s">
        <v>34</v>
      </c>
      <c r="B46" s="228" t="s">
        <v>253</v>
      </c>
      <c r="C46" s="229">
        <v>2018</v>
      </c>
      <c r="D46" s="230" t="s">
        <v>494</v>
      </c>
      <c r="E46" s="229" t="s">
        <v>139</v>
      </c>
      <c r="F46" s="228" t="s">
        <v>515</v>
      </c>
      <c r="G46" s="231" t="s">
        <v>36</v>
      </c>
      <c r="H46" s="185" t="s">
        <v>155</v>
      </c>
      <c r="I46" s="185" t="s">
        <v>153</v>
      </c>
      <c r="J46" s="187" t="s">
        <v>38</v>
      </c>
      <c r="K46" s="185" t="s">
        <v>154</v>
      </c>
      <c r="L46" s="140">
        <v>3</v>
      </c>
      <c r="N46" s="140">
        <v>1</v>
      </c>
      <c r="O46" s="140">
        <v>0.75</v>
      </c>
      <c r="P46" s="140">
        <v>0.7</v>
      </c>
      <c r="Q46" s="173">
        <f t="shared" si="0"/>
        <v>0.72499999999999998</v>
      </c>
      <c r="R46" s="239">
        <v>14.5</v>
      </c>
      <c r="S46" s="239">
        <v>146</v>
      </c>
      <c r="T46" s="149">
        <f t="shared" si="1"/>
        <v>30</v>
      </c>
      <c r="U46" s="244">
        <v>138</v>
      </c>
      <c r="V46" s="149">
        <f t="shared" si="2"/>
        <v>4140</v>
      </c>
      <c r="W46" s="140">
        <v>16</v>
      </c>
      <c r="X46" s="237" t="s">
        <v>46</v>
      </c>
      <c r="Y46" s="249" t="s">
        <v>50</v>
      </c>
      <c r="Z46" s="249" t="s">
        <v>90</v>
      </c>
      <c r="AA46" s="249" t="s">
        <v>84</v>
      </c>
      <c r="AB46" s="55" t="s">
        <v>255</v>
      </c>
    </row>
    <row r="47" spans="1:28" x14ac:dyDescent="0.15">
      <c r="A47" s="140" t="s">
        <v>34</v>
      </c>
      <c r="B47" s="34" t="s">
        <v>253</v>
      </c>
      <c r="C47" s="140">
        <v>2018</v>
      </c>
      <c r="D47" s="230" t="s">
        <v>494</v>
      </c>
      <c r="E47" s="140" t="s">
        <v>139</v>
      </c>
      <c r="F47" s="228" t="s">
        <v>515</v>
      </c>
      <c r="G47" s="231" t="s">
        <v>36</v>
      </c>
      <c r="H47" s="185" t="s">
        <v>158</v>
      </c>
      <c r="I47" s="185" t="s">
        <v>153</v>
      </c>
      <c r="J47" s="187" t="s">
        <v>38</v>
      </c>
      <c r="K47" s="185" t="s">
        <v>154</v>
      </c>
      <c r="L47" s="140">
        <v>1</v>
      </c>
      <c r="N47" s="140">
        <v>1</v>
      </c>
      <c r="O47" s="140">
        <v>0.65</v>
      </c>
      <c r="P47" s="140">
        <v>0.65</v>
      </c>
      <c r="Q47" s="173">
        <f t="shared" si="0"/>
        <v>0.65</v>
      </c>
      <c r="R47" s="239">
        <v>15.8</v>
      </c>
      <c r="S47" s="239">
        <v>179</v>
      </c>
      <c r="T47" s="149">
        <f t="shared" si="1"/>
        <v>30</v>
      </c>
      <c r="U47" s="140">
        <v>192</v>
      </c>
      <c r="V47" s="149">
        <f t="shared" si="2"/>
        <v>5760</v>
      </c>
      <c r="W47" s="140">
        <v>16</v>
      </c>
      <c r="X47" s="237" t="s">
        <v>46</v>
      </c>
      <c r="Y47" s="140" t="s">
        <v>50</v>
      </c>
      <c r="Z47" s="140" t="s">
        <v>90</v>
      </c>
      <c r="AA47" s="140" t="s">
        <v>84</v>
      </c>
      <c r="AB47" s="55" t="s">
        <v>255</v>
      </c>
    </row>
    <row r="48" spans="1:28" x14ac:dyDescent="0.15">
      <c r="A48" s="140" t="s">
        <v>34</v>
      </c>
      <c r="B48" s="34" t="s">
        <v>253</v>
      </c>
      <c r="C48" s="140">
        <v>2018</v>
      </c>
      <c r="D48" s="230" t="s">
        <v>494</v>
      </c>
      <c r="E48" s="140" t="s">
        <v>139</v>
      </c>
      <c r="F48" s="228" t="s">
        <v>515</v>
      </c>
      <c r="G48" s="231" t="s">
        <v>36</v>
      </c>
      <c r="H48" s="185" t="s">
        <v>158</v>
      </c>
      <c r="I48" s="185" t="s">
        <v>153</v>
      </c>
      <c r="J48" s="187" t="s">
        <v>38</v>
      </c>
      <c r="K48" s="185" t="s">
        <v>154</v>
      </c>
      <c r="L48" s="140">
        <v>2</v>
      </c>
      <c r="N48" s="140">
        <v>1</v>
      </c>
      <c r="O48" s="140">
        <v>0.5</v>
      </c>
      <c r="P48" s="140">
        <v>0.5</v>
      </c>
      <c r="Q48" s="173">
        <f t="shared" si="0"/>
        <v>0.5</v>
      </c>
      <c r="R48" s="239">
        <v>15.5</v>
      </c>
      <c r="S48" s="239">
        <v>194</v>
      </c>
      <c r="T48" s="149">
        <f t="shared" si="1"/>
        <v>30</v>
      </c>
      <c r="U48" s="140">
        <v>192</v>
      </c>
      <c r="V48" s="149">
        <f t="shared" si="2"/>
        <v>5760</v>
      </c>
      <c r="W48" s="140">
        <v>16</v>
      </c>
      <c r="X48" s="237" t="s">
        <v>46</v>
      </c>
      <c r="Y48" s="140" t="s">
        <v>50</v>
      </c>
      <c r="Z48" s="140" t="s">
        <v>90</v>
      </c>
      <c r="AA48" s="140" t="s">
        <v>84</v>
      </c>
      <c r="AB48" s="55" t="s">
        <v>255</v>
      </c>
    </row>
    <row r="49" spans="1:28" x14ac:dyDescent="0.15">
      <c r="A49" s="140" t="s">
        <v>34</v>
      </c>
      <c r="B49" s="34" t="s">
        <v>253</v>
      </c>
      <c r="C49" s="140">
        <v>2018</v>
      </c>
      <c r="D49" s="230" t="s">
        <v>494</v>
      </c>
      <c r="E49" s="140" t="s">
        <v>139</v>
      </c>
      <c r="F49" s="228" t="s">
        <v>515</v>
      </c>
      <c r="G49" s="231" t="s">
        <v>36</v>
      </c>
      <c r="H49" s="185" t="s">
        <v>158</v>
      </c>
      <c r="I49" s="185" t="s">
        <v>153</v>
      </c>
      <c r="J49" s="187" t="s">
        <v>38</v>
      </c>
      <c r="K49" s="185" t="s">
        <v>154</v>
      </c>
      <c r="L49" s="140">
        <v>3</v>
      </c>
      <c r="N49" s="140">
        <v>1</v>
      </c>
      <c r="O49" s="140">
        <v>0.55000000000000004</v>
      </c>
      <c r="P49" s="140">
        <v>0.65</v>
      </c>
      <c r="Q49" s="173">
        <f t="shared" si="0"/>
        <v>0.60000000000000009</v>
      </c>
      <c r="R49" s="239">
        <v>15.9</v>
      </c>
      <c r="S49" s="239">
        <v>191</v>
      </c>
      <c r="T49" s="149">
        <f t="shared" si="1"/>
        <v>30</v>
      </c>
      <c r="U49" s="140">
        <v>192</v>
      </c>
      <c r="V49" s="149">
        <f t="shared" si="2"/>
        <v>5760</v>
      </c>
      <c r="W49" s="140">
        <v>16</v>
      </c>
      <c r="X49" s="237" t="s">
        <v>46</v>
      </c>
      <c r="Y49" s="140" t="s">
        <v>50</v>
      </c>
      <c r="Z49" s="140" t="s">
        <v>90</v>
      </c>
      <c r="AA49" s="140" t="s">
        <v>84</v>
      </c>
      <c r="AB49" s="55" t="s">
        <v>255</v>
      </c>
    </row>
    <row r="50" spans="1:28" x14ac:dyDescent="0.15">
      <c r="A50" s="140" t="s">
        <v>34</v>
      </c>
      <c r="B50" s="140" t="s">
        <v>253</v>
      </c>
      <c r="C50" s="140">
        <v>2018</v>
      </c>
      <c r="D50" s="230" t="s">
        <v>494</v>
      </c>
      <c r="E50" s="140" t="s">
        <v>133</v>
      </c>
      <c r="F50" s="228" t="s">
        <v>498</v>
      </c>
      <c r="G50" s="231" t="s">
        <v>36</v>
      </c>
      <c r="H50" s="187" t="s">
        <v>155</v>
      </c>
      <c r="I50" s="187" t="s">
        <v>153</v>
      </c>
      <c r="J50" s="187" t="s">
        <v>38</v>
      </c>
      <c r="K50" s="185" t="s">
        <v>154</v>
      </c>
      <c r="L50" s="140">
        <v>1</v>
      </c>
      <c r="N50" s="140">
        <v>1</v>
      </c>
      <c r="O50" s="140">
        <v>0.6</v>
      </c>
      <c r="P50" s="140">
        <v>0.55000000000000004</v>
      </c>
      <c r="Q50" s="173">
        <f t="shared" si="0"/>
        <v>0.57499999999999996</v>
      </c>
      <c r="R50" s="140">
        <v>14.4</v>
      </c>
      <c r="S50" s="140">
        <v>144</v>
      </c>
      <c r="T50" s="149">
        <f t="shared" si="1"/>
        <v>30</v>
      </c>
      <c r="U50" s="140">
        <v>105</v>
      </c>
      <c r="V50" s="149">
        <f t="shared" si="2"/>
        <v>3150</v>
      </c>
      <c r="W50" s="140">
        <v>18</v>
      </c>
      <c r="X50" s="237" t="s">
        <v>46</v>
      </c>
      <c r="Y50" s="140" t="s">
        <v>90</v>
      </c>
      <c r="Z50" s="140" t="s">
        <v>84</v>
      </c>
      <c r="AA50" s="140" t="s">
        <v>50</v>
      </c>
      <c r="AB50" s="140" t="s">
        <v>255</v>
      </c>
    </row>
    <row r="51" spans="1:28" x14ac:dyDescent="0.15">
      <c r="A51" s="140" t="s">
        <v>34</v>
      </c>
      <c r="B51" s="140" t="s">
        <v>253</v>
      </c>
      <c r="C51" s="140">
        <v>2018</v>
      </c>
      <c r="D51" s="230" t="s">
        <v>494</v>
      </c>
      <c r="E51" s="140" t="s">
        <v>133</v>
      </c>
      <c r="F51" s="228" t="s">
        <v>498</v>
      </c>
      <c r="G51" s="231" t="s">
        <v>36</v>
      </c>
      <c r="H51" s="187" t="s">
        <v>155</v>
      </c>
      <c r="I51" s="187" t="s">
        <v>153</v>
      </c>
      <c r="J51" s="187" t="s">
        <v>38</v>
      </c>
      <c r="K51" s="185" t="s">
        <v>154</v>
      </c>
      <c r="L51" s="140">
        <v>2</v>
      </c>
      <c r="N51" s="140">
        <v>1</v>
      </c>
      <c r="O51" s="140">
        <v>0.7</v>
      </c>
      <c r="P51" s="140">
        <v>0.6</v>
      </c>
      <c r="Q51" s="173">
        <f t="shared" si="0"/>
        <v>0.64999999999999991</v>
      </c>
      <c r="R51" s="140">
        <v>13.9</v>
      </c>
      <c r="S51" s="140">
        <v>149</v>
      </c>
      <c r="T51" s="149">
        <f t="shared" si="1"/>
        <v>30</v>
      </c>
      <c r="U51" s="140">
        <v>105</v>
      </c>
      <c r="V51" s="149">
        <f t="shared" si="2"/>
        <v>3150</v>
      </c>
      <c r="W51" s="140">
        <v>18</v>
      </c>
      <c r="X51" s="237" t="s">
        <v>46</v>
      </c>
      <c r="Y51" s="140" t="s">
        <v>90</v>
      </c>
      <c r="Z51" s="140" t="s">
        <v>84</v>
      </c>
      <c r="AA51" s="140" t="s">
        <v>50</v>
      </c>
      <c r="AB51" s="140" t="s">
        <v>255</v>
      </c>
    </row>
    <row r="52" spans="1:28" x14ac:dyDescent="0.15">
      <c r="A52" s="140" t="s">
        <v>34</v>
      </c>
      <c r="B52" s="140" t="s">
        <v>253</v>
      </c>
      <c r="C52" s="140">
        <v>2018</v>
      </c>
      <c r="D52" s="230" t="s">
        <v>494</v>
      </c>
      <c r="E52" s="140" t="s">
        <v>133</v>
      </c>
      <c r="F52" s="228" t="s">
        <v>498</v>
      </c>
      <c r="G52" s="231" t="s">
        <v>36</v>
      </c>
      <c r="H52" s="187" t="s">
        <v>155</v>
      </c>
      <c r="I52" s="187" t="s">
        <v>153</v>
      </c>
      <c r="J52" s="187" t="s">
        <v>38</v>
      </c>
      <c r="K52" s="185" t="s">
        <v>154</v>
      </c>
      <c r="L52" s="140">
        <v>3</v>
      </c>
      <c r="N52" s="140">
        <v>1</v>
      </c>
      <c r="O52" s="140">
        <v>0.6</v>
      </c>
      <c r="P52" s="140">
        <v>0.55000000000000004</v>
      </c>
      <c r="Q52" s="173">
        <f t="shared" si="0"/>
        <v>0.57499999999999996</v>
      </c>
      <c r="R52" s="140">
        <v>14.2</v>
      </c>
      <c r="S52" s="140">
        <v>136</v>
      </c>
      <c r="T52" s="149">
        <f t="shared" si="1"/>
        <v>30</v>
      </c>
      <c r="U52" s="140">
        <v>105</v>
      </c>
      <c r="V52" s="149">
        <f t="shared" si="2"/>
        <v>3150</v>
      </c>
      <c r="W52" s="140">
        <v>18</v>
      </c>
      <c r="X52" s="237" t="s">
        <v>46</v>
      </c>
      <c r="Y52" s="140" t="s">
        <v>90</v>
      </c>
      <c r="Z52" s="140" t="s">
        <v>84</v>
      </c>
      <c r="AA52" s="140" t="s">
        <v>50</v>
      </c>
      <c r="AB52" s="140" t="s">
        <v>255</v>
      </c>
    </row>
    <row r="53" spans="1:28" x14ac:dyDescent="0.15">
      <c r="A53" s="140" t="s">
        <v>34</v>
      </c>
      <c r="B53" s="140" t="s">
        <v>253</v>
      </c>
      <c r="C53" s="140">
        <v>2018</v>
      </c>
      <c r="D53" s="230" t="s">
        <v>494</v>
      </c>
      <c r="E53" s="140" t="s">
        <v>133</v>
      </c>
      <c r="F53" s="228" t="s">
        <v>498</v>
      </c>
      <c r="G53" s="231" t="s">
        <v>36</v>
      </c>
      <c r="H53" s="187" t="s">
        <v>158</v>
      </c>
      <c r="I53" s="187" t="s">
        <v>153</v>
      </c>
      <c r="J53" s="187" t="s">
        <v>38</v>
      </c>
      <c r="K53" s="185" t="s">
        <v>154</v>
      </c>
      <c r="L53" s="140">
        <v>1</v>
      </c>
      <c r="N53" s="140">
        <v>1</v>
      </c>
      <c r="O53" s="140">
        <v>0.5</v>
      </c>
      <c r="P53" s="140">
        <v>0.45</v>
      </c>
      <c r="Q53" s="173">
        <f t="shared" si="0"/>
        <v>0.47499999999999998</v>
      </c>
      <c r="R53" s="140">
        <v>15.1</v>
      </c>
      <c r="S53" s="140">
        <v>170</v>
      </c>
      <c r="T53" s="149">
        <f t="shared" si="1"/>
        <v>30</v>
      </c>
      <c r="U53" s="140">
        <v>149</v>
      </c>
      <c r="V53" s="149">
        <f t="shared" si="2"/>
        <v>4470</v>
      </c>
      <c r="W53" s="140">
        <v>18</v>
      </c>
      <c r="X53" s="237" t="s">
        <v>46</v>
      </c>
      <c r="Y53" s="140" t="s">
        <v>90</v>
      </c>
      <c r="Z53" s="140" t="s">
        <v>84</v>
      </c>
      <c r="AA53" s="140" t="s">
        <v>50</v>
      </c>
      <c r="AB53" s="140" t="s">
        <v>255</v>
      </c>
    </row>
    <row r="54" spans="1:28" x14ac:dyDescent="0.15">
      <c r="A54" s="140" t="s">
        <v>34</v>
      </c>
      <c r="B54" s="140" t="s">
        <v>253</v>
      </c>
      <c r="C54" s="140">
        <v>2018</v>
      </c>
      <c r="D54" s="230" t="s">
        <v>494</v>
      </c>
      <c r="E54" s="140" t="s">
        <v>133</v>
      </c>
      <c r="F54" s="228" t="s">
        <v>498</v>
      </c>
      <c r="G54" s="231" t="s">
        <v>36</v>
      </c>
      <c r="H54" s="187" t="s">
        <v>158</v>
      </c>
      <c r="I54" s="187" t="s">
        <v>153</v>
      </c>
      <c r="J54" s="187" t="s">
        <v>38</v>
      </c>
      <c r="K54" s="185" t="s">
        <v>154</v>
      </c>
      <c r="L54" s="140">
        <v>2</v>
      </c>
      <c r="N54" s="140">
        <v>1</v>
      </c>
      <c r="O54" s="140">
        <v>0.45</v>
      </c>
      <c r="P54" s="140">
        <v>0.5</v>
      </c>
      <c r="Q54" s="173">
        <f t="shared" si="0"/>
        <v>0.47499999999999998</v>
      </c>
      <c r="R54" s="140">
        <v>15.4</v>
      </c>
      <c r="S54" s="140">
        <v>167</v>
      </c>
      <c r="T54" s="149">
        <f t="shared" si="1"/>
        <v>30</v>
      </c>
      <c r="U54" s="140">
        <v>149</v>
      </c>
      <c r="V54" s="149">
        <f t="shared" si="2"/>
        <v>4470</v>
      </c>
      <c r="W54" s="140">
        <v>18</v>
      </c>
      <c r="X54" s="237" t="s">
        <v>46</v>
      </c>
      <c r="Y54" s="140" t="s">
        <v>90</v>
      </c>
      <c r="Z54" s="140" t="s">
        <v>84</v>
      </c>
      <c r="AA54" s="140" t="s">
        <v>50</v>
      </c>
      <c r="AB54" s="140" t="s">
        <v>255</v>
      </c>
    </row>
    <row r="55" spans="1:28" x14ac:dyDescent="0.15">
      <c r="A55" s="140" t="s">
        <v>34</v>
      </c>
      <c r="B55" s="140" t="s">
        <v>253</v>
      </c>
      <c r="C55" s="140">
        <v>2018</v>
      </c>
      <c r="D55" s="230" t="s">
        <v>494</v>
      </c>
      <c r="E55" s="140" t="s">
        <v>133</v>
      </c>
      <c r="F55" s="228" t="s">
        <v>498</v>
      </c>
      <c r="G55" s="231" t="s">
        <v>36</v>
      </c>
      <c r="H55" s="187" t="s">
        <v>158</v>
      </c>
      <c r="I55" s="187" t="s">
        <v>153</v>
      </c>
      <c r="J55" s="187" t="s">
        <v>38</v>
      </c>
      <c r="K55" s="185" t="s">
        <v>154</v>
      </c>
      <c r="L55" s="140">
        <v>3</v>
      </c>
      <c r="N55" s="140">
        <v>1</v>
      </c>
      <c r="O55" s="140">
        <v>0.4</v>
      </c>
      <c r="P55" s="140">
        <v>0.45</v>
      </c>
      <c r="Q55" s="173">
        <f t="shared" si="0"/>
        <v>0.42500000000000004</v>
      </c>
      <c r="R55" s="140">
        <v>14.7</v>
      </c>
      <c r="S55" s="140">
        <v>154</v>
      </c>
      <c r="T55" s="149">
        <f t="shared" si="1"/>
        <v>30</v>
      </c>
      <c r="U55" s="140">
        <v>149</v>
      </c>
      <c r="V55" s="149">
        <f t="shared" si="2"/>
        <v>4470</v>
      </c>
      <c r="W55" s="140">
        <v>18</v>
      </c>
      <c r="X55" s="237" t="s">
        <v>46</v>
      </c>
      <c r="Y55" s="140" t="s">
        <v>90</v>
      </c>
      <c r="Z55" s="140" t="s">
        <v>84</v>
      </c>
      <c r="AA55" s="140" t="s">
        <v>50</v>
      </c>
      <c r="AB55" s="140" t="s">
        <v>255</v>
      </c>
    </row>
    <row r="56" spans="1:28" x14ac:dyDescent="0.15">
      <c r="A56" s="140" t="s">
        <v>34</v>
      </c>
      <c r="B56" s="140" t="s">
        <v>253</v>
      </c>
      <c r="C56" s="140">
        <v>2018</v>
      </c>
      <c r="D56" s="230" t="s">
        <v>494</v>
      </c>
      <c r="E56" s="140" t="s">
        <v>196</v>
      </c>
      <c r="F56" s="228" t="s">
        <v>502</v>
      </c>
      <c r="G56" s="231" t="s">
        <v>36</v>
      </c>
      <c r="H56" s="187" t="s">
        <v>155</v>
      </c>
      <c r="I56" s="187" t="s">
        <v>153</v>
      </c>
      <c r="J56" s="187" t="s">
        <v>38</v>
      </c>
      <c r="K56" s="185" t="s">
        <v>154</v>
      </c>
      <c r="L56" s="140">
        <v>1</v>
      </c>
      <c r="N56" s="140">
        <v>5</v>
      </c>
      <c r="O56" s="140">
        <v>0.9</v>
      </c>
      <c r="P56" s="140">
        <v>1.2</v>
      </c>
      <c r="Q56" s="173">
        <f t="shared" si="0"/>
        <v>1.05</v>
      </c>
      <c r="R56" s="140">
        <v>14</v>
      </c>
      <c r="S56" s="140">
        <v>91</v>
      </c>
      <c r="T56" s="149">
        <f t="shared" si="1"/>
        <v>36</v>
      </c>
      <c r="U56" s="140">
        <v>298</v>
      </c>
      <c r="V56" s="149">
        <f t="shared" si="2"/>
        <v>2145.6</v>
      </c>
      <c r="W56" s="140">
        <v>2</v>
      </c>
      <c r="X56" s="237" t="s">
        <v>46</v>
      </c>
      <c r="Y56" s="140" t="s">
        <v>90</v>
      </c>
      <c r="Z56" s="140" t="s">
        <v>84</v>
      </c>
      <c r="AA56" s="140" t="s">
        <v>69</v>
      </c>
      <c r="AB56" s="140" t="s">
        <v>255</v>
      </c>
    </row>
    <row r="57" spans="1:28" x14ac:dyDescent="0.15">
      <c r="A57" s="140" t="s">
        <v>34</v>
      </c>
      <c r="B57" s="140" t="s">
        <v>253</v>
      </c>
      <c r="C57" s="140">
        <v>2018</v>
      </c>
      <c r="D57" s="230" t="s">
        <v>494</v>
      </c>
      <c r="E57" s="140" t="s">
        <v>196</v>
      </c>
      <c r="F57" s="228" t="s">
        <v>502</v>
      </c>
      <c r="G57" s="231" t="s">
        <v>36</v>
      </c>
      <c r="H57" s="187" t="s">
        <v>155</v>
      </c>
      <c r="I57" s="187" t="s">
        <v>153</v>
      </c>
      <c r="J57" s="187" t="s">
        <v>38</v>
      </c>
      <c r="K57" s="185" t="s">
        <v>154</v>
      </c>
      <c r="L57" s="140">
        <v>2</v>
      </c>
      <c r="N57" s="140">
        <v>5</v>
      </c>
      <c r="O57" s="140">
        <v>1.1499999999999999</v>
      </c>
      <c r="P57" s="140">
        <v>1.1000000000000001</v>
      </c>
      <c r="Q57" s="173">
        <f t="shared" si="0"/>
        <v>1.125</v>
      </c>
      <c r="R57" s="140">
        <v>14.2</v>
      </c>
      <c r="S57" s="140">
        <v>91</v>
      </c>
      <c r="T57" s="149">
        <f t="shared" si="1"/>
        <v>36</v>
      </c>
      <c r="U57" s="140">
        <v>298</v>
      </c>
      <c r="V57" s="149">
        <f t="shared" si="2"/>
        <v>2145.6</v>
      </c>
      <c r="W57" s="140">
        <v>2</v>
      </c>
      <c r="X57" s="237" t="s">
        <v>46</v>
      </c>
      <c r="Y57" s="140" t="s">
        <v>90</v>
      </c>
      <c r="Z57" s="140" t="s">
        <v>84</v>
      </c>
      <c r="AA57" s="140" t="s">
        <v>69</v>
      </c>
      <c r="AB57" s="140" t="s">
        <v>255</v>
      </c>
    </row>
    <row r="58" spans="1:28" x14ac:dyDescent="0.15">
      <c r="A58" s="140" t="s">
        <v>34</v>
      </c>
      <c r="B58" s="140" t="s">
        <v>253</v>
      </c>
      <c r="C58" s="140">
        <v>2018</v>
      </c>
      <c r="D58" s="230" t="s">
        <v>494</v>
      </c>
      <c r="E58" s="140" t="s">
        <v>196</v>
      </c>
      <c r="F58" s="228" t="s">
        <v>502</v>
      </c>
      <c r="G58" s="231" t="s">
        <v>36</v>
      </c>
      <c r="H58" s="187" t="s">
        <v>155</v>
      </c>
      <c r="I58" s="187" t="s">
        <v>153</v>
      </c>
      <c r="J58" s="187" t="s">
        <v>38</v>
      </c>
      <c r="K58" s="185" t="s">
        <v>154</v>
      </c>
      <c r="L58" s="140">
        <v>3</v>
      </c>
      <c r="N58" s="140">
        <v>5</v>
      </c>
      <c r="O58" s="140">
        <v>0.85</v>
      </c>
      <c r="P58" s="140">
        <v>0.9</v>
      </c>
      <c r="Q58" s="173">
        <f t="shared" si="0"/>
        <v>0.875</v>
      </c>
      <c r="R58" s="140">
        <v>14.5</v>
      </c>
      <c r="S58" s="140">
        <v>90</v>
      </c>
      <c r="T58" s="149">
        <f t="shared" si="1"/>
        <v>36</v>
      </c>
      <c r="U58" s="140">
        <v>298</v>
      </c>
      <c r="V58" s="149">
        <f t="shared" si="2"/>
        <v>2145.6</v>
      </c>
      <c r="W58" s="140">
        <v>2</v>
      </c>
      <c r="X58" s="237" t="s">
        <v>46</v>
      </c>
      <c r="Y58" s="140" t="s">
        <v>90</v>
      </c>
      <c r="Z58" s="140" t="s">
        <v>84</v>
      </c>
      <c r="AA58" s="140" t="s">
        <v>69</v>
      </c>
      <c r="AB58" s="140" t="s">
        <v>255</v>
      </c>
    </row>
    <row r="59" spans="1:28" x14ac:dyDescent="0.15">
      <c r="D59" s="230"/>
      <c r="F59" s="228"/>
      <c r="G59" s="231"/>
      <c r="H59" s="187"/>
      <c r="I59" s="187"/>
      <c r="J59" s="187"/>
      <c r="K59" s="185"/>
      <c r="Q59" s="173"/>
      <c r="X59" s="237"/>
    </row>
    <row r="60" spans="1:28" x14ac:dyDescent="0.15">
      <c r="D60" s="252"/>
      <c r="F60" s="228"/>
      <c r="G60" s="231"/>
      <c r="H60" s="187"/>
      <c r="I60" s="187"/>
      <c r="J60" s="187"/>
      <c r="K60" s="185"/>
      <c r="Q60" s="173"/>
      <c r="X60" s="237"/>
    </row>
    <row r="61" spans="1:28" x14ac:dyDescent="0.15">
      <c r="D61" s="230"/>
      <c r="F61" s="228"/>
      <c r="G61" s="231"/>
      <c r="H61" s="187"/>
      <c r="I61" s="187"/>
      <c r="J61" s="187"/>
      <c r="K61" s="185"/>
      <c r="Q61" s="173"/>
      <c r="X61" s="237"/>
    </row>
    <row r="62" spans="1:28" x14ac:dyDescent="0.15">
      <c r="D62" s="250"/>
      <c r="F62" s="228"/>
      <c r="G62" s="231"/>
      <c r="H62" s="187"/>
      <c r="I62" s="187"/>
      <c r="J62" s="187"/>
      <c r="K62" s="185"/>
      <c r="Q62" s="173" t="str">
        <f t="shared" si="0"/>
        <v/>
      </c>
      <c r="T62" s="149" t="str">
        <f t="shared" si="1"/>
        <v/>
      </c>
      <c r="V62" s="149" t="str">
        <f t="shared" si="2"/>
        <v/>
      </c>
      <c r="X62" s="237"/>
    </row>
    <row r="63" spans="1:28" x14ac:dyDescent="0.15">
      <c r="D63" s="250"/>
      <c r="F63" s="228"/>
      <c r="G63" s="231"/>
      <c r="H63" s="187"/>
      <c r="I63" s="187"/>
      <c r="J63" s="187"/>
      <c r="K63" s="185"/>
      <c r="Q63" s="173" t="str">
        <f t="shared" si="0"/>
        <v/>
      </c>
      <c r="T63" s="149" t="str">
        <f t="shared" si="1"/>
        <v/>
      </c>
      <c r="V63" s="149" t="str">
        <f t="shared" si="2"/>
        <v/>
      </c>
      <c r="X63" s="237"/>
    </row>
    <row r="64" spans="1:28" x14ac:dyDescent="0.15">
      <c r="D64" s="250"/>
      <c r="F64" s="228"/>
      <c r="G64" s="231"/>
      <c r="H64" s="187"/>
      <c r="I64" s="187"/>
      <c r="J64" s="187"/>
      <c r="K64" s="185"/>
      <c r="Q64" s="173" t="str">
        <f t="shared" si="0"/>
        <v/>
      </c>
      <c r="T64" s="149" t="str">
        <f t="shared" si="1"/>
        <v/>
      </c>
      <c r="V64" s="149" t="str">
        <f t="shared" si="2"/>
        <v/>
      </c>
      <c r="X64" s="237"/>
    </row>
    <row r="65" spans="4:24" x14ac:dyDescent="0.15">
      <c r="D65" s="250"/>
      <c r="F65" s="228"/>
      <c r="G65" s="231"/>
      <c r="H65" s="187"/>
      <c r="I65" s="187"/>
      <c r="J65" s="187"/>
      <c r="K65" s="185"/>
      <c r="Q65" s="173" t="str">
        <f t="shared" si="0"/>
        <v/>
      </c>
      <c r="T65" s="149" t="str">
        <f t="shared" si="1"/>
        <v/>
      </c>
      <c r="V65" s="149" t="str">
        <f t="shared" si="2"/>
        <v/>
      </c>
      <c r="X65" s="237"/>
    </row>
    <row r="66" spans="4:24" x14ac:dyDescent="0.15">
      <c r="D66" s="250"/>
      <c r="F66" s="228"/>
      <c r="G66" s="231"/>
      <c r="H66" s="187"/>
      <c r="I66" s="187"/>
      <c r="J66" s="187"/>
      <c r="K66" s="185"/>
      <c r="Q66" s="173" t="str">
        <f t="shared" ref="Q66:Q91" si="3">IF(OR(O66="",P66=""),"",AVERAGE(O66,P66))</f>
        <v/>
      </c>
      <c r="T66" s="149" t="str">
        <f t="shared" ref="T66:T91" si="4">IF(H66="","",IF(OR(H66="GREEN",H66="GK"),IF(S66&gt;=$AX$2,VLOOKUP(S66,$AX$2:$AY$7,2,1),""),IF(S66&gt;=$AZ$2,VLOOKUP(S66,$AZ$2:$BA$7,2,1),"")))</f>
        <v/>
      </c>
      <c r="V66" s="149" t="str">
        <f t="shared" ref="V66:V91" si="5">IF(OR(N66="",U66="",T66=""),"",U66/N66*T66)</f>
        <v/>
      </c>
      <c r="X66" s="237"/>
    </row>
    <row r="67" spans="4:24" x14ac:dyDescent="0.15">
      <c r="D67" s="250"/>
      <c r="F67" s="228"/>
      <c r="G67" s="231"/>
      <c r="H67" s="187"/>
      <c r="I67" s="187"/>
      <c r="J67" s="187"/>
      <c r="K67" s="185"/>
      <c r="Q67" s="173" t="str">
        <f t="shared" si="3"/>
        <v/>
      </c>
      <c r="T67" s="149" t="str">
        <f t="shared" si="4"/>
        <v/>
      </c>
      <c r="V67" s="149" t="str">
        <f t="shared" si="5"/>
        <v/>
      </c>
      <c r="X67" s="237"/>
    </row>
    <row r="68" spans="4:24" x14ac:dyDescent="0.15">
      <c r="D68" s="250"/>
      <c r="F68" s="228"/>
      <c r="G68" s="231"/>
      <c r="H68" s="187"/>
      <c r="I68" s="187"/>
      <c r="J68" s="187"/>
      <c r="K68" s="185"/>
      <c r="Q68" s="173" t="str">
        <f t="shared" si="3"/>
        <v/>
      </c>
      <c r="T68" s="149" t="str">
        <f t="shared" si="4"/>
        <v/>
      </c>
      <c r="V68" s="149" t="str">
        <f t="shared" si="5"/>
        <v/>
      </c>
      <c r="X68" s="237"/>
    </row>
    <row r="69" spans="4:24" x14ac:dyDescent="0.15">
      <c r="D69" s="250"/>
      <c r="F69" s="228"/>
      <c r="G69" s="231"/>
      <c r="H69" s="187"/>
      <c r="I69" s="187"/>
      <c r="J69" s="187"/>
      <c r="K69" s="185"/>
      <c r="Q69" s="173" t="str">
        <f t="shared" si="3"/>
        <v/>
      </c>
      <c r="T69" s="149" t="str">
        <f t="shared" si="4"/>
        <v/>
      </c>
      <c r="V69" s="149" t="str">
        <f t="shared" si="5"/>
        <v/>
      </c>
      <c r="X69" s="237"/>
    </row>
    <row r="70" spans="4:24" x14ac:dyDescent="0.15">
      <c r="D70" s="250"/>
      <c r="F70" s="228"/>
      <c r="G70" s="231"/>
      <c r="H70" s="187"/>
      <c r="I70" s="187"/>
      <c r="J70" s="187"/>
      <c r="K70" s="185"/>
      <c r="Q70" s="173" t="str">
        <f t="shared" si="3"/>
        <v/>
      </c>
      <c r="T70" s="149" t="str">
        <f t="shared" si="4"/>
        <v/>
      </c>
      <c r="V70" s="149" t="str">
        <f t="shared" si="5"/>
        <v/>
      </c>
      <c r="X70" s="237"/>
    </row>
    <row r="71" spans="4:24" x14ac:dyDescent="0.15">
      <c r="D71" s="250"/>
      <c r="F71" s="228"/>
      <c r="G71" s="231"/>
      <c r="H71" s="187"/>
      <c r="I71" s="187"/>
      <c r="J71" s="187"/>
      <c r="K71" s="185"/>
      <c r="Q71" s="173" t="str">
        <f t="shared" si="3"/>
        <v/>
      </c>
      <c r="T71" s="149" t="str">
        <f t="shared" si="4"/>
        <v/>
      </c>
      <c r="V71" s="149" t="str">
        <f t="shared" si="5"/>
        <v/>
      </c>
      <c r="X71" s="237"/>
    </row>
    <row r="72" spans="4:24" x14ac:dyDescent="0.15">
      <c r="D72" s="250"/>
      <c r="F72" s="228"/>
      <c r="G72" s="231"/>
      <c r="H72" s="187"/>
      <c r="I72" s="187"/>
      <c r="J72" s="187"/>
      <c r="K72" s="185"/>
      <c r="Q72" s="173" t="str">
        <f t="shared" si="3"/>
        <v/>
      </c>
      <c r="T72" s="149" t="str">
        <f t="shared" si="4"/>
        <v/>
      </c>
      <c r="V72" s="149" t="str">
        <f t="shared" si="5"/>
        <v/>
      </c>
      <c r="X72" s="237"/>
    </row>
    <row r="73" spans="4:24" x14ac:dyDescent="0.15">
      <c r="D73" s="250"/>
      <c r="F73" s="228"/>
      <c r="G73" s="231"/>
      <c r="H73" s="187"/>
      <c r="I73" s="187"/>
      <c r="J73" s="187"/>
      <c r="K73" s="185"/>
      <c r="Q73" s="173" t="str">
        <f t="shared" si="3"/>
        <v/>
      </c>
      <c r="T73" s="149" t="str">
        <f t="shared" si="4"/>
        <v/>
      </c>
      <c r="V73" s="149" t="str">
        <f t="shared" si="5"/>
        <v/>
      </c>
      <c r="X73" s="237"/>
    </row>
    <row r="74" spans="4:24" x14ac:dyDescent="0.15">
      <c r="D74" s="250"/>
      <c r="F74" s="228"/>
      <c r="G74" s="231"/>
      <c r="H74" s="187"/>
      <c r="I74" s="187"/>
      <c r="J74" s="187"/>
      <c r="K74" s="185"/>
      <c r="Q74" s="173" t="str">
        <f t="shared" si="3"/>
        <v/>
      </c>
      <c r="T74" s="149" t="str">
        <f t="shared" si="4"/>
        <v/>
      </c>
      <c r="V74" s="149" t="str">
        <f t="shared" si="5"/>
        <v/>
      </c>
      <c r="X74" s="237"/>
    </row>
    <row r="75" spans="4:24" x14ac:dyDescent="0.15">
      <c r="D75" s="250"/>
      <c r="F75" s="228"/>
      <c r="G75" s="231"/>
      <c r="H75" s="187"/>
      <c r="I75" s="187"/>
      <c r="J75" s="187"/>
      <c r="K75" s="185"/>
      <c r="Q75" s="173" t="str">
        <f t="shared" si="3"/>
        <v/>
      </c>
      <c r="T75" s="149" t="str">
        <f t="shared" si="4"/>
        <v/>
      </c>
      <c r="V75" s="149" t="str">
        <f t="shared" si="5"/>
        <v/>
      </c>
      <c r="X75" s="237"/>
    </row>
    <row r="76" spans="4:24" x14ac:dyDescent="0.15">
      <c r="D76" s="250"/>
      <c r="F76" s="228"/>
      <c r="G76" s="231"/>
      <c r="H76" s="187"/>
      <c r="I76" s="187"/>
      <c r="J76" s="187"/>
      <c r="K76" s="185"/>
      <c r="Q76" s="173" t="str">
        <f t="shared" si="3"/>
        <v/>
      </c>
      <c r="T76" s="149" t="str">
        <f t="shared" si="4"/>
        <v/>
      </c>
      <c r="V76" s="149" t="str">
        <f t="shared" si="5"/>
        <v/>
      </c>
      <c r="X76" s="237"/>
    </row>
    <row r="77" spans="4:24" x14ac:dyDescent="0.15">
      <c r="D77" s="250"/>
      <c r="F77" s="228"/>
      <c r="G77" s="231"/>
      <c r="H77" s="187"/>
      <c r="I77" s="187"/>
      <c r="J77" s="187"/>
      <c r="K77" s="185"/>
      <c r="Q77" s="173" t="str">
        <f t="shared" si="3"/>
        <v/>
      </c>
      <c r="T77" s="149" t="str">
        <f t="shared" si="4"/>
        <v/>
      </c>
      <c r="V77" s="149" t="str">
        <f t="shared" si="5"/>
        <v/>
      </c>
      <c r="X77" s="237"/>
    </row>
    <row r="78" spans="4:24" x14ac:dyDescent="0.15">
      <c r="D78" s="250"/>
      <c r="F78" s="228"/>
      <c r="G78" s="231"/>
      <c r="H78" s="187"/>
      <c r="I78" s="187"/>
      <c r="J78" s="187"/>
      <c r="K78" s="185"/>
      <c r="Q78" s="173" t="str">
        <f t="shared" si="3"/>
        <v/>
      </c>
      <c r="T78" s="149" t="str">
        <f t="shared" si="4"/>
        <v/>
      </c>
      <c r="V78" s="149" t="str">
        <f t="shared" si="5"/>
        <v/>
      </c>
      <c r="X78" s="237"/>
    </row>
    <row r="79" spans="4:24" x14ac:dyDescent="0.15">
      <c r="D79" s="250"/>
      <c r="F79" s="228"/>
      <c r="G79" s="231"/>
      <c r="H79" s="187"/>
      <c r="I79" s="187"/>
      <c r="J79" s="187"/>
      <c r="K79" s="185"/>
      <c r="Q79" s="173" t="str">
        <f t="shared" si="3"/>
        <v/>
      </c>
      <c r="T79" s="149" t="str">
        <f t="shared" si="4"/>
        <v/>
      </c>
      <c r="V79" s="149" t="str">
        <f t="shared" si="5"/>
        <v/>
      </c>
      <c r="X79" s="237"/>
    </row>
    <row r="80" spans="4:24" x14ac:dyDescent="0.15">
      <c r="H80" s="187"/>
      <c r="I80" s="187"/>
      <c r="J80" s="187"/>
      <c r="K80" s="185"/>
      <c r="Q80" s="173" t="str">
        <f t="shared" si="3"/>
        <v/>
      </c>
      <c r="T80" s="149" t="str">
        <f t="shared" si="4"/>
        <v/>
      </c>
      <c r="V80" s="149" t="str">
        <f t="shared" si="5"/>
        <v/>
      </c>
    </row>
    <row r="81" spans="8:22" x14ac:dyDescent="0.15">
      <c r="H81" s="187"/>
      <c r="I81" s="187"/>
      <c r="J81" s="187"/>
      <c r="K81" s="185"/>
      <c r="Q81" s="173" t="str">
        <f t="shared" si="3"/>
        <v/>
      </c>
      <c r="T81" s="149" t="str">
        <f t="shared" si="4"/>
        <v/>
      </c>
      <c r="V81" s="149" t="str">
        <f t="shared" si="5"/>
        <v/>
      </c>
    </row>
    <row r="82" spans="8:22" x14ac:dyDescent="0.15">
      <c r="H82" s="187"/>
      <c r="I82" s="187"/>
      <c r="J82" s="187"/>
      <c r="K82" s="185"/>
      <c r="Q82" s="173" t="str">
        <f t="shared" si="3"/>
        <v/>
      </c>
      <c r="T82" s="149" t="str">
        <f t="shared" si="4"/>
        <v/>
      </c>
      <c r="V82" s="149" t="str">
        <f t="shared" si="5"/>
        <v/>
      </c>
    </row>
    <row r="83" spans="8:22" x14ac:dyDescent="0.15">
      <c r="H83" s="187"/>
      <c r="I83" s="187"/>
      <c r="J83" s="187"/>
      <c r="K83" s="185"/>
      <c r="Q83" s="173" t="str">
        <f t="shared" si="3"/>
        <v/>
      </c>
      <c r="T83" s="149" t="str">
        <f t="shared" si="4"/>
        <v/>
      </c>
      <c r="V83" s="149" t="str">
        <f t="shared" si="5"/>
        <v/>
      </c>
    </row>
    <row r="84" spans="8:22" x14ac:dyDescent="0.15">
      <c r="H84" s="187"/>
      <c r="I84" s="187"/>
      <c r="J84" s="187"/>
      <c r="K84" s="185"/>
      <c r="Q84" s="173" t="str">
        <f t="shared" si="3"/>
        <v/>
      </c>
      <c r="T84" s="149" t="str">
        <f t="shared" si="4"/>
        <v/>
      </c>
      <c r="V84" s="149" t="str">
        <f t="shared" si="5"/>
        <v/>
      </c>
    </row>
    <row r="85" spans="8:22" x14ac:dyDescent="0.15">
      <c r="H85" s="187"/>
      <c r="I85" s="187"/>
      <c r="J85" s="187"/>
      <c r="K85" s="185"/>
      <c r="Q85" s="173" t="str">
        <f t="shared" si="3"/>
        <v/>
      </c>
      <c r="T85" s="149" t="str">
        <f t="shared" si="4"/>
        <v/>
      </c>
      <c r="V85" s="149" t="str">
        <f t="shared" si="5"/>
        <v/>
      </c>
    </row>
    <row r="86" spans="8:22" x14ac:dyDescent="0.15">
      <c r="H86" s="187"/>
      <c r="I86" s="187"/>
      <c r="J86" s="187"/>
      <c r="K86" s="185"/>
      <c r="Q86" s="173" t="str">
        <f t="shared" si="3"/>
        <v/>
      </c>
      <c r="T86" s="149" t="str">
        <f t="shared" si="4"/>
        <v/>
      </c>
      <c r="V86" s="149" t="str">
        <f t="shared" si="5"/>
        <v/>
      </c>
    </row>
    <row r="87" spans="8:22" x14ac:dyDescent="0.15">
      <c r="H87" s="187"/>
      <c r="I87" s="187"/>
      <c r="J87" s="187"/>
      <c r="K87" s="185"/>
      <c r="Q87" s="173" t="str">
        <f t="shared" si="3"/>
        <v/>
      </c>
      <c r="T87" s="149" t="str">
        <f t="shared" si="4"/>
        <v/>
      </c>
      <c r="V87" s="149" t="str">
        <f t="shared" si="5"/>
        <v/>
      </c>
    </row>
    <row r="88" spans="8:22" x14ac:dyDescent="0.15">
      <c r="H88" s="187"/>
      <c r="I88" s="187"/>
      <c r="J88" s="187"/>
      <c r="K88" s="185"/>
      <c r="Q88" s="173" t="str">
        <f t="shared" si="3"/>
        <v/>
      </c>
      <c r="T88" s="149" t="str">
        <f t="shared" si="4"/>
        <v/>
      </c>
      <c r="V88" s="149" t="str">
        <f t="shared" si="5"/>
        <v/>
      </c>
    </row>
    <row r="89" spans="8:22" x14ac:dyDescent="0.15">
      <c r="H89" s="187"/>
      <c r="I89" s="187"/>
      <c r="J89" s="187"/>
      <c r="K89" s="185"/>
      <c r="Q89" s="173" t="str">
        <f t="shared" si="3"/>
        <v/>
      </c>
      <c r="T89" s="149" t="str">
        <f t="shared" si="4"/>
        <v/>
      </c>
      <c r="V89" s="149" t="str">
        <f t="shared" si="5"/>
        <v/>
      </c>
    </row>
    <row r="90" spans="8:22" x14ac:dyDescent="0.15">
      <c r="H90" s="187"/>
      <c r="I90" s="187"/>
      <c r="J90" s="187"/>
      <c r="K90" s="185"/>
      <c r="Q90" s="173" t="str">
        <f t="shared" si="3"/>
        <v/>
      </c>
      <c r="T90" s="149" t="str">
        <f t="shared" si="4"/>
        <v/>
      </c>
      <c r="V90" s="149" t="str">
        <f t="shared" si="5"/>
        <v/>
      </c>
    </row>
    <row r="91" spans="8:22" x14ac:dyDescent="0.15">
      <c r="H91" s="187"/>
      <c r="I91" s="187"/>
      <c r="J91" s="187"/>
      <c r="K91" s="185"/>
      <c r="Q91" s="173" t="str">
        <f t="shared" si="3"/>
        <v/>
      </c>
      <c r="T91" s="149" t="str">
        <f t="shared" si="4"/>
        <v/>
      </c>
      <c r="V91" s="149" t="str">
        <f t="shared" si="5"/>
        <v/>
      </c>
    </row>
    <row r="92" spans="8:22" x14ac:dyDescent="0.15">
      <c r="H92" s="187"/>
      <c r="I92" s="187"/>
      <c r="J92" s="187"/>
      <c r="K92" s="185"/>
      <c r="Q92" s="173"/>
    </row>
    <row r="93" spans="8:22" x14ac:dyDescent="0.15">
      <c r="H93" s="187"/>
      <c r="I93" s="187"/>
      <c r="J93" s="187"/>
      <c r="K93" s="185"/>
      <c r="Q93" s="173"/>
    </row>
    <row r="94" spans="8:22" x14ac:dyDescent="0.15">
      <c r="H94" s="187"/>
      <c r="I94" s="187"/>
      <c r="J94" s="187"/>
      <c r="K94" s="185"/>
      <c r="Q94" s="173"/>
    </row>
    <row r="95" spans="8:22" x14ac:dyDescent="0.15">
      <c r="H95" s="187"/>
      <c r="I95" s="187"/>
      <c r="J95" s="187"/>
      <c r="K95" s="185"/>
      <c r="Q95" s="173"/>
    </row>
    <row r="96" spans="8:22" x14ac:dyDescent="0.15">
      <c r="H96" s="187"/>
      <c r="I96" s="187"/>
      <c r="J96" s="187"/>
      <c r="K96" s="185"/>
      <c r="Q96" s="173"/>
    </row>
    <row r="97" spans="8:17" x14ac:dyDescent="0.15">
      <c r="H97" s="187"/>
      <c r="I97" s="187"/>
      <c r="J97" s="187"/>
      <c r="K97" s="185"/>
      <c r="Q97" s="173"/>
    </row>
    <row r="98" spans="8:17" x14ac:dyDescent="0.15">
      <c r="H98" s="187"/>
      <c r="I98" s="187"/>
      <c r="J98" s="187"/>
      <c r="K98" s="185"/>
      <c r="Q98" s="173"/>
    </row>
    <row r="99" spans="8:17" x14ac:dyDescent="0.15">
      <c r="H99" s="187"/>
      <c r="I99" s="187"/>
      <c r="J99" s="187"/>
      <c r="K99" s="185"/>
      <c r="Q99" s="173"/>
    </row>
    <row r="100" spans="8:17" x14ac:dyDescent="0.15">
      <c r="H100" s="187"/>
      <c r="I100" s="187"/>
      <c r="J100" s="187"/>
      <c r="K100" s="185"/>
      <c r="Q100" s="173"/>
    </row>
    <row r="101" spans="8:17" x14ac:dyDescent="0.15">
      <c r="H101" s="187"/>
      <c r="I101" s="187"/>
      <c r="J101" s="187"/>
      <c r="K101" s="185"/>
      <c r="Q101" s="173"/>
    </row>
    <row r="102" spans="8:17" x14ac:dyDescent="0.15">
      <c r="H102" s="187"/>
      <c r="I102" s="187"/>
      <c r="J102" s="187"/>
      <c r="K102" s="185"/>
      <c r="Q102" s="173"/>
    </row>
    <row r="103" spans="8:17" x14ac:dyDescent="0.15">
      <c r="H103" s="187"/>
      <c r="I103" s="187"/>
      <c r="J103" s="187"/>
      <c r="K103" s="185"/>
      <c r="Q103" s="173"/>
    </row>
    <row r="104" spans="8:17" x14ac:dyDescent="0.15">
      <c r="H104" s="187"/>
      <c r="I104" s="187"/>
      <c r="J104" s="187"/>
      <c r="K104" s="185"/>
      <c r="Q104" s="173"/>
    </row>
    <row r="105" spans="8:17" x14ac:dyDescent="0.15">
      <c r="H105" s="187"/>
      <c r="I105" s="187"/>
      <c r="J105" s="187"/>
      <c r="K105" s="185"/>
      <c r="Q105" s="173"/>
    </row>
    <row r="106" spans="8:17" x14ac:dyDescent="0.15">
      <c r="H106" s="187"/>
      <c r="I106" s="187"/>
      <c r="J106" s="187"/>
      <c r="K106" s="185"/>
      <c r="Q106" s="173"/>
    </row>
    <row r="107" spans="8:17" x14ac:dyDescent="0.15">
      <c r="H107" s="187"/>
      <c r="I107" s="187"/>
      <c r="J107" s="187"/>
      <c r="K107" s="185"/>
      <c r="Q107" s="173"/>
    </row>
    <row r="108" spans="8:17" x14ac:dyDescent="0.15">
      <c r="H108" s="187"/>
      <c r="I108" s="187"/>
      <c r="J108" s="187"/>
      <c r="K108" s="185"/>
      <c r="Q108" s="173"/>
    </row>
    <row r="109" spans="8:17" x14ac:dyDescent="0.15">
      <c r="H109" s="187"/>
      <c r="I109" s="187"/>
      <c r="J109" s="187"/>
      <c r="K109" s="185"/>
      <c r="Q109" s="173"/>
    </row>
    <row r="110" spans="8:17" x14ac:dyDescent="0.15">
      <c r="H110" s="187"/>
      <c r="I110" s="187"/>
      <c r="J110" s="187"/>
      <c r="K110" s="185"/>
      <c r="Q110" s="173"/>
    </row>
    <row r="111" spans="8:17" x14ac:dyDescent="0.15">
      <c r="H111" s="187"/>
      <c r="I111" s="187"/>
      <c r="J111" s="187"/>
      <c r="K111" s="185"/>
      <c r="Q111" s="173"/>
    </row>
    <row r="112" spans="8:17" x14ac:dyDescent="0.15">
      <c r="H112" s="187"/>
      <c r="I112" s="187"/>
      <c r="J112" s="187"/>
      <c r="K112" s="185"/>
      <c r="Q112" s="173"/>
    </row>
    <row r="113" spans="8:17" x14ac:dyDescent="0.15">
      <c r="H113" s="187"/>
      <c r="I113" s="187"/>
      <c r="J113" s="187"/>
      <c r="K113" s="185"/>
      <c r="Q113" s="173"/>
    </row>
    <row r="114" spans="8:17" x14ac:dyDescent="0.15">
      <c r="H114" s="187"/>
      <c r="I114" s="187"/>
      <c r="J114" s="187"/>
      <c r="K114" s="185"/>
      <c r="Q114" s="173"/>
    </row>
    <row r="115" spans="8:17" x14ac:dyDescent="0.15">
      <c r="H115" s="187"/>
      <c r="I115" s="187"/>
      <c r="J115" s="187"/>
      <c r="K115" s="185"/>
      <c r="Q115" s="173"/>
    </row>
    <row r="116" spans="8:17" x14ac:dyDescent="0.15">
      <c r="H116" s="187"/>
      <c r="I116" s="187"/>
      <c r="J116" s="187"/>
      <c r="K116" s="185"/>
      <c r="Q116" s="173"/>
    </row>
    <row r="117" spans="8:17" x14ac:dyDescent="0.15">
      <c r="H117" s="187"/>
      <c r="I117" s="187"/>
      <c r="J117" s="187"/>
      <c r="K117" s="185"/>
      <c r="Q117" s="173"/>
    </row>
    <row r="118" spans="8:17" x14ac:dyDescent="0.15">
      <c r="H118" s="187"/>
      <c r="I118" s="187"/>
      <c r="J118" s="187"/>
      <c r="K118" s="185"/>
      <c r="Q118" s="173"/>
    </row>
    <row r="119" spans="8:17" x14ac:dyDescent="0.15">
      <c r="H119" s="187"/>
      <c r="I119" s="187"/>
      <c r="J119" s="187"/>
      <c r="K119" s="185"/>
      <c r="Q119" s="173"/>
    </row>
    <row r="120" spans="8:17" x14ac:dyDescent="0.15">
      <c r="H120" s="187"/>
      <c r="I120" s="187"/>
      <c r="J120" s="187"/>
      <c r="K120" s="185"/>
      <c r="Q120" s="173"/>
    </row>
    <row r="121" spans="8:17" x14ac:dyDescent="0.15">
      <c r="H121" s="187"/>
      <c r="I121" s="187"/>
      <c r="J121" s="187"/>
      <c r="K121" s="185"/>
      <c r="Q121" s="173"/>
    </row>
    <row r="122" spans="8:17" x14ac:dyDescent="0.15">
      <c r="H122" s="187"/>
      <c r="I122" s="187"/>
      <c r="J122" s="187"/>
      <c r="K122" s="185"/>
      <c r="Q122" s="173"/>
    </row>
    <row r="123" spans="8:17" x14ac:dyDescent="0.15">
      <c r="H123" s="187"/>
      <c r="I123" s="187"/>
      <c r="J123" s="187"/>
      <c r="K123" s="185"/>
      <c r="Q123" s="173"/>
    </row>
    <row r="124" spans="8:17" x14ac:dyDescent="0.15">
      <c r="H124" s="187"/>
      <c r="I124" s="187"/>
      <c r="J124" s="187"/>
      <c r="K124" s="185"/>
      <c r="Q124" s="173"/>
    </row>
    <row r="125" spans="8:17" x14ac:dyDescent="0.15">
      <c r="H125" s="187"/>
      <c r="I125" s="187"/>
      <c r="J125" s="187"/>
      <c r="K125" s="185"/>
      <c r="Q125" s="173"/>
    </row>
    <row r="126" spans="8:17" x14ac:dyDescent="0.15">
      <c r="H126" s="187"/>
      <c r="I126" s="187"/>
      <c r="J126" s="187"/>
      <c r="K126" s="185"/>
      <c r="Q126" s="173"/>
    </row>
    <row r="127" spans="8:17" x14ac:dyDescent="0.15">
      <c r="H127" s="187"/>
      <c r="I127" s="187"/>
      <c r="J127" s="187"/>
      <c r="K127" s="185"/>
      <c r="Q127" s="173"/>
    </row>
    <row r="128" spans="8:17" x14ac:dyDescent="0.15">
      <c r="H128" s="187"/>
      <c r="I128" s="187"/>
      <c r="J128" s="187"/>
      <c r="K128" s="185"/>
      <c r="Q128" s="173"/>
    </row>
    <row r="129" spans="8:17" x14ac:dyDescent="0.15">
      <c r="H129" s="187"/>
      <c r="I129" s="187"/>
      <c r="J129" s="187"/>
      <c r="K129" s="185"/>
      <c r="Q129" s="173"/>
    </row>
    <row r="130" spans="8:17" x14ac:dyDescent="0.15">
      <c r="H130" s="187"/>
      <c r="I130" s="187"/>
      <c r="J130" s="187"/>
      <c r="K130" s="185"/>
      <c r="Q130" s="173"/>
    </row>
    <row r="131" spans="8:17" x14ac:dyDescent="0.15">
      <c r="H131" s="187"/>
      <c r="I131" s="187"/>
      <c r="J131" s="187"/>
      <c r="K131" s="185"/>
      <c r="Q131" s="173"/>
    </row>
    <row r="132" spans="8:17" x14ac:dyDescent="0.15">
      <c r="H132" s="187"/>
      <c r="I132" s="187"/>
      <c r="J132" s="187"/>
      <c r="K132" s="185"/>
      <c r="Q132" s="173"/>
    </row>
    <row r="133" spans="8:17" x14ac:dyDescent="0.15">
      <c r="H133" s="187"/>
      <c r="I133" s="187"/>
      <c r="J133" s="187"/>
      <c r="K133" s="185"/>
      <c r="Q133" s="173"/>
    </row>
    <row r="134" spans="8:17" x14ac:dyDescent="0.15">
      <c r="H134" s="187"/>
      <c r="I134" s="187"/>
      <c r="J134" s="187"/>
      <c r="K134" s="185"/>
      <c r="Q134" s="173"/>
    </row>
    <row r="135" spans="8:17" x14ac:dyDescent="0.15">
      <c r="H135" s="187"/>
      <c r="I135" s="187"/>
      <c r="J135" s="187"/>
      <c r="K135" s="185"/>
      <c r="Q135" s="173"/>
    </row>
    <row r="136" spans="8:17" x14ac:dyDescent="0.15">
      <c r="H136" s="187"/>
      <c r="I136" s="187"/>
      <c r="J136" s="187"/>
      <c r="K136" s="185"/>
      <c r="Q136" s="173"/>
    </row>
    <row r="137" spans="8:17" x14ac:dyDescent="0.15">
      <c r="H137" s="187"/>
      <c r="I137" s="187"/>
      <c r="J137" s="187"/>
      <c r="K137" s="185"/>
      <c r="Q137" s="173"/>
    </row>
    <row r="138" spans="8:17" x14ac:dyDescent="0.15">
      <c r="H138" s="187"/>
      <c r="I138" s="187"/>
      <c r="J138" s="187"/>
      <c r="K138" s="185"/>
      <c r="Q138" s="173"/>
    </row>
    <row r="139" spans="8:17" x14ac:dyDescent="0.15">
      <c r="H139" s="187"/>
      <c r="I139" s="187"/>
      <c r="J139" s="187"/>
      <c r="K139" s="185"/>
      <c r="Q139" s="173"/>
    </row>
    <row r="140" spans="8:17" x14ac:dyDescent="0.15">
      <c r="H140" s="187"/>
      <c r="I140" s="187"/>
      <c r="J140" s="187"/>
      <c r="K140" s="185"/>
      <c r="Q140" s="173"/>
    </row>
    <row r="141" spans="8:17" x14ac:dyDescent="0.15">
      <c r="H141" s="187"/>
      <c r="I141" s="187"/>
      <c r="J141" s="187"/>
      <c r="K141" s="185"/>
      <c r="Q141" s="173"/>
    </row>
    <row r="142" spans="8:17" x14ac:dyDescent="0.15">
      <c r="K142" s="185"/>
      <c r="Q142" s="173"/>
    </row>
    <row r="143" spans="8:17" x14ac:dyDescent="0.15">
      <c r="K143" s="185"/>
      <c r="Q143" s="173"/>
    </row>
    <row r="144" spans="8:17" x14ac:dyDescent="0.15">
      <c r="K144" s="185"/>
      <c r="Q144" s="173"/>
    </row>
    <row r="145" spans="11:17" x14ac:dyDescent="0.15">
      <c r="K145" s="185"/>
      <c r="Q145" s="173"/>
    </row>
    <row r="146" spans="11:17" x14ac:dyDescent="0.15">
      <c r="K146" s="185"/>
      <c r="Q146" s="173"/>
    </row>
    <row r="147" spans="11:17" x14ac:dyDescent="0.15">
      <c r="K147" s="185"/>
      <c r="Q147" s="173"/>
    </row>
    <row r="148" spans="11:17" x14ac:dyDescent="0.15">
      <c r="K148" s="185"/>
      <c r="Q148" s="173"/>
    </row>
    <row r="149" spans="11:17" x14ac:dyDescent="0.15">
      <c r="K149" s="185"/>
      <c r="Q149" s="173"/>
    </row>
    <row r="150" spans="11:17" x14ac:dyDescent="0.15">
      <c r="K150" s="185"/>
      <c r="Q150" s="173"/>
    </row>
    <row r="151" spans="11:17" x14ac:dyDescent="0.15">
      <c r="K151" s="185"/>
      <c r="Q151" s="173"/>
    </row>
    <row r="152" spans="11:17" x14ac:dyDescent="0.15">
      <c r="K152" s="185"/>
      <c r="Q152" s="173"/>
    </row>
    <row r="153" spans="11:17" x14ac:dyDescent="0.15">
      <c r="K153" s="185"/>
      <c r="Q153" s="173"/>
    </row>
    <row r="154" spans="11:17" x14ac:dyDescent="0.15">
      <c r="K154" s="185"/>
      <c r="Q154" s="173"/>
    </row>
    <row r="155" spans="11:17" x14ac:dyDescent="0.15">
      <c r="K155" s="185"/>
      <c r="Q155" s="173"/>
    </row>
    <row r="156" spans="11:17" x14ac:dyDescent="0.15">
      <c r="K156" s="185"/>
      <c r="Q156" s="173"/>
    </row>
    <row r="157" spans="11:17" x14ac:dyDescent="0.15">
      <c r="K157" s="185"/>
      <c r="Q157" s="173"/>
    </row>
    <row r="158" spans="11:17" x14ac:dyDescent="0.15">
      <c r="K158" s="185"/>
      <c r="Q158" s="173"/>
    </row>
    <row r="159" spans="11:17" x14ac:dyDescent="0.15">
      <c r="K159" s="185"/>
      <c r="Q159" s="173"/>
    </row>
    <row r="160" spans="11:17" x14ac:dyDescent="0.15">
      <c r="K160" s="185"/>
      <c r="Q160" s="173"/>
    </row>
    <row r="161" spans="11:17" x14ac:dyDescent="0.15">
      <c r="K161" s="185"/>
      <c r="Q161" s="173"/>
    </row>
    <row r="162" spans="11:17" x14ac:dyDescent="0.15">
      <c r="K162" s="185"/>
      <c r="Q162" s="173"/>
    </row>
    <row r="163" spans="11:17" x14ac:dyDescent="0.15">
      <c r="K163" s="185"/>
      <c r="Q163" s="173"/>
    </row>
    <row r="164" spans="11:17" x14ac:dyDescent="0.15">
      <c r="K164" s="185"/>
      <c r="Q164" s="173"/>
    </row>
    <row r="165" spans="11:17" x14ac:dyDescent="0.15">
      <c r="K165" s="185"/>
      <c r="Q165" s="173"/>
    </row>
    <row r="166" spans="11:17" x14ac:dyDescent="0.15">
      <c r="K166" s="185"/>
      <c r="Q166" s="173"/>
    </row>
    <row r="167" spans="11:17" x14ac:dyDescent="0.15">
      <c r="K167" s="185"/>
      <c r="Q167" s="173"/>
    </row>
    <row r="168" spans="11:17" x14ac:dyDescent="0.15">
      <c r="K168" s="185"/>
      <c r="Q168" s="173"/>
    </row>
    <row r="169" spans="11:17" x14ac:dyDescent="0.15">
      <c r="K169" s="185"/>
      <c r="Q169" s="173"/>
    </row>
    <row r="170" spans="11:17" x14ac:dyDescent="0.15">
      <c r="K170" s="185"/>
      <c r="Q170" s="173"/>
    </row>
    <row r="171" spans="11:17" x14ac:dyDescent="0.15">
      <c r="K171" s="185"/>
      <c r="Q171" s="173"/>
    </row>
    <row r="172" spans="11:17" x14ac:dyDescent="0.15">
      <c r="K172" s="185"/>
      <c r="Q172" s="173"/>
    </row>
    <row r="173" spans="11:17" x14ac:dyDescent="0.15">
      <c r="K173" s="185"/>
      <c r="Q173" s="173"/>
    </row>
    <row r="174" spans="11:17" x14ac:dyDescent="0.15">
      <c r="K174" s="185"/>
      <c r="Q174" s="173"/>
    </row>
    <row r="175" spans="11:17" x14ac:dyDescent="0.15">
      <c r="K175" s="185"/>
      <c r="Q175" s="173"/>
    </row>
    <row r="176" spans="11:17" x14ac:dyDescent="0.15">
      <c r="K176" s="185"/>
      <c r="Q176" s="173"/>
    </row>
    <row r="177" spans="11:17" x14ac:dyDescent="0.15">
      <c r="K177" s="185"/>
      <c r="Q177" s="173"/>
    </row>
    <row r="178" spans="11:17" x14ac:dyDescent="0.15">
      <c r="K178" s="185"/>
      <c r="Q178" s="173"/>
    </row>
    <row r="179" spans="11:17" x14ac:dyDescent="0.15">
      <c r="K179" s="185"/>
      <c r="Q179" s="173"/>
    </row>
    <row r="180" spans="11:17" x14ac:dyDescent="0.15">
      <c r="K180" s="185"/>
      <c r="Q180" s="173"/>
    </row>
    <row r="181" spans="11:17" x14ac:dyDescent="0.15">
      <c r="K181" s="185"/>
      <c r="Q181" s="173"/>
    </row>
    <row r="182" spans="11:17" x14ac:dyDescent="0.15">
      <c r="K182" s="185"/>
      <c r="Q182" s="173"/>
    </row>
    <row r="183" spans="11:17" x14ac:dyDescent="0.15">
      <c r="K183" s="185"/>
      <c r="Q183" s="173"/>
    </row>
    <row r="184" spans="11:17" x14ac:dyDescent="0.15">
      <c r="K184" s="185"/>
      <c r="Q184" s="173"/>
    </row>
    <row r="185" spans="11:17" x14ac:dyDescent="0.15">
      <c r="K185" s="185"/>
      <c r="Q185" s="173"/>
    </row>
    <row r="186" spans="11:17" x14ac:dyDescent="0.15">
      <c r="K186" s="185"/>
      <c r="Q186" s="173"/>
    </row>
    <row r="187" spans="11:17" x14ac:dyDescent="0.15">
      <c r="K187" s="185"/>
      <c r="Q187" s="173"/>
    </row>
    <row r="188" spans="11:17" x14ac:dyDescent="0.15">
      <c r="K188" s="185"/>
      <c r="Q188" s="173"/>
    </row>
    <row r="189" spans="11:17" x14ac:dyDescent="0.15">
      <c r="K189" s="185"/>
      <c r="Q189" s="173"/>
    </row>
    <row r="190" spans="11:17" x14ac:dyDescent="0.15">
      <c r="K190" s="185"/>
      <c r="Q190" s="173"/>
    </row>
    <row r="191" spans="11:17" x14ac:dyDescent="0.15">
      <c r="K191" s="185"/>
      <c r="Q191" s="173"/>
    </row>
    <row r="192" spans="11:17" x14ac:dyDescent="0.15">
      <c r="K192" s="185"/>
      <c r="Q192" s="173"/>
    </row>
    <row r="193" spans="11:17" x14ac:dyDescent="0.15">
      <c r="K193" s="185"/>
      <c r="Q193" s="173"/>
    </row>
    <row r="194" spans="11:17" x14ac:dyDescent="0.15">
      <c r="K194" s="185"/>
      <c r="Q194" s="173"/>
    </row>
    <row r="195" spans="11:17" x14ac:dyDescent="0.15">
      <c r="K195" s="185"/>
      <c r="Q195" s="173"/>
    </row>
    <row r="196" spans="11:17" x14ac:dyDescent="0.15">
      <c r="K196" s="185"/>
      <c r="Q196" s="173"/>
    </row>
    <row r="197" spans="11:17" x14ac:dyDescent="0.15">
      <c r="K197" s="185"/>
      <c r="Q197" s="173"/>
    </row>
    <row r="198" spans="11:17" x14ac:dyDescent="0.15">
      <c r="K198" s="185"/>
      <c r="Q198" s="173"/>
    </row>
    <row r="199" spans="11:17" x14ac:dyDescent="0.15">
      <c r="K199" s="185"/>
      <c r="Q199" s="173"/>
    </row>
    <row r="200" spans="11:17" x14ac:dyDescent="0.15">
      <c r="K200" s="185"/>
      <c r="Q200" s="173"/>
    </row>
    <row r="201" spans="11:17" x14ac:dyDescent="0.15">
      <c r="K201" s="185"/>
      <c r="Q201" s="173"/>
    </row>
    <row r="202" spans="11:17" x14ac:dyDescent="0.15">
      <c r="K202" s="185"/>
      <c r="Q202" s="173"/>
    </row>
    <row r="203" spans="11:17" x14ac:dyDescent="0.15">
      <c r="K203" s="185"/>
      <c r="Q203" s="173"/>
    </row>
    <row r="204" spans="11:17" x14ac:dyDescent="0.15">
      <c r="K204" s="185"/>
      <c r="Q204" s="173"/>
    </row>
    <row r="205" spans="11:17" x14ac:dyDescent="0.15">
      <c r="K205" s="185"/>
      <c r="Q205" s="173"/>
    </row>
    <row r="206" spans="11:17" x14ac:dyDescent="0.15">
      <c r="K206" s="185"/>
      <c r="Q206" s="173"/>
    </row>
    <row r="207" spans="11:17" x14ac:dyDescent="0.15">
      <c r="K207" s="185"/>
      <c r="Q207" s="173"/>
    </row>
    <row r="208" spans="11:17" x14ac:dyDescent="0.15">
      <c r="K208" s="185"/>
      <c r="Q208" s="173"/>
    </row>
    <row r="209" spans="11:17" x14ac:dyDescent="0.15">
      <c r="K209" s="185"/>
      <c r="Q209" s="173"/>
    </row>
    <row r="210" spans="11:17" x14ac:dyDescent="0.15">
      <c r="K210" s="185"/>
      <c r="Q210" s="173"/>
    </row>
    <row r="211" spans="11:17" x14ac:dyDescent="0.15">
      <c r="K211" s="185"/>
      <c r="Q211" s="173"/>
    </row>
    <row r="212" spans="11:17" x14ac:dyDescent="0.15">
      <c r="K212" s="185"/>
      <c r="Q212" s="173"/>
    </row>
    <row r="213" spans="11:17" x14ac:dyDescent="0.15">
      <c r="K213" s="185"/>
      <c r="Q213" s="173"/>
    </row>
    <row r="214" spans="11:17" x14ac:dyDescent="0.15">
      <c r="K214" s="185"/>
      <c r="Q214" s="173"/>
    </row>
    <row r="215" spans="11:17" x14ac:dyDescent="0.15">
      <c r="K215" s="185"/>
      <c r="Q215" s="173"/>
    </row>
    <row r="216" spans="11:17" x14ac:dyDescent="0.15">
      <c r="K216" s="185"/>
      <c r="Q216" s="173"/>
    </row>
    <row r="217" spans="11:17" x14ac:dyDescent="0.15">
      <c r="K217" s="185"/>
      <c r="Q217" s="173"/>
    </row>
    <row r="218" spans="11:17" x14ac:dyDescent="0.15">
      <c r="K218" s="185"/>
      <c r="Q218" s="173"/>
    </row>
    <row r="219" spans="11:17" x14ac:dyDescent="0.15">
      <c r="K219" s="185"/>
      <c r="Q219" s="173"/>
    </row>
    <row r="220" spans="11:17" x14ac:dyDescent="0.15">
      <c r="K220" s="185"/>
      <c r="Q220" s="173"/>
    </row>
    <row r="221" spans="11:17" x14ac:dyDescent="0.15">
      <c r="K221" s="185"/>
      <c r="Q221" s="173"/>
    </row>
    <row r="222" spans="11:17" x14ac:dyDescent="0.15">
      <c r="K222" s="185"/>
      <c r="Q222" s="173"/>
    </row>
    <row r="223" spans="11:17" x14ac:dyDescent="0.15">
      <c r="K223" s="185"/>
      <c r="Q223" s="173"/>
    </row>
    <row r="224" spans="11:17" x14ac:dyDescent="0.15">
      <c r="K224" s="185"/>
      <c r="Q224" s="173"/>
    </row>
    <row r="225" spans="11:17" x14ac:dyDescent="0.15">
      <c r="K225" s="185"/>
      <c r="Q225" s="173"/>
    </row>
    <row r="226" spans="11:17" x14ac:dyDescent="0.15">
      <c r="K226" s="185"/>
      <c r="Q226" s="173"/>
    </row>
    <row r="227" spans="11:17" x14ac:dyDescent="0.15">
      <c r="K227" s="185"/>
      <c r="Q227" s="173"/>
    </row>
    <row r="228" spans="11:17" x14ac:dyDescent="0.15">
      <c r="K228" s="185"/>
      <c r="Q228" s="173"/>
    </row>
    <row r="229" spans="11:17" x14ac:dyDescent="0.15">
      <c r="K229" s="185"/>
      <c r="Q229" s="173"/>
    </row>
    <row r="230" spans="11:17" x14ac:dyDescent="0.15">
      <c r="K230" s="185"/>
      <c r="Q230" s="173"/>
    </row>
    <row r="231" spans="11:17" x14ac:dyDescent="0.15">
      <c r="K231" s="185"/>
      <c r="Q231" s="173"/>
    </row>
    <row r="232" spans="11:17" x14ac:dyDescent="0.15">
      <c r="K232" s="185"/>
      <c r="Q232" s="173"/>
    </row>
    <row r="233" spans="11:17" x14ac:dyDescent="0.15">
      <c r="K233" s="185"/>
      <c r="Q233" s="173"/>
    </row>
    <row r="234" spans="11:17" x14ac:dyDescent="0.15">
      <c r="K234" s="185"/>
      <c r="Q234" s="173"/>
    </row>
    <row r="235" spans="11:17" x14ac:dyDescent="0.15">
      <c r="K235" s="185"/>
      <c r="Q235" s="173"/>
    </row>
    <row r="236" spans="11:17" x14ac:dyDescent="0.15">
      <c r="K236" s="185"/>
      <c r="Q236" s="173"/>
    </row>
    <row r="237" spans="11:17" x14ac:dyDescent="0.15">
      <c r="K237" s="185"/>
      <c r="Q237" s="173"/>
    </row>
    <row r="238" spans="11:17" x14ac:dyDescent="0.15">
      <c r="K238" s="185"/>
      <c r="Q238" s="173"/>
    </row>
    <row r="239" spans="11:17" x14ac:dyDescent="0.15">
      <c r="K239" s="185"/>
      <c r="Q239" s="173"/>
    </row>
    <row r="240" spans="11:17" x14ac:dyDescent="0.15">
      <c r="K240" s="185"/>
      <c r="Q240" s="173"/>
    </row>
    <row r="241" spans="11:17" x14ac:dyDescent="0.15">
      <c r="K241" s="185"/>
      <c r="Q241" s="173"/>
    </row>
    <row r="242" spans="11:17" x14ac:dyDescent="0.15">
      <c r="K242" s="185"/>
      <c r="Q242" s="173"/>
    </row>
    <row r="243" spans="11:17" x14ac:dyDescent="0.15">
      <c r="K243" s="185"/>
      <c r="Q243" s="173"/>
    </row>
    <row r="244" spans="11:17" x14ac:dyDescent="0.15">
      <c r="K244" s="185"/>
      <c r="Q244" s="173"/>
    </row>
    <row r="245" spans="11:17" x14ac:dyDescent="0.15">
      <c r="K245" s="185"/>
      <c r="Q245" s="173"/>
    </row>
    <row r="246" spans="11:17" x14ac:dyDescent="0.15">
      <c r="K246" s="185"/>
      <c r="Q246" s="173"/>
    </row>
    <row r="247" spans="11:17" x14ac:dyDescent="0.15">
      <c r="K247" s="185"/>
      <c r="Q247" s="173"/>
    </row>
    <row r="248" spans="11:17" x14ac:dyDescent="0.15">
      <c r="K248" s="185"/>
      <c r="Q248" s="173"/>
    </row>
    <row r="249" spans="11:17" x14ac:dyDescent="0.15">
      <c r="K249" s="185"/>
      <c r="Q249" s="173"/>
    </row>
    <row r="250" spans="11:17" x14ac:dyDescent="0.15">
      <c r="K250" s="185"/>
      <c r="Q250" s="173"/>
    </row>
    <row r="251" spans="11:17" x14ac:dyDescent="0.15">
      <c r="K251" s="185"/>
      <c r="Q251" s="173"/>
    </row>
    <row r="252" spans="11:17" x14ac:dyDescent="0.15">
      <c r="K252" s="185"/>
      <c r="Q252" s="173"/>
    </row>
    <row r="253" spans="11:17" x14ac:dyDescent="0.15">
      <c r="K253" s="185"/>
      <c r="Q253" s="173"/>
    </row>
    <row r="254" spans="11:17" x14ac:dyDescent="0.15">
      <c r="K254" s="185"/>
      <c r="Q254" s="173"/>
    </row>
    <row r="255" spans="11:17" x14ac:dyDescent="0.15">
      <c r="K255" s="185"/>
      <c r="Q255" s="173"/>
    </row>
    <row r="256" spans="11:17" x14ac:dyDescent="0.15">
      <c r="K256" s="185"/>
      <c r="Q256" s="173"/>
    </row>
    <row r="257" spans="11:17" x14ac:dyDescent="0.15">
      <c r="K257" s="185"/>
      <c r="Q257" s="173"/>
    </row>
    <row r="258" spans="11:17" x14ac:dyDescent="0.15">
      <c r="K258" s="185"/>
      <c r="Q258" s="173"/>
    </row>
    <row r="259" spans="11:17" x14ac:dyDescent="0.15">
      <c r="K259" s="185"/>
      <c r="Q259" s="173"/>
    </row>
    <row r="260" spans="11:17" x14ac:dyDescent="0.15">
      <c r="K260" s="185"/>
      <c r="Q260" s="173"/>
    </row>
    <row r="261" spans="11:17" x14ac:dyDescent="0.15">
      <c r="K261" s="185"/>
      <c r="Q261" s="173"/>
    </row>
    <row r="262" spans="11:17" x14ac:dyDescent="0.15">
      <c r="K262" s="185"/>
      <c r="Q262" s="173"/>
    </row>
    <row r="263" spans="11:17" x14ac:dyDescent="0.15">
      <c r="K263" s="185"/>
      <c r="Q263" s="173"/>
    </row>
    <row r="264" spans="11:17" x14ac:dyDescent="0.15">
      <c r="K264" s="185"/>
      <c r="Q264" s="173"/>
    </row>
    <row r="265" spans="11:17" x14ac:dyDescent="0.15">
      <c r="K265" s="185"/>
      <c r="Q265" s="173"/>
    </row>
    <row r="266" spans="11:17" x14ac:dyDescent="0.15">
      <c r="K266" s="185"/>
      <c r="Q266" s="173"/>
    </row>
    <row r="267" spans="11:17" x14ac:dyDescent="0.15">
      <c r="K267" s="185"/>
      <c r="Q267" s="173"/>
    </row>
    <row r="268" spans="11:17" x14ac:dyDescent="0.15">
      <c r="K268" s="185"/>
      <c r="Q268" s="173"/>
    </row>
    <row r="269" spans="11:17" x14ac:dyDescent="0.15">
      <c r="K269" s="185"/>
      <c r="Q269" s="173"/>
    </row>
    <row r="270" spans="11:17" x14ac:dyDescent="0.15">
      <c r="K270" s="185"/>
      <c r="Q270" s="173"/>
    </row>
    <row r="271" spans="11:17" x14ac:dyDescent="0.15">
      <c r="K271" s="185"/>
      <c r="Q271" s="173"/>
    </row>
    <row r="272" spans="11:17" x14ac:dyDescent="0.15">
      <c r="K272" s="185"/>
      <c r="Q272" s="173"/>
    </row>
    <row r="273" spans="11:17" x14ac:dyDescent="0.15">
      <c r="K273" s="185"/>
      <c r="Q273" s="173"/>
    </row>
    <row r="274" spans="11:17" x14ac:dyDescent="0.15">
      <c r="K274" s="185"/>
      <c r="Q274" s="173"/>
    </row>
    <row r="275" spans="11:17" x14ac:dyDescent="0.15">
      <c r="K275" s="185"/>
      <c r="Q275" s="173"/>
    </row>
    <row r="276" spans="11:17" x14ac:dyDescent="0.15">
      <c r="K276" s="185"/>
      <c r="Q276" s="173"/>
    </row>
    <row r="277" spans="11:17" x14ac:dyDescent="0.15">
      <c r="K277" s="185"/>
      <c r="Q277" s="173"/>
    </row>
    <row r="278" spans="11:17" x14ac:dyDescent="0.15">
      <c r="K278" s="185"/>
      <c r="Q278" s="173"/>
    </row>
    <row r="279" spans="11:17" x14ac:dyDescent="0.15">
      <c r="K279" s="185"/>
      <c r="Q279" s="173"/>
    </row>
    <row r="280" spans="11:17" x14ac:dyDescent="0.15">
      <c r="K280" s="185"/>
      <c r="Q280" s="173"/>
    </row>
    <row r="281" spans="11:17" x14ac:dyDescent="0.15">
      <c r="K281" s="185"/>
      <c r="Q281" s="173"/>
    </row>
    <row r="282" spans="11:17" x14ac:dyDescent="0.15">
      <c r="K282" s="185"/>
      <c r="Q282" s="173"/>
    </row>
    <row r="283" spans="11:17" x14ac:dyDescent="0.15">
      <c r="K283" s="185"/>
      <c r="Q283" s="173"/>
    </row>
    <row r="284" spans="11:17" x14ac:dyDescent="0.15">
      <c r="K284" s="185"/>
      <c r="Q284" s="173"/>
    </row>
    <row r="285" spans="11:17" x14ac:dyDescent="0.15">
      <c r="K285" s="185"/>
      <c r="Q285" s="173"/>
    </row>
    <row r="286" spans="11:17" x14ac:dyDescent="0.15">
      <c r="K286" s="185"/>
      <c r="Q286" s="173"/>
    </row>
    <row r="287" spans="11:17" x14ac:dyDescent="0.15">
      <c r="K287" s="185"/>
      <c r="Q287" s="173"/>
    </row>
    <row r="288" spans="11:17" x14ac:dyDescent="0.15">
      <c r="K288" s="185"/>
      <c r="Q288" s="173"/>
    </row>
    <row r="289" spans="11:17" x14ac:dyDescent="0.15">
      <c r="K289" s="185"/>
      <c r="Q289" s="173"/>
    </row>
    <row r="290" spans="11:17" x14ac:dyDescent="0.15">
      <c r="K290" s="185"/>
      <c r="Q290" s="173"/>
    </row>
    <row r="291" spans="11:17" x14ac:dyDescent="0.15">
      <c r="K291" s="185"/>
      <c r="Q291" s="173"/>
    </row>
    <row r="292" spans="11:17" x14ac:dyDescent="0.15">
      <c r="K292" s="185"/>
    </row>
    <row r="293" spans="11:17" x14ac:dyDescent="0.15">
      <c r="K293" s="185"/>
    </row>
    <row r="294" spans="11:17" x14ac:dyDescent="0.15">
      <c r="K294" s="185"/>
    </row>
    <row r="295" spans="11:17" x14ac:dyDescent="0.15">
      <c r="K295" s="185"/>
    </row>
    <row r="296" spans="11:17" x14ac:dyDescent="0.15">
      <c r="K296" s="185"/>
    </row>
    <row r="297" spans="11:17" x14ac:dyDescent="0.15">
      <c r="K297" s="185"/>
    </row>
    <row r="298" spans="11:17" x14ac:dyDescent="0.15">
      <c r="K298" s="185"/>
    </row>
    <row r="299" spans="11:17" x14ac:dyDescent="0.15">
      <c r="K299" s="185"/>
    </row>
    <row r="300" spans="11:17" x14ac:dyDescent="0.15">
      <c r="K300" s="185"/>
    </row>
    <row r="301" spans="11:17" x14ac:dyDescent="0.15">
      <c r="K301" s="185"/>
    </row>
    <row r="302" spans="11:17" x14ac:dyDescent="0.15">
      <c r="K302" s="185"/>
    </row>
    <row r="303" spans="11:17" x14ac:dyDescent="0.15">
      <c r="K303" s="185"/>
    </row>
    <row r="304" spans="11:17" x14ac:dyDescent="0.15">
      <c r="K304" s="185"/>
    </row>
    <row r="305" spans="11:11" x14ac:dyDescent="0.15">
      <c r="K305" s="185"/>
    </row>
    <row r="306" spans="11:11" x14ac:dyDescent="0.15">
      <c r="K306" s="185"/>
    </row>
    <row r="307" spans="11:11" x14ac:dyDescent="0.15">
      <c r="K307" s="185"/>
    </row>
    <row r="308" spans="11:11" x14ac:dyDescent="0.15">
      <c r="K308" s="185"/>
    </row>
    <row r="309" spans="11:11" x14ac:dyDescent="0.15">
      <c r="K309" s="185"/>
    </row>
    <row r="310" spans="11:11" x14ac:dyDescent="0.15">
      <c r="K310" s="185"/>
    </row>
    <row r="311" spans="11:11" x14ac:dyDescent="0.15">
      <c r="K311" s="185"/>
    </row>
    <row r="312" spans="11:11" x14ac:dyDescent="0.15">
      <c r="K312" s="185"/>
    </row>
    <row r="313" spans="11:11" x14ac:dyDescent="0.15">
      <c r="K313" s="185"/>
    </row>
    <row r="314" spans="11:11" x14ac:dyDescent="0.15">
      <c r="K314" s="185"/>
    </row>
    <row r="315" spans="11:11" x14ac:dyDescent="0.15">
      <c r="K315" s="185"/>
    </row>
    <row r="316" spans="11:11" x14ac:dyDescent="0.15">
      <c r="K316" s="185"/>
    </row>
    <row r="317" spans="11:11" x14ac:dyDescent="0.15">
      <c r="K317" s="185"/>
    </row>
    <row r="318" spans="11:11" x14ac:dyDescent="0.15">
      <c r="K318" s="185"/>
    </row>
    <row r="319" spans="11:11" x14ac:dyDescent="0.15">
      <c r="K319" s="185"/>
    </row>
    <row r="320" spans="11:11" x14ac:dyDescent="0.15">
      <c r="K320" s="185"/>
    </row>
    <row r="321" spans="11:11" x14ac:dyDescent="0.15">
      <c r="K321" s="185"/>
    </row>
    <row r="322" spans="11:11" x14ac:dyDescent="0.15">
      <c r="K322" s="185"/>
    </row>
    <row r="323" spans="11:11" x14ac:dyDescent="0.15">
      <c r="K323" s="185"/>
    </row>
    <row r="324" spans="11:11" x14ac:dyDescent="0.15">
      <c r="K324" s="185"/>
    </row>
    <row r="325" spans="11:11" x14ac:dyDescent="0.15">
      <c r="K325" s="185"/>
    </row>
    <row r="326" spans="11:11" x14ac:dyDescent="0.15">
      <c r="K326" s="185"/>
    </row>
    <row r="327" spans="11:11" x14ac:dyDescent="0.15">
      <c r="K327" s="185"/>
    </row>
    <row r="328" spans="11:11" x14ac:dyDescent="0.15">
      <c r="K328" s="185"/>
    </row>
    <row r="329" spans="11:11" x14ac:dyDescent="0.15">
      <c r="K329" s="185"/>
    </row>
    <row r="330" spans="11:11" x14ac:dyDescent="0.15">
      <c r="K330" s="185"/>
    </row>
    <row r="331" spans="11:11" x14ac:dyDescent="0.15">
      <c r="K331" s="185"/>
    </row>
    <row r="332" spans="11:11" x14ac:dyDescent="0.15">
      <c r="K332" s="185"/>
    </row>
    <row r="333" spans="11:11" x14ac:dyDescent="0.15">
      <c r="K333" s="185"/>
    </row>
    <row r="334" spans="11:11" x14ac:dyDescent="0.15">
      <c r="K334" s="185"/>
    </row>
    <row r="335" spans="11:11" x14ac:dyDescent="0.15">
      <c r="K335" s="185"/>
    </row>
    <row r="336" spans="11:11" x14ac:dyDescent="0.15">
      <c r="K336" s="185"/>
    </row>
    <row r="337" spans="11:11" x14ac:dyDescent="0.15">
      <c r="K337" s="185"/>
    </row>
    <row r="338" spans="11:11" x14ac:dyDescent="0.15">
      <c r="K338" s="185"/>
    </row>
    <row r="339" spans="11:11" x14ac:dyDescent="0.15">
      <c r="K339" s="185"/>
    </row>
    <row r="340" spans="11:11" x14ac:dyDescent="0.15">
      <c r="K340" s="185"/>
    </row>
    <row r="341" spans="11:11" x14ac:dyDescent="0.15">
      <c r="K341" s="185"/>
    </row>
    <row r="342" spans="11:11" x14ac:dyDescent="0.15">
      <c r="K342" s="185"/>
    </row>
    <row r="343" spans="11:11" x14ac:dyDescent="0.15">
      <c r="K343" s="185"/>
    </row>
    <row r="344" spans="11:11" x14ac:dyDescent="0.15">
      <c r="K344" s="185"/>
    </row>
    <row r="345" spans="11:11" x14ac:dyDescent="0.15">
      <c r="K345" s="185"/>
    </row>
    <row r="346" spans="11:11" x14ac:dyDescent="0.15">
      <c r="K346" s="185"/>
    </row>
    <row r="347" spans="11:11" x14ac:dyDescent="0.15">
      <c r="K347" s="185"/>
    </row>
    <row r="348" spans="11:11" x14ac:dyDescent="0.15">
      <c r="K348" s="185"/>
    </row>
    <row r="349" spans="11:11" x14ac:dyDescent="0.15">
      <c r="K349" s="185"/>
    </row>
    <row r="350" spans="11:11" x14ac:dyDescent="0.15">
      <c r="K350" s="185"/>
    </row>
    <row r="351" spans="11:11" x14ac:dyDescent="0.15">
      <c r="K351" s="185"/>
    </row>
    <row r="352" spans="11:11" x14ac:dyDescent="0.15">
      <c r="K352" s="185"/>
    </row>
    <row r="353" spans="11:11" x14ac:dyDescent="0.15">
      <c r="K353" s="185"/>
    </row>
    <row r="354" spans="11:11" x14ac:dyDescent="0.15">
      <c r="K354" s="185"/>
    </row>
    <row r="355" spans="11:11" x14ac:dyDescent="0.15">
      <c r="K355" s="185"/>
    </row>
    <row r="356" spans="11:11" x14ac:dyDescent="0.15">
      <c r="K356" s="185"/>
    </row>
    <row r="357" spans="11:11" x14ac:dyDescent="0.15">
      <c r="K357" s="185"/>
    </row>
    <row r="358" spans="11:11" x14ac:dyDescent="0.15">
      <c r="K358" s="185"/>
    </row>
    <row r="359" spans="11:11" x14ac:dyDescent="0.15">
      <c r="K359" s="185"/>
    </row>
    <row r="360" spans="11:11" x14ac:dyDescent="0.15">
      <c r="K360" s="185"/>
    </row>
    <row r="361" spans="11:11" x14ac:dyDescent="0.15">
      <c r="K361" s="185"/>
    </row>
    <row r="362" spans="11:11" x14ac:dyDescent="0.15">
      <c r="K362" s="185"/>
    </row>
    <row r="363" spans="11:11" x14ac:dyDescent="0.15">
      <c r="K363" s="185"/>
    </row>
    <row r="364" spans="11:11" x14ac:dyDescent="0.15">
      <c r="K364" s="185"/>
    </row>
    <row r="365" spans="11:11" x14ac:dyDescent="0.15">
      <c r="K365" s="185"/>
    </row>
    <row r="366" spans="11:11" x14ac:dyDescent="0.15">
      <c r="K366" s="185"/>
    </row>
    <row r="367" spans="11:11" x14ac:dyDescent="0.15">
      <c r="K367" s="185"/>
    </row>
    <row r="368" spans="11:11" x14ac:dyDescent="0.15">
      <c r="K368" s="185"/>
    </row>
    <row r="369" spans="11:11" x14ac:dyDescent="0.15">
      <c r="K369" s="185"/>
    </row>
    <row r="370" spans="11:11" x14ac:dyDescent="0.15">
      <c r="K370" s="185"/>
    </row>
    <row r="371" spans="11:11" x14ac:dyDescent="0.15">
      <c r="K371" s="185"/>
    </row>
    <row r="372" spans="11:11" x14ac:dyDescent="0.15">
      <c r="K372" s="185"/>
    </row>
    <row r="373" spans="11:11" x14ac:dyDescent="0.15">
      <c r="K373" s="185"/>
    </row>
    <row r="374" spans="11:11" x14ac:dyDescent="0.15">
      <c r="K374" s="185"/>
    </row>
    <row r="375" spans="11:11" x14ac:dyDescent="0.15">
      <c r="K375" s="185"/>
    </row>
    <row r="376" spans="11:11" x14ac:dyDescent="0.15">
      <c r="K376" s="185"/>
    </row>
    <row r="377" spans="11:11" x14ac:dyDescent="0.15">
      <c r="K377" s="185"/>
    </row>
    <row r="378" spans="11:11" x14ac:dyDescent="0.15">
      <c r="K378" s="185"/>
    </row>
    <row r="379" spans="11:11" x14ac:dyDescent="0.15">
      <c r="K379" s="185"/>
    </row>
    <row r="380" spans="11:11" x14ac:dyDescent="0.15">
      <c r="K380" s="185"/>
    </row>
    <row r="381" spans="11:11" x14ac:dyDescent="0.15">
      <c r="K381" s="185"/>
    </row>
    <row r="382" spans="11:11" x14ac:dyDescent="0.15">
      <c r="K382" s="185"/>
    </row>
    <row r="383" spans="11:11" x14ac:dyDescent="0.15">
      <c r="K383" s="185"/>
    </row>
    <row r="384" spans="11:11" x14ac:dyDescent="0.15">
      <c r="K384" s="185"/>
    </row>
    <row r="385" spans="11:11" x14ac:dyDescent="0.15">
      <c r="K385" s="185"/>
    </row>
    <row r="386" spans="11:11" x14ac:dyDescent="0.15">
      <c r="K386" s="185"/>
    </row>
    <row r="387" spans="11:11" x14ac:dyDescent="0.15">
      <c r="K387" s="185"/>
    </row>
    <row r="388" spans="11:11" x14ac:dyDescent="0.15">
      <c r="K388" s="185"/>
    </row>
    <row r="389" spans="11:11" x14ac:dyDescent="0.15">
      <c r="K389" s="185"/>
    </row>
    <row r="390" spans="11:11" x14ac:dyDescent="0.15">
      <c r="K390" s="185"/>
    </row>
    <row r="391" spans="11:11" x14ac:dyDescent="0.15">
      <c r="K391" s="185"/>
    </row>
    <row r="392" spans="11:11" x14ac:dyDescent="0.15">
      <c r="K392" s="185"/>
    </row>
    <row r="393" spans="11:11" x14ac:dyDescent="0.15">
      <c r="K393" s="185"/>
    </row>
    <row r="394" spans="11:11" x14ac:dyDescent="0.15">
      <c r="K394" s="185"/>
    </row>
    <row r="395" spans="11:11" x14ac:dyDescent="0.15">
      <c r="K395" s="185"/>
    </row>
    <row r="396" spans="11:11" x14ac:dyDescent="0.15">
      <c r="K396" s="185"/>
    </row>
    <row r="397" spans="11:11" x14ac:dyDescent="0.15">
      <c r="K397" s="185"/>
    </row>
    <row r="398" spans="11:11" x14ac:dyDescent="0.15">
      <c r="K398" s="185"/>
    </row>
    <row r="399" spans="11:11" x14ac:dyDescent="0.15">
      <c r="K399" s="185"/>
    </row>
    <row r="400" spans="11:11" x14ac:dyDescent="0.15">
      <c r="K400" s="185"/>
    </row>
    <row r="401" spans="11:11" x14ac:dyDescent="0.15">
      <c r="K401" s="185"/>
    </row>
    <row r="402" spans="11:11" x14ac:dyDescent="0.15">
      <c r="K402" s="185"/>
    </row>
    <row r="403" spans="11:11" x14ac:dyDescent="0.15">
      <c r="K403" s="185"/>
    </row>
    <row r="404" spans="11:11" x14ac:dyDescent="0.15">
      <c r="K404" s="185"/>
    </row>
    <row r="405" spans="11:11" x14ac:dyDescent="0.15">
      <c r="K405" s="185"/>
    </row>
    <row r="406" spans="11:11" x14ac:dyDescent="0.15">
      <c r="K406" s="185"/>
    </row>
    <row r="407" spans="11:11" x14ac:dyDescent="0.15">
      <c r="K407" s="185"/>
    </row>
    <row r="408" spans="11:11" x14ac:dyDescent="0.15">
      <c r="K408" s="185"/>
    </row>
    <row r="409" spans="11:11" x14ac:dyDescent="0.15">
      <c r="K409" s="185"/>
    </row>
    <row r="410" spans="11:11" x14ac:dyDescent="0.15">
      <c r="K410" s="185"/>
    </row>
    <row r="411" spans="11:11" x14ac:dyDescent="0.15">
      <c r="K411" s="185"/>
    </row>
    <row r="412" spans="11:11" x14ac:dyDescent="0.15">
      <c r="K412" s="185"/>
    </row>
    <row r="413" spans="11:11" x14ac:dyDescent="0.15">
      <c r="K413" s="185"/>
    </row>
    <row r="414" spans="11:11" x14ac:dyDescent="0.15">
      <c r="K414" s="185"/>
    </row>
    <row r="415" spans="11:11" x14ac:dyDescent="0.15">
      <c r="K415" s="185"/>
    </row>
    <row r="416" spans="11:11" x14ac:dyDescent="0.15">
      <c r="K416" s="185"/>
    </row>
    <row r="417" spans="11:11" x14ac:dyDescent="0.15">
      <c r="K417" s="185"/>
    </row>
    <row r="418" spans="11:11" x14ac:dyDescent="0.15">
      <c r="K418" s="185"/>
    </row>
    <row r="419" spans="11:11" x14ac:dyDescent="0.15">
      <c r="K419" s="185"/>
    </row>
    <row r="420" spans="11:11" x14ac:dyDescent="0.15">
      <c r="K420" s="185"/>
    </row>
    <row r="421" spans="11:11" x14ac:dyDescent="0.15">
      <c r="K421" s="185"/>
    </row>
    <row r="422" spans="11:11" x14ac:dyDescent="0.15">
      <c r="K422" s="185"/>
    </row>
    <row r="423" spans="11:11" x14ac:dyDescent="0.15">
      <c r="K423" s="185"/>
    </row>
    <row r="424" spans="11:11" x14ac:dyDescent="0.15">
      <c r="K424" s="185"/>
    </row>
    <row r="425" spans="11:11" x14ac:dyDescent="0.15">
      <c r="K425" s="185"/>
    </row>
    <row r="426" spans="11:11" x14ac:dyDescent="0.15">
      <c r="K426" s="185"/>
    </row>
    <row r="427" spans="11:11" x14ac:dyDescent="0.15">
      <c r="K427" s="185"/>
    </row>
    <row r="428" spans="11:11" x14ac:dyDescent="0.15">
      <c r="K428" s="185"/>
    </row>
    <row r="429" spans="11:11" x14ac:dyDescent="0.15">
      <c r="K429" s="185"/>
    </row>
    <row r="430" spans="11:11" x14ac:dyDescent="0.15">
      <c r="K430" s="185"/>
    </row>
    <row r="431" spans="11:11" x14ac:dyDescent="0.15">
      <c r="K431" s="185"/>
    </row>
    <row r="432" spans="11:11" x14ac:dyDescent="0.15">
      <c r="K432" s="185"/>
    </row>
    <row r="433" spans="11:11" x14ac:dyDescent="0.15">
      <c r="K433" s="185"/>
    </row>
    <row r="434" spans="11:11" x14ac:dyDescent="0.15">
      <c r="K434" s="185"/>
    </row>
    <row r="435" spans="11:11" x14ac:dyDescent="0.15">
      <c r="K435" s="185"/>
    </row>
    <row r="436" spans="11:11" x14ac:dyDescent="0.15">
      <c r="K436" s="185"/>
    </row>
    <row r="437" spans="11:11" x14ac:dyDescent="0.15">
      <c r="K437" s="185"/>
    </row>
    <row r="438" spans="11:11" x14ac:dyDescent="0.15">
      <c r="K438" s="185"/>
    </row>
    <row r="439" spans="11:11" x14ac:dyDescent="0.15">
      <c r="K439" s="185"/>
    </row>
    <row r="440" spans="11:11" x14ac:dyDescent="0.15">
      <c r="K440" s="185"/>
    </row>
    <row r="441" spans="11:11" x14ac:dyDescent="0.15">
      <c r="K441" s="185"/>
    </row>
    <row r="442" spans="11:11" x14ac:dyDescent="0.15">
      <c r="K442" s="185"/>
    </row>
    <row r="443" spans="11:11" x14ac:dyDescent="0.15">
      <c r="K443" s="185"/>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70" zoomScaleNormal="70" workbookViewId="0">
      <selection activeCell="G2" sqref="G2"/>
    </sheetView>
  </sheetViews>
  <sheetFormatPr defaultRowHeight="13.5" x14ac:dyDescent="0.15"/>
  <cols>
    <col min="1" max="3" width="9" style="140"/>
    <col min="4" max="4" width="10.5" style="140" bestFit="1" customWidth="1"/>
    <col min="5" max="5" width="10.875" style="140" bestFit="1" customWidth="1"/>
    <col min="6" max="6" width="18.875" style="140" bestFit="1" customWidth="1"/>
    <col min="7" max="9" width="9" style="140"/>
    <col min="10" max="10" width="9.25" style="140" customWidth="1"/>
    <col min="11" max="16" width="9" style="140"/>
    <col min="17" max="17" width="9" style="149"/>
    <col min="18" max="19" width="9" style="140"/>
    <col min="20" max="20" width="9" style="149"/>
    <col min="21" max="21" width="9" style="140"/>
    <col min="22" max="22" width="14.25" style="149" customWidth="1"/>
    <col min="23" max="23" width="9" style="140"/>
    <col min="24" max="24" width="9.625" style="140" customWidth="1"/>
    <col min="25" max="26" width="9" style="140"/>
    <col min="27" max="27" width="12.125" style="140" customWidth="1"/>
    <col min="28" max="32" width="9" style="140"/>
    <col min="33" max="33" width="15.125" style="140" bestFit="1" customWidth="1"/>
    <col min="34" max="34" width="19.625" style="140" bestFit="1" customWidth="1"/>
    <col min="35" max="16384" width="9" style="140"/>
  </cols>
  <sheetData>
    <row r="1" spans="1:53" ht="45" x14ac:dyDescent="0.15">
      <c r="A1" s="168" t="s">
        <v>0</v>
      </c>
      <c r="B1" s="134" t="s">
        <v>1</v>
      </c>
      <c r="C1" s="134" t="s">
        <v>523</v>
      </c>
      <c r="D1" s="135" t="s">
        <v>3</v>
      </c>
      <c r="E1" s="169" t="s">
        <v>4</v>
      </c>
      <c r="F1" s="169" t="s">
        <v>5</v>
      </c>
      <c r="G1" s="169" t="s">
        <v>6</v>
      </c>
      <c r="H1" s="169" t="s">
        <v>7</v>
      </c>
      <c r="I1" s="169" t="s">
        <v>8</v>
      </c>
      <c r="J1" s="169" t="s">
        <v>9</v>
      </c>
      <c r="K1" s="169" t="s">
        <v>10</v>
      </c>
      <c r="L1" s="135" t="s">
        <v>524</v>
      </c>
      <c r="M1" s="135" t="s">
        <v>12</v>
      </c>
      <c r="N1" s="135" t="s">
        <v>13</v>
      </c>
      <c r="O1" s="135" t="s">
        <v>525</v>
      </c>
      <c r="P1" s="135" t="s">
        <v>526</v>
      </c>
      <c r="Q1" s="136" t="s">
        <v>16</v>
      </c>
      <c r="R1" s="135" t="s">
        <v>527</v>
      </c>
      <c r="S1" s="135" t="s">
        <v>528</v>
      </c>
      <c r="T1" s="136" t="s">
        <v>19</v>
      </c>
      <c r="U1" s="137" t="s">
        <v>529</v>
      </c>
      <c r="V1" s="138" t="s">
        <v>20</v>
      </c>
      <c r="W1" s="135" t="s">
        <v>21</v>
      </c>
      <c r="X1" s="169" t="s">
        <v>22</v>
      </c>
      <c r="Y1" s="169" t="s">
        <v>23</v>
      </c>
      <c r="Z1" s="169" t="s">
        <v>530</v>
      </c>
      <c r="AA1" s="170" t="s">
        <v>25</v>
      </c>
      <c r="AB1" s="139" t="s">
        <v>531</v>
      </c>
      <c r="AE1" s="141" t="s">
        <v>0</v>
      </c>
      <c r="AF1" s="142"/>
      <c r="AG1" s="253" t="s">
        <v>4</v>
      </c>
      <c r="AH1" s="141" t="s">
        <v>5</v>
      </c>
      <c r="AI1" s="142"/>
      <c r="AJ1" s="141" t="s">
        <v>6</v>
      </c>
      <c r="AK1" s="142"/>
      <c r="AL1" s="143" t="s">
        <v>7</v>
      </c>
      <c r="AM1" s="142"/>
      <c r="AN1" s="143" t="s">
        <v>8</v>
      </c>
      <c r="AO1" s="142"/>
      <c r="AP1" s="143" t="s">
        <v>27</v>
      </c>
      <c r="AQ1" s="142"/>
      <c r="AR1" s="143" t="s">
        <v>10</v>
      </c>
      <c r="AS1" s="142"/>
      <c r="AT1" s="144" t="s">
        <v>28</v>
      </c>
      <c r="AU1" s="142"/>
      <c r="AV1" s="143" t="s">
        <v>29</v>
      </c>
      <c r="AX1" s="145" t="s">
        <v>532</v>
      </c>
      <c r="AY1" s="146" t="s">
        <v>533</v>
      </c>
      <c r="AZ1" s="146" t="s">
        <v>534</v>
      </c>
      <c r="BA1" s="147" t="s">
        <v>535</v>
      </c>
    </row>
    <row r="2" spans="1:53" s="148" customFormat="1" x14ac:dyDescent="0.15">
      <c r="A2" s="148" t="s">
        <v>34</v>
      </c>
      <c r="B2" s="140" t="s">
        <v>253</v>
      </c>
      <c r="C2" s="140">
        <v>2018</v>
      </c>
      <c r="D2" s="254" t="s">
        <v>536</v>
      </c>
      <c r="E2" s="165" t="s">
        <v>196</v>
      </c>
      <c r="F2" s="165" t="s">
        <v>537</v>
      </c>
      <c r="G2" s="148" t="s">
        <v>36</v>
      </c>
      <c r="H2" s="140" t="s">
        <v>155</v>
      </c>
      <c r="I2" s="148" t="s">
        <v>153</v>
      </c>
      <c r="J2" s="148" t="s">
        <v>38</v>
      </c>
      <c r="K2" s="148" t="s">
        <v>154</v>
      </c>
      <c r="L2" s="148">
        <v>1</v>
      </c>
      <c r="N2" s="148">
        <v>1</v>
      </c>
      <c r="O2" s="148">
        <v>0.75</v>
      </c>
      <c r="P2" s="148">
        <v>0.75</v>
      </c>
      <c r="Q2" s="173">
        <f t="shared" ref="Q2:Q82" si="0">IF(OR(O2="",P2=""),"",AVERAGE(O2,P2))</f>
        <v>0.75</v>
      </c>
      <c r="R2" s="148">
        <v>14.6</v>
      </c>
      <c r="S2" s="148">
        <v>125</v>
      </c>
      <c r="T2" s="149">
        <f t="shared" ref="T2:T103" si="1">IF(H2="","",IF(OR(H2="GREEN",H2="GK"),IF(S2&gt;=$AX$2,VLOOKUP(S2,$AX$2:$AY$9,2,1),""),IF(S2&gt;=$AZ$2,VLOOKUP(S2,$AZ$2:$BA$9,2,1),"")))</f>
        <v>30</v>
      </c>
      <c r="U2" s="148">
        <v>105</v>
      </c>
      <c r="V2" s="149">
        <f t="shared" ref="V2:V103" si="2">IF(OR(N2="",U2="",T2=""),"",U2/N2*T2)</f>
        <v>3150</v>
      </c>
      <c r="W2" s="148">
        <v>4</v>
      </c>
      <c r="X2" s="148" t="s">
        <v>39</v>
      </c>
      <c r="Y2" s="148" t="s">
        <v>84</v>
      </c>
      <c r="Z2" s="148" t="s">
        <v>90</v>
      </c>
      <c r="AA2" s="148" t="s">
        <v>50</v>
      </c>
      <c r="AB2" s="148" t="s">
        <v>255</v>
      </c>
      <c r="AE2" s="150" t="s">
        <v>35</v>
      </c>
      <c r="AG2" s="255" t="s">
        <v>518</v>
      </c>
      <c r="AH2" s="171" t="s">
        <v>538</v>
      </c>
      <c r="AJ2" s="151" t="s">
        <v>36</v>
      </c>
      <c r="AL2" s="151" t="s">
        <v>127</v>
      </c>
      <c r="AN2" s="151" t="s">
        <v>37</v>
      </c>
      <c r="AP2" s="151" t="s">
        <v>38</v>
      </c>
      <c r="AR2" s="151" t="s">
        <v>539</v>
      </c>
      <c r="AT2" s="151" t="s">
        <v>39</v>
      </c>
      <c r="AV2" s="204" t="s">
        <v>40</v>
      </c>
      <c r="AX2" s="152">
        <v>1</v>
      </c>
      <c r="AY2" s="153">
        <v>50</v>
      </c>
      <c r="AZ2" s="153">
        <v>1</v>
      </c>
      <c r="BA2" s="154">
        <v>50</v>
      </c>
    </row>
    <row r="3" spans="1:53" x14ac:dyDescent="0.15">
      <c r="A3" s="148" t="s">
        <v>34</v>
      </c>
      <c r="B3" s="140" t="s">
        <v>253</v>
      </c>
      <c r="C3" s="140">
        <v>2018</v>
      </c>
      <c r="D3" s="254" t="s">
        <v>536</v>
      </c>
      <c r="E3" s="165" t="s">
        <v>196</v>
      </c>
      <c r="F3" s="165" t="s">
        <v>537</v>
      </c>
      <c r="G3" s="148" t="s">
        <v>36</v>
      </c>
      <c r="H3" s="140" t="s">
        <v>155</v>
      </c>
      <c r="I3" s="148" t="s">
        <v>153</v>
      </c>
      <c r="J3" s="148" t="s">
        <v>38</v>
      </c>
      <c r="K3" s="148" t="s">
        <v>154</v>
      </c>
      <c r="L3" s="140">
        <v>2</v>
      </c>
      <c r="N3" s="140">
        <v>1</v>
      </c>
      <c r="O3" s="140">
        <v>0.65</v>
      </c>
      <c r="P3" s="140">
        <v>0.75</v>
      </c>
      <c r="Q3" s="173">
        <f t="shared" si="0"/>
        <v>0.7</v>
      </c>
      <c r="R3" s="140">
        <v>14.4</v>
      </c>
      <c r="S3" s="140">
        <v>130</v>
      </c>
      <c r="T3" s="149">
        <f t="shared" si="1"/>
        <v>30</v>
      </c>
      <c r="U3" s="140">
        <v>105</v>
      </c>
      <c r="V3" s="149">
        <f t="shared" si="2"/>
        <v>3150</v>
      </c>
      <c r="W3" s="148">
        <v>4</v>
      </c>
      <c r="X3" s="148" t="s">
        <v>39</v>
      </c>
      <c r="Y3" s="148" t="s">
        <v>84</v>
      </c>
      <c r="Z3" s="148" t="s">
        <v>90</v>
      </c>
      <c r="AA3" s="148" t="s">
        <v>50</v>
      </c>
      <c r="AB3" s="148" t="s">
        <v>255</v>
      </c>
      <c r="AC3" s="148"/>
      <c r="AE3" s="155" t="s">
        <v>41</v>
      </c>
      <c r="AG3" s="256" t="s">
        <v>540</v>
      </c>
      <c r="AH3" s="171" t="s">
        <v>541</v>
      </c>
      <c r="AJ3" s="156" t="s">
        <v>42</v>
      </c>
      <c r="AL3" s="156" t="s">
        <v>128</v>
      </c>
      <c r="AN3" s="156" t="s">
        <v>43</v>
      </c>
      <c r="AP3" s="156" t="s">
        <v>44</v>
      </c>
      <c r="AR3" s="166" t="s">
        <v>45</v>
      </c>
      <c r="AT3" s="156" t="s">
        <v>46</v>
      </c>
      <c r="AV3" s="156" t="s">
        <v>47</v>
      </c>
      <c r="AX3" s="157">
        <v>72</v>
      </c>
      <c r="AY3" s="158">
        <v>46</v>
      </c>
      <c r="AZ3" s="158">
        <v>71</v>
      </c>
      <c r="BA3" s="159">
        <v>42</v>
      </c>
    </row>
    <row r="4" spans="1:53" x14ac:dyDescent="0.15">
      <c r="A4" s="148" t="s">
        <v>34</v>
      </c>
      <c r="B4" s="140" t="s">
        <v>253</v>
      </c>
      <c r="C4" s="140">
        <v>2018</v>
      </c>
      <c r="D4" s="254" t="s">
        <v>536</v>
      </c>
      <c r="E4" s="165" t="s">
        <v>196</v>
      </c>
      <c r="F4" s="165" t="s">
        <v>537</v>
      </c>
      <c r="G4" s="148" t="s">
        <v>36</v>
      </c>
      <c r="H4" s="140" t="s">
        <v>155</v>
      </c>
      <c r="I4" s="148" t="s">
        <v>153</v>
      </c>
      <c r="J4" s="148" t="s">
        <v>38</v>
      </c>
      <c r="K4" s="148" t="s">
        <v>154</v>
      </c>
      <c r="L4" s="140">
        <v>3</v>
      </c>
      <c r="N4" s="140">
        <v>1</v>
      </c>
      <c r="O4" s="140">
        <v>0.55000000000000004</v>
      </c>
      <c r="P4" s="140">
        <v>0.7</v>
      </c>
      <c r="Q4" s="173">
        <f t="shared" si="0"/>
        <v>0.625</v>
      </c>
      <c r="R4" s="140">
        <v>14.7</v>
      </c>
      <c r="S4" s="140">
        <v>143</v>
      </c>
      <c r="T4" s="149">
        <f t="shared" si="1"/>
        <v>30</v>
      </c>
      <c r="U4" s="140">
        <v>105</v>
      </c>
      <c r="V4" s="149">
        <f t="shared" si="2"/>
        <v>3150</v>
      </c>
      <c r="W4" s="140">
        <v>4</v>
      </c>
      <c r="X4" s="148" t="s">
        <v>39</v>
      </c>
      <c r="Y4" s="148" t="s">
        <v>84</v>
      </c>
      <c r="Z4" s="148" t="s">
        <v>90</v>
      </c>
      <c r="AA4" s="148" t="s">
        <v>50</v>
      </c>
      <c r="AB4" s="148" t="s">
        <v>255</v>
      </c>
      <c r="AC4" s="148"/>
      <c r="AE4" s="155" t="s">
        <v>34</v>
      </c>
      <c r="AG4" s="256" t="s">
        <v>542</v>
      </c>
      <c r="AH4" s="171" t="s">
        <v>543</v>
      </c>
      <c r="AJ4" s="160" t="s">
        <v>48</v>
      </c>
      <c r="AL4" s="160" t="s">
        <v>129</v>
      </c>
      <c r="AN4" s="161" t="s">
        <v>49</v>
      </c>
      <c r="AP4" s="156" t="s">
        <v>544</v>
      </c>
      <c r="AR4" s="166" t="s">
        <v>545</v>
      </c>
      <c r="AT4" s="161"/>
      <c r="AV4" s="156" t="s">
        <v>50</v>
      </c>
      <c r="AX4" s="157">
        <v>75</v>
      </c>
      <c r="AY4" s="158">
        <v>42</v>
      </c>
      <c r="AZ4" s="158">
        <v>76</v>
      </c>
      <c r="BA4" s="159">
        <v>39</v>
      </c>
    </row>
    <row r="5" spans="1:53" x14ac:dyDescent="0.15">
      <c r="A5" s="148" t="s">
        <v>34</v>
      </c>
      <c r="B5" s="140" t="s">
        <v>253</v>
      </c>
      <c r="C5" s="140">
        <v>2018</v>
      </c>
      <c r="D5" s="254" t="s">
        <v>536</v>
      </c>
      <c r="E5" s="165" t="s">
        <v>196</v>
      </c>
      <c r="F5" s="165" t="s">
        <v>537</v>
      </c>
      <c r="G5" s="148" t="s">
        <v>36</v>
      </c>
      <c r="H5" s="140" t="s">
        <v>155</v>
      </c>
      <c r="I5" s="148" t="s">
        <v>153</v>
      </c>
      <c r="J5" s="148" t="s">
        <v>38</v>
      </c>
      <c r="K5" s="148" t="s">
        <v>154</v>
      </c>
      <c r="L5" s="148">
        <v>1</v>
      </c>
      <c r="N5" s="140">
        <v>5</v>
      </c>
      <c r="O5" s="140">
        <v>0.5</v>
      </c>
      <c r="P5" s="140">
        <v>0.5</v>
      </c>
      <c r="Q5" s="173">
        <f t="shared" si="0"/>
        <v>0.5</v>
      </c>
      <c r="R5" s="140">
        <v>14.3</v>
      </c>
      <c r="S5" s="140">
        <v>91</v>
      </c>
      <c r="T5" s="149">
        <f t="shared" si="1"/>
        <v>36</v>
      </c>
      <c r="U5" s="140">
        <v>321</v>
      </c>
      <c r="V5" s="149">
        <f t="shared" si="2"/>
        <v>2311.2000000000003</v>
      </c>
      <c r="W5" s="140">
        <v>4</v>
      </c>
      <c r="X5" s="148" t="s">
        <v>39</v>
      </c>
      <c r="Y5" s="148" t="s">
        <v>84</v>
      </c>
      <c r="Z5" s="148" t="s">
        <v>90</v>
      </c>
      <c r="AA5" s="148" t="s">
        <v>50</v>
      </c>
      <c r="AB5" s="148" t="s">
        <v>255</v>
      </c>
      <c r="AE5" s="155" t="s">
        <v>51</v>
      </c>
      <c r="AG5" s="256" t="s">
        <v>546</v>
      </c>
      <c r="AH5" s="171" t="s">
        <v>547</v>
      </c>
      <c r="AJ5" s="161"/>
      <c r="AL5" s="162" t="s">
        <v>548</v>
      </c>
      <c r="AN5" s="162" t="s">
        <v>549</v>
      </c>
      <c r="AP5" s="156" t="s">
        <v>550</v>
      </c>
      <c r="AR5" s="166" t="s">
        <v>54</v>
      </c>
      <c r="AV5" s="156" t="s">
        <v>55</v>
      </c>
      <c r="AX5" s="157">
        <v>84</v>
      </c>
      <c r="AY5" s="158">
        <v>39</v>
      </c>
      <c r="AZ5" s="158">
        <v>84</v>
      </c>
      <c r="BA5" s="159">
        <v>36</v>
      </c>
    </row>
    <row r="6" spans="1:53" x14ac:dyDescent="0.15">
      <c r="A6" s="148" t="s">
        <v>34</v>
      </c>
      <c r="B6" s="140" t="s">
        <v>253</v>
      </c>
      <c r="C6" s="140">
        <v>2018</v>
      </c>
      <c r="D6" s="254" t="s">
        <v>536</v>
      </c>
      <c r="E6" s="165" t="s">
        <v>196</v>
      </c>
      <c r="F6" s="165" t="s">
        <v>537</v>
      </c>
      <c r="G6" s="148" t="s">
        <v>36</v>
      </c>
      <c r="H6" s="140" t="s">
        <v>155</v>
      </c>
      <c r="I6" s="148" t="s">
        <v>153</v>
      </c>
      <c r="J6" s="148" t="s">
        <v>38</v>
      </c>
      <c r="K6" s="148" t="s">
        <v>154</v>
      </c>
      <c r="L6" s="140">
        <v>2</v>
      </c>
      <c r="N6" s="140">
        <v>5</v>
      </c>
      <c r="O6" s="140">
        <v>0.8</v>
      </c>
      <c r="P6" s="140">
        <v>0.75</v>
      </c>
      <c r="Q6" s="173">
        <f t="shared" si="0"/>
        <v>0.77500000000000002</v>
      </c>
      <c r="R6" s="140">
        <v>13.6</v>
      </c>
      <c r="S6" s="140">
        <v>87</v>
      </c>
      <c r="T6" s="149">
        <f t="shared" si="1"/>
        <v>36</v>
      </c>
      <c r="U6" s="140">
        <v>321</v>
      </c>
      <c r="V6" s="149">
        <f t="shared" si="2"/>
        <v>2311.2000000000003</v>
      </c>
      <c r="W6" s="140">
        <v>4</v>
      </c>
      <c r="X6" s="148" t="s">
        <v>39</v>
      </c>
      <c r="Y6" s="148" t="s">
        <v>84</v>
      </c>
      <c r="Z6" s="148" t="s">
        <v>90</v>
      </c>
      <c r="AA6" s="148" t="s">
        <v>50</v>
      </c>
      <c r="AB6" s="148" t="s">
        <v>255</v>
      </c>
      <c r="AE6" s="155" t="s">
        <v>56</v>
      </c>
      <c r="AG6" s="256" t="s">
        <v>551</v>
      </c>
      <c r="AH6" s="171" t="s">
        <v>552</v>
      </c>
      <c r="AL6" s="162" t="s">
        <v>553</v>
      </c>
      <c r="AN6" s="162" t="s">
        <v>554</v>
      </c>
      <c r="AP6" s="156" t="s">
        <v>53</v>
      </c>
      <c r="AR6" s="166" t="s">
        <v>59</v>
      </c>
      <c r="AV6" s="156" t="s">
        <v>60</v>
      </c>
      <c r="AX6" s="157">
        <v>97</v>
      </c>
      <c r="AY6" s="158">
        <v>36</v>
      </c>
      <c r="AZ6" s="158">
        <v>99</v>
      </c>
      <c r="BA6" s="159">
        <v>33</v>
      </c>
    </row>
    <row r="7" spans="1:53" x14ac:dyDescent="0.15">
      <c r="A7" s="148" t="s">
        <v>34</v>
      </c>
      <c r="B7" s="140" t="s">
        <v>253</v>
      </c>
      <c r="C7" s="140">
        <v>2018</v>
      </c>
      <c r="D7" s="254" t="s">
        <v>536</v>
      </c>
      <c r="E7" s="165" t="s">
        <v>196</v>
      </c>
      <c r="F7" s="165" t="s">
        <v>537</v>
      </c>
      <c r="G7" s="148" t="s">
        <v>36</v>
      </c>
      <c r="H7" s="140" t="s">
        <v>155</v>
      </c>
      <c r="I7" s="148" t="s">
        <v>153</v>
      </c>
      <c r="J7" s="148" t="s">
        <v>38</v>
      </c>
      <c r="K7" s="148" t="s">
        <v>154</v>
      </c>
      <c r="L7" s="140">
        <v>3</v>
      </c>
      <c r="N7" s="140">
        <v>5</v>
      </c>
      <c r="O7" s="140">
        <v>0.65</v>
      </c>
      <c r="P7" s="140">
        <v>0.65</v>
      </c>
      <c r="Q7" s="173">
        <f t="shared" si="0"/>
        <v>0.65</v>
      </c>
      <c r="R7" s="140">
        <v>12.7</v>
      </c>
      <c r="S7" s="140">
        <v>85</v>
      </c>
      <c r="T7" s="149">
        <f t="shared" si="1"/>
        <v>36</v>
      </c>
      <c r="U7" s="140">
        <v>321</v>
      </c>
      <c r="V7" s="149">
        <f t="shared" si="2"/>
        <v>2311.2000000000003</v>
      </c>
      <c r="W7" s="140">
        <v>4</v>
      </c>
      <c r="X7" s="148" t="s">
        <v>39</v>
      </c>
      <c r="Y7" s="148" t="s">
        <v>84</v>
      </c>
      <c r="Z7" s="148" t="s">
        <v>90</v>
      </c>
      <c r="AA7" s="148" t="s">
        <v>50</v>
      </c>
      <c r="AB7" s="148" t="s">
        <v>255</v>
      </c>
      <c r="AE7" s="155" t="s">
        <v>61</v>
      </c>
      <c r="AG7" s="256" t="s">
        <v>196</v>
      </c>
      <c r="AH7" s="171" t="s">
        <v>537</v>
      </c>
      <c r="AL7" s="34" t="s">
        <v>555</v>
      </c>
      <c r="AP7" s="156" t="s">
        <v>58</v>
      </c>
      <c r="AR7" s="163" t="s">
        <v>122</v>
      </c>
      <c r="AV7" s="156" t="s">
        <v>64</v>
      </c>
      <c r="AX7" s="157">
        <v>109</v>
      </c>
      <c r="AY7" s="158">
        <v>33</v>
      </c>
      <c r="AZ7" s="158">
        <v>113</v>
      </c>
      <c r="BA7" s="159">
        <v>30</v>
      </c>
    </row>
    <row r="8" spans="1:53" x14ac:dyDescent="0.15">
      <c r="A8" s="148" t="s">
        <v>34</v>
      </c>
      <c r="B8" s="140" t="s">
        <v>253</v>
      </c>
      <c r="C8" s="140">
        <v>2018</v>
      </c>
      <c r="D8" s="254" t="s">
        <v>556</v>
      </c>
      <c r="E8" s="165" t="s">
        <v>557</v>
      </c>
      <c r="F8" s="165" t="s">
        <v>558</v>
      </c>
      <c r="G8" s="148" t="s">
        <v>36</v>
      </c>
      <c r="H8" s="140" t="s">
        <v>155</v>
      </c>
      <c r="I8" s="148" t="s">
        <v>153</v>
      </c>
      <c r="J8" s="148" t="s">
        <v>38</v>
      </c>
      <c r="K8" s="148" t="s">
        <v>154</v>
      </c>
      <c r="L8" s="148">
        <v>1</v>
      </c>
      <c r="N8" s="140">
        <v>1</v>
      </c>
      <c r="O8" s="140">
        <v>0.7</v>
      </c>
      <c r="P8" s="140">
        <v>0.7</v>
      </c>
      <c r="Q8" s="173">
        <f t="shared" si="0"/>
        <v>0.7</v>
      </c>
      <c r="R8" s="140">
        <v>14.3</v>
      </c>
      <c r="S8" s="140">
        <v>118</v>
      </c>
      <c r="T8" s="149">
        <f t="shared" si="1"/>
        <v>30</v>
      </c>
      <c r="U8" s="140">
        <v>84</v>
      </c>
      <c r="V8" s="149">
        <f t="shared" si="2"/>
        <v>2520</v>
      </c>
      <c r="W8" s="140">
        <v>6</v>
      </c>
      <c r="X8" s="148" t="s">
        <v>39</v>
      </c>
      <c r="Y8" s="148" t="s">
        <v>84</v>
      </c>
      <c r="Z8" s="148" t="s">
        <v>90</v>
      </c>
      <c r="AA8" s="148" t="s">
        <v>50</v>
      </c>
      <c r="AB8" s="148" t="s">
        <v>255</v>
      </c>
      <c r="AE8" s="155" t="s">
        <v>59</v>
      </c>
      <c r="AG8" s="256" t="s">
        <v>559</v>
      </c>
      <c r="AH8" s="171" t="s">
        <v>560</v>
      </c>
      <c r="AL8" s="34" t="s">
        <v>359</v>
      </c>
      <c r="AP8" s="156" t="s">
        <v>62</v>
      </c>
      <c r="AR8" s="166" t="s">
        <v>81</v>
      </c>
      <c r="AV8" s="156" t="s">
        <v>97</v>
      </c>
      <c r="AX8" s="157">
        <v>151</v>
      </c>
      <c r="AY8" s="158">
        <v>22</v>
      </c>
      <c r="AZ8" s="158">
        <v>152</v>
      </c>
      <c r="BA8" s="159">
        <v>18</v>
      </c>
    </row>
    <row r="9" spans="1:53" x14ac:dyDescent="0.15">
      <c r="A9" s="148" t="s">
        <v>34</v>
      </c>
      <c r="B9" s="140" t="s">
        <v>253</v>
      </c>
      <c r="C9" s="140">
        <v>2018</v>
      </c>
      <c r="D9" s="254" t="s">
        <v>556</v>
      </c>
      <c r="E9" s="165" t="s">
        <v>557</v>
      </c>
      <c r="F9" s="165" t="s">
        <v>558</v>
      </c>
      <c r="G9" s="148" t="s">
        <v>36</v>
      </c>
      <c r="H9" s="140" t="s">
        <v>155</v>
      </c>
      <c r="I9" s="148" t="s">
        <v>153</v>
      </c>
      <c r="J9" s="148" t="s">
        <v>38</v>
      </c>
      <c r="K9" s="148" t="s">
        <v>154</v>
      </c>
      <c r="L9" s="140">
        <v>2</v>
      </c>
      <c r="N9" s="140">
        <v>1</v>
      </c>
      <c r="O9" s="140">
        <v>0.65</v>
      </c>
      <c r="P9" s="140">
        <v>0.65</v>
      </c>
      <c r="Q9" s="173">
        <f t="shared" si="0"/>
        <v>0.65</v>
      </c>
      <c r="R9" s="140">
        <v>14.1</v>
      </c>
      <c r="S9" s="140">
        <v>119</v>
      </c>
      <c r="T9" s="149">
        <f t="shared" si="1"/>
        <v>30</v>
      </c>
      <c r="U9" s="140">
        <v>84</v>
      </c>
      <c r="V9" s="149">
        <f t="shared" si="2"/>
        <v>2520</v>
      </c>
      <c r="W9" s="140">
        <v>6</v>
      </c>
      <c r="X9" s="148" t="s">
        <v>39</v>
      </c>
      <c r="Y9" s="148" t="s">
        <v>84</v>
      </c>
      <c r="Z9" s="148" t="s">
        <v>90</v>
      </c>
      <c r="AA9" s="148" t="s">
        <v>50</v>
      </c>
      <c r="AB9" s="148" t="s">
        <v>255</v>
      </c>
      <c r="AE9" s="155" t="s">
        <v>98</v>
      </c>
      <c r="AG9" s="256" t="s">
        <v>557</v>
      </c>
      <c r="AH9" s="171" t="s">
        <v>558</v>
      </c>
      <c r="AL9" s="162"/>
      <c r="AP9" s="156" t="s">
        <v>95</v>
      </c>
      <c r="AR9" s="163" t="s">
        <v>89</v>
      </c>
      <c r="AV9" s="156" t="s">
        <v>102</v>
      </c>
      <c r="AX9" s="31">
        <v>180</v>
      </c>
      <c r="AY9" s="32">
        <v>18</v>
      </c>
      <c r="AZ9" s="32">
        <v>181</v>
      </c>
      <c r="BA9" s="33">
        <v>16</v>
      </c>
    </row>
    <row r="10" spans="1:53" x14ac:dyDescent="0.15">
      <c r="A10" s="148" t="s">
        <v>34</v>
      </c>
      <c r="B10" s="140" t="s">
        <v>253</v>
      </c>
      <c r="C10" s="140">
        <v>2018</v>
      </c>
      <c r="D10" s="254" t="s">
        <v>561</v>
      </c>
      <c r="E10" s="165" t="s">
        <v>557</v>
      </c>
      <c r="F10" s="165" t="s">
        <v>558</v>
      </c>
      <c r="G10" s="148" t="s">
        <v>36</v>
      </c>
      <c r="H10" s="140" t="s">
        <v>155</v>
      </c>
      <c r="I10" s="148" t="s">
        <v>153</v>
      </c>
      <c r="J10" s="148" t="s">
        <v>38</v>
      </c>
      <c r="K10" s="148" t="s">
        <v>154</v>
      </c>
      <c r="L10" s="140">
        <v>3</v>
      </c>
      <c r="N10" s="140">
        <v>1</v>
      </c>
      <c r="O10" s="140">
        <v>0.65</v>
      </c>
      <c r="P10" s="140">
        <v>1</v>
      </c>
      <c r="Q10" s="173">
        <f t="shared" si="0"/>
        <v>0.82499999999999996</v>
      </c>
      <c r="R10" s="140">
        <v>14</v>
      </c>
      <c r="S10" s="140">
        <v>120</v>
      </c>
      <c r="T10" s="149">
        <f t="shared" si="1"/>
        <v>30</v>
      </c>
      <c r="U10" s="140">
        <v>84</v>
      </c>
      <c r="V10" s="149">
        <f t="shared" si="2"/>
        <v>2520</v>
      </c>
      <c r="W10" s="140">
        <v>6</v>
      </c>
      <c r="X10" s="148" t="s">
        <v>39</v>
      </c>
      <c r="Y10" s="148" t="s">
        <v>84</v>
      </c>
      <c r="Z10" s="148" t="s">
        <v>90</v>
      </c>
      <c r="AA10" s="148" t="s">
        <v>50</v>
      </c>
      <c r="AB10" s="148" t="s">
        <v>255</v>
      </c>
      <c r="AE10" s="155" t="s">
        <v>103</v>
      </c>
      <c r="AG10" s="256" t="s">
        <v>562</v>
      </c>
      <c r="AH10" s="171" t="s">
        <v>563</v>
      </c>
      <c r="AL10" s="34"/>
      <c r="AP10" s="156" t="s">
        <v>100</v>
      </c>
      <c r="AR10" s="163" t="s">
        <v>123</v>
      </c>
      <c r="AV10" s="156" t="s">
        <v>106</v>
      </c>
    </row>
    <row r="11" spans="1:53" x14ac:dyDescent="0.15">
      <c r="A11" s="148" t="s">
        <v>34</v>
      </c>
      <c r="B11" s="140" t="s">
        <v>253</v>
      </c>
      <c r="C11" s="140">
        <v>2018</v>
      </c>
      <c r="D11" s="254" t="s">
        <v>561</v>
      </c>
      <c r="E11" s="165" t="s">
        <v>557</v>
      </c>
      <c r="F11" s="165" t="s">
        <v>558</v>
      </c>
      <c r="G11" s="148" t="s">
        <v>36</v>
      </c>
      <c r="H11" s="140" t="s">
        <v>155</v>
      </c>
      <c r="I11" s="148" t="s">
        <v>153</v>
      </c>
      <c r="J11" s="148" t="s">
        <v>38</v>
      </c>
      <c r="K11" s="148" t="s">
        <v>154</v>
      </c>
      <c r="L11" s="148">
        <v>1</v>
      </c>
      <c r="N11" s="140">
        <v>4</v>
      </c>
      <c r="O11" s="140">
        <v>1.05</v>
      </c>
      <c r="P11" s="140">
        <v>1</v>
      </c>
      <c r="Q11" s="173">
        <f t="shared" si="0"/>
        <v>1.0249999999999999</v>
      </c>
      <c r="R11" s="140">
        <v>14.1</v>
      </c>
      <c r="S11" s="140">
        <v>98</v>
      </c>
      <c r="T11" s="149">
        <f t="shared" si="1"/>
        <v>36</v>
      </c>
      <c r="U11" s="140">
        <v>386</v>
      </c>
      <c r="V11" s="149">
        <f t="shared" si="2"/>
        <v>3474</v>
      </c>
      <c r="W11" s="140">
        <v>6</v>
      </c>
      <c r="X11" s="148" t="s">
        <v>39</v>
      </c>
      <c r="Y11" s="148" t="s">
        <v>84</v>
      </c>
      <c r="Z11" s="148" t="s">
        <v>90</v>
      </c>
      <c r="AA11" s="148" t="s">
        <v>50</v>
      </c>
      <c r="AB11" s="148" t="s">
        <v>255</v>
      </c>
      <c r="AE11" s="155" t="s">
        <v>65</v>
      </c>
      <c r="AG11" s="256" t="s">
        <v>161</v>
      </c>
      <c r="AH11" s="171" t="s">
        <v>564</v>
      </c>
      <c r="AL11" s="34"/>
      <c r="AP11" s="156" t="s">
        <v>104</v>
      </c>
      <c r="AR11" s="163" t="s">
        <v>87</v>
      </c>
      <c r="AV11" s="156" t="s">
        <v>69</v>
      </c>
    </row>
    <row r="12" spans="1:53" x14ac:dyDescent="0.15">
      <c r="A12" s="148" t="s">
        <v>34</v>
      </c>
      <c r="B12" s="140" t="s">
        <v>253</v>
      </c>
      <c r="C12" s="140">
        <v>2018</v>
      </c>
      <c r="D12" s="254" t="s">
        <v>565</v>
      </c>
      <c r="E12" s="165" t="s">
        <v>557</v>
      </c>
      <c r="F12" s="165" t="s">
        <v>558</v>
      </c>
      <c r="G12" s="148" t="s">
        <v>36</v>
      </c>
      <c r="H12" s="140" t="s">
        <v>155</v>
      </c>
      <c r="I12" s="148" t="s">
        <v>153</v>
      </c>
      <c r="J12" s="148" t="s">
        <v>38</v>
      </c>
      <c r="K12" s="148" t="s">
        <v>154</v>
      </c>
      <c r="L12" s="140">
        <v>2</v>
      </c>
      <c r="N12" s="140">
        <v>4</v>
      </c>
      <c r="O12" s="140">
        <v>0.85</v>
      </c>
      <c r="P12" s="140">
        <v>0.8</v>
      </c>
      <c r="Q12" s="173">
        <f t="shared" si="0"/>
        <v>0.82499999999999996</v>
      </c>
      <c r="R12" s="140">
        <v>14.5</v>
      </c>
      <c r="S12" s="140">
        <v>101</v>
      </c>
      <c r="T12" s="149">
        <f t="shared" si="1"/>
        <v>33</v>
      </c>
      <c r="U12" s="140">
        <v>386</v>
      </c>
      <c r="V12" s="149">
        <f t="shared" si="2"/>
        <v>3184.5</v>
      </c>
      <c r="W12" s="140">
        <v>6</v>
      </c>
      <c r="X12" s="148" t="s">
        <v>39</v>
      </c>
      <c r="Y12" s="148" t="s">
        <v>84</v>
      </c>
      <c r="Z12" s="148" t="s">
        <v>90</v>
      </c>
      <c r="AA12" s="148" t="s">
        <v>50</v>
      </c>
      <c r="AB12" s="148" t="s">
        <v>255</v>
      </c>
      <c r="AE12" s="155" t="s">
        <v>70</v>
      </c>
      <c r="AG12" s="172"/>
      <c r="AH12" s="156"/>
      <c r="AL12" s="34"/>
      <c r="AP12" s="156" t="s">
        <v>67</v>
      </c>
      <c r="AR12" s="163" t="s">
        <v>124</v>
      </c>
      <c r="AV12" s="156" t="s">
        <v>72</v>
      </c>
    </row>
    <row r="13" spans="1:53" x14ac:dyDescent="0.15">
      <c r="A13" s="148" t="s">
        <v>34</v>
      </c>
      <c r="B13" s="140" t="s">
        <v>253</v>
      </c>
      <c r="C13" s="140">
        <v>2018</v>
      </c>
      <c r="D13" s="254" t="s">
        <v>566</v>
      </c>
      <c r="E13" s="165" t="s">
        <v>557</v>
      </c>
      <c r="F13" s="165" t="s">
        <v>558</v>
      </c>
      <c r="G13" s="148" t="s">
        <v>36</v>
      </c>
      <c r="H13" s="140" t="s">
        <v>155</v>
      </c>
      <c r="I13" s="148" t="s">
        <v>153</v>
      </c>
      <c r="J13" s="148" t="s">
        <v>38</v>
      </c>
      <c r="K13" s="148" t="s">
        <v>154</v>
      </c>
      <c r="L13" s="140">
        <v>3</v>
      </c>
      <c r="N13" s="140">
        <v>4</v>
      </c>
      <c r="O13" s="140">
        <v>0.95</v>
      </c>
      <c r="P13" s="140">
        <v>0.8</v>
      </c>
      <c r="Q13" s="173">
        <f t="shared" si="0"/>
        <v>0.875</v>
      </c>
      <c r="R13" s="140">
        <v>14.5</v>
      </c>
      <c r="S13" s="140">
        <v>99</v>
      </c>
      <c r="T13" s="149">
        <f t="shared" si="1"/>
        <v>33</v>
      </c>
      <c r="U13" s="140">
        <v>386</v>
      </c>
      <c r="V13" s="149">
        <f t="shared" si="2"/>
        <v>3184.5</v>
      </c>
      <c r="W13" s="140">
        <v>6</v>
      </c>
      <c r="X13" s="148" t="s">
        <v>39</v>
      </c>
      <c r="Y13" s="148" t="s">
        <v>84</v>
      </c>
      <c r="Z13" s="148" t="s">
        <v>90</v>
      </c>
      <c r="AA13" s="148" t="s">
        <v>50</v>
      </c>
      <c r="AB13" s="148" t="s">
        <v>255</v>
      </c>
      <c r="AE13" s="155" t="s">
        <v>73</v>
      </c>
      <c r="AG13" s="175"/>
      <c r="AH13" s="161"/>
      <c r="AP13" s="156" t="s">
        <v>71</v>
      </c>
      <c r="AR13" s="163" t="s">
        <v>103</v>
      </c>
      <c r="AV13" s="156" t="s">
        <v>75</v>
      </c>
    </row>
    <row r="14" spans="1:53" x14ac:dyDescent="0.15">
      <c r="A14" s="148" t="s">
        <v>34</v>
      </c>
      <c r="B14" s="140" t="s">
        <v>253</v>
      </c>
      <c r="C14" s="140">
        <v>2018</v>
      </c>
      <c r="D14" s="254" t="s">
        <v>567</v>
      </c>
      <c r="E14" s="165" t="s">
        <v>557</v>
      </c>
      <c r="F14" s="165" t="s">
        <v>558</v>
      </c>
      <c r="G14" s="148" t="s">
        <v>36</v>
      </c>
      <c r="H14" s="140" t="s">
        <v>158</v>
      </c>
      <c r="I14" s="148" t="s">
        <v>153</v>
      </c>
      <c r="J14" s="148" t="s">
        <v>38</v>
      </c>
      <c r="K14" s="148" t="s">
        <v>154</v>
      </c>
      <c r="L14" s="148">
        <v>1</v>
      </c>
      <c r="N14" s="140">
        <v>1</v>
      </c>
      <c r="O14" s="140">
        <v>0.45</v>
      </c>
      <c r="P14" s="140">
        <v>0.65</v>
      </c>
      <c r="Q14" s="173">
        <f t="shared" si="0"/>
        <v>0.55000000000000004</v>
      </c>
      <c r="R14" s="140">
        <v>16.8</v>
      </c>
      <c r="S14" s="140">
        <v>183</v>
      </c>
      <c r="T14" s="149">
        <f t="shared" si="1"/>
        <v>16</v>
      </c>
      <c r="U14" s="140">
        <v>149</v>
      </c>
      <c r="V14" s="149">
        <f t="shared" si="2"/>
        <v>2384</v>
      </c>
      <c r="W14" s="140">
        <v>2</v>
      </c>
      <c r="X14" s="148" t="s">
        <v>39</v>
      </c>
      <c r="Y14" s="148" t="s">
        <v>84</v>
      </c>
      <c r="Z14" s="148" t="s">
        <v>90</v>
      </c>
      <c r="AA14" s="148" t="s">
        <v>50</v>
      </c>
      <c r="AB14" s="148" t="s">
        <v>255</v>
      </c>
      <c r="AE14" s="155" t="s">
        <v>76</v>
      </c>
      <c r="AG14" s="257"/>
      <c r="AL14" s="187"/>
      <c r="AP14" s="156" t="s">
        <v>74</v>
      </c>
      <c r="AR14" s="163" t="s">
        <v>125</v>
      </c>
      <c r="AV14" s="156" t="s">
        <v>78</v>
      </c>
    </row>
    <row r="15" spans="1:53" x14ac:dyDescent="0.15">
      <c r="A15" s="148" t="s">
        <v>34</v>
      </c>
      <c r="B15" s="140" t="s">
        <v>253</v>
      </c>
      <c r="C15" s="140">
        <v>2018</v>
      </c>
      <c r="D15" s="254" t="s">
        <v>567</v>
      </c>
      <c r="E15" s="165" t="s">
        <v>557</v>
      </c>
      <c r="F15" s="165" t="s">
        <v>558</v>
      </c>
      <c r="G15" s="148" t="s">
        <v>36</v>
      </c>
      <c r="H15" s="140" t="s">
        <v>158</v>
      </c>
      <c r="I15" s="148" t="s">
        <v>153</v>
      </c>
      <c r="J15" s="148" t="s">
        <v>38</v>
      </c>
      <c r="K15" s="148" t="s">
        <v>154</v>
      </c>
      <c r="L15" s="140">
        <v>2</v>
      </c>
      <c r="N15" s="140">
        <v>1</v>
      </c>
      <c r="O15" s="140">
        <v>0.6</v>
      </c>
      <c r="P15" s="140">
        <v>0.7</v>
      </c>
      <c r="Q15" s="173">
        <f t="shared" si="0"/>
        <v>0.64999999999999991</v>
      </c>
      <c r="R15" s="140">
        <v>14.1</v>
      </c>
      <c r="S15" s="140">
        <v>172</v>
      </c>
      <c r="T15" s="149">
        <f t="shared" si="1"/>
        <v>18</v>
      </c>
      <c r="U15" s="140">
        <v>149</v>
      </c>
      <c r="V15" s="149">
        <f t="shared" si="2"/>
        <v>2682</v>
      </c>
      <c r="W15" s="140">
        <v>2</v>
      </c>
      <c r="X15" s="148" t="s">
        <v>39</v>
      </c>
      <c r="Y15" s="148" t="s">
        <v>84</v>
      </c>
      <c r="Z15" s="148" t="s">
        <v>90</v>
      </c>
      <c r="AA15" s="148" t="s">
        <v>50</v>
      </c>
      <c r="AB15" s="148" t="s">
        <v>255</v>
      </c>
      <c r="AE15" s="155" t="s">
        <v>79</v>
      </c>
      <c r="AL15" s="258"/>
      <c r="AP15" s="156" t="s">
        <v>77</v>
      </c>
      <c r="AR15" s="163" t="s">
        <v>94</v>
      </c>
      <c r="AV15" s="156" t="s">
        <v>107</v>
      </c>
    </row>
    <row r="16" spans="1:53" x14ac:dyDescent="0.15">
      <c r="A16" s="148" t="s">
        <v>34</v>
      </c>
      <c r="B16" s="140" t="s">
        <v>253</v>
      </c>
      <c r="C16" s="140">
        <v>2018</v>
      </c>
      <c r="D16" s="254" t="s">
        <v>568</v>
      </c>
      <c r="E16" s="165" t="s">
        <v>557</v>
      </c>
      <c r="F16" s="165" t="s">
        <v>558</v>
      </c>
      <c r="G16" s="148" t="s">
        <v>36</v>
      </c>
      <c r="H16" s="140" t="s">
        <v>158</v>
      </c>
      <c r="I16" s="148" t="s">
        <v>153</v>
      </c>
      <c r="J16" s="148" t="s">
        <v>38</v>
      </c>
      <c r="K16" s="148" t="s">
        <v>154</v>
      </c>
      <c r="L16" s="140">
        <v>3</v>
      </c>
      <c r="N16" s="140">
        <v>1</v>
      </c>
      <c r="O16" s="140">
        <v>0.6</v>
      </c>
      <c r="P16" s="140">
        <v>0.65</v>
      </c>
      <c r="Q16" s="173">
        <f t="shared" si="0"/>
        <v>0.625</v>
      </c>
      <c r="R16" s="140">
        <v>15</v>
      </c>
      <c r="S16" s="140">
        <v>183</v>
      </c>
      <c r="T16" s="149">
        <f t="shared" si="1"/>
        <v>16</v>
      </c>
      <c r="U16" s="140">
        <v>149</v>
      </c>
      <c r="V16" s="149">
        <f t="shared" si="2"/>
        <v>2384</v>
      </c>
      <c r="W16" s="140">
        <v>2</v>
      </c>
      <c r="X16" s="148" t="s">
        <v>39</v>
      </c>
      <c r="Y16" s="148" t="s">
        <v>84</v>
      </c>
      <c r="Z16" s="148" t="s">
        <v>90</v>
      </c>
      <c r="AA16" s="148" t="s">
        <v>50</v>
      </c>
      <c r="AB16" s="148" t="s">
        <v>255</v>
      </c>
      <c r="AE16" s="155" t="s">
        <v>82</v>
      </c>
      <c r="AL16" s="258"/>
      <c r="AP16" s="156" t="s">
        <v>80</v>
      </c>
      <c r="AR16" s="166" t="s">
        <v>63</v>
      </c>
      <c r="AV16" s="156" t="s">
        <v>84</v>
      </c>
    </row>
    <row r="17" spans="1:48" x14ac:dyDescent="0.15">
      <c r="A17" s="148" t="s">
        <v>34</v>
      </c>
      <c r="B17" s="140" t="s">
        <v>253</v>
      </c>
      <c r="C17" s="140">
        <v>2018</v>
      </c>
      <c r="D17" s="254" t="s">
        <v>568</v>
      </c>
      <c r="E17" s="165" t="s">
        <v>557</v>
      </c>
      <c r="F17" s="165" t="s">
        <v>558</v>
      </c>
      <c r="G17" s="148" t="s">
        <v>36</v>
      </c>
      <c r="H17" s="140" t="s">
        <v>158</v>
      </c>
      <c r="I17" s="148" t="s">
        <v>153</v>
      </c>
      <c r="J17" s="148" t="s">
        <v>38</v>
      </c>
      <c r="K17" s="148" t="s">
        <v>154</v>
      </c>
      <c r="L17" s="148">
        <v>1</v>
      </c>
      <c r="N17" s="140">
        <v>4</v>
      </c>
      <c r="O17" s="140">
        <v>0.5</v>
      </c>
      <c r="P17" s="140">
        <v>0.5</v>
      </c>
      <c r="Q17" s="173">
        <f t="shared" si="0"/>
        <v>0.5</v>
      </c>
      <c r="R17" s="140">
        <v>15.5</v>
      </c>
      <c r="S17" s="140">
        <v>131</v>
      </c>
      <c r="T17" s="149">
        <f t="shared" si="1"/>
        <v>30</v>
      </c>
      <c r="U17" s="140">
        <v>494</v>
      </c>
      <c r="V17" s="149">
        <f t="shared" si="2"/>
        <v>3705</v>
      </c>
      <c r="W17" s="140">
        <v>2</v>
      </c>
      <c r="X17" s="148" t="s">
        <v>39</v>
      </c>
      <c r="Y17" s="148" t="s">
        <v>84</v>
      </c>
      <c r="Z17" s="148" t="s">
        <v>90</v>
      </c>
      <c r="AA17" s="148" t="s">
        <v>50</v>
      </c>
      <c r="AB17" s="148" t="s">
        <v>255</v>
      </c>
      <c r="AE17" s="155" t="s">
        <v>85</v>
      </c>
      <c r="AL17" s="258"/>
      <c r="AP17" s="167" t="s">
        <v>110</v>
      </c>
      <c r="AR17" s="166" t="s">
        <v>96</v>
      </c>
      <c r="AV17" s="156" t="s">
        <v>86</v>
      </c>
    </row>
    <row r="18" spans="1:48" x14ac:dyDescent="0.15">
      <c r="A18" s="148" t="s">
        <v>34</v>
      </c>
      <c r="B18" s="140" t="s">
        <v>253</v>
      </c>
      <c r="C18" s="140">
        <v>2018</v>
      </c>
      <c r="D18" s="254" t="s">
        <v>568</v>
      </c>
      <c r="E18" s="165" t="s">
        <v>557</v>
      </c>
      <c r="F18" s="165" t="s">
        <v>558</v>
      </c>
      <c r="G18" s="148" t="s">
        <v>36</v>
      </c>
      <c r="H18" s="140" t="s">
        <v>158</v>
      </c>
      <c r="I18" s="148" t="s">
        <v>153</v>
      </c>
      <c r="J18" s="148" t="s">
        <v>38</v>
      </c>
      <c r="K18" s="148" t="s">
        <v>154</v>
      </c>
      <c r="L18" s="140">
        <v>2</v>
      </c>
      <c r="N18" s="140">
        <v>4</v>
      </c>
      <c r="O18" s="140">
        <v>0.55000000000000004</v>
      </c>
      <c r="P18" s="140">
        <v>0.5</v>
      </c>
      <c r="Q18" s="173">
        <f t="shared" si="0"/>
        <v>0.52500000000000002</v>
      </c>
      <c r="R18" s="140">
        <v>16.100000000000001</v>
      </c>
      <c r="S18" s="140">
        <v>131</v>
      </c>
      <c r="T18" s="149">
        <f t="shared" si="1"/>
        <v>30</v>
      </c>
      <c r="U18" s="140">
        <v>494</v>
      </c>
      <c r="V18" s="149">
        <f t="shared" si="2"/>
        <v>3705</v>
      </c>
      <c r="W18" s="140">
        <v>2</v>
      </c>
      <c r="X18" s="148" t="s">
        <v>39</v>
      </c>
      <c r="Y18" s="148" t="s">
        <v>84</v>
      </c>
      <c r="Z18" s="148" t="s">
        <v>90</v>
      </c>
      <c r="AA18" s="148" t="s">
        <v>50</v>
      </c>
      <c r="AB18" s="148" t="s">
        <v>255</v>
      </c>
      <c r="AE18" s="155" t="s">
        <v>87</v>
      </c>
      <c r="AL18" s="148"/>
      <c r="AP18" s="167" t="s">
        <v>111</v>
      </c>
      <c r="AR18" s="166" t="s">
        <v>101</v>
      </c>
      <c r="AV18" s="156" t="s">
        <v>88</v>
      </c>
    </row>
    <row r="19" spans="1:48" x14ac:dyDescent="0.15">
      <c r="A19" s="148" t="s">
        <v>34</v>
      </c>
      <c r="B19" s="140" t="s">
        <v>253</v>
      </c>
      <c r="C19" s="140">
        <v>2018</v>
      </c>
      <c r="D19" s="254" t="s">
        <v>565</v>
      </c>
      <c r="E19" s="165" t="s">
        <v>557</v>
      </c>
      <c r="F19" s="165" t="s">
        <v>558</v>
      </c>
      <c r="G19" s="148" t="s">
        <v>36</v>
      </c>
      <c r="H19" s="140" t="s">
        <v>158</v>
      </c>
      <c r="I19" s="148" t="s">
        <v>153</v>
      </c>
      <c r="J19" s="148" t="s">
        <v>38</v>
      </c>
      <c r="K19" s="148" t="s">
        <v>154</v>
      </c>
      <c r="L19" s="140">
        <v>3</v>
      </c>
      <c r="N19" s="140">
        <v>4</v>
      </c>
      <c r="O19" s="140">
        <v>0.5</v>
      </c>
      <c r="P19" s="140">
        <v>0.5</v>
      </c>
      <c r="Q19" s="173">
        <f t="shared" si="0"/>
        <v>0.5</v>
      </c>
      <c r="R19" s="140">
        <v>15.5</v>
      </c>
      <c r="S19" s="140">
        <v>128</v>
      </c>
      <c r="T19" s="149">
        <f t="shared" si="1"/>
        <v>30</v>
      </c>
      <c r="U19" s="140">
        <v>494</v>
      </c>
      <c r="V19" s="149">
        <f t="shared" si="2"/>
        <v>3705</v>
      </c>
      <c r="W19" s="140">
        <v>2</v>
      </c>
      <c r="X19" s="148" t="s">
        <v>39</v>
      </c>
      <c r="Y19" s="148" t="s">
        <v>84</v>
      </c>
      <c r="Z19" s="148" t="s">
        <v>90</v>
      </c>
      <c r="AA19" s="148" t="s">
        <v>50</v>
      </c>
      <c r="AB19" s="148" t="s">
        <v>255</v>
      </c>
      <c r="AE19" s="164" t="s">
        <v>89</v>
      </c>
      <c r="AP19" s="167" t="s">
        <v>112</v>
      </c>
      <c r="AR19" s="163" t="s">
        <v>126</v>
      </c>
      <c r="AV19" s="156" t="s">
        <v>90</v>
      </c>
    </row>
    <row r="20" spans="1:48" x14ac:dyDescent="0.15">
      <c r="A20" s="148" t="s">
        <v>34</v>
      </c>
      <c r="B20" s="140" t="s">
        <v>253</v>
      </c>
      <c r="C20" s="140">
        <v>2018</v>
      </c>
      <c r="D20" s="254" t="s">
        <v>565</v>
      </c>
      <c r="E20" s="165" t="s">
        <v>562</v>
      </c>
      <c r="F20" s="165" t="s">
        <v>563</v>
      </c>
      <c r="G20" s="148" t="s">
        <v>36</v>
      </c>
      <c r="H20" s="140" t="s">
        <v>155</v>
      </c>
      <c r="I20" s="148" t="s">
        <v>153</v>
      </c>
      <c r="J20" s="148" t="s">
        <v>38</v>
      </c>
      <c r="K20" s="148" t="s">
        <v>154</v>
      </c>
      <c r="L20" s="148">
        <v>1</v>
      </c>
      <c r="N20" s="140">
        <v>1</v>
      </c>
      <c r="O20" s="140">
        <v>0.55000000000000004</v>
      </c>
      <c r="P20" s="140">
        <v>0.6</v>
      </c>
      <c r="Q20" s="173">
        <f t="shared" si="0"/>
        <v>0.57499999999999996</v>
      </c>
      <c r="R20" s="140">
        <v>13.8</v>
      </c>
      <c r="S20" s="140">
        <v>140</v>
      </c>
      <c r="T20" s="149">
        <f t="shared" si="1"/>
        <v>30</v>
      </c>
      <c r="U20" s="140">
        <v>106</v>
      </c>
      <c r="V20" s="149">
        <f t="shared" si="2"/>
        <v>3180</v>
      </c>
      <c r="W20" s="140">
        <v>2</v>
      </c>
      <c r="X20" s="148" t="s">
        <v>46</v>
      </c>
      <c r="Y20" s="148" t="s">
        <v>84</v>
      </c>
      <c r="Z20" s="148" t="s">
        <v>90</v>
      </c>
      <c r="AA20" s="148" t="s">
        <v>69</v>
      </c>
      <c r="AB20" s="148" t="s">
        <v>255</v>
      </c>
      <c r="AP20" s="167" t="s">
        <v>113</v>
      </c>
      <c r="AR20" s="166" t="s">
        <v>105</v>
      </c>
      <c r="AV20" s="160" t="s">
        <v>386</v>
      </c>
    </row>
    <row r="21" spans="1:48" x14ac:dyDescent="0.15">
      <c r="A21" s="148" t="s">
        <v>34</v>
      </c>
      <c r="B21" s="140" t="s">
        <v>253</v>
      </c>
      <c r="C21" s="140">
        <v>2018</v>
      </c>
      <c r="D21" s="254" t="s">
        <v>565</v>
      </c>
      <c r="E21" s="165" t="s">
        <v>562</v>
      </c>
      <c r="F21" s="165" t="s">
        <v>563</v>
      </c>
      <c r="G21" s="148" t="s">
        <v>36</v>
      </c>
      <c r="H21" s="140" t="s">
        <v>155</v>
      </c>
      <c r="I21" s="148" t="s">
        <v>153</v>
      </c>
      <c r="J21" s="148" t="s">
        <v>38</v>
      </c>
      <c r="K21" s="148" t="s">
        <v>154</v>
      </c>
      <c r="L21" s="140">
        <v>2</v>
      </c>
      <c r="N21" s="140">
        <v>1</v>
      </c>
      <c r="O21" s="140">
        <v>0.85</v>
      </c>
      <c r="P21" s="140">
        <v>0.6</v>
      </c>
      <c r="Q21" s="173">
        <f t="shared" si="0"/>
        <v>0.72499999999999998</v>
      </c>
      <c r="R21" s="140">
        <v>13.9</v>
      </c>
      <c r="S21" s="140">
        <v>139</v>
      </c>
      <c r="T21" s="149">
        <f t="shared" si="1"/>
        <v>30</v>
      </c>
      <c r="U21" s="140">
        <v>106</v>
      </c>
      <c r="V21" s="149">
        <f t="shared" si="2"/>
        <v>3180</v>
      </c>
      <c r="W21" s="140">
        <v>2</v>
      </c>
      <c r="X21" s="148" t="s">
        <v>46</v>
      </c>
      <c r="Y21" s="148" t="s">
        <v>84</v>
      </c>
      <c r="Z21" s="148" t="s">
        <v>90</v>
      </c>
      <c r="AA21" s="148" t="s">
        <v>69</v>
      </c>
      <c r="AB21" s="148" t="s">
        <v>255</v>
      </c>
      <c r="AP21" s="167" t="s">
        <v>114</v>
      </c>
      <c r="AR21" s="166" t="s">
        <v>68</v>
      </c>
      <c r="AV21" s="160" t="s">
        <v>520</v>
      </c>
    </row>
    <row r="22" spans="1:48" x14ac:dyDescent="0.15">
      <c r="A22" s="148" t="s">
        <v>34</v>
      </c>
      <c r="B22" s="140" t="s">
        <v>253</v>
      </c>
      <c r="C22" s="140">
        <v>2018</v>
      </c>
      <c r="D22" s="254" t="s">
        <v>565</v>
      </c>
      <c r="E22" s="165" t="s">
        <v>562</v>
      </c>
      <c r="F22" s="165" t="s">
        <v>563</v>
      </c>
      <c r="G22" s="148" t="s">
        <v>36</v>
      </c>
      <c r="H22" s="140" t="s">
        <v>155</v>
      </c>
      <c r="I22" s="148" t="s">
        <v>153</v>
      </c>
      <c r="J22" s="148" t="s">
        <v>38</v>
      </c>
      <c r="K22" s="148" t="s">
        <v>154</v>
      </c>
      <c r="L22" s="140">
        <v>3</v>
      </c>
      <c r="N22" s="140">
        <v>1</v>
      </c>
      <c r="O22" s="140">
        <v>0.8</v>
      </c>
      <c r="P22" s="140">
        <v>0.9</v>
      </c>
      <c r="Q22" s="173">
        <f t="shared" si="0"/>
        <v>0.85000000000000009</v>
      </c>
      <c r="R22" s="140">
        <v>14.5</v>
      </c>
      <c r="S22" s="140">
        <v>138</v>
      </c>
      <c r="T22" s="149">
        <f t="shared" si="1"/>
        <v>30</v>
      </c>
      <c r="U22" s="140">
        <v>106</v>
      </c>
      <c r="V22" s="149">
        <f t="shared" si="2"/>
        <v>3180</v>
      </c>
      <c r="W22" s="140">
        <v>2</v>
      </c>
      <c r="X22" s="148" t="s">
        <v>46</v>
      </c>
      <c r="Y22" s="148" t="s">
        <v>84</v>
      </c>
      <c r="Z22" s="148" t="s">
        <v>90</v>
      </c>
      <c r="AA22" s="148" t="s">
        <v>69</v>
      </c>
      <c r="AB22" s="148" t="s">
        <v>255</v>
      </c>
      <c r="AP22" s="167" t="s">
        <v>115</v>
      </c>
      <c r="AR22" s="166" t="s">
        <v>83</v>
      </c>
      <c r="AV22" s="160"/>
    </row>
    <row r="23" spans="1:48" x14ac:dyDescent="0.15">
      <c r="A23" s="148" t="s">
        <v>34</v>
      </c>
      <c r="B23" s="140" t="s">
        <v>253</v>
      </c>
      <c r="C23" s="140">
        <v>2018</v>
      </c>
      <c r="D23" s="254" t="s">
        <v>565</v>
      </c>
      <c r="E23" s="165" t="s">
        <v>562</v>
      </c>
      <c r="F23" s="165" t="s">
        <v>563</v>
      </c>
      <c r="G23" s="148" t="s">
        <v>36</v>
      </c>
      <c r="H23" s="140" t="s">
        <v>155</v>
      </c>
      <c r="I23" s="148" t="s">
        <v>153</v>
      </c>
      <c r="J23" s="148" t="s">
        <v>38</v>
      </c>
      <c r="K23" s="148" t="s">
        <v>154</v>
      </c>
      <c r="L23" s="148">
        <v>1</v>
      </c>
      <c r="N23" s="140">
        <v>5</v>
      </c>
      <c r="O23" s="140">
        <v>0.2</v>
      </c>
      <c r="P23" s="140">
        <v>0.2</v>
      </c>
      <c r="Q23" s="173">
        <f t="shared" si="0"/>
        <v>0.2</v>
      </c>
      <c r="R23" s="140">
        <v>12.6</v>
      </c>
      <c r="S23" s="140">
        <v>87</v>
      </c>
      <c r="T23" s="149">
        <f t="shared" si="1"/>
        <v>36</v>
      </c>
      <c r="U23" s="140">
        <v>319</v>
      </c>
      <c r="V23" s="149">
        <f t="shared" si="2"/>
        <v>2296.7999999999997</v>
      </c>
      <c r="W23" s="140">
        <v>2</v>
      </c>
      <c r="X23" s="148" t="s">
        <v>46</v>
      </c>
      <c r="Y23" s="148" t="s">
        <v>84</v>
      </c>
      <c r="Z23" s="148" t="s">
        <v>90</v>
      </c>
      <c r="AA23" s="148" t="s">
        <v>69</v>
      </c>
      <c r="AB23" s="148" t="s">
        <v>255</v>
      </c>
      <c r="AP23" s="167" t="s">
        <v>117</v>
      </c>
      <c r="AR23" s="166" t="s">
        <v>238</v>
      </c>
    </row>
    <row r="24" spans="1:48" x14ac:dyDescent="0.15">
      <c r="A24" s="148" t="s">
        <v>34</v>
      </c>
      <c r="B24" s="140" t="s">
        <v>253</v>
      </c>
      <c r="C24" s="140">
        <v>2018</v>
      </c>
      <c r="D24" s="254" t="s">
        <v>565</v>
      </c>
      <c r="E24" s="165" t="s">
        <v>562</v>
      </c>
      <c r="F24" s="165" t="s">
        <v>563</v>
      </c>
      <c r="G24" s="148" t="s">
        <v>36</v>
      </c>
      <c r="H24" s="140" t="s">
        <v>155</v>
      </c>
      <c r="I24" s="148" t="s">
        <v>153</v>
      </c>
      <c r="J24" s="148" t="s">
        <v>38</v>
      </c>
      <c r="K24" s="148" t="s">
        <v>154</v>
      </c>
      <c r="L24" s="140">
        <v>2</v>
      </c>
      <c r="N24" s="140">
        <v>5</v>
      </c>
      <c r="O24" s="140">
        <v>0.7</v>
      </c>
      <c r="P24" s="140">
        <v>0.7</v>
      </c>
      <c r="Q24" s="173">
        <f t="shared" si="0"/>
        <v>0.7</v>
      </c>
      <c r="R24" s="140">
        <v>14.3</v>
      </c>
      <c r="S24" s="140">
        <v>85</v>
      </c>
      <c r="T24" s="149">
        <f t="shared" si="1"/>
        <v>36</v>
      </c>
      <c r="U24" s="140">
        <v>319</v>
      </c>
      <c r="V24" s="149">
        <f t="shared" si="2"/>
        <v>2296.7999999999997</v>
      </c>
      <c r="W24" s="140">
        <v>2</v>
      </c>
      <c r="X24" s="148" t="s">
        <v>46</v>
      </c>
      <c r="Y24" s="148" t="s">
        <v>84</v>
      </c>
      <c r="Z24" s="148" t="s">
        <v>90</v>
      </c>
      <c r="AA24" s="148" t="s">
        <v>69</v>
      </c>
      <c r="AB24" s="148" t="s">
        <v>255</v>
      </c>
      <c r="AP24" s="167" t="s">
        <v>118</v>
      </c>
    </row>
    <row r="25" spans="1:48" x14ac:dyDescent="0.15">
      <c r="A25" s="148" t="s">
        <v>34</v>
      </c>
      <c r="B25" s="140" t="s">
        <v>253</v>
      </c>
      <c r="C25" s="140">
        <v>2018</v>
      </c>
      <c r="D25" s="254" t="s">
        <v>565</v>
      </c>
      <c r="E25" s="165" t="s">
        <v>562</v>
      </c>
      <c r="F25" s="165" t="s">
        <v>563</v>
      </c>
      <c r="G25" s="148" t="s">
        <v>36</v>
      </c>
      <c r="H25" s="140" t="s">
        <v>155</v>
      </c>
      <c r="I25" s="148" t="s">
        <v>153</v>
      </c>
      <c r="J25" s="148" t="s">
        <v>38</v>
      </c>
      <c r="K25" s="148" t="s">
        <v>154</v>
      </c>
      <c r="L25" s="140">
        <v>3</v>
      </c>
      <c r="N25" s="140">
        <v>5</v>
      </c>
      <c r="O25" s="140">
        <v>0.55000000000000004</v>
      </c>
      <c r="P25" s="140">
        <v>0.2</v>
      </c>
      <c r="Q25" s="173">
        <f t="shared" si="0"/>
        <v>0.375</v>
      </c>
      <c r="R25" s="140">
        <v>13.4</v>
      </c>
      <c r="S25" s="140">
        <v>82</v>
      </c>
      <c r="T25" s="149">
        <f t="shared" si="1"/>
        <v>39</v>
      </c>
      <c r="U25" s="140">
        <v>319</v>
      </c>
      <c r="V25" s="149">
        <f t="shared" si="2"/>
        <v>2488.1999999999998</v>
      </c>
      <c r="W25" s="140">
        <v>2</v>
      </c>
      <c r="X25" s="148" t="s">
        <v>46</v>
      </c>
      <c r="Y25" s="148" t="s">
        <v>84</v>
      </c>
      <c r="Z25" s="148" t="s">
        <v>90</v>
      </c>
      <c r="AA25" s="148" t="s">
        <v>69</v>
      </c>
      <c r="AB25" s="148" t="s">
        <v>255</v>
      </c>
    </row>
    <row r="26" spans="1:48" x14ac:dyDescent="0.15">
      <c r="A26" s="148" t="s">
        <v>34</v>
      </c>
      <c r="B26" s="140" t="s">
        <v>253</v>
      </c>
      <c r="C26" s="140">
        <v>2018</v>
      </c>
      <c r="D26" s="254" t="s">
        <v>565</v>
      </c>
      <c r="E26" s="165" t="s">
        <v>559</v>
      </c>
      <c r="F26" s="165" t="s">
        <v>560</v>
      </c>
      <c r="G26" s="148" t="s">
        <v>36</v>
      </c>
      <c r="H26" s="140" t="s">
        <v>155</v>
      </c>
      <c r="I26" s="148" t="s">
        <v>153</v>
      </c>
      <c r="J26" s="148" t="s">
        <v>38</v>
      </c>
      <c r="K26" s="148" t="s">
        <v>154</v>
      </c>
      <c r="L26" s="148">
        <v>1</v>
      </c>
      <c r="N26" s="140">
        <v>1</v>
      </c>
      <c r="O26" s="140">
        <v>0.75</v>
      </c>
      <c r="P26" s="140">
        <v>0.7</v>
      </c>
      <c r="Q26" s="173">
        <f t="shared" si="0"/>
        <v>0.72499999999999998</v>
      </c>
      <c r="R26" s="140">
        <v>13.3</v>
      </c>
      <c r="S26" s="140">
        <v>128</v>
      </c>
      <c r="T26" s="149">
        <f t="shared" si="1"/>
        <v>30</v>
      </c>
      <c r="U26" s="140">
        <v>116</v>
      </c>
      <c r="V26" s="149">
        <f t="shared" si="2"/>
        <v>3480</v>
      </c>
      <c r="W26" s="140">
        <v>2</v>
      </c>
      <c r="X26" s="148" t="s">
        <v>46</v>
      </c>
      <c r="Y26" s="148" t="s">
        <v>84</v>
      </c>
      <c r="Z26" s="148" t="s">
        <v>90</v>
      </c>
      <c r="AA26" s="148" t="s">
        <v>50</v>
      </c>
      <c r="AB26" s="148" t="s">
        <v>255</v>
      </c>
    </row>
    <row r="27" spans="1:48" x14ac:dyDescent="0.15">
      <c r="A27" s="148" t="s">
        <v>34</v>
      </c>
      <c r="B27" s="140" t="s">
        <v>253</v>
      </c>
      <c r="C27" s="140">
        <v>2018</v>
      </c>
      <c r="D27" s="254" t="s">
        <v>565</v>
      </c>
      <c r="E27" s="165" t="s">
        <v>559</v>
      </c>
      <c r="F27" s="165" t="s">
        <v>560</v>
      </c>
      <c r="G27" s="148" t="s">
        <v>36</v>
      </c>
      <c r="H27" s="140" t="s">
        <v>155</v>
      </c>
      <c r="I27" s="148" t="s">
        <v>153</v>
      </c>
      <c r="J27" s="148" t="s">
        <v>38</v>
      </c>
      <c r="K27" s="148" t="s">
        <v>154</v>
      </c>
      <c r="L27" s="140">
        <v>2</v>
      </c>
      <c r="N27" s="140">
        <v>1</v>
      </c>
      <c r="O27" s="140">
        <v>0.65</v>
      </c>
      <c r="P27" s="140">
        <v>0.7</v>
      </c>
      <c r="Q27" s="173">
        <f t="shared" si="0"/>
        <v>0.67500000000000004</v>
      </c>
      <c r="R27" s="140">
        <v>14.1</v>
      </c>
      <c r="S27" s="140">
        <v>128</v>
      </c>
      <c r="T27" s="149">
        <f t="shared" si="1"/>
        <v>30</v>
      </c>
      <c r="U27" s="140">
        <v>116</v>
      </c>
      <c r="V27" s="149">
        <f t="shared" si="2"/>
        <v>3480</v>
      </c>
      <c r="W27" s="140">
        <v>2</v>
      </c>
      <c r="X27" s="148" t="s">
        <v>46</v>
      </c>
      <c r="Y27" s="148" t="s">
        <v>84</v>
      </c>
      <c r="Z27" s="148" t="s">
        <v>90</v>
      </c>
      <c r="AA27" s="148" t="s">
        <v>50</v>
      </c>
      <c r="AB27" s="148" t="s">
        <v>255</v>
      </c>
    </row>
    <row r="28" spans="1:48" x14ac:dyDescent="0.15">
      <c r="A28" s="148" t="s">
        <v>34</v>
      </c>
      <c r="B28" s="140" t="s">
        <v>253</v>
      </c>
      <c r="C28" s="140">
        <v>2018</v>
      </c>
      <c r="D28" s="254" t="s">
        <v>565</v>
      </c>
      <c r="E28" s="165" t="s">
        <v>559</v>
      </c>
      <c r="F28" s="165" t="s">
        <v>560</v>
      </c>
      <c r="G28" s="148" t="s">
        <v>36</v>
      </c>
      <c r="H28" s="140" t="s">
        <v>155</v>
      </c>
      <c r="I28" s="148" t="s">
        <v>153</v>
      </c>
      <c r="J28" s="148" t="s">
        <v>38</v>
      </c>
      <c r="K28" s="148" t="s">
        <v>154</v>
      </c>
      <c r="L28" s="140">
        <v>3</v>
      </c>
      <c r="N28" s="140">
        <v>1</v>
      </c>
      <c r="O28" s="140">
        <v>0.95</v>
      </c>
      <c r="P28" s="140">
        <v>0.7</v>
      </c>
      <c r="Q28" s="173">
        <f t="shared" si="0"/>
        <v>0.82499999999999996</v>
      </c>
      <c r="R28" s="140">
        <v>14</v>
      </c>
      <c r="S28" s="140">
        <v>132</v>
      </c>
      <c r="T28" s="149">
        <f t="shared" si="1"/>
        <v>30</v>
      </c>
      <c r="U28" s="140">
        <v>116</v>
      </c>
      <c r="V28" s="149">
        <f t="shared" si="2"/>
        <v>3480</v>
      </c>
      <c r="W28" s="140">
        <v>2</v>
      </c>
      <c r="X28" s="148" t="s">
        <v>46</v>
      </c>
      <c r="Y28" s="148" t="s">
        <v>84</v>
      </c>
      <c r="Z28" s="148" t="s">
        <v>90</v>
      </c>
      <c r="AA28" s="148" t="s">
        <v>50</v>
      </c>
      <c r="AB28" s="148" t="s">
        <v>255</v>
      </c>
    </row>
    <row r="29" spans="1:48" x14ac:dyDescent="0.15">
      <c r="A29" s="148" t="s">
        <v>34</v>
      </c>
      <c r="B29" s="140" t="s">
        <v>253</v>
      </c>
      <c r="C29" s="140">
        <v>2018</v>
      </c>
      <c r="D29" s="254" t="s">
        <v>565</v>
      </c>
      <c r="E29" s="165" t="s">
        <v>559</v>
      </c>
      <c r="F29" s="165" t="s">
        <v>560</v>
      </c>
      <c r="G29" s="148" t="s">
        <v>36</v>
      </c>
      <c r="H29" s="140" t="s">
        <v>158</v>
      </c>
      <c r="I29" s="148" t="s">
        <v>153</v>
      </c>
      <c r="J29" s="148" t="s">
        <v>38</v>
      </c>
      <c r="K29" s="148" t="s">
        <v>154</v>
      </c>
      <c r="L29" s="148">
        <v>1</v>
      </c>
      <c r="N29" s="140">
        <v>1</v>
      </c>
      <c r="O29" s="140">
        <v>0.2</v>
      </c>
      <c r="P29" s="140">
        <v>0.2</v>
      </c>
      <c r="Q29" s="173">
        <f t="shared" si="0"/>
        <v>0.2</v>
      </c>
      <c r="R29" s="140">
        <v>14.9</v>
      </c>
      <c r="S29" s="140">
        <v>137</v>
      </c>
      <c r="T29" s="149">
        <f t="shared" si="1"/>
        <v>30</v>
      </c>
      <c r="U29" s="140">
        <v>116</v>
      </c>
      <c r="V29" s="149">
        <f t="shared" si="2"/>
        <v>3480</v>
      </c>
      <c r="W29" s="140">
        <v>2</v>
      </c>
      <c r="X29" s="148" t="s">
        <v>46</v>
      </c>
      <c r="Y29" s="148" t="s">
        <v>84</v>
      </c>
      <c r="Z29" s="148" t="s">
        <v>90</v>
      </c>
      <c r="AA29" s="148" t="s">
        <v>50</v>
      </c>
      <c r="AB29" s="148" t="s">
        <v>255</v>
      </c>
    </row>
    <row r="30" spans="1:48" x14ac:dyDescent="0.15">
      <c r="A30" s="148" t="s">
        <v>34</v>
      </c>
      <c r="B30" s="140" t="s">
        <v>253</v>
      </c>
      <c r="C30" s="140">
        <v>2018</v>
      </c>
      <c r="D30" s="254" t="s">
        <v>565</v>
      </c>
      <c r="E30" s="165" t="s">
        <v>559</v>
      </c>
      <c r="F30" s="165" t="s">
        <v>560</v>
      </c>
      <c r="G30" s="148" t="s">
        <v>36</v>
      </c>
      <c r="H30" s="140" t="s">
        <v>158</v>
      </c>
      <c r="I30" s="148" t="s">
        <v>153</v>
      </c>
      <c r="J30" s="148" t="s">
        <v>38</v>
      </c>
      <c r="K30" s="148" t="s">
        <v>154</v>
      </c>
      <c r="L30" s="140">
        <v>2</v>
      </c>
      <c r="N30" s="140">
        <v>1</v>
      </c>
      <c r="O30" s="140">
        <v>0.5</v>
      </c>
      <c r="P30" s="140">
        <v>0.2</v>
      </c>
      <c r="Q30" s="173">
        <f t="shared" si="0"/>
        <v>0.35</v>
      </c>
      <c r="R30" s="140">
        <v>14</v>
      </c>
      <c r="S30" s="140">
        <v>135</v>
      </c>
      <c r="T30" s="149">
        <f t="shared" si="1"/>
        <v>30</v>
      </c>
      <c r="U30" s="140">
        <v>116</v>
      </c>
      <c r="V30" s="149">
        <f t="shared" si="2"/>
        <v>3480</v>
      </c>
      <c r="W30" s="140">
        <v>2</v>
      </c>
      <c r="X30" s="148" t="s">
        <v>46</v>
      </c>
      <c r="Y30" s="148" t="s">
        <v>84</v>
      </c>
      <c r="Z30" s="148" t="s">
        <v>90</v>
      </c>
      <c r="AA30" s="148" t="s">
        <v>50</v>
      </c>
      <c r="AB30" s="148" t="s">
        <v>255</v>
      </c>
    </row>
    <row r="31" spans="1:48" x14ac:dyDescent="0.15">
      <c r="A31" s="148" t="s">
        <v>34</v>
      </c>
      <c r="B31" s="140" t="s">
        <v>253</v>
      </c>
      <c r="C31" s="140">
        <v>2018</v>
      </c>
      <c r="D31" s="254" t="s">
        <v>565</v>
      </c>
      <c r="E31" s="165" t="s">
        <v>559</v>
      </c>
      <c r="F31" s="165" t="s">
        <v>560</v>
      </c>
      <c r="G31" s="148" t="s">
        <v>36</v>
      </c>
      <c r="H31" s="140" t="s">
        <v>158</v>
      </c>
      <c r="I31" s="148" t="s">
        <v>153</v>
      </c>
      <c r="J31" s="148" t="s">
        <v>38</v>
      </c>
      <c r="K31" s="148" t="s">
        <v>154</v>
      </c>
      <c r="L31" s="140">
        <v>3</v>
      </c>
      <c r="N31" s="140">
        <v>1</v>
      </c>
      <c r="O31" s="140">
        <v>0.2</v>
      </c>
      <c r="P31" s="140">
        <v>0.2</v>
      </c>
      <c r="Q31" s="173">
        <f t="shared" si="0"/>
        <v>0.2</v>
      </c>
      <c r="R31" s="140">
        <v>15</v>
      </c>
      <c r="S31" s="140">
        <v>146</v>
      </c>
      <c r="T31" s="149">
        <f t="shared" si="1"/>
        <v>30</v>
      </c>
      <c r="U31" s="140">
        <v>116</v>
      </c>
      <c r="V31" s="149">
        <f t="shared" si="2"/>
        <v>3480</v>
      </c>
      <c r="W31" s="140">
        <v>2</v>
      </c>
      <c r="X31" s="148" t="s">
        <v>46</v>
      </c>
      <c r="Y31" s="148" t="s">
        <v>84</v>
      </c>
      <c r="Z31" s="148" t="s">
        <v>90</v>
      </c>
      <c r="AA31" s="148" t="s">
        <v>50</v>
      </c>
      <c r="AB31" s="148" t="s">
        <v>255</v>
      </c>
    </row>
    <row r="32" spans="1:48" x14ac:dyDescent="0.15">
      <c r="A32" s="148" t="s">
        <v>34</v>
      </c>
      <c r="B32" s="140" t="s">
        <v>253</v>
      </c>
      <c r="C32" s="140">
        <v>2018</v>
      </c>
      <c r="D32" s="254" t="s">
        <v>565</v>
      </c>
      <c r="E32" s="165" t="s">
        <v>161</v>
      </c>
      <c r="F32" s="165" t="s">
        <v>564</v>
      </c>
      <c r="G32" s="148" t="s">
        <v>36</v>
      </c>
      <c r="H32" s="140" t="s">
        <v>155</v>
      </c>
      <c r="I32" s="148" t="s">
        <v>153</v>
      </c>
      <c r="J32" s="148" t="s">
        <v>38</v>
      </c>
      <c r="K32" s="148" t="s">
        <v>154</v>
      </c>
      <c r="L32" s="148">
        <v>1</v>
      </c>
      <c r="N32" s="140">
        <v>1</v>
      </c>
      <c r="O32" s="140">
        <v>0.45</v>
      </c>
      <c r="P32" s="140">
        <v>0.2</v>
      </c>
      <c r="Q32" s="173">
        <f t="shared" si="0"/>
        <v>0.32500000000000001</v>
      </c>
      <c r="R32" s="140">
        <v>13.9</v>
      </c>
      <c r="S32" s="140">
        <v>143</v>
      </c>
      <c r="T32" s="149">
        <f t="shared" si="1"/>
        <v>30</v>
      </c>
      <c r="U32" s="140">
        <v>137</v>
      </c>
      <c r="V32" s="149">
        <f t="shared" si="2"/>
        <v>4110</v>
      </c>
      <c r="W32" s="140">
        <v>2</v>
      </c>
      <c r="X32" s="148" t="s">
        <v>46</v>
      </c>
      <c r="Y32" s="148" t="s">
        <v>84</v>
      </c>
      <c r="Z32" s="148" t="s">
        <v>69</v>
      </c>
      <c r="AA32" s="148" t="s">
        <v>50</v>
      </c>
      <c r="AB32" s="148" t="s">
        <v>255</v>
      </c>
    </row>
    <row r="33" spans="1:28" x14ac:dyDescent="0.15">
      <c r="A33" s="148" t="s">
        <v>34</v>
      </c>
      <c r="B33" s="140" t="s">
        <v>253</v>
      </c>
      <c r="C33" s="140">
        <v>2018</v>
      </c>
      <c r="D33" s="254" t="s">
        <v>565</v>
      </c>
      <c r="E33" s="165" t="s">
        <v>161</v>
      </c>
      <c r="F33" s="165" t="s">
        <v>564</v>
      </c>
      <c r="G33" s="148" t="s">
        <v>36</v>
      </c>
      <c r="H33" s="140" t="s">
        <v>155</v>
      </c>
      <c r="I33" s="148" t="s">
        <v>153</v>
      </c>
      <c r="J33" s="148" t="s">
        <v>38</v>
      </c>
      <c r="K33" s="148" t="s">
        <v>154</v>
      </c>
      <c r="L33" s="140">
        <v>2</v>
      </c>
      <c r="N33" s="140">
        <v>1</v>
      </c>
      <c r="O33" s="140">
        <v>0.5</v>
      </c>
      <c r="P33" s="140">
        <v>0.55000000000000004</v>
      </c>
      <c r="Q33" s="173">
        <f t="shared" si="0"/>
        <v>0.52500000000000002</v>
      </c>
      <c r="R33" s="140">
        <v>14.4</v>
      </c>
      <c r="S33" s="140">
        <v>140</v>
      </c>
      <c r="T33" s="149">
        <f t="shared" si="1"/>
        <v>30</v>
      </c>
      <c r="U33" s="140">
        <v>137</v>
      </c>
      <c r="V33" s="149">
        <f t="shared" si="2"/>
        <v>4110</v>
      </c>
      <c r="W33" s="140">
        <v>2</v>
      </c>
      <c r="X33" s="148" t="s">
        <v>46</v>
      </c>
      <c r="Y33" s="148" t="s">
        <v>84</v>
      </c>
      <c r="Z33" s="148" t="s">
        <v>69</v>
      </c>
      <c r="AA33" s="148" t="s">
        <v>50</v>
      </c>
      <c r="AB33" s="148" t="s">
        <v>255</v>
      </c>
    </row>
    <row r="34" spans="1:28" x14ac:dyDescent="0.15">
      <c r="A34" s="148" t="s">
        <v>34</v>
      </c>
      <c r="B34" s="140" t="s">
        <v>253</v>
      </c>
      <c r="C34" s="140">
        <v>2018</v>
      </c>
      <c r="D34" s="254" t="s">
        <v>565</v>
      </c>
      <c r="E34" s="165" t="s">
        <v>161</v>
      </c>
      <c r="F34" s="165" t="s">
        <v>564</v>
      </c>
      <c r="G34" s="148" t="s">
        <v>36</v>
      </c>
      <c r="H34" s="140" t="s">
        <v>155</v>
      </c>
      <c r="I34" s="148" t="s">
        <v>153</v>
      </c>
      <c r="J34" s="148" t="s">
        <v>38</v>
      </c>
      <c r="K34" s="148" t="s">
        <v>154</v>
      </c>
      <c r="L34" s="140">
        <v>3</v>
      </c>
      <c r="N34" s="140">
        <v>1</v>
      </c>
      <c r="O34" s="140">
        <v>0.2</v>
      </c>
      <c r="P34" s="140">
        <v>0.45</v>
      </c>
      <c r="Q34" s="173">
        <f>IF(OR(O34="",P34=""),"",AVERAGE(O34,P34))</f>
        <v>0.32500000000000001</v>
      </c>
      <c r="R34" s="140">
        <v>11.8</v>
      </c>
      <c r="S34" s="140">
        <v>133</v>
      </c>
      <c r="T34" s="149">
        <f t="shared" si="1"/>
        <v>30</v>
      </c>
      <c r="U34" s="140">
        <v>137</v>
      </c>
      <c r="V34" s="149">
        <f t="shared" si="2"/>
        <v>4110</v>
      </c>
      <c r="W34" s="140">
        <v>2</v>
      </c>
      <c r="X34" s="148" t="s">
        <v>46</v>
      </c>
      <c r="Y34" s="148" t="s">
        <v>84</v>
      </c>
      <c r="Z34" s="148" t="s">
        <v>69</v>
      </c>
      <c r="AA34" s="148" t="s">
        <v>50</v>
      </c>
      <c r="AB34" s="148" t="s">
        <v>255</v>
      </c>
    </row>
    <row r="35" spans="1:28" x14ac:dyDescent="0.15">
      <c r="A35" s="148" t="s">
        <v>34</v>
      </c>
      <c r="B35" s="140" t="s">
        <v>253</v>
      </c>
      <c r="C35" s="140">
        <v>2018</v>
      </c>
      <c r="D35" s="254" t="s">
        <v>565</v>
      </c>
      <c r="E35" s="165" t="s">
        <v>161</v>
      </c>
      <c r="F35" s="165" t="s">
        <v>564</v>
      </c>
      <c r="G35" s="148" t="s">
        <v>36</v>
      </c>
      <c r="H35" s="140" t="s">
        <v>155</v>
      </c>
      <c r="I35" s="148" t="s">
        <v>153</v>
      </c>
      <c r="J35" s="148" t="s">
        <v>38</v>
      </c>
      <c r="K35" s="148" t="s">
        <v>154</v>
      </c>
      <c r="L35" s="148">
        <v>1</v>
      </c>
      <c r="N35" s="140">
        <v>4</v>
      </c>
      <c r="O35" s="140">
        <v>0.65</v>
      </c>
      <c r="P35" s="140">
        <v>0.6</v>
      </c>
      <c r="Q35" s="173">
        <f t="shared" ref="Q35:Q36" si="3">IF(OR(O35="",P35=""),"",AVERAGE(O35,P35))</f>
        <v>0.625</v>
      </c>
      <c r="R35" s="140">
        <v>14.1</v>
      </c>
      <c r="S35" s="140">
        <v>125</v>
      </c>
      <c r="T35" s="149">
        <f t="shared" si="1"/>
        <v>30</v>
      </c>
      <c r="U35" s="140">
        <v>515</v>
      </c>
      <c r="V35" s="149">
        <f t="shared" si="2"/>
        <v>3862.5</v>
      </c>
      <c r="W35" s="140">
        <v>2</v>
      </c>
      <c r="X35" s="148" t="s">
        <v>46</v>
      </c>
      <c r="Y35" s="148" t="s">
        <v>84</v>
      </c>
      <c r="Z35" s="148" t="s">
        <v>69</v>
      </c>
      <c r="AA35" s="148" t="s">
        <v>50</v>
      </c>
      <c r="AB35" s="148" t="s">
        <v>255</v>
      </c>
    </row>
    <row r="36" spans="1:28" x14ac:dyDescent="0.15">
      <c r="A36" s="148" t="s">
        <v>34</v>
      </c>
      <c r="B36" s="140" t="s">
        <v>253</v>
      </c>
      <c r="C36" s="140">
        <v>2018</v>
      </c>
      <c r="D36" s="254" t="s">
        <v>565</v>
      </c>
      <c r="E36" s="165" t="s">
        <v>161</v>
      </c>
      <c r="F36" s="165" t="s">
        <v>564</v>
      </c>
      <c r="G36" s="148" t="s">
        <v>36</v>
      </c>
      <c r="H36" s="140" t="s">
        <v>155</v>
      </c>
      <c r="I36" s="148" t="s">
        <v>153</v>
      </c>
      <c r="J36" s="148" t="s">
        <v>38</v>
      </c>
      <c r="K36" s="148" t="s">
        <v>154</v>
      </c>
      <c r="L36" s="140">
        <v>2</v>
      </c>
      <c r="N36" s="140">
        <v>4</v>
      </c>
      <c r="O36" s="140">
        <v>0.8</v>
      </c>
      <c r="P36" s="140">
        <v>0.75</v>
      </c>
      <c r="Q36" s="173">
        <f t="shared" si="3"/>
        <v>0.77500000000000002</v>
      </c>
      <c r="R36" s="140">
        <v>13.9</v>
      </c>
      <c r="S36" s="140">
        <v>126</v>
      </c>
      <c r="T36" s="149">
        <f t="shared" si="1"/>
        <v>30</v>
      </c>
      <c r="U36" s="140">
        <v>515</v>
      </c>
      <c r="V36" s="149">
        <f t="shared" si="2"/>
        <v>3862.5</v>
      </c>
      <c r="W36" s="140">
        <v>2</v>
      </c>
      <c r="X36" s="148" t="s">
        <v>46</v>
      </c>
      <c r="Y36" s="148" t="s">
        <v>84</v>
      </c>
      <c r="Z36" s="148" t="s">
        <v>69</v>
      </c>
      <c r="AA36" s="148" t="s">
        <v>50</v>
      </c>
      <c r="AB36" s="148" t="s">
        <v>255</v>
      </c>
    </row>
    <row r="37" spans="1:28" x14ac:dyDescent="0.15">
      <c r="A37" s="148" t="s">
        <v>34</v>
      </c>
      <c r="B37" s="140" t="s">
        <v>253</v>
      </c>
      <c r="C37" s="140">
        <v>2018</v>
      </c>
      <c r="D37" s="254" t="s">
        <v>565</v>
      </c>
      <c r="E37" s="165" t="s">
        <v>161</v>
      </c>
      <c r="F37" s="165" t="s">
        <v>564</v>
      </c>
      <c r="G37" s="148" t="s">
        <v>36</v>
      </c>
      <c r="H37" s="140" t="s">
        <v>155</v>
      </c>
      <c r="I37" s="148" t="s">
        <v>153</v>
      </c>
      <c r="J37" s="148" t="s">
        <v>38</v>
      </c>
      <c r="K37" s="148" t="s">
        <v>154</v>
      </c>
      <c r="L37" s="140">
        <v>3</v>
      </c>
      <c r="N37" s="140">
        <v>4</v>
      </c>
      <c r="O37" s="140">
        <v>0.75</v>
      </c>
      <c r="P37" s="140">
        <v>0.7</v>
      </c>
      <c r="Q37" s="173">
        <f>IF(OR(O37="",P37=""),"",AVERAGE(O37,P37))</f>
        <v>0.72499999999999998</v>
      </c>
      <c r="R37" s="140">
        <v>13.4</v>
      </c>
      <c r="S37" s="140">
        <v>127</v>
      </c>
      <c r="T37" s="149">
        <f t="shared" si="1"/>
        <v>30</v>
      </c>
      <c r="U37" s="140">
        <v>515</v>
      </c>
      <c r="V37" s="149">
        <f t="shared" si="2"/>
        <v>3862.5</v>
      </c>
      <c r="W37" s="140">
        <v>2</v>
      </c>
      <c r="X37" s="148" t="s">
        <v>46</v>
      </c>
      <c r="Y37" s="148" t="s">
        <v>84</v>
      </c>
      <c r="Z37" s="148" t="s">
        <v>69</v>
      </c>
      <c r="AA37" s="148" t="s">
        <v>50</v>
      </c>
      <c r="AB37" s="148" t="s">
        <v>255</v>
      </c>
    </row>
    <row r="38" spans="1:28" x14ac:dyDescent="0.15">
      <c r="A38" s="148" t="s">
        <v>34</v>
      </c>
      <c r="B38" s="140" t="s">
        <v>253</v>
      </c>
      <c r="C38" s="140">
        <v>2018</v>
      </c>
      <c r="D38" s="254" t="s">
        <v>565</v>
      </c>
      <c r="E38" s="165" t="s">
        <v>161</v>
      </c>
      <c r="F38" s="165" t="s">
        <v>564</v>
      </c>
      <c r="G38" s="148" t="s">
        <v>36</v>
      </c>
      <c r="H38" s="140" t="s">
        <v>158</v>
      </c>
      <c r="I38" s="148" t="s">
        <v>153</v>
      </c>
      <c r="J38" s="148" t="s">
        <v>38</v>
      </c>
      <c r="K38" s="148" t="s">
        <v>154</v>
      </c>
      <c r="L38" s="148">
        <v>1</v>
      </c>
      <c r="N38" s="140">
        <v>1</v>
      </c>
      <c r="O38" s="140">
        <v>0.55000000000000004</v>
      </c>
      <c r="P38" s="140">
        <v>0.6</v>
      </c>
      <c r="Q38" s="173">
        <f t="shared" ref="Q38:Q39" si="4">IF(OR(O38="",P38=""),"",AVERAGE(O38,P38))</f>
        <v>0.57499999999999996</v>
      </c>
      <c r="R38" s="140">
        <v>14.4</v>
      </c>
      <c r="S38" s="140">
        <v>147</v>
      </c>
      <c r="T38" s="149">
        <f t="shared" si="1"/>
        <v>30</v>
      </c>
      <c r="U38" s="140">
        <v>137</v>
      </c>
      <c r="V38" s="149">
        <f t="shared" si="2"/>
        <v>4110</v>
      </c>
      <c r="W38" s="140">
        <v>3</v>
      </c>
      <c r="X38" s="148" t="s">
        <v>46</v>
      </c>
      <c r="Y38" s="148" t="s">
        <v>84</v>
      </c>
      <c r="Z38" s="148" t="s">
        <v>69</v>
      </c>
      <c r="AA38" s="148" t="s">
        <v>50</v>
      </c>
      <c r="AB38" s="148" t="s">
        <v>255</v>
      </c>
    </row>
    <row r="39" spans="1:28" x14ac:dyDescent="0.15">
      <c r="A39" s="148" t="s">
        <v>34</v>
      </c>
      <c r="B39" s="140" t="s">
        <v>253</v>
      </c>
      <c r="C39" s="140">
        <v>2018</v>
      </c>
      <c r="D39" s="254" t="s">
        <v>565</v>
      </c>
      <c r="E39" s="165" t="s">
        <v>161</v>
      </c>
      <c r="F39" s="165" t="s">
        <v>564</v>
      </c>
      <c r="G39" s="148" t="s">
        <v>36</v>
      </c>
      <c r="H39" s="140" t="s">
        <v>158</v>
      </c>
      <c r="I39" s="148" t="s">
        <v>153</v>
      </c>
      <c r="J39" s="148" t="s">
        <v>38</v>
      </c>
      <c r="K39" s="148" t="s">
        <v>154</v>
      </c>
      <c r="L39" s="140">
        <v>2</v>
      </c>
      <c r="N39" s="140">
        <v>1</v>
      </c>
      <c r="O39" s="140">
        <v>0.55000000000000004</v>
      </c>
      <c r="P39" s="140">
        <v>0.5</v>
      </c>
      <c r="Q39" s="173">
        <f t="shared" si="4"/>
        <v>0.52500000000000002</v>
      </c>
      <c r="R39" s="140">
        <v>14.8</v>
      </c>
      <c r="S39" s="140">
        <v>154</v>
      </c>
      <c r="T39" s="149">
        <f t="shared" si="1"/>
        <v>18</v>
      </c>
      <c r="U39" s="140">
        <v>137</v>
      </c>
      <c r="V39" s="149">
        <f t="shared" si="2"/>
        <v>2466</v>
      </c>
      <c r="W39" s="140">
        <v>3</v>
      </c>
      <c r="X39" s="148" t="s">
        <v>46</v>
      </c>
      <c r="Y39" s="148" t="s">
        <v>84</v>
      </c>
      <c r="Z39" s="148" t="s">
        <v>69</v>
      </c>
      <c r="AA39" s="148" t="s">
        <v>50</v>
      </c>
      <c r="AB39" s="148" t="s">
        <v>255</v>
      </c>
    </row>
    <row r="40" spans="1:28" x14ac:dyDescent="0.15">
      <c r="A40" s="148" t="s">
        <v>34</v>
      </c>
      <c r="B40" s="140" t="s">
        <v>253</v>
      </c>
      <c r="C40" s="140">
        <v>2018</v>
      </c>
      <c r="D40" s="254" t="s">
        <v>565</v>
      </c>
      <c r="E40" s="165" t="s">
        <v>161</v>
      </c>
      <c r="F40" s="165" t="s">
        <v>564</v>
      </c>
      <c r="G40" s="148" t="s">
        <v>36</v>
      </c>
      <c r="H40" s="140" t="s">
        <v>158</v>
      </c>
      <c r="I40" s="148" t="s">
        <v>153</v>
      </c>
      <c r="J40" s="148" t="s">
        <v>38</v>
      </c>
      <c r="K40" s="148" t="s">
        <v>154</v>
      </c>
      <c r="L40" s="140">
        <v>3</v>
      </c>
      <c r="N40" s="140">
        <v>1</v>
      </c>
      <c r="O40" s="140">
        <v>0.7</v>
      </c>
      <c r="P40" s="140">
        <v>0.7</v>
      </c>
      <c r="Q40" s="173">
        <f>IF(OR(O40="",P40=""),"",AVERAGE(O40,P40))</f>
        <v>0.7</v>
      </c>
      <c r="R40" s="140">
        <v>15.7</v>
      </c>
      <c r="S40" s="140">
        <v>150</v>
      </c>
      <c r="T40" s="149">
        <f t="shared" si="1"/>
        <v>30</v>
      </c>
      <c r="U40" s="140">
        <v>137</v>
      </c>
      <c r="V40" s="149">
        <f t="shared" si="2"/>
        <v>4110</v>
      </c>
      <c r="W40" s="140">
        <v>3</v>
      </c>
      <c r="X40" s="148" t="s">
        <v>46</v>
      </c>
      <c r="Y40" s="148" t="s">
        <v>84</v>
      </c>
      <c r="Z40" s="148" t="s">
        <v>69</v>
      </c>
      <c r="AA40" s="148" t="s">
        <v>50</v>
      </c>
      <c r="AB40" s="148" t="s">
        <v>255</v>
      </c>
    </row>
    <row r="41" spans="1:28" x14ac:dyDescent="0.15">
      <c r="A41" s="148" t="s">
        <v>34</v>
      </c>
      <c r="B41" s="140" t="s">
        <v>253</v>
      </c>
      <c r="C41" s="140">
        <v>2018</v>
      </c>
      <c r="D41" s="254" t="s">
        <v>565</v>
      </c>
      <c r="E41" s="165" t="s">
        <v>161</v>
      </c>
      <c r="F41" s="165" t="s">
        <v>564</v>
      </c>
      <c r="G41" s="148" t="s">
        <v>36</v>
      </c>
      <c r="H41" s="140" t="s">
        <v>158</v>
      </c>
      <c r="I41" s="148" t="s">
        <v>153</v>
      </c>
      <c r="J41" s="148" t="s">
        <v>38</v>
      </c>
      <c r="K41" s="148" t="s">
        <v>154</v>
      </c>
      <c r="L41" s="148">
        <v>1</v>
      </c>
      <c r="N41" s="140">
        <v>4</v>
      </c>
      <c r="O41" s="140">
        <v>0.6</v>
      </c>
      <c r="P41" s="140">
        <v>0.6</v>
      </c>
      <c r="Q41" s="173">
        <f t="shared" si="0"/>
        <v>0.6</v>
      </c>
      <c r="R41" s="140">
        <v>15.4</v>
      </c>
      <c r="S41" s="140">
        <v>132</v>
      </c>
      <c r="T41" s="149">
        <f t="shared" si="1"/>
        <v>30</v>
      </c>
      <c r="U41" s="140">
        <v>515</v>
      </c>
      <c r="V41" s="149">
        <f t="shared" si="2"/>
        <v>3862.5</v>
      </c>
      <c r="W41" s="140">
        <v>3</v>
      </c>
      <c r="X41" s="148" t="s">
        <v>46</v>
      </c>
      <c r="Y41" s="148" t="s">
        <v>84</v>
      </c>
      <c r="Z41" s="148" t="s">
        <v>69</v>
      </c>
      <c r="AA41" s="148" t="s">
        <v>50</v>
      </c>
      <c r="AB41" s="148" t="s">
        <v>255</v>
      </c>
    </row>
    <row r="42" spans="1:28" x14ac:dyDescent="0.15">
      <c r="A42" s="148" t="s">
        <v>34</v>
      </c>
      <c r="B42" s="140" t="s">
        <v>253</v>
      </c>
      <c r="C42" s="140">
        <v>2018</v>
      </c>
      <c r="D42" s="254" t="s">
        <v>565</v>
      </c>
      <c r="E42" s="165" t="s">
        <v>161</v>
      </c>
      <c r="F42" s="165" t="s">
        <v>564</v>
      </c>
      <c r="G42" s="148" t="s">
        <v>36</v>
      </c>
      <c r="H42" s="140" t="s">
        <v>158</v>
      </c>
      <c r="I42" s="148" t="s">
        <v>153</v>
      </c>
      <c r="J42" s="148" t="s">
        <v>38</v>
      </c>
      <c r="K42" s="148" t="s">
        <v>154</v>
      </c>
      <c r="L42" s="140">
        <v>2</v>
      </c>
      <c r="N42" s="140">
        <v>4</v>
      </c>
      <c r="O42" s="140">
        <v>0.7</v>
      </c>
      <c r="P42" s="140">
        <v>0.75</v>
      </c>
      <c r="Q42" s="173">
        <f t="shared" si="0"/>
        <v>0.72499999999999998</v>
      </c>
      <c r="R42" s="140">
        <v>10.3</v>
      </c>
      <c r="S42" s="140">
        <v>125</v>
      </c>
      <c r="T42" s="149">
        <f t="shared" si="1"/>
        <v>30</v>
      </c>
      <c r="U42" s="140">
        <v>515</v>
      </c>
      <c r="V42" s="149">
        <f t="shared" si="2"/>
        <v>3862.5</v>
      </c>
      <c r="W42" s="140">
        <v>3</v>
      </c>
      <c r="X42" s="148" t="s">
        <v>46</v>
      </c>
      <c r="Y42" s="148" t="s">
        <v>84</v>
      </c>
      <c r="Z42" s="148" t="s">
        <v>69</v>
      </c>
      <c r="AA42" s="148" t="s">
        <v>50</v>
      </c>
      <c r="AB42" s="148" t="s">
        <v>255</v>
      </c>
    </row>
    <row r="43" spans="1:28" x14ac:dyDescent="0.15">
      <c r="A43" s="148" t="s">
        <v>34</v>
      </c>
      <c r="B43" s="140" t="s">
        <v>253</v>
      </c>
      <c r="C43" s="140">
        <v>2018</v>
      </c>
      <c r="D43" s="254" t="s">
        <v>565</v>
      </c>
      <c r="E43" s="165" t="s">
        <v>161</v>
      </c>
      <c r="F43" s="165" t="s">
        <v>564</v>
      </c>
      <c r="G43" s="148" t="s">
        <v>36</v>
      </c>
      <c r="H43" s="140" t="s">
        <v>158</v>
      </c>
      <c r="I43" s="148" t="s">
        <v>153</v>
      </c>
      <c r="J43" s="148" t="s">
        <v>38</v>
      </c>
      <c r="K43" s="148" t="s">
        <v>154</v>
      </c>
      <c r="L43" s="140">
        <v>3</v>
      </c>
      <c r="N43" s="140">
        <v>4</v>
      </c>
      <c r="O43" s="140">
        <v>0.6</v>
      </c>
      <c r="P43" s="140">
        <v>0.65</v>
      </c>
      <c r="Q43" s="173">
        <f t="shared" si="0"/>
        <v>0.625</v>
      </c>
      <c r="R43" s="140">
        <v>14.5</v>
      </c>
      <c r="S43" s="140">
        <v>126</v>
      </c>
      <c r="T43" s="149">
        <f t="shared" si="1"/>
        <v>30</v>
      </c>
      <c r="U43" s="140">
        <v>515</v>
      </c>
      <c r="V43" s="149">
        <f t="shared" si="2"/>
        <v>3862.5</v>
      </c>
      <c r="W43" s="140">
        <v>3</v>
      </c>
      <c r="X43" s="148" t="s">
        <v>46</v>
      </c>
      <c r="Y43" s="148" t="s">
        <v>84</v>
      </c>
      <c r="Z43" s="148" t="s">
        <v>69</v>
      </c>
      <c r="AA43" s="148" t="s">
        <v>50</v>
      </c>
      <c r="AB43" s="148" t="s">
        <v>255</v>
      </c>
    </row>
    <row r="44" spans="1:28" x14ac:dyDescent="0.15">
      <c r="A44" s="148" t="s">
        <v>34</v>
      </c>
      <c r="B44" s="140" t="s">
        <v>253</v>
      </c>
      <c r="C44" s="140">
        <v>2018</v>
      </c>
      <c r="D44" s="254" t="s">
        <v>565</v>
      </c>
      <c r="E44" s="165" t="s">
        <v>518</v>
      </c>
      <c r="F44" s="165" t="s">
        <v>538</v>
      </c>
      <c r="G44" s="148" t="s">
        <v>36</v>
      </c>
      <c r="H44" s="140" t="s">
        <v>155</v>
      </c>
      <c r="I44" s="148" t="s">
        <v>153</v>
      </c>
      <c r="J44" s="148" t="s">
        <v>38</v>
      </c>
      <c r="K44" s="148" t="s">
        <v>154</v>
      </c>
      <c r="L44" s="148">
        <v>1</v>
      </c>
      <c r="N44" s="140">
        <v>1</v>
      </c>
      <c r="O44" s="140">
        <v>1.05</v>
      </c>
      <c r="P44" s="140">
        <v>0.85</v>
      </c>
      <c r="Q44" s="173">
        <f t="shared" si="0"/>
        <v>0.95</v>
      </c>
      <c r="R44" s="140">
        <v>13.8</v>
      </c>
      <c r="S44" s="140">
        <v>128</v>
      </c>
      <c r="T44" s="149">
        <f t="shared" si="1"/>
        <v>30</v>
      </c>
      <c r="U44" s="140">
        <v>63</v>
      </c>
      <c r="V44" s="149">
        <f t="shared" si="2"/>
        <v>1890</v>
      </c>
      <c r="W44" s="140">
        <v>7</v>
      </c>
      <c r="X44" s="148" t="s">
        <v>46</v>
      </c>
      <c r="Y44" s="148" t="s">
        <v>84</v>
      </c>
      <c r="Z44" s="148" t="s">
        <v>90</v>
      </c>
      <c r="AA44" s="148" t="s">
        <v>69</v>
      </c>
      <c r="AB44" s="148" t="s">
        <v>255</v>
      </c>
    </row>
    <row r="45" spans="1:28" x14ac:dyDescent="0.15">
      <c r="A45" s="148" t="s">
        <v>34</v>
      </c>
      <c r="B45" s="140" t="s">
        <v>253</v>
      </c>
      <c r="C45" s="140">
        <v>2018</v>
      </c>
      <c r="D45" s="254" t="s">
        <v>565</v>
      </c>
      <c r="E45" s="165" t="s">
        <v>518</v>
      </c>
      <c r="F45" s="165" t="s">
        <v>538</v>
      </c>
      <c r="G45" s="148" t="s">
        <v>36</v>
      </c>
      <c r="H45" s="140" t="s">
        <v>155</v>
      </c>
      <c r="I45" s="148" t="s">
        <v>153</v>
      </c>
      <c r="J45" s="148" t="s">
        <v>38</v>
      </c>
      <c r="K45" s="148" t="s">
        <v>154</v>
      </c>
      <c r="L45" s="140">
        <v>2</v>
      </c>
      <c r="N45" s="140">
        <v>1</v>
      </c>
      <c r="O45" s="140">
        <v>0.9</v>
      </c>
      <c r="P45" s="140">
        <v>1.1000000000000001</v>
      </c>
      <c r="Q45" s="173">
        <f t="shared" si="0"/>
        <v>1</v>
      </c>
      <c r="R45" s="140">
        <v>14.1</v>
      </c>
      <c r="S45" s="140">
        <v>126</v>
      </c>
      <c r="T45" s="149">
        <f t="shared" si="1"/>
        <v>30</v>
      </c>
      <c r="U45" s="140">
        <v>63</v>
      </c>
      <c r="V45" s="149">
        <f t="shared" si="2"/>
        <v>1890</v>
      </c>
      <c r="W45" s="140">
        <v>7</v>
      </c>
      <c r="X45" s="148" t="s">
        <v>46</v>
      </c>
      <c r="Y45" s="148" t="s">
        <v>84</v>
      </c>
      <c r="Z45" s="148" t="s">
        <v>90</v>
      </c>
      <c r="AA45" s="148" t="s">
        <v>69</v>
      </c>
      <c r="AB45" s="148" t="s">
        <v>255</v>
      </c>
    </row>
    <row r="46" spans="1:28" x14ac:dyDescent="0.15">
      <c r="A46" s="148" t="s">
        <v>34</v>
      </c>
      <c r="B46" s="140" t="s">
        <v>253</v>
      </c>
      <c r="C46" s="140">
        <v>2018</v>
      </c>
      <c r="D46" s="254" t="s">
        <v>565</v>
      </c>
      <c r="E46" s="165" t="s">
        <v>518</v>
      </c>
      <c r="F46" s="165" t="s">
        <v>538</v>
      </c>
      <c r="G46" s="148" t="s">
        <v>36</v>
      </c>
      <c r="H46" s="140" t="s">
        <v>155</v>
      </c>
      <c r="I46" s="148" t="s">
        <v>153</v>
      </c>
      <c r="J46" s="148" t="s">
        <v>38</v>
      </c>
      <c r="K46" s="148" t="s">
        <v>154</v>
      </c>
      <c r="L46" s="140">
        <v>3</v>
      </c>
      <c r="N46" s="140">
        <v>1</v>
      </c>
      <c r="O46" s="140">
        <v>1.3</v>
      </c>
      <c r="P46" s="140">
        <v>1.1000000000000001</v>
      </c>
      <c r="Q46" s="173">
        <f t="shared" si="0"/>
        <v>1.2000000000000002</v>
      </c>
      <c r="R46" s="140">
        <v>14</v>
      </c>
      <c r="S46" s="140">
        <v>126</v>
      </c>
      <c r="T46" s="149">
        <f t="shared" si="1"/>
        <v>30</v>
      </c>
      <c r="U46" s="140">
        <v>63</v>
      </c>
      <c r="V46" s="149">
        <f t="shared" si="2"/>
        <v>1890</v>
      </c>
      <c r="W46" s="140">
        <v>7</v>
      </c>
      <c r="X46" s="148" t="s">
        <v>46</v>
      </c>
      <c r="Y46" s="148" t="s">
        <v>84</v>
      </c>
      <c r="Z46" s="148" t="s">
        <v>90</v>
      </c>
      <c r="AA46" s="148" t="s">
        <v>69</v>
      </c>
      <c r="AB46" s="148" t="s">
        <v>255</v>
      </c>
    </row>
    <row r="47" spans="1:28" x14ac:dyDescent="0.15">
      <c r="A47" s="148" t="s">
        <v>34</v>
      </c>
      <c r="B47" s="140" t="s">
        <v>253</v>
      </c>
      <c r="C47" s="140">
        <v>2018</v>
      </c>
      <c r="D47" s="254" t="s">
        <v>565</v>
      </c>
      <c r="E47" s="165" t="s">
        <v>518</v>
      </c>
      <c r="F47" s="165" t="s">
        <v>538</v>
      </c>
      <c r="G47" s="148" t="s">
        <v>36</v>
      </c>
      <c r="H47" s="140" t="s">
        <v>155</v>
      </c>
      <c r="I47" s="148" t="s">
        <v>153</v>
      </c>
      <c r="J47" s="148" t="s">
        <v>38</v>
      </c>
      <c r="K47" s="148" t="s">
        <v>154</v>
      </c>
      <c r="L47" s="148">
        <v>1</v>
      </c>
      <c r="N47" s="140">
        <v>8</v>
      </c>
      <c r="O47" s="140">
        <v>0.95</v>
      </c>
      <c r="P47" s="140">
        <v>1.1499999999999999</v>
      </c>
      <c r="Q47" s="173">
        <f t="shared" si="0"/>
        <v>1.0499999999999998</v>
      </c>
      <c r="R47" s="140">
        <v>13.6</v>
      </c>
      <c r="S47" s="140">
        <v>89</v>
      </c>
      <c r="T47" s="149">
        <f t="shared" si="1"/>
        <v>36</v>
      </c>
      <c r="U47" s="140">
        <v>429</v>
      </c>
      <c r="V47" s="149">
        <f t="shared" si="2"/>
        <v>1930.5</v>
      </c>
      <c r="W47" s="140">
        <v>7</v>
      </c>
      <c r="X47" s="148" t="s">
        <v>39</v>
      </c>
      <c r="Y47" s="148" t="s">
        <v>84</v>
      </c>
      <c r="Z47" s="148" t="s">
        <v>90</v>
      </c>
      <c r="AA47" s="148" t="s">
        <v>69</v>
      </c>
      <c r="AB47" s="148" t="s">
        <v>255</v>
      </c>
    </row>
    <row r="48" spans="1:28" x14ac:dyDescent="0.15">
      <c r="A48" s="148" t="s">
        <v>34</v>
      </c>
      <c r="B48" s="140" t="s">
        <v>253</v>
      </c>
      <c r="C48" s="140">
        <v>2018</v>
      </c>
      <c r="D48" s="254" t="s">
        <v>565</v>
      </c>
      <c r="E48" s="165" t="s">
        <v>518</v>
      </c>
      <c r="F48" s="165" t="s">
        <v>538</v>
      </c>
      <c r="G48" s="148" t="s">
        <v>36</v>
      </c>
      <c r="H48" s="140" t="s">
        <v>155</v>
      </c>
      <c r="I48" s="148" t="s">
        <v>153</v>
      </c>
      <c r="J48" s="148" t="s">
        <v>38</v>
      </c>
      <c r="K48" s="148" t="s">
        <v>154</v>
      </c>
      <c r="L48" s="140">
        <v>2</v>
      </c>
      <c r="N48" s="140">
        <v>8</v>
      </c>
      <c r="O48" s="140">
        <v>1</v>
      </c>
      <c r="P48" s="140">
        <v>1.05</v>
      </c>
      <c r="Q48" s="173">
        <f t="shared" si="0"/>
        <v>1.0249999999999999</v>
      </c>
      <c r="R48" s="140">
        <v>10</v>
      </c>
      <c r="S48" s="140">
        <v>97</v>
      </c>
      <c r="T48" s="149">
        <f t="shared" si="1"/>
        <v>36</v>
      </c>
      <c r="U48" s="140">
        <v>429</v>
      </c>
      <c r="V48" s="149">
        <f t="shared" si="2"/>
        <v>1930.5</v>
      </c>
      <c r="W48" s="140">
        <v>7</v>
      </c>
      <c r="X48" s="148" t="s">
        <v>39</v>
      </c>
      <c r="Y48" s="148" t="s">
        <v>84</v>
      </c>
      <c r="Z48" s="148" t="s">
        <v>90</v>
      </c>
      <c r="AA48" s="148" t="s">
        <v>69</v>
      </c>
      <c r="AB48" s="148" t="s">
        <v>255</v>
      </c>
    </row>
    <row r="49" spans="1:28" x14ac:dyDescent="0.15">
      <c r="A49" s="148" t="s">
        <v>34</v>
      </c>
      <c r="B49" s="140" t="s">
        <v>253</v>
      </c>
      <c r="C49" s="140">
        <v>2018</v>
      </c>
      <c r="D49" s="254" t="s">
        <v>565</v>
      </c>
      <c r="E49" s="165" t="s">
        <v>518</v>
      </c>
      <c r="F49" s="165" t="s">
        <v>538</v>
      </c>
      <c r="G49" s="148" t="s">
        <v>36</v>
      </c>
      <c r="H49" s="140" t="s">
        <v>155</v>
      </c>
      <c r="I49" s="148" t="s">
        <v>153</v>
      </c>
      <c r="J49" s="148" t="s">
        <v>38</v>
      </c>
      <c r="K49" s="148" t="s">
        <v>154</v>
      </c>
      <c r="L49" s="140">
        <v>3</v>
      </c>
      <c r="N49" s="140">
        <v>8</v>
      </c>
      <c r="O49" s="140">
        <v>0.95</v>
      </c>
      <c r="P49" s="140">
        <v>1.05</v>
      </c>
      <c r="Q49" s="173">
        <f t="shared" si="0"/>
        <v>1</v>
      </c>
      <c r="R49" s="140">
        <v>13.9</v>
      </c>
      <c r="S49" s="140">
        <v>96</v>
      </c>
      <c r="T49" s="149">
        <f t="shared" si="1"/>
        <v>36</v>
      </c>
      <c r="U49" s="140">
        <v>429</v>
      </c>
      <c r="V49" s="149">
        <f t="shared" si="2"/>
        <v>1930.5</v>
      </c>
      <c r="W49" s="140">
        <v>7</v>
      </c>
      <c r="X49" s="148" t="s">
        <v>39</v>
      </c>
      <c r="Y49" s="148" t="s">
        <v>84</v>
      </c>
      <c r="Z49" s="148" t="s">
        <v>90</v>
      </c>
      <c r="AA49" s="148" t="s">
        <v>69</v>
      </c>
      <c r="AB49" s="148" t="s">
        <v>255</v>
      </c>
    </row>
    <row r="50" spans="1:28" x14ac:dyDescent="0.15">
      <c r="A50" s="148" t="s">
        <v>34</v>
      </c>
      <c r="B50" s="140" t="s">
        <v>253</v>
      </c>
      <c r="C50" s="140">
        <v>2018</v>
      </c>
      <c r="D50" s="254" t="s">
        <v>565</v>
      </c>
      <c r="E50" s="165" t="s">
        <v>518</v>
      </c>
      <c r="F50" s="165" t="s">
        <v>538</v>
      </c>
      <c r="G50" s="148" t="s">
        <v>36</v>
      </c>
      <c r="H50" s="140" t="s">
        <v>158</v>
      </c>
      <c r="I50" s="148" t="s">
        <v>153</v>
      </c>
      <c r="J50" s="148" t="s">
        <v>38</v>
      </c>
      <c r="K50" s="148" t="s">
        <v>154</v>
      </c>
      <c r="L50" s="148">
        <v>1</v>
      </c>
      <c r="N50" s="140">
        <v>1</v>
      </c>
      <c r="O50" s="140">
        <v>0.65</v>
      </c>
      <c r="P50" s="140">
        <v>0.65</v>
      </c>
      <c r="Q50" s="173">
        <f t="shared" si="0"/>
        <v>0.65</v>
      </c>
      <c r="R50" s="140">
        <v>15.2</v>
      </c>
      <c r="S50" s="140">
        <v>134</v>
      </c>
      <c r="T50" s="149">
        <f t="shared" si="1"/>
        <v>30</v>
      </c>
      <c r="U50" s="140">
        <v>105</v>
      </c>
      <c r="V50" s="149">
        <f t="shared" si="2"/>
        <v>3150</v>
      </c>
      <c r="W50" s="140">
        <v>3</v>
      </c>
      <c r="X50" s="148" t="s">
        <v>46</v>
      </c>
      <c r="Y50" s="148" t="s">
        <v>84</v>
      </c>
      <c r="Z50" s="148" t="s">
        <v>90</v>
      </c>
      <c r="AA50" s="148" t="s">
        <v>69</v>
      </c>
      <c r="AB50" s="148" t="s">
        <v>255</v>
      </c>
    </row>
    <row r="51" spans="1:28" x14ac:dyDescent="0.15">
      <c r="A51" s="148" t="s">
        <v>34</v>
      </c>
      <c r="B51" s="140" t="s">
        <v>253</v>
      </c>
      <c r="C51" s="140">
        <v>2018</v>
      </c>
      <c r="D51" s="254" t="s">
        <v>565</v>
      </c>
      <c r="E51" s="165" t="s">
        <v>518</v>
      </c>
      <c r="F51" s="165" t="s">
        <v>538</v>
      </c>
      <c r="G51" s="148" t="s">
        <v>36</v>
      </c>
      <c r="H51" s="140" t="s">
        <v>158</v>
      </c>
      <c r="I51" s="148" t="s">
        <v>153</v>
      </c>
      <c r="J51" s="148" t="s">
        <v>38</v>
      </c>
      <c r="K51" s="148" t="s">
        <v>154</v>
      </c>
      <c r="L51" s="140">
        <v>2</v>
      </c>
      <c r="N51" s="140">
        <v>1</v>
      </c>
      <c r="O51" s="140">
        <v>0.65</v>
      </c>
      <c r="P51" s="140">
        <v>0.65</v>
      </c>
      <c r="Q51" s="173">
        <f t="shared" si="0"/>
        <v>0.65</v>
      </c>
      <c r="R51" s="140">
        <v>14.9</v>
      </c>
      <c r="S51" s="140">
        <v>141</v>
      </c>
      <c r="T51" s="149">
        <f t="shared" si="1"/>
        <v>30</v>
      </c>
      <c r="U51" s="140">
        <v>105</v>
      </c>
      <c r="V51" s="149">
        <f t="shared" si="2"/>
        <v>3150</v>
      </c>
      <c r="W51" s="140">
        <v>3</v>
      </c>
      <c r="X51" s="148" t="s">
        <v>46</v>
      </c>
      <c r="Y51" s="148" t="s">
        <v>84</v>
      </c>
      <c r="Z51" s="148" t="s">
        <v>90</v>
      </c>
      <c r="AA51" s="148" t="s">
        <v>69</v>
      </c>
      <c r="AB51" s="148" t="s">
        <v>255</v>
      </c>
    </row>
    <row r="52" spans="1:28" x14ac:dyDescent="0.15">
      <c r="A52" s="148" t="s">
        <v>34</v>
      </c>
      <c r="B52" s="140" t="s">
        <v>253</v>
      </c>
      <c r="C52" s="140">
        <v>2018</v>
      </c>
      <c r="D52" s="254" t="s">
        <v>565</v>
      </c>
      <c r="E52" s="165" t="s">
        <v>518</v>
      </c>
      <c r="F52" s="165" t="s">
        <v>538</v>
      </c>
      <c r="G52" s="148" t="s">
        <v>36</v>
      </c>
      <c r="H52" s="140" t="s">
        <v>158</v>
      </c>
      <c r="I52" s="148" t="s">
        <v>153</v>
      </c>
      <c r="J52" s="148" t="s">
        <v>38</v>
      </c>
      <c r="K52" s="148" t="s">
        <v>154</v>
      </c>
      <c r="L52" s="140">
        <v>3</v>
      </c>
      <c r="N52" s="140">
        <v>1</v>
      </c>
      <c r="O52" s="140">
        <v>0.5</v>
      </c>
      <c r="P52" s="140">
        <v>0.6</v>
      </c>
      <c r="Q52" s="173">
        <f t="shared" si="0"/>
        <v>0.55000000000000004</v>
      </c>
      <c r="R52" s="140">
        <v>15.9</v>
      </c>
      <c r="S52" s="140">
        <v>137</v>
      </c>
      <c r="T52" s="149">
        <f t="shared" si="1"/>
        <v>30</v>
      </c>
      <c r="U52" s="140">
        <v>105</v>
      </c>
      <c r="V52" s="149">
        <f t="shared" si="2"/>
        <v>3150</v>
      </c>
      <c r="W52" s="140">
        <v>3</v>
      </c>
      <c r="X52" s="148" t="s">
        <v>46</v>
      </c>
      <c r="Y52" s="148" t="s">
        <v>84</v>
      </c>
      <c r="Z52" s="148" t="s">
        <v>90</v>
      </c>
      <c r="AA52" s="148" t="s">
        <v>69</v>
      </c>
      <c r="AB52" s="148" t="s">
        <v>255</v>
      </c>
    </row>
    <row r="53" spans="1:28" x14ac:dyDescent="0.15">
      <c r="A53" s="148" t="s">
        <v>34</v>
      </c>
      <c r="B53" s="140" t="s">
        <v>253</v>
      </c>
      <c r="C53" s="140">
        <v>2018</v>
      </c>
      <c r="D53" s="254" t="s">
        <v>565</v>
      </c>
      <c r="E53" s="165" t="s">
        <v>518</v>
      </c>
      <c r="F53" s="165" t="s">
        <v>538</v>
      </c>
      <c r="G53" s="148" t="s">
        <v>36</v>
      </c>
      <c r="H53" s="140" t="s">
        <v>127</v>
      </c>
      <c r="I53" s="148" t="s">
        <v>153</v>
      </c>
      <c r="J53" s="148" t="s">
        <v>80</v>
      </c>
      <c r="K53" s="148" t="s">
        <v>45</v>
      </c>
      <c r="L53" s="148">
        <v>1</v>
      </c>
      <c r="N53" s="140">
        <v>5</v>
      </c>
      <c r="O53" s="140">
        <v>0.75</v>
      </c>
      <c r="P53" s="140">
        <v>0.85</v>
      </c>
      <c r="Q53" s="173">
        <f t="shared" si="0"/>
        <v>0.8</v>
      </c>
      <c r="R53" s="140">
        <v>9</v>
      </c>
      <c r="S53" s="140">
        <v>92</v>
      </c>
      <c r="T53" s="149">
        <f t="shared" si="1"/>
        <v>36</v>
      </c>
      <c r="U53" s="140">
        <v>321</v>
      </c>
      <c r="V53" s="149">
        <f t="shared" si="2"/>
        <v>2311.2000000000003</v>
      </c>
      <c r="W53" s="140">
        <v>1</v>
      </c>
      <c r="X53" s="148" t="s">
        <v>39</v>
      </c>
      <c r="Y53" s="148" t="s">
        <v>84</v>
      </c>
      <c r="Z53" s="148" t="s">
        <v>90</v>
      </c>
      <c r="AA53" s="148" t="s">
        <v>69</v>
      </c>
      <c r="AB53" s="148" t="s">
        <v>255</v>
      </c>
    </row>
    <row r="54" spans="1:28" x14ac:dyDescent="0.15">
      <c r="A54" s="148" t="s">
        <v>34</v>
      </c>
      <c r="B54" s="140" t="s">
        <v>253</v>
      </c>
      <c r="C54" s="140">
        <v>2018</v>
      </c>
      <c r="D54" s="254" t="s">
        <v>565</v>
      </c>
      <c r="E54" s="165" t="s">
        <v>518</v>
      </c>
      <c r="F54" s="165" t="s">
        <v>538</v>
      </c>
      <c r="G54" s="148" t="s">
        <v>36</v>
      </c>
      <c r="H54" s="140" t="s">
        <v>127</v>
      </c>
      <c r="I54" s="148" t="s">
        <v>153</v>
      </c>
      <c r="J54" s="148" t="s">
        <v>80</v>
      </c>
      <c r="K54" s="148" t="s">
        <v>45</v>
      </c>
      <c r="L54" s="140">
        <v>2</v>
      </c>
      <c r="N54" s="140">
        <v>5</v>
      </c>
      <c r="O54" s="140">
        <v>0.85</v>
      </c>
      <c r="P54" s="140">
        <v>0.9</v>
      </c>
      <c r="Q54" s="173">
        <f t="shared" si="0"/>
        <v>0.875</v>
      </c>
      <c r="R54" s="140">
        <v>9.3000000000000007</v>
      </c>
      <c r="S54" s="140">
        <v>91</v>
      </c>
      <c r="T54" s="149">
        <f t="shared" si="1"/>
        <v>36</v>
      </c>
      <c r="U54" s="140">
        <v>321</v>
      </c>
      <c r="V54" s="149">
        <f t="shared" si="2"/>
        <v>2311.2000000000003</v>
      </c>
      <c r="W54" s="140">
        <v>1</v>
      </c>
      <c r="X54" s="148" t="s">
        <v>39</v>
      </c>
      <c r="Y54" s="148" t="s">
        <v>84</v>
      </c>
      <c r="Z54" s="148" t="s">
        <v>90</v>
      </c>
      <c r="AA54" s="148" t="s">
        <v>69</v>
      </c>
      <c r="AB54" s="148" t="s">
        <v>255</v>
      </c>
    </row>
    <row r="55" spans="1:28" x14ac:dyDescent="0.15">
      <c r="A55" s="148" t="s">
        <v>34</v>
      </c>
      <c r="B55" s="140" t="s">
        <v>253</v>
      </c>
      <c r="C55" s="140">
        <v>2018</v>
      </c>
      <c r="D55" s="254" t="s">
        <v>565</v>
      </c>
      <c r="E55" s="165" t="s">
        <v>518</v>
      </c>
      <c r="F55" s="165" t="s">
        <v>538</v>
      </c>
      <c r="G55" s="148" t="s">
        <v>36</v>
      </c>
      <c r="H55" s="140" t="s">
        <v>127</v>
      </c>
      <c r="I55" s="148" t="s">
        <v>153</v>
      </c>
      <c r="J55" s="148" t="s">
        <v>80</v>
      </c>
      <c r="K55" s="148" t="s">
        <v>45</v>
      </c>
      <c r="L55" s="140">
        <v>3</v>
      </c>
      <c r="N55" s="140">
        <v>5</v>
      </c>
      <c r="O55" s="140">
        <v>0.55000000000000004</v>
      </c>
      <c r="P55" s="140">
        <v>0.75</v>
      </c>
      <c r="Q55" s="173">
        <f t="shared" si="0"/>
        <v>0.65</v>
      </c>
      <c r="R55" s="140">
        <v>13.9</v>
      </c>
      <c r="S55" s="140">
        <v>105</v>
      </c>
      <c r="T55" s="149">
        <f t="shared" si="1"/>
        <v>33</v>
      </c>
      <c r="U55" s="140">
        <v>321</v>
      </c>
      <c r="V55" s="149">
        <f t="shared" si="2"/>
        <v>2118.6</v>
      </c>
      <c r="W55" s="140">
        <v>1</v>
      </c>
      <c r="X55" s="148" t="s">
        <v>39</v>
      </c>
      <c r="Y55" s="148" t="s">
        <v>84</v>
      </c>
      <c r="Z55" s="148" t="s">
        <v>90</v>
      </c>
      <c r="AA55" s="148" t="s">
        <v>69</v>
      </c>
      <c r="AB55" s="148" t="s">
        <v>255</v>
      </c>
    </row>
    <row r="56" spans="1:28" x14ac:dyDescent="0.15">
      <c r="A56" s="148" t="s">
        <v>34</v>
      </c>
      <c r="B56" s="140" t="s">
        <v>253</v>
      </c>
      <c r="C56" s="140">
        <v>2018</v>
      </c>
      <c r="D56" s="254" t="s">
        <v>565</v>
      </c>
      <c r="E56" s="165" t="s">
        <v>540</v>
      </c>
      <c r="F56" s="165" t="s">
        <v>541</v>
      </c>
      <c r="G56" s="148" t="s">
        <v>36</v>
      </c>
      <c r="H56" s="140" t="s">
        <v>155</v>
      </c>
      <c r="I56" s="148" t="s">
        <v>153</v>
      </c>
      <c r="J56" s="148" t="s">
        <v>38</v>
      </c>
      <c r="K56" s="148" t="s">
        <v>154</v>
      </c>
      <c r="L56" s="148">
        <v>1</v>
      </c>
      <c r="N56" s="140">
        <v>1</v>
      </c>
      <c r="O56" s="140">
        <v>0.95</v>
      </c>
      <c r="P56" s="140">
        <v>0.75</v>
      </c>
      <c r="Q56" s="173">
        <f t="shared" si="0"/>
        <v>0.85</v>
      </c>
      <c r="R56" s="140">
        <v>14.4</v>
      </c>
      <c r="S56" s="140">
        <v>128</v>
      </c>
      <c r="T56" s="149">
        <f t="shared" si="1"/>
        <v>30</v>
      </c>
      <c r="U56" s="140">
        <v>138</v>
      </c>
      <c r="V56" s="149">
        <f t="shared" si="2"/>
        <v>4140</v>
      </c>
      <c r="W56" s="140">
        <v>4</v>
      </c>
      <c r="X56" s="148" t="s">
        <v>39</v>
      </c>
      <c r="Y56" s="148" t="s">
        <v>84</v>
      </c>
      <c r="Z56" s="148" t="s">
        <v>90</v>
      </c>
      <c r="AA56" s="148" t="s">
        <v>69</v>
      </c>
      <c r="AB56" s="148" t="s">
        <v>255</v>
      </c>
    </row>
    <row r="57" spans="1:28" x14ac:dyDescent="0.15">
      <c r="A57" s="148" t="s">
        <v>34</v>
      </c>
      <c r="B57" s="140" t="s">
        <v>253</v>
      </c>
      <c r="C57" s="140">
        <v>2018</v>
      </c>
      <c r="D57" s="254" t="s">
        <v>565</v>
      </c>
      <c r="E57" s="165" t="s">
        <v>540</v>
      </c>
      <c r="F57" s="165" t="s">
        <v>541</v>
      </c>
      <c r="G57" s="148" t="s">
        <v>36</v>
      </c>
      <c r="H57" s="140" t="s">
        <v>155</v>
      </c>
      <c r="I57" s="148" t="s">
        <v>153</v>
      </c>
      <c r="J57" s="148" t="s">
        <v>38</v>
      </c>
      <c r="K57" s="148" t="s">
        <v>154</v>
      </c>
      <c r="L57" s="140">
        <v>2</v>
      </c>
      <c r="N57" s="140">
        <v>1</v>
      </c>
      <c r="O57" s="140">
        <v>0.7</v>
      </c>
      <c r="P57" s="140">
        <v>0.65</v>
      </c>
      <c r="Q57" s="173">
        <f t="shared" si="0"/>
        <v>0.67500000000000004</v>
      </c>
      <c r="R57" s="140">
        <v>10</v>
      </c>
      <c r="S57" s="140">
        <v>134</v>
      </c>
      <c r="T57" s="149">
        <f t="shared" si="1"/>
        <v>30</v>
      </c>
      <c r="U57" s="140">
        <v>138</v>
      </c>
      <c r="V57" s="149">
        <f t="shared" si="2"/>
        <v>4140</v>
      </c>
      <c r="W57" s="140">
        <v>4</v>
      </c>
      <c r="X57" s="148" t="s">
        <v>39</v>
      </c>
      <c r="Y57" s="148" t="s">
        <v>84</v>
      </c>
      <c r="Z57" s="148" t="s">
        <v>90</v>
      </c>
      <c r="AA57" s="148" t="s">
        <v>69</v>
      </c>
      <c r="AB57" s="148" t="s">
        <v>255</v>
      </c>
    </row>
    <row r="58" spans="1:28" x14ac:dyDescent="0.15">
      <c r="A58" s="148" t="s">
        <v>34</v>
      </c>
      <c r="B58" s="140" t="s">
        <v>253</v>
      </c>
      <c r="C58" s="140">
        <v>2018</v>
      </c>
      <c r="D58" s="254" t="s">
        <v>565</v>
      </c>
      <c r="E58" s="165" t="s">
        <v>540</v>
      </c>
      <c r="F58" s="165" t="s">
        <v>541</v>
      </c>
      <c r="G58" s="148" t="s">
        <v>36</v>
      </c>
      <c r="H58" s="140" t="s">
        <v>155</v>
      </c>
      <c r="I58" s="148" t="s">
        <v>153</v>
      </c>
      <c r="J58" s="148" t="s">
        <v>38</v>
      </c>
      <c r="K58" s="148" t="s">
        <v>154</v>
      </c>
      <c r="L58" s="140">
        <v>3</v>
      </c>
      <c r="N58" s="140">
        <v>1</v>
      </c>
      <c r="O58" s="140">
        <v>1.05</v>
      </c>
      <c r="P58" s="140">
        <v>1</v>
      </c>
      <c r="Q58" s="173">
        <f t="shared" si="0"/>
        <v>1.0249999999999999</v>
      </c>
      <c r="R58" s="140">
        <v>14.3</v>
      </c>
      <c r="S58" s="140">
        <v>123</v>
      </c>
      <c r="T58" s="149">
        <f t="shared" si="1"/>
        <v>30</v>
      </c>
      <c r="U58" s="140">
        <v>138</v>
      </c>
      <c r="V58" s="149">
        <f t="shared" si="2"/>
        <v>4140</v>
      </c>
      <c r="W58" s="140">
        <v>4</v>
      </c>
      <c r="X58" s="148" t="s">
        <v>39</v>
      </c>
      <c r="Y58" s="148" t="s">
        <v>84</v>
      </c>
      <c r="Z58" s="148" t="s">
        <v>90</v>
      </c>
      <c r="AA58" s="148" t="s">
        <v>69</v>
      </c>
      <c r="AB58" s="148" t="s">
        <v>255</v>
      </c>
    </row>
    <row r="59" spans="1:28" x14ac:dyDescent="0.15">
      <c r="A59" s="148" t="s">
        <v>34</v>
      </c>
      <c r="B59" s="140" t="s">
        <v>253</v>
      </c>
      <c r="C59" s="140">
        <v>2018</v>
      </c>
      <c r="D59" s="254" t="s">
        <v>565</v>
      </c>
      <c r="E59" s="165" t="s">
        <v>540</v>
      </c>
      <c r="F59" s="165" t="s">
        <v>541</v>
      </c>
      <c r="G59" s="148" t="s">
        <v>36</v>
      </c>
      <c r="H59" s="140" t="s">
        <v>155</v>
      </c>
      <c r="I59" s="148" t="s">
        <v>153</v>
      </c>
      <c r="J59" s="148" t="s">
        <v>38</v>
      </c>
      <c r="K59" s="148" t="s">
        <v>154</v>
      </c>
      <c r="L59" s="148">
        <v>1</v>
      </c>
      <c r="N59" s="140">
        <v>8</v>
      </c>
      <c r="O59" s="140">
        <v>0.2</v>
      </c>
      <c r="P59" s="140">
        <v>0.2</v>
      </c>
      <c r="Q59" s="173">
        <f t="shared" si="0"/>
        <v>0.2</v>
      </c>
      <c r="R59" s="140">
        <v>13.8</v>
      </c>
      <c r="S59" s="140">
        <v>88</v>
      </c>
      <c r="T59" s="149">
        <f t="shared" si="1"/>
        <v>36</v>
      </c>
      <c r="U59" s="140">
        <v>430</v>
      </c>
      <c r="V59" s="149">
        <f t="shared" si="2"/>
        <v>1935</v>
      </c>
      <c r="W59" s="140">
        <v>4</v>
      </c>
      <c r="X59" s="148" t="s">
        <v>39</v>
      </c>
      <c r="Y59" s="148" t="s">
        <v>84</v>
      </c>
      <c r="Z59" s="148" t="s">
        <v>90</v>
      </c>
      <c r="AA59" s="148" t="s">
        <v>69</v>
      </c>
      <c r="AB59" s="148" t="s">
        <v>255</v>
      </c>
    </row>
    <row r="60" spans="1:28" x14ac:dyDescent="0.15">
      <c r="A60" s="148" t="s">
        <v>34</v>
      </c>
      <c r="B60" s="140" t="s">
        <v>253</v>
      </c>
      <c r="C60" s="140">
        <v>2018</v>
      </c>
      <c r="D60" s="254" t="s">
        <v>565</v>
      </c>
      <c r="E60" s="165" t="s">
        <v>540</v>
      </c>
      <c r="F60" s="165" t="s">
        <v>541</v>
      </c>
      <c r="G60" s="148" t="s">
        <v>36</v>
      </c>
      <c r="H60" s="140" t="s">
        <v>155</v>
      </c>
      <c r="I60" s="148" t="s">
        <v>153</v>
      </c>
      <c r="J60" s="148" t="s">
        <v>38</v>
      </c>
      <c r="K60" s="148" t="s">
        <v>154</v>
      </c>
      <c r="L60" s="140">
        <v>2</v>
      </c>
      <c r="N60" s="140">
        <v>8</v>
      </c>
      <c r="O60" s="140">
        <v>0.2</v>
      </c>
      <c r="P60" s="140">
        <v>0.2</v>
      </c>
      <c r="Q60" s="173">
        <f t="shared" si="0"/>
        <v>0.2</v>
      </c>
      <c r="R60" s="140">
        <v>13.4</v>
      </c>
      <c r="S60" s="140">
        <v>93</v>
      </c>
      <c r="T60" s="149">
        <f t="shared" si="1"/>
        <v>36</v>
      </c>
      <c r="U60" s="140">
        <v>430</v>
      </c>
      <c r="V60" s="149">
        <f t="shared" si="2"/>
        <v>1935</v>
      </c>
      <c r="W60" s="140">
        <v>4</v>
      </c>
      <c r="X60" s="148" t="s">
        <v>39</v>
      </c>
      <c r="Y60" s="148" t="s">
        <v>84</v>
      </c>
      <c r="Z60" s="148" t="s">
        <v>90</v>
      </c>
      <c r="AA60" s="148" t="s">
        <v>69</v>
      </c>
      <c r="AB60" s="148" t="s">
        <v>255</v>
      </c>
    </row>
    <row r="61" spans="1:28" x14ac:dyDescent="0.15">
      <c r="A61" s="148" t="s">
        <v>34</v>
      </c>
      <c r="B61" s="140" t="s">
        <v>253</v>
      </c>
      <c r="C61" s="140">
        <v>2018</v>
      </c>
      <c r="D61" s="254" t="s">
        <v>565</v>
      </c>
      <c r="E61" s="165" t="s">
        <v>540</v>
      </c>
      <c r="F61" s="165" t="s">
        <v>541</v>
      </c>
      <c r="G61" s="148" t="s">
        <v>36</v>
      </c>
      <c r="H61" s="140" t="s">
        <v>155</v>
      </c>
      <c r="I61" s="148" t="s">
        <v>153</v>
      </c>
      <c r="J61" s="148" t="s">
        <v>38</v>
      </c>
      <c r="K61" s="148" t="s">
        <v>154</v>
      </c>
      <c r="L61" s="140">
        <v>3</v>
      </c>
      <c r="N61" s="140">
        <v>8</v>
      </c>
      <c r="O61" s="140">
        <v>0.65</v>
      </c>
      <c r="P61" s="140">
        <v>0.5</v>
      </c>
      <c r="Q61" s="173">
        <f t="shared" si="0"/>
        <v>0.57499999999999996</v>
      </c>
      <c r="R61" s="140">
        <v>9.5</v>
      </c>
      <c r="S61" s="140">
        <v>90</v>
      </c>
      <c r="T61" s="149">
        <f t="shared" si="1"/>
        <v>36</v>
      </c>
      <c r="U61" s="140">
        <v>430</v>
      </c>
      <c r="V61" s="149">
        <f t="shared" si="2"/>
        <v>1935</v>
      </c>
      <c r="W61" s="140">
        <v>4</v>
      </c>
      <c r="X61" s="148" t="s">
        <v>39</v>
      </c>
      <c r="Y61" s="148" t="s">
        <v>84</v>
      </c>
      <c r="Z61" s="148" t="s">
        <v>90</v>
      </c>
      <c r="AA61" s="148" t="s">
        <v>69</v>
      </c>
      <c r="AB61" s="148" t="s">
        <v>255</v>
      </c>
    </row>
    <row r="62" spans="1:28" x14ac:dyDescent="0.15">
      <c r="A62" s="148" t="s">
        <v>34</v>
      </c>
      <c r="B62" s="140" t="s">
        <v>253</v>
      </c>
      <c r="C62" s="140">
        <v>2018</v>
      </c>
      <c r="D62" s="254" t="s">
        <v>565</v>
      </c>
      <c r="E62" s="165" t="s">
        <v>540</v>
      </c>
      <c r="F62" s="165" t="s">
        <v>541</v>
      </c>
      <c r="G62" s="148" t="s">
        <v>36</v>
      </c>
      <c r="H62" s="140" t="s">
        <v>158</v>
      </c>
      <c r="I62" s="148" t="s">
        <v>153</v>
      </c>
      <c r="J62" s="148" t="s">
        <v>38</v>
      </c>
      <c r="K62" s="148" t="s">
        <v>154</v>
      </c>
      <c r="L62" s="148">
        <v>1</v>
      </c>
      <c r="N62" s="140">
        <v>1</v>
      </c>
      <c r="O62" s="140">
        <v>0.6</v>
      </c>
      <c r="P62" s="140">
        <v>0.55000000000000004</v>
      </c>
      <c r="Q62" s="173">
        <f t="shared" si="0"/>
        <v>0.57499999999999996</v>
      </c>
      <c r="R62" s="140">
        <v>16</v>
      </c>
      <c r="S62" s="140">
        <v>135</v>
      </c>
      <c r="T62" s="149">
        <f t="shared" si="1"/>
        <v>30</v>
      </c>
      <c r="U62" s="140">
        <v>171</v>
      </c>
      <c r="V62" s="149">
        <f t="shared" si="2"/>
        <v>5130</v>
      </c>
      <c r="W62" s="140">
        <v>2</v>
      </c>
      <c r="X62" s="148" t="s">
        <v>39</v>
      </c>
      <c r="Y62" s="148" t="s">
        <v>84</v>
      </c>
      <c r="Z62" s="148" t="s">
        <v>90</v>
      </c>
      <c r="AA62" s="148" t="s">
        <v>69</v>
      </c>
      <c r="AB62" s="148" t="s">
        <v>255</v>
      </c>
    </row>
    <row r="63" spans="1:28" x14ac:dyDescent="0.15">
      <c r="A63" s="148" t="s">
        <v>34</v>
      </c>
      <c r="B63" s="140" t="s">
        <v>253</v>
      </c>
      <c r="C63" s="140">
        <v>2018</v>
      </c>
      <c r="D63" s="254" t="s">
        <v>565</v>
      </c>
      <c r="E63" s="165" t="s">
        <v>540</v>
      </c>
      <c r="F63" s="165" t="s">
        <v>541</v>
      </c>
      <c r="G63" s="148" t="s">
        <v>36</v>
      </c>
      <c r="H63" s="140" t="s">
        <v>158</v>
      </c>
      <c r="I63" s="148" t="s">
        <v>153</v>
      </c>
      <c r="J63" s="148" t="s">
        <v>38</v>
      </c>
      <c r="K63" s="148" t="s">
        <v>154</v>
      </c>
      <c r="L63" s="140">
        <v>2</v>
      </c>
      <c r="N63" s="140">
        <v>1</v>
      </c>
      <c r="O63" s="140">
        <v>0.6</v>
      </c>
      <c r="P63" s="140">
        <v>0.6</v>
      </c>
      <c r="Q63" s="173">
        <f t="shared" si="0"/>
        <v>0.6</v>
      </c>
      <c r="R63" s="140">
        <v>17.100000000000001</v>
      </c>
      <c r="S63" s="140">
        <v>127</v>
      </c>
      <c r="T63" s="149">
        <f t="shared" si="1"/>
        <v>30</v>
      </c>
      <c r="U63" s="140">
        <v>171</v>
      </c>
      <c r="V63" s="149">
        <f t="shared" si="2"/>
        <v>5130</v>
      </c>
      <c r="W63" s="140">
        <v>2</v>
      </c>
      <c r="X63" s="148" t="s">
        <v>39</v>
      </c>
      <c r="Y63" s="148" t="s">
        <v>84</v>
      </c>
      <c r="Z63" s="148" t="s">
        <v>90</v>
      </c>
      <c r="AA63" s="148" t="s">
        <v>69</v>
      </c>
      <c r="AB63" s="148" t="s">
        <v>255</v>
      </c>
    </row>
    <row r="64" spans="1:28" x14ac:dyDescent="0.15">
      <c r="A64" s="148" t="s">
        <v>34</v>
      </c>
      <c r="B64" s="140" t="s">
        <v>253</v>
      </c>
      <c r="C64" s="140">
        <v>2018</v>
      </c>
      <c r="D64" s="254" t="s">
        <v>565</v>
      </c>
      <c r="E64" s="165" t="s">
        <v>540</v>
      </c>
      <c r="F64" s="165" t="s">
        <v>541</v>
      </c>
      <c r="G64" s="148" t="s">
        <v>36</v>
      </c>
      <c r="H64" s="140" t="s">
        <v>158</v>
      </c>
      <c r="I64" s="148" t="s">
        <v>153</v>
      </c>
      <c r="J64" s="148" t="s">
        <v>38</v>
      </c>
      <c r="K64" s="148" t="s">
        <v>154</v>
      </c>
      <c r="L64" s="140">
        <v>3</v>
      </c>
      <c r="N64" s="140">
        <v>1</v>
      </c>
      <c r="O64" s="140">
        <v>0.55000000000000004</v>
      </c>
      <c r="P64" s="140">
        <v>0.5</v>
      </c>
      <c r="Q64" s="173">
        <f t="shared" si="0"/>
        <v>0.52500000000000002</v>
      </c>
      <c r="R64" s="140">
        <v>16.8</v>
      </c>
      <c r="S64" s="140">
        <v>123</v>
      </c>
      <c r="T64" s="149">
        <f t="shared" si="1"/>
        <v>30</v>
      </c>
      <c r="U64" s="140">
        <v>171</v>
      </c>
      <c r="V64" s="149">
        <f t="shared" si="2"/>
        <v>5130</v>
      </c>
      <c r="W64" s="140">
        <v>2</v>
      </c>
      <c r="X64" s="148" t="s">
        <v>39</v>
      </c>
      <c r="Y64" s="148" t="s">
        <v>84</v>
      </c>
      <c r="Z64" s="148" t="s">
        <v>90</v>
      </c>
      <c r="AA64" s="148" t="s">
        <v>69</v>
      </c>
      <c r="AB64" s="148" t="s">
        <v>255</v>
      </c>
    </row>
    <row r="65" spans="1:28" x14ac:dyDescent="0.15">
      <c r="A65" s="148" t="s">
        <v>34</v>
      </c>
      <c r="B65" s="140" t="s">
        <v>253</v>
      </c>
      <c r="C65" s="140">
        <v>2018</v>
      </c>
      <c r="D65" s="254" t="s">
        <v>565</v>
      </c>
      <c r="E65" s="165" t="s">
        <v>540</v>
      </c>
      <c r="F65" s="165" t="s">
        <v>541</v>
      </c>
      <c r="G65" s="148" t="s">
        <v>36</v>
      </c>
      <c r="H65" s="140" t="s">
        <v>158</v>
      </c>
      <c r="I65" s="148" t="s">
        <v>153</v>
      </c>
      <c r="J65" s="148" t="s">
        <v>38</v>
      </c>
      <c r="K65" s="148" t="s">
        <v>154</v>
      </c>
      <c r="L65" s="148">
        <v>1</v>
      </c>
      <c r="N65" s="140">
        <v>4</v>
      </c>
      <c r="O65" s="140">
        <v>0.5</v>
      </c>
      <c r="P65" s="140">
        <v>0.5</v>
      </c>
      <c r="Q65" s="173">
        <f t="shared" si="0"/>
        <v>0.5</v>
      </c>
      <c r="R65" s="140">
        <v>14.8</v>
      </c>
      <c r="S65" s="140">
        <v>111</v>
      </c>
      <c r="T65" s="149">
        <f t="shared" si="1"/>
        <v>33</v>
      </c>
      <c r="U65" s="140">
        <v>626</v>
      </c>
      <c r="V65" s="149">
        <f t="shared" si="2"/>
        <v>5164.5</v>
      </c>
      <c r="W65" s="140">
        <v>2</v>
      </c>
      <c r="X65" s="148" t="s">
        <v>39</v>
      </c>
      <c r="Y65" s="148" t="s">
        <v>84</v>
      </c>
      <c r="Z65" s="148" t="s">
        <v>90</v>
      </c>
      <c r="AA65" s="148" t="s">
        <v>69</v>
      </c>
      <c r="AB65" s="148" t="s">
        <v>255</v>
      </c>
    </row>
    <row r="66" spans="1:28" x14ac:dyDescent="0.15">
      <c r="A66" s="148" t="s">
        <v>34</v>
      </c>
      <c r="B66" s="140" t="s">
        <v>253</v>
      </c>
      <c r="C66" s="140">
        <v>2018</v>
      </c>
      <c r="D66" s="254" t="s">
        <v>565</v>
      </c>
      <c r="E66" s="165" t="s">
        <v>540</v>
      </c>
      <c r="F66" s="165" t="s">
        <v>541</v>
      </c>
      <c r="G66" s="148" t="s">
        <v>36</v>
      </c>
      <c r="H66" s="140" t="s">
        <v>158</v>
      </c>
      <c r="I66" s="148" t="s">
        <v>153</v>
      </c>
      <c r="J66" s="148" t="s">
        <v>38</v>
      </c>
      <c r="K66" s="148" t="s">
        <v>154</v>
      </c>
      <c r="L66" s="140">
        <v>2</v>
      </c>
      <c r="N66" s="140">
        <v>4</v>
      </c>
      <c r="O66" s="140">
        <v>0.5</v>
      </c>
      <c r="P66" s="140">
        <v>0.5</v>
      </c>
      <c r="Q66" s="173">
        <f t="shared" si="0"/>
        <v>0.5</v>
      </c>
      <c r="R66" s="140">
        <v>13.7</v>
      </c>
      <c r="S66" s="140">
        <v>108</v>
      </c>
      <c r="T66" s="149">
        <f t="shared" si="1"/>
        <v>33</v>
      </c>
      <c r="U66" s="140">
        <v>626</v>
      </c>
      <c r="V66" s="149">
        <f t="shared" si="2"/>
        <v>5164.5</v>
      </c>
      <c r="W66" s="140">
        <v>2</v>
      </c>
      <c r="X66" s="148" t="s">
        <v>39</v>
      </c>
      <c r="Y66" s="148" t="s">
        <v>84</v>
      </c>
      <c r="Z66" s="148" t="s">
        <v>90</v>
      </c>
      <c r="AA66" s="148" t="s">
        <v>69</v>
      </c>
      <c r="AB66" s="148" t="s">
        <v>255</v>
      </c>
    </row>
    <row r="67" spans="1:28" x14ac:dyDescent="0.15">
      <c r="A67" s="148" t="s">
        <v>34</v>
      </c>
      <c r="B67" s="140" t="s">
        <v>253</v>
      </c>
      <c r="C67" s="140">
        <v>2018</v>
      </c>
      <c r="D67" s="254" t="s">
        <v>565</v>
      </c>
      <c r="E67" s="165" t="s">
        <v>540</v>
      </c>
      <c r="F67" s="165" t="s">
        <v>541</v>
      </c>
      <c r="G67" s="148" t="s">
        <v>36</v>
      </c>
      <c r="H67" s="140" t="s">
        <v>158</v>
      </c>
      <c r="I67" s="148" t="s">
        <v>153</v>
      </c>
      <c r="J67" s="148" t="s">
        <v>38</v>
      </c>
      <c r="K67" s="148" t="s">
        <v>154</v>
      </c>
      <c r="L67" s="140">
        <v>3</v>
      </c>
      <c r="N67" s="140">
        <v>4</v>
      </c>
      <c r="O67" s="140">
        <v>0.5</v>
      </c>
      <c r="P67" s="140">
        <v>0.2</v>
      </c>
      <c r="Q67" s="173">
        <f t="shared" si="0"/>
        <v>0.35</v>
      </c>
      <c r="R67" s="140">
        <v>13.7</v>
      </c>
      <c r="S67" s="140">
        <v>103</v>
      </c>
      <c r="T67" s="149">
        <f t="shared" si="1"/>
        <v>33</v>
      </c>
      <c r="U67" s="140">
        <v>626</v>
      </c>
      <c r="V67" s="149">
        <f t="shared" si="2"/>
        <v>5164.5</v>
      </c>
      <c r="W67" s="140">
        <v>2</v>
      </c>
      <c r="X67" s="148" t="s">
        <v>39</v>
      </c>
      <c r="Y67" s="148" t="s">
        <v>84</v>
      </c>
      <c r="Z67" s="148" t="s">
        <v>90</v>
      </c>
      <c r="AA67" s="148" t="s">
        <v>69</v>
      </c>
      <c r="AB67" s="148" t="s">
        <v>255</v>
      </c>
    </row>
    <row r="68" spans="1:28" x14ac:dyDescent="0.15">
      <c r="A68" s="148" t="s">
        <v>34</v>
      </c>
      <c r="B68" s="140" t="s">
        <v>253</v>
      </c>
      <c r="C68" s="140">
        <v>2018</v>
      </c>
      <c r="D68" s="254" t="s">
        <v>565</v>
      </c>
      <c r="E68" s="165" t="s">
        <v>540</v>
      </c>
      <c r="F68" s="165" t="s">
        <v>541</v>
      </c>
      <c r="G68" s="148" t="s">
        <v>36</v>
      </c>
      <c r="H68" s="140" t="s">
        <v>129</v>
      </c>
      <c r="I68" s="148" t="s">
        <v>153</v>
      </c>
      <c r="J68" s="148" t="s">
        <v>58</v>
      </c>
      <c r="K68" s="148" t="s">
        <v>59</v>
      </c>
      <c r="L68" s="148">
        <v>1</v>
      </c>
      <c r="N68" s="140">
        <v>5</v>
      </c>
      <c r="O68" s="140">
        <v>0.2</v>
      </c>
      <c r="P68" s="140">
        <v>0.2</v>
      </c>
      <c r="Q68" s="173">
        <f t="shared" si="0"/>
        <v>0.2</v>
      </c>
      <c r="R68" s="140">
        <v>17.7</v>
      </c>
      <c r="S68" s="140">
        <v>46</v>
      </c>
      <c r="T68" s="149">
        <f t="shared" si="1"/>
        <v>50</v>
      </c>
      <c r="U68" s="140">
        <v>538</v>
      </c>
      <c r="V68" s="149">
        <f t="shared" si="2"/>
        <v>5380</v>
      </c>
      <c r="W68" s="140">
        <v>1</v>
      </c>
      <c r="X68" s="148" t="s">
        <v>39</v>
      </c>
      <c r="Y68" s="148" t="s">
        <v>84</v>
      </c>
      <c r="Z68" s="148" t="s">
        <v>90</v>
      </c>
      <c r="AA68" s="148" t="s">
        <v>69</v>
      </c>
      <c r="AB68" s="148" t="s">
        <v>255</v>
      </c>
    </row>
    <row r="69" spans="1:28" x14ac:dyDescent="0.15">
      <c r="A69" s="148" t="s">
        <v>34</v>
      </c>
      <c r="B69" s="140" t="s">
        <v>253</v>
      </c>
      <c r="C69" s="140">
        <v>2018</v>
      </c>
      <c r="D69" s="254" t="s">
        <v>565</v>
      </c>
      <c r="E69" s="165" t="s">
        <v>540</v>
      </c>
      <c r="F69" s="165" t="s">
        <v>541</v>
      </c>
      <c r="G69" s="148" t="s">
        <v>36</v>
      </c>
      <c r="H69" s="140" t="s">
        <v>129</v>
      </c>
      <c r="I69" s="148" t="s">
        <v>153</v>
      </c>
      <c r="J69" s="148" t="s">
        <v>58</v>
      </c>
      <c r="K69" s="148" t="s">
        <v>59</v>
      </c>
      <c r="L69" s="140">
        <v>2</v>
      </c>
      <c r="N69" s="140">
        <v>5</v>
      </c>
      <c r="O69" s="140">
        <v>0.2</v>
      </c>
      <c r="P69" s="140">
        <v>0.2</v>
      </c>
      <c r="Q69" s="173">
        <f t="shared" si="0"/>
        <v>0.2</v>
      </c>
      <c r="R69" s="140">
        <v>15.6</v>
      </c>
      <c r="S69" s="140">
        <v>61</v>
      </c>
      <c r="T69" s="149">
        <f t="shared" si="1"/>
        <v>50</v>
      </c>
      <c r="U69" s="140">
        <v>538</v>
      </c>
      <c r="V69" s="149">
        <f t="shared" si="2"/>
        <v>5380</v>
      </c>
      <c r="W69" s="140">
        <v>1</v>
      </c>
      <c r="X69" s="148" t="s">
        <v>39</v>
      </c>
      <c r="Y69" s="148" t="s">
        <v>84</v>
      </c>
      <c r="Z69" s="148" t="s">
        <v>90</v>
      </c>
      <c r="AA69" s="148" t="s">
        <v>69</v>
      </c>
      <c r="AB69" s="148" t="s">
        <v>255</v>
      </c>
    </row>
    <row r="70" spans="1:28" x14ac:dyDescent="0.15">
      <c r="A70" s="148" t="s">
        <v>34</v>
      </c>
      <c r="B70" s="140" t="s">
        <v>253</v>
      </c>
      <c r="C70" s="140">
        <v>2018</v>
      </c>
      <c r="D70" s="254" t="s">
        <v>565</v>
      </c>
      <c r="E70" s="165" t="s">
        <v>540</v>
      </c>
      <c r="F70" s="165" t="s">
        <v>541</v>
      </c>
      <c r="G70" s="148" t="s">
        <v>36</v>
      </c>
      <c r="H70" s="140" t="s">
        <v>129</v>
      </c>
      <c r="I70" s="148" t="s">
        <v>153</v>
      </c>
      <c r="J70" s="148" t="s">
        <v>58</v>
      </c>
      <c r="K70" s="148" t="s">
        <v>59</v>
      </c>
      <c r="L70" s="140">
        <v>3</v>
      </c>
      <c r="N70" s="140">
        <v>5</v>
      </c>
      <c r="O70" s="140">
        <v>0.2</v>
      </c>
      <c r="P70" s="140">
        <v>0.2</v>
      </c>
      <c r="Q70" s="173">
        <f t="shared" si="0"/>
        <v>0.2</v>
      </c>
      <c r="R70" s="140">
        <v>18</v>
      </c>
      <c r="S70" s="140">
        <v>77</v>
      </c>
      <c r="T70" s="149">
        <f t="shared" si="1"/>
        <v>39</v>
      </c>
      <c r="U70" s="140">
        <v>538</v>
      </c>
      <c r="V70" s="149">
        <f t="shared" si="2"/>
        <v>4196.3999999999996</v>
      </c>
      <c r="W70" s="140">
        <v>1</v>
      </c>
      <c r="X70" s="148" t="s">
        <v>39</v>
      </c>
      <c r="Y70" s="148" t="s">
        <v>84</v>
      </c>
      <c r="Z70" s="148" t="s">
        <v>90</v>
      </c>
      <c r="AA70" s="148" t="s">
        <v>69</v>
      </c>
      <c r="AB70" s="148" t="s">
        <v>255</v>
      </c>
    </row>
    <row r="71" spans="1:28" x14ac:dyDescent="0.15">
      <c r="A71" s="148" t="s">
        <v>34</v>
      </c>
      <c r="B71" s="140" t="s">
        <v>253</v>
      </c>
      <c r="C71" s="140">
        <v>2018</v>
      </c>
      <c r="D71" s="254" t="s">
        <v>565</v>
      </c>
      <c r="E71" s="165" t="s">
        <v>542</v>
      </c>
      <c r="F71" s="165" t="s">
        <v>543</v>
      </c>
      <c r="G71" s="148" t="s">
        <v>36</v>
      </c>
      <c r="H71" s="140" t="s">
        <v>155</v>
      </c>
      <c r="I71" s="148" t="s">
        <v>153</v>
      </c>
      <c r="J71" s="148" t="s">
        <v>38</v>
      </c>
      <c r="K71" s="148" t="s">
        <v>154</v>
      </c>
      <c r="L71" s="148">
        <v>1</v>
      </c>
      <c r="N71" s="140">
        <v>1</v>
      </c>
      <c r="O71" s="140">
        <v>0.7</v>
      </c>
      <c r="P71" s="140">
        <v>0.8</v>
      </c>
      <c r="Q71" s="173">
        <f t="shared" si="0"/>
        <v>0.75</v>
      </c>
      <c r="R71" s="140">
        <v>14.5</v>
      </c>
      <c r="S71" s="140">
        <v>143</v>
      </c>
      <c r="T71" s="149">
        <f t="shared" si="1"/>
        <v>30</v>
      </c>
      <c r="U71" s="140">
        <v>108</v>
      </c>
      <c r="V71" s="149">
        <f t="shared" si="2"/>
        <v>3240</v>
      </c>
      <c r="W71" s="140">
        <v>3</v>
      </c>
      <c r="X71" s="148" t="s">
        <v>46</v>
      </c>
      <c r="Y71" s="148" t="s">
        <v>84</v>
      </c>
      <c r="Z71" s="148" t="s">
        <v>50</v>
      </c>
      <c r="AA71" s="148" t="s">
        <v>78</v>
      </c>
      <c r="AB71" s="148" t="s">
        <v>255</v>
      </c>
    </row>
    <row r="72" spans="1:28" x14ac:dyDescent="0.15">
      <c r="A72" s="148" t="s">
        <v>34</v>
      </c>
      <c r="B72" s="140" t="s">
        <v>253</v>
      </c>
      <c r="C72" s="140">
        <v>2018</v>
      </c>
      <c r="D72" s="254" t="s">
        <v>565</v>
      </c>
      <c r="E72" s="165" t="s">
        <v>542</v>
      </c>
      <c r="F72" s="165" t="s">
        <v>543</v>
      </c>
      <c r="G72" s="148" t="s">
        <v>36</v>
      </c>
      <c r="H72" s="140" t="s">
        <v>155</v>
      </c>
      <c r="I72" s="148" t="s">
        <v>153</v>
      </c>
      <c r="J72" s="148" t="s">
        <v>38</v>
      </c>
      <c r="K72" s="148" t="s">
        <v>154</v>
      </c>
      <c r="L72" s="140">
        <v>2</v>
      </c>
      <c r="N72" s="140">
        <v>1</v>
      </c>
      <c r="O72" s="140">
        <v>1.05</v>
      </c>
      <c r="P72" s="140">
        <v>0.9</v>
      </c>
      <c r="Q72" s="173">
        <f t="shared" si="0"/>
        <v>0.97500000000000009</v>
      </c>
      <c r="R72" s="140">
        <v>13.5</v>
      </c>
      <c r="S72" s="140">
        <v>144</v>
      </c>
      <c r="T72" s="149">
        <f t="shared" si="1"/>
        <v>30</v>
      </c>
      <c r="U72" s="140">
        <v>108</v>
      </c>
      <c r="V72" s="149">
        <f t="shared" si="2"/>
        <v>3240</v>
      </c>
      <c r="W72" s="140">
        <v>3</v>
      </c>
      <c r="X72" s="148" t="s">
        <v>46</v>
      </c>
      <c r="Y72" s="148" t="s">
        <v>84</v>
      </c>
      <c r="Z72" s="148" t="s">
        <v>50</v>
      </c>
      <c r="AA72" s="148" t="s">
        <v>78</v>
      </c>
      <c r="AB72" s="148" t="s">
        <v>255</v>
      </c>
    </row>
    <row r="73" spans="1:28" x14ac:dyDescent="0.15">
      <c r="A73" s="148" t="s">
        <v>34</v>
      </c>
      <c r="B73" s="140" t="s">
        <v>253</v>
      </c>
      <c r="C73" s="140">
        <v>2018</v>
      </c>
      <c r="D73" s="254" t="s">
        <v>565</v>
      </c>
      <c r="E73" s="165" t="s">
        <v>542</v>
      </c>
      <c r="F73" s="165" t="s">
        <v>543</v>
      </c>
      <c r="G73" s="148" t="s">
        <v>36</v>
      </c>
      <c r="H73" s="140" t="s">
        <v>155</v>
      </c>
      <c r="I73" s="148" t="s">
        <v>153</v>
      </c>
      <c r="J73" s="148" t="s">
        <v>38</v>
      </c>
      <c r="K73" s="148" t="s">
        <v>154</v>
      </c>
      <c r="L73" s="140">
        <v>3</v>
      </c>
      <c r="N73" s="140">
        <v>1</v>
      </c>
      <c r="O73" s="140">
        <v>1.2</v>
      </c>
      <c r="P73" s="140">
        <v>1.3</v>
      </c>
      <c r="Q73" s="173">
        <f t="shared" si="0"/>
        <v>1.25</v>
      </c>
      <c r="R73" s="140">
        <v>13.9</v>
      </c>
      <c r="S73" s="140">
        <v>139</v>
      </c>
      <c r="T73" s="149">
        <f t="shared" si="1"/>
        <v>30</v>
      </c>
      <c r="U73" s="140">
        <v>108</v>
      </c>
      <c r="V73" s="149">
        <f t="shared" si="2"/>
        <v>3240</v>
      </c>
      <c r="W73" s="140">
        <v>3</v>
      </c>
      <c r="X73" s="148" t="s">
        <v>46</v>
      </c>
      <c r="Y73" s="148" t="s">
        <v>84</v>
      </c>
      <c r="Z73" s="148" t="s">
        <v>50</v>
      </c>
      <c r="AA73" s="148" t="s">
        <v>78</v>
      </c>
      <c r="AB73" s="148" t="s">
        <v>255</v>
      </c>
    </row>
    <row r="74" spans="1:28" x14ac:dyDescent="0.15">
      <c r="A74" s="148" t="s">
        <v>34</v>
      </c>
      <c r="B74" s="140" t="s">
        <v>253</v>
      </c>
      <c r="C74" s="140">
        <v>2018</v>
      </c>
      <c r="D74" s="254" t="s">
        <v>565</v>
      </c>
      <c r="E74" s="165" t="s">
        <v>542</v>
      </c>
      <c r="F74" s="165" t="s">
        <v>543</v>
      </c>
      <c r="G74" s="148" t="s">
        <v>36</v>
      </c>
      <c r="H74" s="140" t="s">
        <v>155</v>
      </c>
      <c r="I74" s="148" t="s">
        <v>153</v>
      </c>
      <c r="J74" s="148" t="s">
        <v>38</v>
      </c>
      <c r="K74" s="148" t="s">
        <v>154</v>
      </c>
      <c r="L74" s="148">
        <v>1</v>
      </c>
      <c r="N74" s="140">
        <v>4</v>
      </c>
      <c r="O74" s="140">
        <v>1.1000000000000001</v>
      </c>
      <c r="P74" s="140">
        <v>1.1499999999999999</v>
      </c>
      <c r="Q74" s="173">
        <f t="shared" si="0"/>
        <v>1.125</v>
      </c>
      <c r="R74" s="140">
        <v>10.6</v>
      </c>
      <c r="S74" s="140">
        <v>84</v>
      </c>
      <c r="T74" s="149">
        <f t="shared" si="1"/>
        <v>36</v>
      </c>
      <c r="U74" s="140">
        <v>321</v>
      </c>
      <c r="V74" s="149">
        <f t="shared" si="2"/>
        <v>2889</v>
      </c>
      <c r="W74" s="140">
        <v>3</v>
      </c>
      <c r="X74" s="148" t="s">
        <v>46</v>
      </c>
      <c r="Y74" s="148" t="s">
        <v>84</v>
      </c>
      <c r="Z74" s="148" t="s">
        <v>50</v>
      </c>
      <c r="AA74" s="148" t="s">
        <v>78</v>
      </c>
      <c r="AB74" s="148" t="s">
        <v>255</v>
      </c>
    </row>
    <row r="75" spans="1:28" x14ac:dyDescent="0.15">
      <c r="A75" s="148" t="s">
        <v>34</v>
      </c>
      <c r="B75" s="140" t="s">
        <v>253</v>
      </c>
      <c r="C75" s="140">
        <v>2018</v>
      </c>
      <c r="D75" s="254" t="s">
        <v>565</v>
      </c>
      <c r="E75" s="165" t="s">
        <v>542</v>
      </c>
      <c r="F75" s="165" t="s">
        <v>543</v>
      </c>
      <c r="G75" s="148" t="s">
        <v>36</v>
      </c>
      <c r="H75" s="140" t="s">
        <v>155</v>
      </c>
      <c r="I75" s="148" t="s">
        <v>153</v>
      </c>
      <c r="J75" s="148" t="s">
        <v>38</v>
      </c>
      <c r="K75" s="148" t="s">
        <v>154</v>
      </c>
      <c r="L75" s="140">
        <v>2</v>
      </c>
      <c r="N75" s="140">
        <v>4</v>
      </c>
      <c r="O75" s="140">
        <v>1.05</v>
      </c>
      <c r="P75" s="140">
        <v>0.9</v>
      </c>
      <c r="Q75" s="173">
        <f t="shared" si="0"/>
        <v>0.97500000000000009</v>
      </c>
      <c r="R75" s="140">
        <v>13.8</v>
      </c>
      <c r="S75" s="140">
        <v>91</v>
      </c>
      <c r="T75" s="149">
        <f t="shared" si="1"/>
        <v>36</v>
      </c>
      <c r="U75" s="140">
        <v>321</v>
      </c>
      <c r="V75" s="149">
        <f t="shared" si="2"/>
        <v>2889</v>
      </c>
      <c r="W75" s="140">
        <v>3</v>
      </c>
      <c r="X75" s="148" t="s">
        <v>46</v>
      </c>
      <c r="Y75" s="148" t="s">
        <v>84</v>
      </c>
      <c r="Z75" s="148" t="s">
        <v>50</v>
      </c>
      <c r="AA75" s="148" t="s">
        <v>78</v>
      </c>
      <c r="AB75" s="148" t="s">
        <v>255</v>
      </c>
    </row>
    <row r="76" spans="1:28" x14ac:dyDescent="0.15">
      <c r="A76" s="148" t="s">
        <v>34</v>
      </c>
      <c r="B76" s="140" t="s">
        <v>253</v>
      </c>
      <c r="C76" s="140">
        <v>2018</v>
      </c>
      <c r="D76" s="254" t="s">
        <v>565</v>
      </c>
      <c r="E76" s="165" t="s">
        <v>542</v>
      </c>
      <c r="F76" s="165" t="s">
        <v>543</v>
      </c>
      <c r="G76" s="148" t="s">
        <v>36</v>
      </c>
      <c r="H76" s="140" t="s">
        <v>155</v>
      </c>
      <c r="I76" s="148" t="s">
        <v>153</v>
      </c>
      <c r="J76" s="148" t="s">
        <v>38</v>
      </c>
      <c r="K76" s="148" t="s">
        <v>154</v>
      </c>
      <c r="L76" s="140">
        <v>3</v>
      </c>
      <c r="N76" s="140">
        <v>4</v>
      </c>
      <c r="O76" s="140">
        <v>1.2</v>
      </c>
      <c r="P76" s="140">
        <v>1.35</v>
      </c>
      <c r="Q76" s="173">
        <f t="shared" si="0"/>
        <v>1.2749999999999999</v>
      </c>
      <c r="R76" s="140">
        <v>13.8</v>
      </c>
      <c r="S76" s="140">
        <v>85</v>
      </c>
      <c r="T76" s="149">
        <f t="shared" si="1"/>
        <v>36</v>
      </c>
      <c r="U76" s="140">
        <v>321</v>
      </c>
      <c r="V76" s="149">
        <f t="shared" si="2"/>
        <v>2889</v>
      </c>
      <c r="W76" s="140">
        <v>3</v>
      </c>
      <c r="X76" s="148" t="s">
        <v>46</v>
      </c>
      <c r="Y76" s="148" t="s">
        <v>84</v>
      </c>
      <c r="Z76" s="148" t="s">
        <v>50</v>
      </c>
      <c r="AA76" s="148" t="s">
        <v>78</v>
      </c>
      <c r="AB76" s="148" t="s">
        <v>255</v>
      </c>
    </row>
    <row r="77" spans="1:28" x14ac:dyDescent="0.15">
      <c r="A77" s="148" t="s">
        <v>34</v>
      </c>
      <c r="B77" s="140" t="s">
        <v>253</v>
      </c>
      <c r="C77" s="140">
        <v>2018</v>
      </c>
      <c r="D77" s="254" t="s">
        <v>565</v>
      </c>
      <c r="E77" s="165" t="s">
        <v>542</v>
      </c>
      <c r="F77" s="165" t="s">
        <v>543</v>
      </c>
      <c r="G77" s="148" t="s">
        <v>36</v>
      </c>
      <c r="H77" s="140" t="s">
        <v>158</v>
      </c>
      <c r="I77" s="148" t="s">
        <v>153</v>
      </c>
      <c r="J77" s="148" t="s">
        <v>38</v>
      </c>
      <c r="K77" s="148" t="s">
        <v>154</v>
      </c>
      <c r="L77" s="148">
        <v>1</v>
      </c>
      <c r="N77" s="140">
        <v>1</v>
      </c>
      <c r="O77" s="140">
        <v>0.5</v>
      </c>
      <c r="P77" s="140">
        <v>0.5</v>
      </c>
      <c r="Q77" s="173">
        <f t="shared" si="0"/>
        <v>0.5</v>
      </c>
      <c r="R77" s="140">
        <v>16</v>
      </c>
      <c r="S77" s="140">
        <v>142</v>
      </c>
      <c r="T77" s="149">
        <f t="shared" si="1"/>
        <v>30</v>
      </c>
      <c r="U77" s="140">
        <v>138</v>
      </c>
      <c r="V77" s="149">
        <f t="shared" si="2"/>
        <v>4140</v>
      </c>
      <c r="W77" s="140">
        <v>2</v>
      </c>
      <c r="X77" s="148" t="s">
        <v>46</v>
      </c>
      <c r="Y77" s="148" t="s">
        <v>84</v>
      </c>
      <c r="Z77" s="148" t="s">
        <v>50</v>
      </c>
      <c r="AA77" s="148" t="s">
        <v>78</v>
      </c>
      <c r="AB77" s="148" t="s">
        <v>255</v>
      </c>
    </row>
    <row r="78" spans="1:28" x14ac:dyDescent="0.15">
      <c r="A78" s="148" t="s">
        <v>34</v>
      </c>
      <c r="B78" s="140" t="s">
        <v>253</v>
      </c>
      <c r="C78" s="140">
        <v>2018</v>
      </c>
      <c r="D78" s="254" t="s">
        <v>565</v>
      </c>
      <c r="E78" s="165" t="s">
        <v>542</v>
      </c>
      <c r="F78" s="165" t="s">
        <v>543</v>
      </c>
      <c r="G78" s="148" t="s">
        <v>36</v>
      </c>
      <c r="H78" s="140" t="s">
        <v>158</v>
      </c>
      <c r="I78" s="148" t="s">
        <v>153</v>
      </c>
      <c r="J78" s="148" t="s">
        <v>38</v>
      </c>
      <c r="K78" s="148" t="s">
        <v>154</v>
      </c>
      <c r="L78" s="140">
        <v>2</v>
      </c>
      <c r="N78" s="140">
        <v>1</v>
      </c>
      <c r="O78" s="140">
        <v>0.5</v>
      </c>
      <c r="P78" s="140">
        <v>0.6</v>
      </c>
      <c r="Q78" s="173">
        <f t="shared" si="0"/>
        <v>0.55000000000000004</v>
      </c>
      <c r="R78" s="140">
        <v>15.9</v>
      </c>
      <c r="S78" s="140">
        <v>148</v>
      </c>
      <c r="T78" s="149">
        <f t="shared" si="1"/>
        <v>30</v>
      </c>
      <c r="U78" s="140">
        <v>138</v>
      </c>
      <c r="V78" s="149">
        <f t="shared" si="2"/>
        <v>4140</v>
      </c>
      <c r="W78" s="140">
        <v>2</v>
      </c>
      <c r="X78" s="148" t="s">
        <v>46</v>
      </c>
      <c r="Y78" s="148" t="s">
        <v>84</v>
      </c>
      <c r="Z78" s="148" t="s">
        <v>50</v>
      </c>
      <c r="AA78" s="148" t="s">
        <v>78</v>
      </c>
      <c r="AB78" s="148" t="s">
        <v>255</v>
      </c>
    </row>
    <row r="79" spans="1:28" x14ac:dyDescent="0.15">
      <c r="A79" s="148" t="s">
        <v>34</v>
      </c>
      <c r="B79" s="140" t="s">
        <v>253</v>
      </c>
      <c r="C79" s="140">
        <v>2018</v>
      </c>
      <c r="D79" s="254" t="s">
        <v>565</v>
      </c>
      <c r="E79" s="165" t="s">
        <v>542</v>
      </c>
      <c r="F79" s="165" t="s">
        <v>543</v>
      </c>
      <c r="G79" s="148" t="s">
        <v>36</v>
      </c>
      <c r="H79" s="140" t="s">
        <v>158</v>
      </c>
      <c r="I79" s="148" t="s">
        <v>153</v>
      </c>
      <c r="J79" s="148" t="s">
        <v>38</v>
      </c>
      <c r="K79" s="148" t="s">
        <v>154</v>
      </c>
      <c r="L79" s="140">
        <v>3</v>
      </c>
      <c r="N79" s="140">
        <v>1</v>
      </c>
      <c r="O79" s="140">
        <v>0.5</v>
      </c>
      <c r="P79" s="140">
        <v>0.75</v>
      </c>
      <c r="Q79" s="173">
        <f t="shared" si="0"/>
        <v>0.625</v>
      </c>
      <c r="R79" s="140">
        <v>14.3</v>
      </c>
      <c r="S79" s="140">
        <v>140</v>
      </c>
      <c r="T79" s="149">
        <f t="shared" si="1"/>
        <v>30</v>
      </c>
      <c r="U79" s="140">
        <v>138</v>
      </c>
      <c r="V79" s="149">
        <f t="shared" si="2"/>
        <v>4140</v>
      </c>
      <c r="W79" s="140">
        <v>2</v>
      </c>
      <c r="X79" s="148" t="s">
        <v>46</v>
      </c>
      <c r="Y79" s="148" t="s">
        <v>84</v>
      </c>
      <c r="Z79" s="148" t="s">
        <v>50</v>
      </c>
      <c r="AA79" s="148" t="s">
        <v>78</v>
      </c>
      <c r="AB79" s="148" t="s">
        <v>255</v>
      </c>
    </row>
    <row r="80" spans="1:28" x14ac:dyDescent="0.15">
      <c r="A80" s="148" t="s">
        <v>34</v>
      </c>
      <c r="B80" s="140" t="s">
        <v>253</v>
      </c>
      <c r="C80" s="140">
        <v>2018</v>
      </c>
      <c r="D80" s="254" t="s">
        <v>565</v>
      </c>
      <c r="E80" s="165" t="s">
        <v>542</v>
      </c>
      <c r="F80" s="165" t="s">
        <v>543</v>
      </c>
      <c r="G80" s="148" t="s">
        <v>36</v>
      </c>
      <c r="H80" s="140" t="s">
        <v>158</v>
      </c>
      <c r="I80" s="148" t="s">
        <v>153</v>
      </c>
      <c r="J80" s="148" t="s">
        <v>38</v>
      </c>
      <c r="K80" s="148" t="s">
        <v>154</v>
      </c>
      <c r="L80" s="148">
        <v>1</v>
      </c>
      <c r="N80" s="140">
        <v>4</v>
      </c>
      <c r="O80" s="140">
        <v>0.55000000000000004</v>
      </c>
      <c r="P80" s="140">
        <v>0.6</v>
      </c>
      <c r="Q80" s="173">
        <f t="shared" si="0"/>
        <v>0.57499999999999996</v>
      </c>
      <c r="R80" s="140">
        <v>14.1</v>
      </c>
      <c r="S80" s="140">
        <v>110</v>
      </c>
      <c r="T80" s="149">
        <f t="shared" si="1"/>
        <v>33</v>
      </c>
      <c r="U80" s="140">
        <v>429</v>
      </c>
      <c r="V80" s="149">
        <f t="shared" si="2"/>
        <v>3539.25</v>
      </c>
      <c r="W80" s="140">
        <v>2</v>
      </c>
      <c r="X80" s="148" t="s">
        <v>46</v>
      </c>
      <c r="Y80" s="148" t="s">
        <v>84</v>
      </c>
      <c r="Z80" s="148" t="s">
        <v>50</v>
      </c>
      <c r="AA80" s="148" t="s">
        <v>78</v>
      </c>
      <c r="AB80" s="148" t="s">
        <v>255</v>
      </c>
    </row>
    <row r="81" spans="1:28" x14ac:dyDescent="0.15">
      <c r="A81" s="148" t="s">
        <v>34</v>
      </c>
      <c r="B81" s="140" t="s">
        <v>253</v>
      </c>
      <c r="C81" s="140">
        <v>2018</v>
      </c>
      <c r="D81" s="254" t="s">
        <v>565</v>
      </c>
      <c r="E81" s="165" t="s">
        <v>542</v>
      </c>
      <c r="F81" s="165" t="s">
        <v>543</v>
      </c>
      <c r="G81" s="148" t="s">
        <v>36</v>
      </c>
      <c r="H81" s="140" t="s">
        <v>158</v>
      </c>
      <c r="I81" s="148" t="s">
        <v>153</v>
      </c>
      <c r="J81" s="148" t="s">
        <v>38</v>
      </c>
      <c r="K81" s="148" t="s">
        <v>154</v>
      </c>
      <c r="L81" s="140">
        <v>2</v>
      </c>
      <c r="N81" s="140">
        <v>4</v>
      </c>
      <c r="O81" s="140">
        <v>0.6</v>
      </c>
      <c r="P81" s="140">
        <v>0.55000000000000004</v>
      </c>
      <c r="Q81" s="173">
        <f t="shared" si="0"/>
        <v>0.57499999999999996</v>
      </c>
      <c r="R81" s="140">
        <v>13.4</v>
      </c>
      <c r="S81" s="140">
        <v>113</v>
      </c>
      <c r="T81" s="149">
        <f t="shared" si="1"/>
        <v>30</v>
      </c>
      <c r="U81" s="140">
        <v>429</v>
      </c>
      <c r="V81" s="149">
        <f t="shared" si="2"/>
        <v>3217.5</v>
      </c>
      <c r="W81" s="140">
        <v>2</v>
      </c>
      <c r="X81" s="148" t="s">
        <v>46</v>
      </c>
      <c r="Y81" s="148" t="s">
        <v>84</v>
      </c>
      <c r="Z81" s="148" t="s">
        <v>50</v>
      </c>
      <c r="AA81" s="148" t="s">
        <v>78</v>
      </c>
      <c r="AB81" s="148" t="s">
        <v>255</v>
      </c>
    </row>
    <row r="82" spans="1:28" x14ac:dyDescent="0.15">
      <c r="A82" s="148" t="s">
        <v>34</v>
      </c>
      <c r="B82" s="140" t="s">
        <v>253</v>
      </c>
      <c r="C82" s="140">
        <v>2018</v>
      </c>
      <c r="D82" s="254" t="s">
        <v>565</v>
      </c>
      <c r="E82" s="165" t="s">
        <v>542</v>
      </c>
      <c r="F82" s="165" t="s">
        <v>543</v>
      </c>
      <c r="G82" s="148" t="s">
        <v>36</v>
      </c>
      <c r="H82" s="140" t="s">
        <v>158</v>
      </c>
      <c r="I82" s="148" t="s">
        <v>153</v>
      </c>
      <c r="J82" s="148" t="s">
        <v>38</v>
      </c>
      <c r="K82" s="148" t="s">
        <v>154</v>
      </c>
      <c r="L82" s="140">
        <v>3</v>
      </c>
      <c r="N82" s="140">
        <v>4</v>
      </c>
      <c r="O82" s="140">
        <v>0.65</v>
      </c>
      <c r="P82" s="140">
        <v>0.65</v>
      </c>
      <c r="Q82" s="173">
        <f t="shared" si="0"/>
        <v>0.65</v>
      </c>
      <c r="R82" s="140">
        <v>13.2</v>
      </c>
      <c r="S82" s="140">
        <v>109</v>
      </c>
      <c r="T82" s="149">
        <f t="shared" si="1"/>
        <v>33</v>
      </c>
      <c r="U82" s="140">
        <v>429</v>
      </c>
      <c r="V82" s="149">
        <f t="shared" si="2"/>
        <v>3539.25</v>
      </c>
      <c r="W82" s="140">
        <v>2</v>
      </c>
      <c r="X82" s="148" t="s">
        <v>46</v>
      </c>
      <c r="Y82" s="148" t="s">
        <v>84</v>
      </c>
      <c r="Z82" s="148" t="s">
        <v>50</v>
      </c>
      <c r="AA82" s="148" t="s">
        <v>78</v>
      </c>
      <c r="AB82" s="148" t="s">
        <v>255</v>
      </c>
    </row>
    <row r="83" spans="1:28" x14ac:dyDescent="0.15">
      <c r="A83" s="148" t="s">
        <v>34</v>
      </c>
      <c r="B83" s="140" t="s">
        <v>253</v>
      </c>
      <c r="C83" s="140">
        <v>2018</v>
      </c>
      <c r="D83" s="254" t="s">
        <v>565</v>
      </c>
      <c r="E83" s="165" t="s">
        <v>546</v>
      </c>
      <c r="F83" s="165" t="s">
        <v>547</v>
      </c>
      <c r="G83" s="148" t="s">
        <v>36</v>
      </c>
      <c r="H83" s="140" t="s">
        <v>155</v>
      </c>
      <c r="I83" s="148" t="s">
        <v>153</v>
      </c>
      <c r="J83" s="148" t="s">
        <v>38</v>
      </c>
      <c r="K83" s="148" t="s">
        <v>154</v>
      </c>
      <c r="L83" s="148">
        <v>1</v>
      </c>
      <c r="N83" s="140">
        <v>1</v>
      </c>
      <c r="O83" s="140">
        <v>0.8</v>
      </c>
      <c r="P83" s="140">
        <v>1</v>
      </c>
      <c r="Q83" s="173">
        <f t="shared" ref="Q83:Q103" si="5">IF(OR(O83="",P83=""),"",AVERAGE(O83,P83))</f>
        <v>0.9</v>
      </c>
      <c r="R83" s="140">
        <v>14</v>
      </c>
      <c r="S83" s="140">
        <v>114</v>
      </c>
      <c r="T83" s="149">
        <f t="shared" si="1"/>
        <v>30</v>
      </c>
      <c r="U83" s="140">
        <v>97</v>
      </c>
      <c r="V83" s="149">
        <f t="shared" si="2"/>
        <v>2910</v>
      </c>
      <c r="W83" s="140">
        <v>2</v>
      </c>
      <c r="X83" s="148" t="s">
        <v>46</v>
      </c>
      <c r="Y83" s="140" t="s">
        <v>84</v>
      </c>
      <c r="Z83" s="140" t="s">
        <v>90</v>
      </c>
      <c r="AA83" s="140" t="s">
        <v>50</v>
      </c>
      <c r="AB83" s="148" t="s">
        <v>255</v>
      </c>
    </row>
    <row r="84" spans="1:28" x14ac:dyDescent="0.15">
      <c r="A84" s="148" t="s">
        <v>34</v>
      </c>
      <c r="B84" s="140" t="s">
        <v>253</v>
      </c>
      <c r="C84" s="140">
        <v>2018</v>
      </c>
      <c r="D84" s="254" t="s">
        <v>565</v>
      </c>
      <c r="E84" s="165" t="s">
        <v>546</v>
      </c>
      <c r="F84" s="165" t="s">
        <v>547</v>
      </c>
      <c r="G84" s="148" t="s">
        <v>36</v>
      </c>
      <c r="H84" s="140" t="s">
        <v>155</v>
      </c>
      <c r="I84" s="148" t="s">
        <v>153</v>
      </c>
      <c r="J84" s="148" t="s">
        <v>38</v>
      </c>
      <c r="K84" s="148" t="s">
        <v>154</v>
      </c>
      <c r="L84" s="140">
        <v>2</v>
      </c>
      <c r="N84" s="140">
        <v>1</v>
      </c>
      <c r="O84" s="140">
        <v>1.05</v>
      </c>
      <c r="P84" s="140">
        <v>1.3</v>
      </c>
      <c r="Q84" s="173">
        <f t="shared" si="5"/>
        <v>1.175</v>
      </c>
      <c r="R84" s="140">
        <v>13.8</v>
      </c>
      <c r="S84" s="140">
        <v>119</v>
      </c>
      <c r="T84" s="149">
        <f t="shared" si="1"/>
        <v>30</v>
      </c>
      <c r="U84" s="140">
        <v>97</v>
      </c>
      <c r="V84" s="149">
        <f t="shared" si="2"/>
        <v>2910</v>
      </c>
      <c r="W84" s="140">
        <v>2</v>
      </c>
      <c r="X84" s="148" t="s">
        <v>46</v>
      </c>
      <c r="Y84" s="140" t="s">
        <v>84</v>
      </c>
      <c r="Z84" s="140" t="s">
        <v>90</v>
      </c>
      <c r="AA84" s="140" t="s">
        <v>50</v>
      </c>
      <c r="AB84" s="148" t="s">
        <v>255</v>
      </c>
    </row>
    <row r="85" spans="1:28" x14ac:dyDescent="0.15">
      <c r="A85" s="148" t="s">
        <v>34</v>
      </c>
      <c r="B85" s="140" t="s">
        <v>253</v>
      </c>
      <c r="C85" s="140">
        <v>2018</v>
      </c>
      <c r="D85" s="254" t="s">
        <v>565</v>
      </c>
      <c r="E85" s="165" t="s">
        <v>546</v>
      </c>
      <c r="F85" s="165" t="s">
        <v>547</v>
      </c>
      <c r="G85" s="148" t="s">
        <v>36</v>
      </c>
      <c r="H85" s="140" t="s">
        <v>155</v>
      </c>
      <c r="I85" s="148" t="s">
        <v>153</v>
      </c>
      <c r="J85" s="148" t="s">
        <v>38</v>
      </c>
      <c r="K85" s="148" t="s">
        <v>154</v>
      </c>
      <c r="L85" s="140">
        <v>3</v>
      </c>
      <c r="N85" s="140">
        <v>1</v>
      </c>
      <c r="O85" s="140">
        <v>1.25</v>
      </c>
      <c r="P85" s="140">
        <v>1.3</v>
      </c>
      <c r="Q85" s="149">
        <f t="shared" si="5"/>
        <v>1.2749999999999999</v>
      </c>
      <c r="R85" s="140">
        <v>14</v>
      </c>
      <c r="S85" s="140">
        <v>114</v>
      </c>
      <c r="T85" s="149">
        <f t="shared" si="1"/>
        <v>30</v>
      </c>
      <c r="U85" s="140">
        <v>97</v>
      </c>
      <c r="V85" s="149">
        <f t="shared" si="2"/>
        <v>2910</v>
      </c>
      <c r="W85" s="140">
        <v>2</v>
      </c>
      <c r="X85" s="148" t="s">
        <v>46</v>
      </c>
      <c r="Y85" s="140" t="s">
        <v>84</v>
      </c>
      <c r="Z85" s="140" t="s">
        <v>90</v>
      </c>
      <c r="AA85" s="140" t="s">
        <v>50</v>
      </c>
      <c r="AB85" s="148" t="s">
        <v>255</v>
      </c>
    </row>
    <row r="86" spans="1:28" x14ac:dyDescent="0.15">
      <c r="A86" s="148" t="s">
        <v>34</v>
      </c>
      <c r="B86" s="140" t="s">
        <v>253</v>
      </c>
      <c r="C86" s="140">
        <v>2018</v>
      </c>
      <c r="D86" s="254" t="s">
        <v>565</v>
      </c>
      <c r="E86" s="165" t="s">
        <v>546</v>
      </c>
      <c r="F86" s="165" t="s">
        <v>547</v>
      </c>
      <c r="G86" s="148" t="s">
        <v>36</v>
      </c>
      <c r="H86" s="140" t="s">
        <v>158</v>
      </c>
      <c r="I86" s="148" t="s">
        <v>153</v>
      </c>
      <c r="J86" s="148" t="s">
        <v>38</v>
      </c>
      <c r="K86" s="148" t="s">
        <v>154</v>
      </c>
      <c r="L86" s="148">
        <v>1</v>
      </c>
      <c r="N86" s="140">
        <v>1</v>
      </c>
      <c r="O86" s="140">
        <v>0.7</v>
      </c>
      <c r="P86" s="140">
        <v>0.55000000000000004</v>
      </c>
      <c r="Q86" s="149">
        <f t="shared" si="5"/>
        <v>0.625</v>
      </c>
      <c r="R86" s="140">
        <v>15.7</v>
      </c>
      <c r="S86" s="140">
        <v>167</v>
      </c>
      <c r="T86" s="149">
        <f t="shared" si="1"/>
        <v>18</v>
      </c>
      <c r="U86" s="140">
        <v>107</v>
      </c>
      <c r="V86" s="149">
        <f t="shared" si="2"/>
        <v>1926</v>
      </c>
      <c r="W86" s="140">
        <v>6</v>
      </c>
      <c r="X86" s="148" t="s">
        <v>46</v>
      </c>
      <c r="Y86" s="140" t="s">
        <v>84</v>
      </c>
      <c r="Z86" s="140" t="s">
        <v>90</v>
      </c>
      <c r="AA86" s="140" t="s">
        <v>50</v>
      </c>
      <c r="AB86" s="148" t="s">
        <v>255</v>
      </c>
    </row>
    <row r="87" spans="1:28" x14ac:dyDescent="0.15">
      <c r="A87" s="148" t="s">
        <v>34</v>
      </c>
      <c r="B87" s="140" t="s">
        <v>253</v>
      </c>
      <c r="C87" s="140">
        <v>2018</v>
      </c>
      <c r="D87" s="254" t="s">
        <v>565</v>
      </c>
      <c r="E87" s="165" t="s">
        <v>546</v>
      </c>
      <c r="F87" s="165" t="s">
        <v>547</v>
      </c>
      <c r="G87" s="148" t="s">
        <v>36</v>
      </c>
      <c r="H87" s="140" t="s">
        <v>158</v>
      </c>
      <c r="I87" s="148" t="s">
        <v>153</v>
      </c>
      <c r="J87" s="148" t="s">
        <v>38</v>
      </c>
      <c r="K87" s="148" t="s">
        <v>154</v>
      </c>
      <c r="L87" s="140">
        <v>2</v>
      </c>
      <c r="N87" s="140">
        <v>1</v>
      </c>
      <c r="O87" s="140">
        <v>0.5</v>
      </c>
      <c r="P87" s="140">
        <v>0.5</v>
      </c>
      <c r="Q87" s="149">
        <f t="shared" si="5"/>
        <v>0.5</v>
      </c>
      <c r="R87" s="140">
        <v>10.9</v>
      </c>
      <c r="S87" s="140">
        <v>154</v>
      </c>
      <c r="T87" s="149">
        <f t="shared" si="1"/>
        <v>18</v>
      </c>
      <c r="U87" s="140">
        <v>107</v>
      </c>
      <c r="V87" s="149">
        <f t="shared" si="2"/>
        <v>1926</v>
      </c>
      <c r="W87" s="140">
        <v>6</v>
      </c>
      <c r="X87" s="148" t="s">
        <v>46</v>
      </c>
      <c r="Y87" s="140" t="s">
        <v>84</v>
      </c>
      <c r="Z87" s="140" t="s">
        <v>90</v>
      </c>
      <c r="AA87" s="140" t="s">
        <v>50</v>
      </c>
      <c r="AB87" s="148" t="s">
        <v>255</v>
      </c>
    </row>
    <row r="88" spans="1:28" x14ac:dyDescent="0.15">
      <c r="A88" s="148" t="s">
        <v>34</v>
      </c>
      <c r="B88" s="140" t="s">
        <v>253</v>
      </c>
      <c r="C88" s="140">
        <v>2018</v>
      </c>
      <c r="D88" s="254" t="s">
        <v>565</v>
      </c>
      <c r="E88" s="165" t="s">
        <v>546</v>
      </c>
      <c r="F88" s="165" t="s">
        <v>547</v>
      </c>
      <c r="G88" s="148" t="s">
        <v>36</v>
      </c>
      <c r="H88" s="140" t="s">
        <v>158</v>
      </c>
      <c r="I88" s="148" t="s">
        <v>153</v>
      </c>
      <c r="J88" s="148" t="s">
        <v>38</v>
      </c>
      <c r="K88" s="148" t="s">
        <v>154</v>
      </c>
      <c r="L88" s="140">
        <v>3</v>
      </c>
      <c r="N88" s="140">
        <v>1</v>
      </c>
      <c r="O88" s="140">
        <v>0.5</v>
      </c>
      <c r="P88" s="140">
        <v>0.2</v>
      </c>
      <c r="Q88" s="149">
        <f t="shared" si="5"/>
        <v>0.35</v>
      </c>
      <c r="R88" s="140">
        <v>16</v>
      </c>
      <c r="S88" s="140">
        <v>158</v>
      </c>
      <c r="T88" s="149">
        <f t="shared" si="1"/>
        <v>18</v>
      </c>
      <c r="U88" s="140">
        <v>107</v>
      </c>
      <c r="V88" s="149">
        <f t="shared" si="2"/>
        <v>1926</v>
      </c>
      <c r="W88" s="140">
        <v>6</v>
      </c>
      <c r="X88" s="148" t="s">
        <v>46</v>
      </c>
      <c r="Y88" s="140" t="s">
        <v>84</v>
      </c>
      <c r="Z88" s="140" t="s">
        <v>90</v>
      </c>
      <c r="AA88" s="140" t="s">
        <v>50</v>
      </c>
      <c r="AB88" s="148" t="s">
        <v>255</v>
      </c>
    </row>
    <row r="89" spans="1:28" x14ac:dyDescent="0.15">
      <c r="A89" s="148" t="s">
        <v>34</v>
      </c>
      <c r="B89" s="140" t="s">
        <v>253</v>
      </c>
      <c r="C89" s="140">
        <v>2018</v>
      </c>
      <c r="D89" s="254" t="s">
        <v>565</v>
      </c>
      <c r="E89" s="165" t="s">
        <v>551</v>
      </c>
      <c r="F89" s="165" t="s">
        <v>552</v>
      </c>
      <c r="G89" s="148" t="s">
        <v>36</v>
      </c>
      <c r="H89" s="140" t="s">
        <v>155</v>
      </c>
      <c r="I89" s="148" t="s">
        <v>153</v>
      </c>
      <c r="J89" s="148" t="s">
        <v>38</v>
      </c>
      <c r="K89" s="148" t="s">
        <v>154</v>
      </c>
      <c r="L89" s="148">
        <v>1</v>
      </c>
      <c r="N89" s="140">
        <v>1</v>
      </c>
      <c r="O89" s="140">
        <v>0.8</v>
      </c>
      <c r="P89" s="140">
        <v>0.75</v>
      </c>
      <c r="Q89" s="149">
        <f t="shared" si="5"/>
        <v>0.77500000000000002</v>
      </c>
      <c r="R89" s="140">
        <v>14.5</v>
      </c>
      <c r="S89" s="140">
        <v>171</v>
      </c>
      <c r="T89" s="149">
        <f t="shared" si="1"/>
        <v>18</v>
      </c>
      <c r="U89" s="140">
        <v>105</v>
      </c>
      <c r="V89" s="149">
        <f t="shared" si="2"/>
        <v>1890</v>
      </c>
      <c r="W89" s="140">
        <v>7</v>
      </c>
      <c r="X89" s="148" t="s">
        <v>46</v>
      </c>
      <c r="Y89" s="140" t="s">
        <v>90</v>
      </c>
      <c r="Z89" s="140" t="s">
        <v>50</v>
      </c>
      <c r="AA89" s="140" t="s">
        <v>84</v>
      </c>
      <c r="AB89" s="148" t="s">
        <v>255</v>
      </c>
    </row>
    <row r="90" spans="1:28" x14ac:dyDescent="0.15">
      <c r="A90" s="148" t="s">
        <v>34</v>
      </c>
      <c r="B90" s="140" t="s">
        <v>253</v>
      </c>
      <c r="C90" s="140">
        <v>2018</v>
      </c>
      <c r="D90" s="254" t="s">
        <v>565</v>
      </c>
      <c r="E90" s="165" t="s">
        <v>551</v>
      </c>
      <c r="F90" s="165" t="s">
        <v>552</v>
      </c>
      <c r="G90" s="148" t="s">
        <v>36</v>
      </c>
      <c r="H90" s="140" t="s">
        <v>155</v>
      </c>
      <c r="I90" s="148" t="s">
        <v>153</v>
      </c>
      <c r="J90" s="148" t="s">
        <v>38</v>
      </c>
      <c r="K90" s="148" t="s">
        <v>154</v>
      </c>
      <c r="L90" s="140">
        <v>2</v>
      </c>
      <c r="N90" s="140">
        <v>1</v>
      </c>
      <c r="O90" s="140">
        <v>0.85</v>
      </c>
      <c r="P90" s="140">
        <v>0.8</v>
      </c>
      <c r="Q90" s="149">
        <f t="shared" si="5"/>
        <v>0.82499999999999996</v>
      </c>
      <c r="R90" s="140">
        <v>14.5</v>
      </c>
      <c r="S90" s="140">
        <v>153</v>
      </c>
      <c r="T90" s="149">
        <f t="shared" si="1"/>
        <v>18</v>
      </c>
      <c r="U90" s="140">
        <v>105</v>
      </c>
      <c r="V90" s="149">
        <f t="shared" si="2"/>
        <v>1890</v>
      </c>
      <c r="W90" s="140">
        <v>7</v>
      </c>
      <c r="X90" s="148" t="s">
        <v>46</v>
      </c>
      <c r="Y90" s="140" t="s">
        <v>90</v>
      </c>
      <c r="Z90" s="140" t="s">
        <v>50</v>
      </c>
      <c r="AA90" s="140" t="s">
        <v>84</v>
      </c>
      <c r="AB90" s="148" t="s">
        <v>255</v>
      </c>
    </row>
    <row r="91" spans="1:28" x14ac:dyDescent="0.15">
      <c r="A91" s="148" t="s">
        <v>34</v>
      </c>
      <c r="B91" s="140" t="s">
        <v>253</v>
      </c>
      <c r="C91" s="140">
        <v>2018</v>
      </c>
      <c r="D91" s="254" t="s">
        <v>565</v>
      </c>
      <c r="E91" s="165" t="s">
        <v>551</v>
      </c>
      <c r="F91" s="165" t="s">
        <v>552</v>
      </c>
      <c r="G91" s="148" t="s">
        <v>36</v>
      </c>
      <c r="H91" s="140" t="s">
        <v>155</v>
      </c>
      <c r="I91" s="148" t="s">
        <v>153</v>
      </c>
      <c r="J91" s="148" t="s">
        <v>38</v>
      </c>
      <c r="K91" s="148" t="s">
        <v>154</v>
      </c>
      <c r="L91" s="140">
        <v>3</v>
      </c>
      <c r="N91" s="140">
        <v>1</v>
      </c>
      <c r="O91" s="140">
        <v>0.7</v>
      </c>
      <c r="P91" s="140">
        <v>0.8</v>
      </c>
      <c r="Q91" s="149">
        <f t="shared" si="5"/>
        <v>0.75</v>
      </c>
      <c r="R91" s="140">
        <v>14</v>
      </c>
      <c r="S91" s="140">
        <v>155</v>
      </c>
      <c r="T91" s="149">
        <f t="shared" si="1"/>
        <v>18</v>
      </c>
      <c r="U91" s="140">
        <v>105</v>
      </c>
      <c r="V91" s="149">
        <f t="shared" si="2"/>
        <v>1890</v>
      </c>
      <c r="W91" s="140">
        <v>7</v>
      </c>
      <c r="X91" s="148" t="s">
        <v>46</v>
      </c>
      <c r="Y91" s="140" t="s">
        <v>90</v>
      </c>
      <c r="Z91" s="140" t="s">
        <v>50</v>
      </c>
      <c r="AA91" s="140" t="s">
        <v>84</v>
      </c>
      <c r="AB91" s="148" t="s">
        <v>255</v>
      </c>
    </row>
    <row r="92" spans="1:28" x14ac:dyDescent="0.15">
      <c r="A92" s="148" t="s">
        <v>34</v>
      </c>
      <c r="B92" s="140" t="s">
        <v>253</v>
      </c>
      <c r="C92" s="140">
        <v>2018</v>
      </c>
      <c r="D92" s="254" t="s">
        <v>565</v>
      </c>
      <c r="E92" s="165" t="s">
        <v>551</v>
      </c>
      <c r="F92" s="165" t="s">
        <v>552</v>
      </c>
      <c r="G92" s="148" t="s">
        <v>36</v>
      </c>
      <c r="H92" s="140" t="s">
        <v>155</v>
      </c>
      <c r="I92" s="148" t="s">
        <v>153</v>
      </c>
      <c r="J92" s="148" t="s">
        <v>38</v>
      </c>
      <c r="K92" s="148" t="s">
        <v>154</v>
      </c>
      <c r="L92" s="148">
        <v>1</v>
      </c>
      <c r="N92" s="140">
        <v>4</v>
      </c>
      <c r="O92" s="140">
        <v>0.8</v>
      </c>
      <c r="P92" s="140">
        <v>0.7</v>
      </c>
      <c r="Q92" s="149">
        <f t="shared" si="5"/>
        <v>0.75</v>
      </c>
      <c r="R92" s="140">
        <v>14.3</v>
      </c>
      <c r="S92" s="140">
        <v>125</v>
      </c>
      <c r="T92" s="149">
        <f t="shared" si="1"/>
        <v>30</v>
      </c>
      <c r="U92" s="140">
        <v>410</v>
      </c>
      <c r="V92" s="149">
        <f t="shared" si="2"/>
        <v>3075</v>
      </c>
      <c r="W92" s="140">
        <v>7</v>
      </c>
      <c r="X92" s="148" t="s">
        <v>46</v>
      </c>
      <c r="Y92" s="140" t="s">
        <v>90</v>
      </c>
      <c r="Z92" s="140" t="s">
        <v>50</v>
      </c>
      <c r="AA92" s="140" t="s">
        <v>84</v>
      </c>
      <c r="AB92" s="148" t="s">
        <v>255</v>
      </c>
    </row>
    <row r="93" spans="1:28" x14ac:dyDescent="0.15">
      <c r="A93" s="148" t="s">
        <v>34</v>
      </c>
      <c r="B93" s="140" t="s">
        <v>253</v>
      </c>
      <c r="C93" s="140">
        <v>2018</v>
      </c>
      <c r="D93" s="254" t="s">
        <v>565</v>
      </c>
      <c r="E93" s="165" t="s">
        <v>551</v>
      </c>
      <c r="F93" s="165" t="s">
        <v>552</v>
      </c>
      <c r="G93" s="148" t="s">
        <v>36</v>
      </c>
      <c r="H93" s="140" t="s">
        <v>155</v>
      </c>
      <c r="I93" s="148" t="s">
        <v>153</v>
      </c>
      <c r="J93" s="148" t="s">
        <v>38</v>
      </c>
      <c r="K93" s="148" t="s">
        <v>154</v>
      </c>
      <c r="L93" s="140">
        <v>2</v>
      </c>
      <c r="N93" s="140">
        <v>4</v>
      </c>
      <c r="O93" s="140">
        <v>0.65</v>
      </c>
      <c r="P93" s="140">
        <v>0.7</v>
      </c>
      <c r="Q93" s="149">
        <f t="shared" si="5"/>
        <v>0.67500000000000004</v>
      </c>
      <c r="R93" s="140">
        <v>17.100000000000001</v>
      </c>
      <c r="S93" s="140">
        <v>124</v>
      </c>
      <c r="T93" s="149">
        <f t="shared" si="1"/>
        <v>30</v>
      </c>
      <c r="U93" s="140">
        <v>410</v>
      </c>
      <c r="V93" s="149">
        <f t="shared" si="2"/>
        <v>3075</v>
      </c>
      <c r="W93" s="140">
        <v>7</v>
      </c>
      <c r="X93" s="148" t="s">
        <v>46</v>
      </c>
      <c r="Y93" s="140" t="s">
        <v>90</v>
      </c>
      <c r="Z93" s="140" t="s">
        <v>50</v>
      </c>
      <c r="AA93" s="140" t="s">
        <v>84</v>
      </c>
      <c r="AB93" s="148" t="s">
        <v>255</v>
      </c>
    </row>
    <row r="94" spans="1:28" x14ac:dyDescent="0.15">
      <c r="A94" s="148" t="s">
        <v>34</v>
      </c>
      <c r="B94" s="140" t="s">
        <v>253</v>
      </c>
      <c r="C94" s="140">
        <v>2018</v>
      </c>
      <c r="D94" s="254" t="s">
        <v>565</v>
      </c>
      <c r="E94" s="165" t="s">
        <v>551</v>
      </c>
      <c r="F94" s="165" t="s">
        <v>552</v>
      </c>
      <c r="G94" s="148" t="s">
        <v>36</v>
      </c>
      <c r="H94" s="140" t="s">
        <v>155</v>
      </c>
      <c r="I94" s="148" t="s">
        <v>153</v>
      </c>
      <c r="J94" s="148" t="s">
        <v>38</v>
      </c>
      <c r="K94" s="148" t="s">
        <v>154</v>
      </c>
      <c r="L94" s="140">
        <v>3</v>
      </c>
      <c r="N94" s="140">
        <v>4</v>
      </c>
      <c r="O94" s="140">
        <v>0.75</v>
      </c>
      <c r="P94" s="140">
        <v>0.8</v>
      </c>
      <c r="Q94" s="149">
        <f t="shared" si="5"/>
        <v>0.77500000000000002</v>
      </c>
      <c r="R94" s="140">
        <v>13.4</v>
      </c>
      <c r="S94" s="140">
        <v>129</v>
      </c>
      <c r="T94" s="149">
        <f t="shared" si="1"/>
        <v>30</v>
      </c>
      <c r="U94" s="140">
        <v>410</v>
      </c>
      <c r="V94" s="149">
        <f t="shared" si="2"/>
        <v>3075</v>
      </c>
      <c r="W94" s="140">
        <v>7</v>
      </c>
      <c r="X94" s="148" t="s">
        <v>46</v>
      </c>
      <c r="Y94" s="140" t="s">
        <v>90</v>
      </c>
      <c r="Z94" s="140" t="s">
        <v>50</v>
      </c>
      <c r="AA94" s="140" t="s">
        <v>84</v>
      </c>
      <c r="AB94" s="148" t="s">
        <v>255</v>
      </c>
    </row>
    <row r="95" spans="1:28" x14ac:dyDescent="0.15">
      <c r="A95" s="148" t="s">
        <v>34</v>
      </c>
      <c r="B95" s="140" t="s">
        <v>253</v>
      </c>
      <c r="C95" s="140">
        <v>2018</v>
      </c>
      <c r="D95" s="254" t="s">
        <v>565</v>
      </c>
      <c r="E95" s="165" t="s">
        <v>551</v>
      </c>
      <c r="F95" s="165" t="s">
        <v>552</v>
      </c>
      <c r="G95" s="148" t="s">
        <v>36</v>
      </c>
      <c r="H95" s="140" t="s">
        <v>155</v>
      </c>
      <c r="I95" s="148" t="s">
        <v>156</v>
      </c>
      <c r="J95" s="148" t="s">
        <v>38</v>
      </c>
      <c r="K95" s="148" t="s">
        <v>154</v>
      </c>
      <c r="L95" s="148">
        <v>1</v>
      </c>
      <c r="N95" s="140">
        <v>4</v>
      </c>
      <c r="O95" s="140">
        <v>0.75</v>
      </c>
      <c r="P95" s="140">
        <v>0.7</v>
      </c>
      <c r="Q95" s="149">
        <f t="shared" si="5"/>
        <v>0.72499999999999998</v>
      </c>
      <c r="R95" s="140">
        <v>15.5</v>
      </c>
      <c r="S95" s="140">
        <v>106</v>
      </c>
      <c r="T95" s="149">
        <f t="shared" si="1"/>
        <v>33</v>
      </c>
      <c r="U95" s="140">
        <v>378</v>
      </c>
      <c r="V95" s="149">
        <f t="shared" si="2"/>
        <v>3118.5</v>
      </c>
      <c r="W95" s="140">
        <v>7</v>
      </c>
      <c r="X95" s="148" t="s">
        <v>46</v>
      </c>
      <c r="Y95" s="140" t="s">
        <v>90</v>
      </c>
      <c r="Z95" s="140" t="s">
        <v>50</v>
      </c>
      <c r="AA95" s="140" t="s">
        <v>84</v>
      </c>
      <c r="AB95" s="148" t="s">
        <v>255</v>
      </c>
    </row>
    <row r="96" spans="1:28" x14ac:dyDescent="0.15">
      <c r="A96" s="148" t="s">
        <v>34</v>
      </c>
      <c r="B96" s="140" t="s">
        <v>253</v>
      </c>
      <c r="C96" s="140">
        <v>2018</v>
      </c>
      <c r="D96" s="254" t="s">
        <v>565</v>
      </c>
      <c r="E96" s="165" t="s">
        <v>551</v>
      </c>
      <c r="F96" s="165" t="s">
        <v>552</v>
      </c>
      <c r="G96" s="148" t="s">
        <v>36</v>
      </c>
      <c r="H96" s="140" t="s">
        <v>155</v>
      </c>
      <c r="I96" s="148" t="s">
        <v>156</v>
      </c>
      <c r="J96" s="148" t="s">
        <v>38</v>
      </c>
      <c r="K96" s="148" t="s">
        <v>154</v>
      </c>
      <c r="L96" s="140">
        <v>2</v>
      </c>
      <c r="N96" s="140">
        <v>4</v>
      </c>
      <c r="O96" s="140">
        <v>1</v>
      </c>
      <c r="P96" s="140">
        <v>1</v>
      </c>
      <c r="Q96" s="149">
        <f t="shared" si="5"/>
        <v>1</v>
      </c>
      <c r="R96" s="140">
        <v>14.5</v>
      </c>
      <c r="S96" s="140">
        <v>112</v>
      </c>
      <c r="T96" s="149">
        <f t="shared" si="1"/>
        <v>33</v>
      </c>
      <c r="U96" s="140">
        <v>378</v>
      </c>
      <c r="V96" s="149">
        <f t="shared" si="2"/>
        <v>3118.5</v>
      </c>
      <c r="W96" s="140">
        <v>7</v>
      </c>
      <c r="X96" s="148" t="s">
        <v>46</v>
      </c>
      <c r="Y96" s="140" t="s">
        <v>90</v>
      </c>
      <c r="Z96" s="140" t="s">
        <v>50</v>
      </c>
      <c r="AA96" s="140" t="s">
        <v>84</v>
      </c>
      <c r="AB96" s="148" t="s">
        <v>255</v>
      </c>
    </row>
    <row r="97" spans="1:28" x14ac:dyDescent="0.15">
      <c r="A97" s="148" t="s">
        <v>34</v>
      </c>
      <c r="B97" s="140" t="s">
        <v>253</v>
      </c>
      <c r="C97" s="140">
        <v>2018</v>
      </c>
      <c r="D97" s="254" t="s">
        <v>565</v>
      </c>
      <c r="E97" s="165" t="s">
        <v>551</v>
      </c>
      <c r="F97" s="165" t="s">
        <v>552</v>
      </c>
      <c r="G97" s="148" t="s">
        <v>36</v>
      </c>
      <c r="H97" s="140" t="s">
        <v>155</v>
      </c>
      <c r="I97" s="148" t="s">
        <v>156</v>
      </c>
      <c r="J97" s="148" t="s">
        <v>38</v>
      </c>
      <c r="K97" s="148" t="s">
        <v>154</v>
      </c>
      <c r="L97" s="140">
        <v>3</v>
      </c>
      <c r="N97" s="140">
        <v>4</v>
      </c>
      <c r="O97" s="140">
        <v>0.75</v>
      </c>
      <c r="P97" s="140">
        <v>0.6</v>
      </c>
      <c r="Q97" s="149">
        <f t="shared" si="5"/>
        <v>0.67500000000000004</v>
      </c>
      <c r="R97" s="140">
        <v>14.1</v>
      </c>
      <c r="S97" s="140">
        <v>105</v>
      </c>
      <c r="T97" s="149">
        <f t="shared" si="1"/>
        <v>33</v>
      </c>
      <c r="U97" s="140">
        <v>378</v>
      </c>
      <c r="V97" s="149">
        <f t="shared" si="2"/>
        <v>3118.5</v>
      </c>
      <c r="W97" s="140">
        <v>7</v>
      </c>
      <c r="X97" s="148" t="s">
        <v>46</v>
      </c>
      <c r="Y97" s="140" t="s">
        <v>90</v>
      </c>
      <c r="Z97" s="140" t="s">
        <v>50</v>
      </c>
      <c r="AA97" s="140" t="s">
        <v>84</v>
      </c>
      <c r="AB97" s="148" t="s">
        <v>255</v>
      </c>
    </row>
    <row r="98" spans="1:28" x14ac:dyDescent="0.15">
      <c r="A98" s="148" t="s">
        <v>34</v>
      </c>
      <c r="B98" s="140" t="s">
        <v>253</v>
      </c>
      <c r="C98" s="140">
        <v>2018</v>
      </c>
      <c r="D98" s="254" t="s">
        <v>565</v>
      </c>
      <c r="E98" s="165" t="s">
        <v>551</v>
      </c>
      <c r="F98" s="165" t="s">
        <v>552</v>
      </c>
      <c r="G98" s="148" t="s">
        <v>36</v>
      </c>
      <c r="H98" s="140" t="s">
        <v>158</v>
      </c>
      <c r="I98" s="148" t="s">
        <v>153</v>
      </c>
      <c r="J98" s="148" t="s">
        <v>38</v>
      </c>
      <c r="K98" s="148" t="s">
        <v>154</v>
      </c>
      <c r="L98" s="148">
        <v>1</v>
      </c>
      <c r="N98" s="140">
        <v>1</v>
      </c>
      <c r="O98" s="140">
        <v>0.6</v>
      </c>
      <c r="P98" s="140">
        <v>0.75</v>
      </c>
      <c r="Q98" s="149">
        <f t="shared" si="5"/>
        <v>0.67500000000000004</v>
      </c>
      <c r="R98" s="140">
        <v>15.3</v>
      </c>
      <c r="S98" s="140">
        <v>141</v>
      </c>
      <c r="T98" s="149">
        <f t="shared" si="1"/>
        <v>30</v>
      </c>
      <c r="U98" s="140">
        <v>170</v>
      </c>
      <c r="V98" s="149">
        <f t="shared" si="2"/>
        <v>5100</v>
      </c>
      <c r="W98" s="140">
        <v>3</v>
      </c>
      <c r="X98" s="148" t="s">
        <v>46</v>
      </c>
      <c r="Y98" s="140" t="s">
        <v>90</v>
      </c>
      <c r="Z98" s="140" t="s">
        <v>50</v>
      </c>
      <c r="AA98" s="140" t="s">
        <v>84</v>
      </c>
      <c r="AB98" s="148" t="s">
        <v>255</v>
      </c>
    </row>
    <row r="99" spans="1:28" x14ac:dyDescent="0.15">
      <c r="A99" s="148" t="s">
        <v>34</v>
      </c>
      <c r="B99" s="140" t="s">
        <v>253</v>
      </c>
      <c r="C99" s="140">
        <v>2018</v>
      </c>
      <c r="D99" s="254" t="s">
        <v>565</v>
      </c>
      <c r="E99" s="165" t="s">
        <v>551</v>
      </c>
      <c r="F99" s="165" t="s">
        <v>552</v>
      </c>
      <c r="G99" s="148" t="s">
        <v>36</v>
      </c>
      <c r="H99" s="140" t="s">
        <v>158</v>
      </c>
      <c r="I99" s="148" t="s">
        <v>153</v>
      </c>
      <c r="J99" s="148" t="s">
        <v>38</v>
      </c>
      <c r="K99" s="148" t="s">
        <v>154</v>
      </c>
      <c r="L99" s="140">
        <v>2</v>
      </c>
      <c r="N99" s="140">
        <v>1</v>
      </c>
      <c r="O99" s="140">
        <v>0.55000000000000004</v>
      </c>
      <c r="P99" s="140">
        <v>0.85</v>
      </c>
      <c r="Q99" s="149">
        <f t="shared" si="5"/>
        <v>0.7</v>
      </c>
      <c r="R99" s="140">
        <v>14.1</v>
      </c>
      <c r="S99" s="140">
        <v>137</v>
      </c>
      <c r="T99" s="149">
        <f t="shared" si="1"/>
        <v>30</v>
      </c>
      <c r="U99" s="140">
        <v>170</v>
      </c>
      <c r="V99" s="149">
        <f t="shared" si="2"/>
        <v>5100</v>
      </c>
      <c r="W99" s="140">
        <v>3</v>
      </c>
      <c r="X99" s="148" t="s">
        <v>46</v>
      </c>
      <c r="Y99" s="140" t="s">
        <v>90</v>
      </c>
      <c r="Z99" s="140" t="s">
        <v>50</v>
      </c>
      <c r="AA99" s="140" t="s">
        <v>84</v>
      </c>
      <c r="AB99" s="148" t="s">
        <v>255</v>
      </c>
    </row>
    <row r="100" spans="1:28" x14ac:dyDescent="0.15">
      <c r="A100" s="148" t="s">
        <v>34</v>
      </c>
      <c r="B100" s="140" t="s">
        <v>253</v>
      </c>
      <c r="C100" s="140">
        <v>2018</v>
      </c>
      <c r="D100" s="254" t="s">
        <v>565</v>
      </c>
      <c r="E100" s="165" t="s">
        <v>551</v>
      </c>
      <c r="F100" s="165" t="s">
        <v>552</v>
      </c>
      <c r="G100" s="148" t="s">
        <v>36</v>
      </c>
      <c r="H100" s="140" t="s">
        <v>158</v>
      </c>
      <c r="I100" s="148" t="s">
        <v>153</v>
      </c>
      <c r="J100" s="148" t="s">
        <v>38</v>
      </c>
      <c r="K100" s="148" t="s">
        <v>154</v>
      </c>
      <c r="L100" s="140">
        <v>3</v>
      </c>
      <c r="N100" s="140">
        <v>1</v>
      </c>
      <c r="O100" s="140">
        <v>0.65</v>
      </c>
      <c r="P100" s="140">
        <v>0.8</v>
      </c>
      <c r="Q100" s="149">
        <f t="shared" si="5"/>
        <v>0.72500000000000009</v>
      </c>
      <c r="R100" s="140">
        <v>15.2</v>
      </c>
      <c r="S100" s="140">
        <v>141</v>
      </c>
      <c r="T100" s="149">
        <f t="shared" si="1"/>
        <v>30</v>
      </c>
      <c r="U100" s="140">
        <v>170</v>
      </c>
      <c r="V100" s="149">
        <f t="shared" si="2"/>
        <v>5100</v>
      </c>
      <c r="W100" s="140">
        <v>3</v>
      </c>
      <c r="X100" s="148" t="s">
        <v>46</v>
      </c>
      <c r="Y100" s="140" t="s">
        <v>90</v>
      </c>
      <c r="Z100" s="140" t="s">
        <v>50</v>
      </c>
      <c r="AA100" s="140" t="s">
        <v>84</v>
      </c>
      <c r="AB100" s="148" t="s">
        <v>255</v>
      </c>
    </row>
    <row r="101" spans="1:28" x14ac:dyDescent="0.15">
      <c r="A101" s="148" t="s">
        <v>34</v>
      </c>
      <c r="B101" s="140" t="s">
        <v>253</v>
      </c>
      <c r="C101" s="140">
        <v>2018</v>
      </c>
      <c r="D101" s="254" t="s">
        <v>565</v>
      </c>
      <c r="E101" s="165" t="s">
        <v>551</v>
      </c>
      <c r="F101" s="165" t="s">
        <v>552</v>
      </c>
      <c r="G101" s="148" t="s">
        <v>36</v>
      </c>
      <c r="H101" s="140" t="s">
        <v>158</v>
      </c>
      <c r="I101" s="148" t="s">
        <v>153</v>
      </c>
      <c r="J101" s="148" t="s">
        <v>38</v>
      </c>
      <c r="K101" s="148" t="s">
        <v>154</v>
      </c>
      <c r="L101" s="148">
        <v>1</v>
      </c>
      <c r="N101" s="140">
        <v>4</v>
      </c>
      <c r="O101" s="140">
        <v>0.65</v>
      </c>
      <c r="P101" s="140">
        <v>0.6</v>
      </c>
      <c r="Q101" s="149">
        <f t="shared" si="5"/>
        <v>0.625</v>
      </c>
      <c r="R101" s="140">
        <v>17.3</v>
      </c>
      <c r="S101" s="140">
        <v>109</v>
      </c>
      <c r="T101" s="149">
        <f t="shared" si="1"/>
        <v>33</v>
      </c>
      <c r="U101" s="140">
        <v>410</v>
      </c>
      <c r="V101" s="149">
        <f t="shared" si="2"/>
        <v>3382.5</v>
      </c>
      <c r="W101" s="140">
        <v>3</v>
      </c>
      <c r="X101" s="148" t="s">
        <v>46</v>
      </c>
      <c r="Y101" s="140" t="s">
        <v>90</v>
      </c>
      <c r="Z101" s="140" t="s">
        <v>50</v>
      </c>
      <c r="AA101" s="140" t="s">
        <v>84</v>
      </c>
      <c r="AB101" s="148" t="s">
        <v>255</v>
      </c>
    </row>
    <row r="102" spans="1:28" x14ac:dyDescent="0.15">
      <c r="A102" s="148" t="s">
        <v>34</v>
      </c>
      <c r="B102" s="140" t="s">
        <v>253</v>
      </c>
      <c r="C102" s="140">
        <v>2018</v>
      </c>
      <c r="D102" s="254" t="s">
        <v>565</v>
      </c>
      <c r="E102" s="165" t="s">
        <v>551</v>
      </c>
      <c r="F102" s="165" t="s">
        <v>552</v>
      </c>
      <c r="G102" s="148" t="s">
        <v>36</v>
      </c>
      <c r="H102" s="140" t="s">
        <v>158</v>
      </c>
      <c r="I102" s="148" t="s">
        <v>153</v>
      </c>
      <c r="J102" s="148" t="s">
        <v>38</v>
      </c>
      <c r="K102" s="148" t="s">
        <v>154</v>
      </c>
      <c r="L102" s="140">
        <v>2</v>
      </c>
      <c r="N102" s="140">
        <v>4</v>
      </c>
      <c r="O102" s="140">
        <v>0.65</v>
      </c>
      <c r="P102" s="140">
        <v>0.55000000000000004</v>
      </c>
      <c r="Q102" s="149">
        <f t="shared" si="5"/>
        <v>0.60000000000000009</v>
      </c>
      <c r="R102" s="140">
        <v>14.5</v>
      </c>
      <c r="S102" s="140">
        <v>110</v>
      </c>
      <c r="T102" s="149">
        <f t="shared" si="1"/>
        <v>33</v>
      </c>
      <c r="U102" s="140">
        <v>410</v>
      </c>
      <c r="V102" s="149">
        <f t="shared" si="2"/>
        <v>3382.5</v>
      </c>
      <c r="W102" s="140">
        <v>3</v>
      </c>
      <c r="X102" s="148" t="s">
        <v>46</v>
      </c>
      <c r="Y102" s="140" t="s">
        <v>90</v>
      </c>
      <c r="Z102" s="140" t="s">
        <v>50</v>
      </c>
      <c r="AA102" s="140" t="s">
        <v>84</v>
      </c>
      <c r="AB102" s="148" t="s">
        <v>255</v>
      </c>
    </row>
    <row r="103" spans="1:28" x14ac:dyDescent="0.15">
      <c r="A103" s="148" t="s">
        <v>34</v>
      </c>
      <c r="B103" s="140" t="s">
        <v>253</v>
      </c>
      <c r="C103" s="140">
        <v>2018</v>
      </c>
      <c r="D103" s="254" t="s">
        <v>565</v>
      </c>
      <c r="E103" s="165" t="s">
        <v>551</v>
      </c>
      <c r="F103" s="165" t="s">
        <v>552</v>
      </c>
      <c r="G103" s="148" t="s">
        <v>36</v>
      </c>
      <c r="H103" s="140" t="s">
        <v>158</v>
      </c>
      <c r="I103" s="148" t="s">
        <v>153</v>
      </c>
      <c r="J103" s="148" t="s">
        <v>38</v>
      </c>
      <c r="K103" s="148" t="s">
        <v>154</v>
      </c>
      <c r="L103" s="140">
        <v>3</v>
      </c>
      <c r="N103" s="140">
        <v>4</v>
      </c>
      <c r="O103" s="140">
        <v>0.65</v>
      </c>
      <c r="P103" s="140">
        <v>0.45</v>
      </c>
      <c r="Q103" s="149">
        <f t="shared" si="5"/>
        <v>0.55000000000000004</v>
      </c>
      <c r="R103" s="140">
        <v>14.8</v>
      </c>
      <c r="S103" s="140">
        <v>107</v>
      </c>
      <c r="T103" s="149">
        <f t="shared" si="1"/>
        <v>33</v>
      </c>
      <c r="U103" s="140">
        <v>410</v>
      </c>
      <c r="V103" s="149">
        <f t="shared" si="2"/>
        <v>3382.5</v>
      </c>
      <c r="W103" s="140">
        <v>3</v>
      </c>
      <c r="X103" s="148" t="s">
        <v>46</v>
      </c>
      <c r="Y103" s="140" t="s">
        <v>90</v>
      </c>
      <c r="Z103" s="140" t="s">
        <v>50</v>
      </c>
      <c r="AA103" s="140" t="s">
        <v>84</v>
      </c>
      <c r="AB103" s="148" t="s">
        <v>255</v>
      </c>
    </row>
    <row r="104" spans="1:28" x14ac:dyDescent="0.15">
      <c r="K104" s="148"/>
    </row>
    <row r="105" spans="1:28" x14ac:dyDescent="0.15">
      <c r="K105" s="148"/>
    </row>
    <row r="106" spans="1:28" x14ac:dyDescent="0.15">
      <c r="K106" s="148"/>
    </row>
    <row r="107" spans="1:28" x14ac:dyDescent="0.15">
      <c r="K107" s="148"/>
    </row>
    <row r="108" spans="1:28" x14ac:dyDescent="0.15">
      <c r="K108" s="148"/>
    </row>
    <row r="109" spans="1:28" x14ac:dyDescent="0.15">
      <c r="K109" s="148"/>
    </row>
    <row r="110" spans="1:28" x14ac:dyDescent="0.15">
      <c r="K110" s="148"/>
    </row>
    <row r="111" spans="1:28" x14ac:dyDescent="0.15">
      <c r="K111" s="148"/>
    </row>
    <row r="112" spans="1:28" x14ac:dyDescent="0.15">
      <c r="K112" s="148"/>
    </row>
    <row r="113" spans="11:11" x14ac:dyDescent="0.15">
      <c r="K113" s="148"/>
    </row>
    <row r="114" spans="11:11" x14ac:dyDescent="0.15">
      <c r="K114" s="148"/>
    </row>
    <row r="115" spans="11:11" x14ac:dyDescent="0.15">
      <c r="K115" s="148"/>
    </row>
    <row r="116" spans="11:11" x14ac:dyDescent="0.15">
      <c r="K116" s="148"/>
    </row>
    <row r="117" spans="11:11" x14ac:dyDescent="0.15">
      <c r="K117" s="148"/>
    </row>
    <row r="118" spans="11:11" x14ac:dyDescent="0.15">
      <c r="K118" s="148"/>
    </row>
    <row r="119" spans="11:11" x14ac:dyDescent="0.15">
      <c r="K119" s="148"/>
    </row>
    <row r="120" spans="11:11" x14ac:dyDescent="0.15">
      <c r="K120" s="148"/>
    </row>
    <row r="121" spans="11:11" x14ac:dyDescent="0.15">
      <c r="K121" s="148"/>
    </row>
    <row r="122" spans="11:11" x14ac:dyDescent="0.15">
      <c r="K122" s="148"/>
    </row>
    <row r="123" spans="11:11" x14ac:dyDescent="0.15">
      <c r="K123" s="148"/>
    </row>
    <row r="124" spans="11:11" x14ac:dyDescent="0.15">
      <c r="K124" s="148"/>
    </row>
    <row r="125" spans="11:11" x14ac:dyDescent="0.15">
      <c r="K125" s="148"/>
    </row>
    <row r="126" spans="11:11" x14ac:dyDescent="0.15">
      <c r="K126" s="148"/>
    </row>
    <row r="127" spans="11:11" x14ac:dyDescent="0.15">
      <c r="K127" s="148"/>
    </row>
    <row r="128" spans="11:11" x14ac:dyDescent="0.15">
      <c r="K128" s="148"/>
    </row>
    <row r="129" spans="11:11" x14ac:dyDescent="0.15">
      <c r="K129" s="148"/>
    </row>
    <row r="130" spans="11:11" x14ac:dyDescent="0.15">
      <c r="K130" s="148"/>
    </row>
    <row r="131" spans="11:11" x14ac:dyDescent="0.15">
      <c r="K131" s="148"/>
    </row>
    <row r="132" spans="11:11" x14ac:dyDescent="0.15">
      <c r="K132" s="148"/>
    </row>
    <row r="133" spans="11:11" x14ac:dyDescent="0.15">
      <c r="K133" s="148"/>
    </row>
    <row r="134" spans="11:11" x14ac:dyDescent="0.15">
      <c r="K134" s="148"/>
    </row>
    <row r="135" spans="11:11" x14ac:dyDescent="0.15">
      <c r="K135" s="148"/>
    </row>
    <row r="136" spans="11:11" x14ac:dyDescent="0.15">
      <c r="K136" s="148"/>
    </row>
    <row r="137" spans="11:11" x14ac:dyDescent="0.15">
      <c r="K137" s="148"/>
    </row>
    <row r="138" spans="11:11" x14ac:dyDescent="0.15">
      <c r="K138" s="148"/>
    </row>
    <row r="139" spans="11:11" x14ac:dyDescent="0.15">
      <c r="K139" s="148"/>
    </row>
    <row r="140" spans="11:11" x14ac:dyDescent="0.15">
      <c r="K140" s="148"/>
    </row>
    <row r="141" spans="11:11" x14ac:dyDescent="0.15">
      <c r="K141" s="148"/>
    </row>
    <row r="142" spans="11:11" x14ac:dyDescent="0.15">
      <c r="K142" s="148"/>
    </row>
    <row r="143" spans="11:11" x14ac:dyDescent="0.15">
      <c r="K143" s="148"/>
    </row>
    <row r="144" spans="11:11" x14ac:dyDescent="0.15">
      <c r="K144" s="148"/>
    </row>
    <row r="145" spans="11:11" x14ac:dyDescent="0.15">
      <c r="K145" s="148"/>
    </row>
    <row r="146" spans="11:11" x14ac:dyDescent="0.15">
      <c r="K146" s="148"/>
    </row>
    <row r="147" spans="11:11" x14ac:dyDescent="0.15">
      <c r="K147" s="148"/>
    </row>
    <row r="148" spans="11:11" x14ac:dyDescent="0.15">
      <c r="K148" s="148"/>
    </row>
    <row r="149" spans="11:11" x14ac:dyDescent="0.15">
      <c r="K149" s="148"/>
    </row>
    <row r="150" spans="11:11" x14ac:dyDescent="0.15">
      <c r="K150" s="148"/>
    </row>
    <row r="151" spans="11:11" x14ac:dyDescent="0.15">
      <c r="K151" s="148"/>
    </row>
    <row r="152" spans="11:11" x14ac:dyDescent="0.15">
      <c r="K152" s="148"/>
    </row>
    <row r="153" spans="11:11" x14ac:dyDescent="0.15">
      <c r="K153" s="148"/>
    </row>
    <row r="154" spans="11:11" x14ac:dyDescent="0.15">
      <c r="K154" s="148"/>
    </row>
    <row r="155" spans="11:11" x14ac:dyDescent="0.15">
      <c r="K155" s="148"/>
    </row>
    <row r="156" spans="11:11" x14ac:dyDescent="0.15">
      <c r="K156" s="148"/>
    </row>
    <row r="157" spans="11:11" x14ac:dyDescent="0.15">
      <c r="K157" s="148"/>
    </row>
    <row r="158" spans="11:11" x14ac:dyDescent="0.15">
      <c r="K158" s="148"/>
    </row>
    <row r="159" spans="11:11" x14ac:dyDescent="0.15">
      <c r="K159" s="148"/>
    </row>
    <row r="160" spans="11:11" x14ac:dyDescent="0.15">
      <c r="K160" s="148"/>
    </row>
    <row r="161" spans="11:11" x14ac:dyDescent="0.15">
      <c r="K161" s="148"/>
    </row>
    <row r="162" spans="11:11" x14ac:dyDescent="0.15">
      <c r="K162" s="148"/>
    </row>
    <row r="163" spans="11:11" x14ac:dyDescent="0.15">
      <c r="K163" s="148"/>
    </row>
    <row r="164" spans="11:11" x14ac:dyDescent="0.15">
      <c r="K164" s="148"/>
    </row>
    <row r="165" spans="11:11" x14ac:dyDescent="0.15">
      <c r="K165" s="148"/>
    </row>
    <row r="166" spans="11:11" x14ac:dyDescent="0.15">
      <c r="K166" s="148"/>
    </row>
    <row r="167" spans="11:11" x14ac:dyDescent="0.15">
      <c r="K167" s="148"/>
    </row>
    <row r="168" spans="11:11" x14ac:dyDescent="0.15">
      <c r="K168" s="148"/>
    </row>
    <row r="169" spans="11:11" x14ac:dyDescent="0.15">
      <c r="K169" s="148"/>
    </row>
    <row r="170" spans="11:11" x14ac:dyDescent="0.15">
      <c r="K170" s="148"/>
    </row>
    <row r="171" spans="11:11" x14ac:dyDescent="0.15">
      <c r="K171" s="148"/>
    </row>
    <row r="172" spans="11:11" x14ac:dyDescent="0.15">
      <c r="K172" s="148"/>
    </row>
    <row r="173" spans="11:11" x14ac:dyDescent="0.15">
      <c r="K173" s="148"/>
    </row>
    <row r="174" spans="11:11" x14ac:dyDescent="0.15">
      <c r="K174" s="148"/>
    </row>
    <row r="175" spans="11:11" x14ac:dyDescent="0.15">
      <c r="K175" s="148"/>
    </row>
    <row r="176" spans="11:11" x14ac:dyDescent="0.15">
      <c r="K176" s="148"/>
    </row>
    <row r="177" spans="11:11" x14ac:dyDescent="0.15">
      <c r="K177" s="148"/>
    </row>
    <row r="178" spans="11:11" x14ac:dyDescent="0.15">
      <c r="K178" s="148"/>
    </row>
    <row r="179" spans="11:11" x14ac:dyDescent="0.15">
      <c r="K179" s="148"/>
    </row>
    <row r="180" spans="11:11" x14ac:dyDescent="0.15">
      <c r="K180" s="148"/>
    </row>
    <row r="181" spans="11:11" x14ac:dyDescent="0.15">
      <c r="K181" s="148"/>
    </row>
    <row r="182" spans="11:11" x14ac:dyDescent="0.15">
      <c r="K182" s="148"/>
    </row>
    <row r="183" spans="11:11" x14ac:dyDescent="0.15">
      <c r="K183" s="148"/>
    </row>
    <row r="184" spans="11:11" x14ac:dyDescent="0.15">
      <c r="K184" s="148"/>
    </row>
    <row r="185" spans="11:11" x14ac:dyDescent="0.15">
      <c r="K185" s="148"/>
    </row>
    <row r="186" spans="11:11" x14ac:dyDescent="0.15">
      <c r="K186" s="148"/>
    </row>
    <row r="187" spans="11:11" x14ac:dyDescent="0.15">
      <c r="K187" s="148"/>
    </row>
    <row r="188" spans="11:11" x14ac:dyDescent="0.15">
      <c r="K188" s="148"/>
    </row>
    <row r="189" spans="11:11" x14ac:dyDescent="0.15">
      <c r="K189" s="148"/>
    </row>
    <row r="190" spans="11:11" x14ac:dyDescent="0.15">
      <c r="K190" s="148"/>
    </row>
    <row r="191" spans="11:11" x14ac:dyDescent="0.15">
      <c r="K191" s="148"/>
    </row>
    <row r="192" spans="11:11" x14ac:dyDescent="0.15">
      <c r="K192" s="148"/>
    </row>
    <row r="193" spans="11:11" x14ac:dyDescent="0.15">
      <c r="K193" s="148"/>
    </row>
    <row r="194" spans="11:11" x14ac:dyDescent="0.15">
      <c r="K194" s="148"/>
    </row>
    <row r="195" spans="11:11" x14ac:dyDescent="0.15">
      <c r="K195" s="148"/>
    </row>
    <row r="196" spans="11:11" x14ac:dyDescent="0.15">
      <c r="K196" s="148"/>
    </row>
    <row r="197" spans="11:11" x14ac:dyDescent="0.15">
      <c r="K197" s="148"/>
    </row>
    <row r="198" spans="11:11" x14ac:dyDescent="0.15">
      <c r="K198" s="148"/>
    </row>
    <row r="199" spans="11:11" x14ac:dyDescent="0.15">
      <c r="K199" s="148"/>
    </row>
    <row r="200" spans="11:11" x14ac:dyDescent="0.15">
      <c r="K200" s="148"/>
    </row>
    <row r="201" spans="11:11" x14ac:dyDescent="0.15">
      <c r="K201" s="148"/>
    </row>
    <row r="202" spans="11:11" x14ac:dyDescent="0.15">
      <c r="K202" s="148"/>
    </row>
    <row r="203" spans="11:11" x14ac:dyDescent="0.15">
      <c r="K203" s="148"/>
    </row>
    <row r="204" spans="11:11" x14ac:dyDescent="0.15">
      <c r="K204" s="148"/>
    </row>
    <row r="205" spans="11:11" x14ac:dyDescent="0.15">
      <c r="K205" s="148"/>
    </row>
    <row r="206" spans="11:11" x14ac:dyDescent="0.15">
      <c r="K206" s="148"/>
    </row>
    <row r="207" spans="11:11" x14ac:dyDescent="0.15">
      <c r="K207" s="148"/>
    </row>
    <row r="208" spans="11:11" x14ac:dyDescent="0.15">
      <c r="K208" s="148"/>
    </row>
    <row r="209" spans="11:11" x14ac:dyDescent="0.15">
      <c r="K209" s="148"/>
    </row>
    <row r="210" spans="11:11" x14ac:dyDescent="0.15">
      <c r="K210" s="148"/>
    </row>
    <row r="211" spans="11:11" x14ac:dyDescent="0.15">
      <c r="K211" s="148"/>
    </row>
    <row r="212" spans="11:11" x14ac:dyDescent="0.15">
      <c r="K212" s="148"/>
    </row>
    <row r="213" spans="11:11" x14ac:dyDescent="0.15">
      <c r="K213" s="148"/>
    </row>
    <row r="214" spans="11:11" x14ac:dyDescent="0.15">
      <c r="K214" s="148"/>
    </row>
    <row r="215" spans="11:11" x14ac:dyDescent="0.15">
      <c r="K215" s="148"/>
    </row>
    <row r="216" spans="11:11" x14ac:dyDescent="0.15">
      <c r="K216" s="148"/>
    </row>
    <row r="217" spans="11:11" x14ac:dyDescent="0.15">
      <c r="K217" s="148"/>
    </row>
    <row r="218" spans="11:11" x14ac:dyDescent="0.15">
      <c r="K218" s="148"/>
    </row>
    <row r="219" spans="11:11" x14ac:dyDescent="0.15">
      <c r="K219" s="148"/>
    </row>
    <row r="220" spans="11:11" x14ac:dyDescent="0.15">
      <c r="K220" s="148"/>
    </row>
    <row r="221" spans="11:11" x14ac:dyDescent="0.15">
      <c r="K221" s="148"/>
    </row>
    <row r="222" spans="11:11" x14ac:dyDescent="0.15">
      <c r="K222" s="148"/>
    </row>
    <row r="223" spans="11:11" x14ac:dyDescent="0.15">
      <c r="K223" s="148"/>
    </row>
    <row r="224" spans="11:11" x14ac:dyDescent="0.15">
      <c r="K224" s="148"/>
    </row>
    <row r="225" spans="11:11" x14ac:dyDescent="0.15">
      <c r="K225" s="148"/>
    </row>
    <row r="226" spans="11:11" x14ac:dyDescent="0.15">
      <c r="K226" s="148"/>
    </row>
    <row r="227" spans="11:11" x14ac:dyDescent="0.15">
      <c r="K227" s="148"/>
    </row>
    <row r="228" spans="11:11" x14ac:dyDescent="0.15">
      <c r="K228" s="148"/>
    </row>
    <row r="229" spans="11:11" x14ac:dyDescent="0.15">
      <c r="K229" s="148"/>
    </row>
    <row r="230" spans="11:11" x14ac:dyDescent="0.15">
      <c r="K230" s="148"/>
    </row>
    <row r="231" spans="11:11" x14ac:dyDescent="0.15">
      <c r="K231" s="148"/>
    </row>
    <row r="232" spans="11:11" x14ac:dyDescent="0.15">
      <c r="K232" s="148"/>
    </row>
    <row r="233" spans="11:11" x14ac:dyDescent="0.15">
      <c r="K233" s="148"/>
    </row>
    <row r="234" spans="11:11" x14ac:dyDescent="0.15">
      <c r="K234" s="148"/>
    </row>
    <row r="235" spans="11:11" x14ac:dyDescent="0.15">
      <c r="K235" s="148"/>
    </row>
    <row r="236" spans="11:11" x14ac:dyDescent="0.15">
      <c r="K236" s="148"/>
    </row>
    <row r="237" spans="11:11" x14ac:dyDescent="0.15">
      <c r="K237" s="148"/>
    </row>
    <row r="238" spans="11:11" x14ac:dyDescent="0.15">
      <c r="K238" s="148"/>
    </row>
    <row r="239" spans="11:11" x14ac:dyDescent="0.15">
      <c r="K239" s="148"/>
    </row>
    <row r="240" spans="11:11" x14ac:dyDescent="0.15">
      <c r="K240" s="148"/>
    </row>
    <row r="241" spans="11:11" x14ac:dyDescent="0.15">
      <c r="K241" s="148"/>
    </row>
    <row r="242" spans="11:11" x14ac:dyDescent="0.15">
      <c r="K242" s="148"/>
    </row>
    <row r="243" spans="11:11" x14ac:dyDescent="0.15">
      <c r="K243" s="148"/>
    </row>
    <row r="244" spans="11:11" x14ac:dyDescent="0.15">
      <c r="K244" s="148"/>
    </row>
    <row r="245" spans="11:11" x14ac:dyDescent="0.15">
      <c r="K245" s="148"/>
    </row>
    <row r="246" spans="11:11" x14ac:dyDescent="0.15">
      <c r="K246" s="148"/>
    </row>
    <row r="247" spans="11:11" x14ac:dyDescent="0.15">
      <c r="K247" s="148"/>
    </row>
    <row r="248" spans="11:11" x14ac:dyDescent="0.15">
      <c r="K248" s="148"/>
    </row>
    <row r="249" spans="11:11" x14ac:dyDescent="0.15">
      <c r="K249" s="148"/>
    </row>
    <row r="250" spans="11:11" x14ac:dyDescent="0.15">
      <c r="K250" s="148"/>
    </row>
    <row r="251" spans="11:11" x14ac:dyDescent="0.15">
      <c r="K251" s="148"/>
    </row>
    <row r="252" spans="11:11" x14ac:dyDescent="0.15">
      <c r="K252" s="148"/>
    </row>
    <row r="253" spans="11:11" x14ac:dyDescent="0.15">
      <c r="K253" s="148"/>
    </row>
    <row r="254" spans="11:11" x14ac:dyDescent="0.15">
      <c r="K254" s="148"/>
    </row>
    <row r="255" spans="11:11" x14ac:dyDescent="0.15">
      <c r="K255" s="148"/>
    </row>
    <row r="256" spans="11:11" x14ac:dyDescent="0.15">
      <c r="K256" s="148"/>
    </row>
    <row r="257" spans="11:11" x14ac:dyDescent="0.15">
      <c r="K257" s="148"/>
    </row>
    <row r="258" spans="11:11" x14ac:dyDescent="0.15">
      <c r="K258" s="148"/>
    </row>
    <row r="259" spans="11:11" x14ac:dyDescent="0.15">
      <c r="K259" s="148"/>
    </row>
    <row r="260" spans="11:11" x14ac:dyDescent="0.15">
      <c r="K260" s="148"/>
    </row>
    <row r="261" spans="11:11" x14ac:dyDescent="0.15">
      <c r="K261" s="148"/>
    </row>
    <row r="262" spans="11:11" x14ac:dyDescent="0.15">
      <c r="K262" s="148"/>
    </row>
    <row r="263" spans="11:11" x14ac:dyDescent="0.15">
      <c r="K263" s="148"/>
    </row>
    <row r="264" spans="11:11" x14ac:dyDescent="0.15">
      <c r="K264" s="148"/>
    </row>
    <row r="265" spans="11:11" x14ac:dyDescent="0.15">
      <c r="K265" s="148"/>
    </row>
    <row r="266" spans="11:11" x14ac:dyDescent="0.15">
      <c r="K266" s="148"/>
    </row>
    <row r="267" spans="11:11" x14ac:dyDescent="0.15">
      <c r="K267" s="148"/>
    </row>
    <row r="268" spans="11:11" x14ac:dyDescent="0.15">
      <c r="K268" s="148"/>
    </row>
    <row r="269" spans="11:11" x14ac:dyDescent="0.15">
      <c r="K269" s="148"/>
    </row>
    <row r="270" spans="11:11" x14ac:dyDescent="0.15">
      <c r="K270" s="148"/>
    </row>
    <row r="271" spans="11:11" x14ac:dyDescent="0.15">
      <c r="K271" s="148"/>
    </row>
    <row r="272" spans="11:11" x14ac:dyDescent="0.15">
      <c r="K272" s="148"/>
    </row>
    <row r="273" spans="11:11" x14ac:dyDescent="0.15">
      <c r="K273" s="148"/>
    </row>
    <row r="274" spans="11:11" x14ac:dyDescent="0.15">
      <c r="K274" s="148"/>
    </row>
    <row r="275" spans="11:11" x14ac:dyDescent="0.15">
      <c r="K275" s="148"/>
    </row>
    <row r="276" spans="11:11" x14ac:dyDescent="0.15">
      <c r="K276" s="148"/>
    </row>
    <row r="277" spans="11:11" x14ac:dyDescent="0.15">
      <c r="K277" s="148"/>
    </row>
    <row r="278" spans="11:11" x14ac:dyDescent="0.15">
      <c r="K278" s="148"/>
    </row>
    <row r="279" spans="11:11" x14ac:dyDescent="0.15">
      <c r="K279" s="148"/>
    </row>
    <row r="280" spans="11:11" x14ac:dyDescent="0.15">
      <c r="K280" s="148"/>
    </row>
    <row r="281" spans="11:11" x14ac:dyDescent="0.15">
      <c r="K281" s="148"/>
    </row>
    <row r="282" spans="11:11" x14ac:dyDescent="0.15">
      <c r="K282" s="148"/>
    </row>
    <row r="283" spans="11:11" x14ac:dyDescent="0.15">
      <c r="K283" s="148"/>
    </row>
    <row r="284" spans="11:11" x14ac:dyDescent="0.15">
      <c r="K284" s="148"/>
    </row>
    <row r="285" spans="11:11" x14ac:dyDescent="0.15">
      <c r="K285" s="148"/>
    </row>
    <row r="286" spans="11:11" x14ac:dyDescent="0.15">
      <c r="K286" s="148"/>
    </row>
    <row r="287" spans="11:11" x14ac:dyDescent="0.15">
      <c r="K287" s="148"/>
    </row>
    <row r="288" spans="11:11" x14ac:dyDescent="0.15">
      <c r="K288" s="148"/>
    </row>
    <row r="289" spans="11:11" x14ac:dyDescent="0.15">
      <c r="K289" s="148"/>
    </row>
    <row r="290" spans="11:11" x14ac:dyDescent="0.15">
      <c r="K290" s="148"/>
    </row>
    <row r="291" spans="11:11" x14ac:dyDescent="0.15">
      <c r="K291" s="148"/>
    </row>
    <row r="292" spans="11:11" x14ac:dyDescent="0.15">
      <c r="K292" s="148"/>
    </row>
    <row r="293" spans="11:11" x14ac:dyDescent="0.15">
      <c r="K293" s="148"/>
    </row>
    <row r="294" spans="11:11" x14ac:dyDescent="0.15">
      <c r="K294" s="148"/>
    </row>
    <row r="295" spans="11:11" x14ac:dyDescent="0.15">
      <c r="K295" s="148"/>
    </row>
    <row r="296" spans="11:11" x14ac:dyDescent="0.15">
      <c r="K296" s="148"/>
    </row>
    <row r="297" spans="11:11" x14ac:dyDescent="0.15">
      <c r="K297" s="148"/>
    </row>
    <row r="298" spans="11:11" x14ac:dyDescent="0.15">
      <c r="K298" s="148"/>
    </row>
    <row r="299" spans="11:11" x14ac:dyDescent="0.15">
      <c r="K299" s="148"/>
    </row>
    <row r="300" spans="11:11" x14ac:dyDescent="0.15">
      <c r="K300" s="148"/>
    </row>
    <row r="301" spans="11:11" x14ac:dyDescent="0.15">
      <c r="K301" s="148"/>
    </row>
    <row r="302" spans="11:11" x14ac:dyDescent="0.15">
      <c r="K302" s="148"/>
    </row>
    <row r="303" spans="11:11" x14ac:dyDescent="0.15">
      <c r="K303" s="148"/>
    </row>
    <row r="304" spans="11:11" x14ac:dyDescent="0.15">
      <c r="K304" s="148"/>
    </row>
    <row r="305" spans="11:11" x14ac:dyDescent="0.15">
      <c r="K305" s="148"/>
    </row>
    <row r="306" spans="11:11" x14ac:dyDescent="0.15">
      <c r="K306" s="148"/>
    </row>
    <row r="307" spans="11:11" x14ac:dyDescent="0.15">
      <c r="K307" s="148"/>
    </row>
    <row r="308" spans="11:11" x14ac:dyDescent="0.15">
      <c r="K308" s="148"/>
    </row>
    <row r="309" spans="11:11" x14ac:dyDescent="0.15">
      <c r="K309" s="148"/>
    </row>
    <row r="310" spans="11:11" x14ac:dyDescent="0.15">
      <c r="K310" s="148"/>
    </row>
    <row r="311" spans="11:11" x14ac:dyDescent="0.15">
      <c r="K311" s="148"/>
    </row>
    <row r="312" spans="11:11" x14ac:dyDescent="0.15">
      <c r="K312" s="148"/>
    </row>
    <row r="313" spans="11:11" x14ac:dyDescent="0.15">
      <c r="K313" s="148"/>
    </row>
    <row r="314" spans="11:11" x14ac:dyDescent="0.15">
      <c r="K314" s="148"/>
    </row>
    <row r="315" spans="11:11" x14ac:dyDescent="0.15">
      <c r="K315" s="148"/>
    </row>
    <row r="316" spans="11:11" x14ac:dyDescent="0.15">
      <c r="K316" s="148"/>
    </row>
    <row r="317" spans="11:11" x14ac:dyDescent="0.15">
      <c r="K317" s="148"/>
    </row>
    <row r="318" spans="11:11" x14ac:dyDescent="0.15">
      <c r="K318" s="148"/>
    </row>
    <row r="319" spans="11:11" x14ac:dyDescent="0.15">
      <c r="K319" s="148"/>
    </row>
    <row r="320" spans="11:11" x14ac:dyDescent="0.15">
      <c r="K320" s="148"/>
    </row>
    <row r="321" spans="11:11" x14ac:dyDescent="0.15">
      <c r="K321" s="148"/>
    </row>
    <row r="322" spans="11:11" x14ac:dyDescent="0.15">
      <c r="K322" s="148"/>
    </row>
    <row r="323" spans="11:11" x14ac:dyDescent="0.15">
      <c r="K323" s="148"/>
    </row>
    <row r="324" spans="11:11" x14ac:dyDescent="0.15">
      <c r="K324" s="148"/>
    </row>
    <row r="325" spans="11:11" x14ac:dyDescent="0.15">
      <c r="K325" s="148"/>
    </row>
    <row r="326" spans="11:11" x14ac:dyDescent="0.15">
      <c r="K326" s="148"/>
    </row>
    <row r="327" spans="11:11" x14ac:dyDescent="0.15">
      <c r="K327" s="148"/>
    </row>
    <row r="328" spans="11:11" x14ac:dyDescent="0.15">
      <c r="K328" s="148"/>
    </row>
    <row r="329" spans="11:11" x14ac:dyDescent="0.15">
      <c r="K329" s="148"/>
    </row>
    <row r="330" spans="11:11" x14ac:dyDescent="0.15">
      <c r="K330" s="148"/>
    </row>
    <row r="331" spans="11:11" x14ac:dyDescent="0.15">
      <c r="K331" s="148"/>
    </row>
    <row r="332" spans="11:11" x14ac:dyDescent="0.15">
      <c r="K332" s="148"/>
    </row>
    <row r="333" spans="11:11" x14ac:dyDescent="0.15">
      <c r="K333" s="148"/>
    </row>
    <row r="334" spans="11:11" x14ac:dyDescent="0.15">
      <c r="K334" s="148"/>
    </row>
    <row r="335" spans="11:11" x14ac:dyDescent="0.15">
      <c r="K335" s="148"/>
    </row>
    <row r="336" spans="11:11" x14ac:dyDescent="0.15">
      <c r="K336" s="148"/>
    </row>
    <row r="337" spans="11:11" x14ac:dyDescent="0.15">
      <c r="K337" s="148"/>
    </row>
    <row r="338" spans="11:11" x14ac:dyDescent="0.15">
      <c r="K338" s="148"/>
    </row>
    <row r="339" spans="11:11" x14ac:dyDescent="0.15">
      <c r="K339" s="148"/>
    </row>
    <row r="340" spans="11:11" x14ac:dyDescent="0.15">
      <c r="K340" s="148"/>
    </row>
    <row r="341" spans="11:11" x14ac:dyDescent="0.15">
      <c r="K341" s="148"/>
    </row>
    <row r="342" spans="11:11" x14ac:dyDescent="0.15">
      <c r="K342" s="148"/>
    </row>
    <row r="343" spans="11:11" x14ac:dyDescent="0.15">
      <c r="K343" s="148"/>
    </row>
    <row r="344" spans="11:11" x14ac:dyDescent="0.15">
      <c r="K344" s="148"/>
    </row>
    <row r="345" spans="11:11" x14ac:dyDescent="0.15">
      <c r="K345" s="148"/>
    </row>
    <row r="346" spans="11:11" x14ac:dyDescent="0.15">
      <c r="K346" s="148"/>
    </row>
    <row r="347" spans="11:11" x14ac:dyDescent="0.15">
      <c r="K347" s="148"/>
    </row>
    <row r="348" spans="11:11" x14ac:dyDescent="0.15">
      <c r="K348" s="148"/>
    </row>
    <row r="349" spans="11:11" x14ac:dyDescent="0.15">
      <c r="K349" s="148"/>
    </row>
    <row r="350" spans="11:11" x14ac:dyDescent="0.15">
      <c r="K350" s="148"/>
    </row>
    <row r="351" spans="11:11" x14ac:dyDescent="0.15">
      <c r="K351" s="148"/>
    </row>
    <row r="352" spans="11:11" x14ac:dyDescent="0.15">
      <c r="K352" s="148"/>
    </row>
    <row r="353" spans="11:11" x14ac:dyDescent="0.15">
      <c r="K353" s="148"/>
    </row>
    <row r="354" spans="11:11" x14ac:dyDescent="0.15">
      <c r="K354" s="148"/>
    </row>
    <row r="355" spans="11:11" x14ac:dyDescent="0.15">
      <c r="K355" s="148"/>
    </row>
    <row r="356" spans="11:11" x14ac:dyDescent="0.15">
      <c r="K356" s="148"/>
    </row>
    <row r="357" spans="11:11" x14ac:dyDescent="0.15">
      <c r="K357" s="148"/>
    </row>
    <row r="358" spans="11:11" x14ac:dyDescent="0.15">
      <c r="K358" s="148"/>
    </row>
    <row r="359" spans="11:11" x14ac:dyDescent="0.15">
      <c r="K359" s="148"/>
    </row>
    <row r="360" spans="11:11" x14ac:dyDescent="0.15">
      <c r="K360" s="148"/>
    </row>
    <row r="361" spans="11:11" x14ac:dyDescent="0.15">
      <c r="K361" s="148"/>
    </row>
    <row r="362" spans="11:11" x14ac:dyDescent="0.15">
      <c r="K362" s="148"/>
    </row>
    <row r="363" spans="11:11" x14ac:dyDescent="0.15">
      <c r="K363" s="148"/>
    </row>
    <row r="364" spans="11:11" x14ac:dyDescent="0.15">
      <c r="K364" s="148"/>
    </row>
    <row r="365" spans="11:11" x14ac:dyDescent="0.15">
      <c r="K365" s="148"/>
    </row>
    <row r="366" spans="11:11" x14ac:dyDescent="0.15">
      <c r="K366" s="148"/>
    </row>
    <row r="367" spans="11:11" x14ac:dyDescent="0.15">
      <c r="K367" s="148"/>
    </row>
    <row r="368" spans="11:11" x14ac:dyDescent="0.15">
      <c r="K368" s="148"/>
    </row>
    <row r="369" spans="11:11" x14ac:dyDescent="0.15">
      <c r="K369" s="148"/>
    </row>
    <row r="370" spans="11:11" x14ac:dyDescent="0.15">
      <c r="K370" s="148"/>
    </row>
    <row r="371" spans="11:11" x14ac:dyDescent="0.15">
      <c r="K371" s="148"/>
    </row>
    <row r="372" spans="11:11" x14ac:dyDescent="0.15">
      <c r="K372" s="148"/>
    </row>
    <row r="373" spans="11:11" x14ac:dyDescent="0.15">
      <c r="K373" s="148"/>
    </row>
    <row r="374" spans="11:11" x14ac:dyDescent="0.15">
      <c r="K374" s="148"/>
    </row>
    <row r="375" spans="11:11" x14ac:dyDescent="0.15">
      <c r="K375" s="148"/>
    </row>
    <row r="376" spans="11:11" x14ac:dyDescent="0.15">
      <c r="K376" s="148"/>
    </row>
    <row r="377" spans="11:11" x14ac:dyDescent="0.15">
      <c r="K377" s="148"/>
    </row>
    <row r="378" spans="11:11" x14ac:dyDescent="0.15">
      <c r="K378" s="148"/>
    </row>
    <row r="379" spans="11:11" x14ac:dyDescent="0.15">
      <c r="K379" s="148"/>
    </row>
    <row r="380" spans="11:11" x14ac:dyDescent="0.15">
      <c r="K380" s="148"/>
    </row>
    <row r="381" spans="11:11" x14ac:dyDescent="0.15">
      <c r="K381" s="148"/>
    </row>
    <row r="382" spans="11:11" x14ac:dyDescent="0.15">
      <c r="K382" s="148"/>
    </row>
    <row r="383" spans="11:11" x14ac:dyDescent="0.15">
      <c r="K383" s="148"/>
    </row>
    <row r="384" spans="11:11" x14ac:dyDescent="0.15">
      <c r="K384" s="148"/>
    </row>
    <row r="385" spans="11:11" x14ac:dyDescent="0.15">
      <c r="K385" s="148"/>
    </row>
    <row r="386" spans="11:11" x14ac:dyDescent="0.15">
      <c r="K386" s="148"/>
    </row>
    <row r="387" spans="11:11" x14ac:dyDescent="0.15">
      <c r="K387" s="148"/>
    </row>
    <row r="388" spans="11:11" x14ac:dyDescent="0.15">
      <c r="K388" s="148"/>
    </row>
    <row r="389" spans="11:11" x14ac:dyDescent="0.15">
      <c r="K389" s="148"/>
    </row>
    <row r="390" spans="11:11" x14ac:dyDescent="0.15">
      <c r="K390" s="148"/>
    </row>
    <row r="391" spans="11:11" x14ac:dyDescent="0.15">
      <c r="K391" s="148"/>
    </row>
    <row r="392" spans="11:11" x14ac:dyDescent="0.15">
      <c r="K392" s="148"/>
    </row>
    <row r="393" spans="11:11" x14ac:dyDescent="0.15">
      <c r="K393" s="148"/>
    </row>
    <row r="394" spans="11:11" x14ac:dyDescent="0.15">
      <c r="K394" s="148"/>
    </row>
    <row r="395" spans="11:11" x14ac:dyDescent="0.15">
      <c r="K395" s="148"/>
    </row>
    <row r="396" spans="11:11" x14ac:dyDescent="0.15">
      <c r="K396" s="148"/>
    </row>
    <row r="397" spans="11:11" x14ac:dyDescent="0.15">
      <c r="K397" s="148"/>
    </row>
    <row r="398" spans="11:11" x14ac:dyDescent="0.15">
      <c r="K398" s="148"/>
    </row>
    <row r="399" spans="11:11" x14ac:dyDescent="0.15">
      <c r="K399" s="148"/>
    </row>
    <row r="400" spans="11:11" x14ac:dyDescent="0.15">
      <c r="K400" s="148"/>
    </row>
    <row r="401" spans="11:11" x14ac:dyDescent="0.15">
      <c r="K401" s="148"/>
    </row>
    <row r="402" spans="11:11" x14ac:dyDescent="0.15">
      <c r="K402" s="148"/>
    </row>
    <row r="403" spans="11:11" x14ac:dyDescent="0.15">
      <c r="K403" s="148"/>
    </row>
    <row r="404" spans="11:11" x14ac:dyDescent="0.15">
      <c r="K404" s="148"/>
    </row>
    <row r="405" spans="11:11" x14ac:dyDescent="0.15">
      <c r="K405" s="148"/>
    </row>
    <row r="406" spans="11:11" x14ac:dyDescent="0.15">
      <c r="K406" s="148"/>
    </row>
    <row r="407" spans="11:11" x14ac:dyDescent="0.15">
      <c r="K407" s="148"/>
    </row>
    <row r="408" spans="11:11" x14ac:dyDescent="0.15">
      <c r="K408" s="148"/>
    </row>
    <row r="409" spans="11:11" x14ac:dyDescent="0.15">
      <c r="K409" s="148"/>
    </row>
    <row r="410" spans="11:11" x14ac:dyDescent="0.15">
      <c r="K410" s="148"/>
    </row>
    <row r="411" spans="11:11" x14ac:dyDescent="0.15">
      <c r="K411" s="148"/>
    </row>
    <row r="412" spans="11:11" x14ac:dyDescent="0.15">
      <c r="K412" s="148"/>
    </row>
    <row r="413" spans="11:11" x14ac:dyDescent="0.15">
      <c r="K413" s="148"/>
    </row>
    <row r="414" spans="11:11" x14ac:dyDescent="0.15">
      <c r="K414" s="148"/>
    </row>
    <row r="415" spans="11:11" x14ac:dyDescent="0.15">
      <c r="K415" s="148"/>
    </row>
    <row r="416" spans="11:11" x14ac:dyDescent="0.15">
      <c r="K416" s="148"/>
    </row>
    <row r="417" spans="11:11" x14ac:dyDescent="0.15">
      <c r="K417" s="148"/>
    </row>
    <row r="418" spans="11:11" x14ac:dyDescent="0.15">
      <c r="K418" s="148"/>
    </row>
    <row r="419" spans="11:11" x14ac:dyDescent="0.15">
      <c r="K419" s="148"/>
    </row>
    <row r="420" spans="11:11" x14ac:dyDescent="0.15">
      <c r="K420" s="148"/>
    </row>
    <row r="421" spans="11:11" x14ac:dyDescent="0.15">
      <c r="K421" s="148"/>
    </row>
    <row r="422" spans="11:11" x14ac:dyDescent="0.15">
      <c r="K422" s="148"/>
    </row>
    <row r="423" spans="11:11" x14ac:dyDescent="0.15">
      <c r="K423" s="148"/>
    </row>
    <row r="424" spans="11:11" x14ac:dyDescent="0.15">
      <c r="K424" s="148"/>
    </row>
    <row r="425" spans="11:11" x14ac:dyDescent="0.15">
      <c r="K425" s="148"/>
    </row>
    <row r="426" spans="11:11" x14ac:dyDescent="0.15">
      <c r="K426" s="148"/>
    </row>
    <row r="427" spans="11:11" x14ac:dyDescent="0.15">
      <c r="K427" s="148"/>
    </row>
    <row r="428" spans="11:11" x14ac:dyDescent="0.15">
      <c r="K428" s="148"/>
    </row>
    <row r="429" spans="11:11" x14ac:dyDescent="0.15">
      <c r="K429" s="148"/>
    </row>
    <row r="430" spans="11:11" x14ac:dyDescent="0.15">
      <c r="K430" s="148"/>
    </row>
    <row r="431" spans="11:11" x14ac:dyDescent="0.15">
      <c r="K431" s="148"/>
    </row>
    <row r="432" spans="11:11" x14ac:dyDescent="0.15">
      <c r="K432" s="148"/>
    </row>
    <row r="433" spans="11:11" x14ac:dyDescent="0.15">
      <c r="K433" s="148"/>
    </row>
    <row r="434" spans="11:11" x14ac:dyDescent="0.15">
      <c r="K434" s="148"/>
    </row>
    <row r="435" spans="11:11" x14ac:dyDescent="0.15">
      <c r="K435" s="148"/>
    </row>
    <row r="436" spans="11:11" x14ac:dyDescent="0.15">
      <c r="K436" s="148"/>
    </row>
    <row r="437" spans="11:11" x14ac:dyDescent="0.15">
      <c r="K437" s="148"/>
    </row>
    <row r="438" spans="11:11" x14ac:dyDescent="0.15">
      <c r="K438" s="148"/>
    </row>
    <row r="439" spans="11:11" x14ac:dyDescent="0.15">
      <c r="K439" s="148"/>
    </row>
    <row r="440" spans="11:11" x14ac:dyDescent="0.15">
      <c r="K440" s="148"/>
    </row>
    <row r="441" spans="11:11" x14ac:dyDescent="0.15">
      <c r="K441" s="148"/>
    </row>
    <row r="442" spans="11:11" x14ac:dyDescent="0.15">
      <c r="K442" s="148"/>
    </row>
    <row r="443" spans="11:11" x14ac:dyDescent="0.15">
      <c r="K443" s="148"/>
    </row>
    <row r="444" spans="11:11" x14ac:dyDescent="0.15">
      <c r="K444" s="148"/>
    </row>
    <row r="445" spans="11:11" x14ac:dyDescent="0.15">
      <c r="K445" s="148"/>
    </row>
    <row r="446" spans="11:11" x14ac:dyDescent="0.15">
      <c r="K446" s="148"/>
    </row>
    <row r="447" spans="11:11" x14ac:dyDescent="0.15">
      <c r="K447" s="148"/>
    </row>
    <row r="448" spans="11:11" x14ac:dyDescent="0.15">
      <c r="K448" s="148"/>
    </row>
    <row r="449" spans="11:11" x14ac:dyDescent="0.15">
      <c r="K449" s="148"/>
    </row>
    <row r="450" spans="11:11" x14ac:dyDescent="0.15">
      <c r="K450" s="148"/>
    </row>
    <row r="451" spans="11:11" x14ac:dyDescent="0.15">
      <c r="K451" s="148"/>
    </row>
    <row r="452" spans="11:11" x14ac:dyDescent="0.15">
      <c r="K452" s="148"/>
    </row>
    <row r="453" spans="11:11" x14ac:dyDescent="0.15">
      <c r="K453" s="148"/>
    </row>
    <row r="454" spans="11:11" x14ac:dyDescent="0.15">
      <c r="K454" s="148"/>
    </row>
    <row r="455" spans="11:11" x14ac:dyDescent="0.15">
      <c r="K455" s="148"/>
    </row>
    <row r="456" spans="11:11" x14ac:dyDescent="0.15">
      <c r="K456" s="148"/>
    </row>
    <row r="457" spans="11:11" x14ac:dyDescent="0.15">
      <c r="K457" s="148"/>
    </row>
    <row r="458" spans="11:11" x14ac:dyDescent="0.15">
      <c r="K458" s="148"/>
    </row>
    <row r="459" spans="11:11" x14ac:dyDescent="0.15">
      <c r="K459" s="148"/>
    </row>
    <row r="460" spans="11:11" x14ac:dyDescent="0.15">
      <c r="K460" s="148"/>
    </row>
    <row r="461" spans="11:11" x14ac:dyDescent="0.15">
      <c r="K461" s="148"/>
    </row>
    <row r="462" spans="11:11" x14ac:dyDescent="0.15">
      <c r="K462" s="148"/>
    </row>
    <row r="463" spans="11:11" x14ac:dyDescent="0.15">
      <c r="K463" s="148"/>
    </row>
    <row r="464" spans="11:11" x14ac:dyDescent="0.15">
      <c r="K464" s="148"/>
    </row>
    <row r="465" spans="11:11" x14ac:dyDescent="0.15">
      <c r="K465" s="148"/>
    </row>
    <row r="466" spans="11:11" x14ac:dyDescent="0.15">
      <c r="K466" s="148"/>
    </row>
    <row r="467" spans="11:11" x14ac:dyDescent="0.15">
      <c r="K467" s="148"/>
    </row>
    <row r="468" spans="11:11" x14ac:dyDescent="0.15">
      <c r="K468" s="148"/>
    </row>
    <row r="469" spans="11:11" x14ac:dyDescent="0.15">
      <c r="K469" s="148"/>
    </row>
    <row r="470" spans="11:11" x14ac:dyDescent="0.15">
      <c r="K470" s="148"/>
    </row>
    <row r="471" spans="11:11" x14ac:dyDescent="0.15">
      <c r="K471" s="148"/>
    </row>
    <row r="472" spans="11:11" x14ac:dyDescent="0.15">
      <c r="K472" s="148"/>
    </row>
    <row r="473" spans="11:11" x14ac:dyDescent="0.15">
      <c r="K473" s="148"/>
    </row>
    <row r="474" spans="11:11" x14ac:dyDescent="0.15">
      <c r="K474" s="148"/>
    </row>
    <row r="475" spans="11:11" x14ac:dyDescent="0.15">
      <c r="K475" s="148"/>
    </row>
    <row r="476" spans="11:11" x14ac:dyDescent="0.15">
      <c r="K476" s="148"/>
    </row>
    <row r="477" spans="11:11" x14ac:dyDescent="0.15">
      <c r="K477" s="148"/>
    </row>
    <row r="478" spans="11:11" x14ac:dyDescent="0.15">
      <c r="K478" s="148"/>
    </row>
    <row r="479" spans="11:11" x14ac:dyDescent="0.15">
      <c r="K479" s="148"/>
    </row>
    <row r="480" spans="11:11" x14ac:dyDescent="0.15">
      <c r="K480" s="148"/>
    </row>
    <row r="481" spans="11:11" x14ac:dyDescent="0.15">
      <c r="K481" s="148"/>
    </row>
    <row r="482" spans="11:11" x14ac:dyDescent="0.15">
      <c r="K482" s="148"/>
    </row>
    <row r="483" spans="11:11" x14ac:dyDescent="0.15">
      <c r="K483" s="148"/>
    </row>
    <row r="484" spans="11:11" x14ac:dyDescent="0.15">
      <c r="K484" s="148"/>
    </row>
    <row r="485" spans="11:11" x14ac:dyDescent="0.15">
      <c r="K485" s="148"/>
    </row>
    <row r="486" spans="11:11" x14ac:dyDescent="0.15">
      <c r="K486" s="148"/>
    </row>
    <row r="487" spans="11:11" x14ac:dyDescent="0.15">
      <c r="K487" s="148"/>
    </row>
    <row r="488" spans="11:11" x14ac:dyDescent="0.15">
      <c r="K488" s="148"/>
    </row>
    <row r="489" spans="11:11" x14ac:dyDescent="0.15">
      <c r="K489" s="148"/>
    </row>
    <row r="490" spans="11:11" x14ac:dyDescent="0.15">
      <c r="K490" s="148"/>
    </row>
    <row r="491" spans="11:11" x14ac:dyDescent="0.15">
      <c r="K491" s="148"/>
    </row>
    <row r="492" spans="11:11" x14ac:dyDescent="0.15">
      <c r="K492" s="148"/>
    </row>
    <row r="493" spans="11:11" x14ac:dyDescent="0.15">
      <c r="K493" s="148"/>
    </row>
    <row r="494" spans="11:11" x14ac:dyDescent="0.15">
      <c r="K494" s="148"/>
    </row>
    <row r="495" spans="11:11" x14ac:dyDescent="0.15">
      <c r="K495" s="148"/>
    </row>
    <row r="496" spans="11:11" x14ac:dyDescent="0.15">
      <c r="K496" s="148"/>
    </row>
    <row r="497" spans="11:11" x14ac:dyDescent="0.15">
      <c r="K497" s="148"/>
    </row>
    <row r="498" spans="11:11" x14ac:dyDescent="0.15">
      <c r="K498" s="148"/>
    </row>
    <row r="499" spans="11:11" x14ac:dyDescent="0.15">
      <c r="K499" s="148"/>
    </row>
    <row r="500" spans="11:11" x14ac:dyDescent="0.15">
      <c r="K500" s="148"/>
    </row>
    <row r="501" spans="11:11" x14ac:dyDescent="0.15">
      <c r="K501" s="148"/>
    </row>
    <row r="502" spans="11:11" x14ac:dyDescent="0.15">
      <c r="K502" s="148"/>
    </row>
    <row r="503" spans="11:11" x14ac:dyDescent="0.15">
      <c r="K503" s="148"/>
    </row>
    <row r="504" spans="11:11" x14ac:dyDescent="0.15">
      <c r="K504" s="148"/>
    </row>
    <row r="505" spans="11:11" x14ac:dyDescent="0.15">
      <c r="K505" s="148"/>
    </row>
    <row r="506" spans="11:11" x14ac:dyDescent="0.15">
      <c r="K506" s="148"/>
    </row>
    <row r="507" spans="11:11" x14ac:dyDescent="0.15">
      <c r="K507" s="148"/>
    </row>
    <row r="508" spans="11:11" x14ac:dyDescent="0.15">
      <c r="K508" s="148"/>
    </row>
    <row r="509" spans="11:11" x14ac:dyDescent="0.15">
      <c r="K509" s="148"/>
    </row>
    <row r="510" spans="11:11" x14ac:dyDescent="0.15">
      <c r="K510" s="148"/>
    </row>
    <row r="511" spans="11:11" x14ac:dyDescent="0.15">
      <c r="K511" s="148"/>
    </row>
    <row r="512" spans="11:11" x14ac:dyDescent="0.15">
      <c r="K512" s="148"/>
    </row>
    <row r="513" spans="11:11" x14ac:dyDescent="0.15">
      <c r="K513" s="148"/>
    </row>
    <row r="514" spans="11:11" x14ac:dyDescent="0.15">
      <c r="K514" s="148"/>
    </row>
    <row r="515" spans="11:11" x14ac:dyDescent="0.15">
      <c r="K515" s="148"/>
    </row>
    <row r="516" spans="11:11" x14ac:dyDescent="0.15">
      <c r="K516" s="148"/>
    </row>
    <row r="517" spans="11:11" x14ac:dyDescent="0.15">
      <c r="K517" s="148"/>
    </row>
    <row r="518" spans="11:11" x14ac:dyDescent="0.15">
      <c r="K518" s="148"/>
    </row>
    <row r="519" spans="11:11" x14ac:dyDescent="0.15">
      <c r="K519" s="148"/>
    </row>
    <row r="520" spans="11:11" x14ac:dyDescent="0.15">
      <c r="K520" s="148"/>
    </row>
    <row r="521" spans="11:11" x14ac:dyDescent="0.15">
      <c r="K521" s="148"/>
    </row>
    <row r="522" spans="11:11" x14ac:dyDescent="0.15">
      <c r="K522" s="148"/>
    </row>
    <row r="523" spans="11:11" x14ac:dyDescent="0.15">
      <c r="K523" s="148"/>
    </row>
    <row r="524" spans="11:11" x14ac:dyDescent="0.15">
      <c r="K524" s="148"/>
    </row>
    <row r="525" spans="11:11" x14ac:dyDescent="0.15">
      <c r="K525" s="148"/>
    </row>
    <row r="526" spans="11:11" x14ac:dyDescent="0.15">
      <c r="K526" s="148"/>
    </row>
    <row r="527" spans="11:11" x14ac:dyDescent="0.15">
      <c r="K527" s="148"/>
    </row>
    <row r="528" spans="11:11" x14ac:dyDescent="0.15">
      <c r="K528" s="148"/>
    </row>
    <row r="529" spans="11:11" x14ac:dyDescent="0.15">
      <c r="K529" s="148"/>
    </row>
    <row r="530" spans="11:11" x14ac:dyDescent="0.15">
      <c r="K530" s="148"/>
    </row>
    <row r="531" spans="11:11" x14ac:dyDescent="0.15">
      <c r="K531" s="148"/>
    </row>
    <row r="532" spans="11:11" x14ac:dyDescent="0.15">
      <c r="K532" s="148"/>
    </row>
    <row r="533" spans="11:11" x14ac:dyDescent="0.15">
      <c r="K533" s="148"/>
    </row>
    <row r="534" spans="11:11" x14ac:dyDescent="0.15">
      <c r="K534" s="148"/>
    </row>
    <row r="535" spans="11:11" x14ac:dyDescent="0.15">
      <c r="K535" s="148"/>
    </row>
    <row r="536" spans="11:11" x14ac:dyDescent="0.15">
      <c r="K536" s="148"/>
    </row>
    <row r="537" spans="11:11" x14ac:dyDescent="0.15">
      <c r="K537" s="148"/>
    </row>
    <row r="538" spans="11:11" x14ac:dyDescent="0.15">
      <c r="K538" s="148"/>
    </row>
    <row r="539" spans="11:11" x14ac:dyDescent="0.15">
      <c r="K539" s="148"/>
    </row>
    <row r="540" spans="11:11" x14ac:dyDescent="0.15">
      <c r="K540" s="148"/>
    </row>
    <row r="541" spans="11:11" x14ac:dyDescent="0.15">
      <c r="K541" s="148"/>
    </row>
    <row r="542" spans="11:11" x14ac:dyDescent="0.15">
      <c r="K542" s="148"/>
    </row>
    <row r="543" spans="11:11" x14ac:dyDescent="0.15">
      <c r="K543" s="148"/>
    </row>
    <row r="544" spans="11:11" x14ac:dyDescent="0.15">
      <c r="K544" s="148"/>
    </row>
    <row r="545" spans="11:11" x14ac:dyDescent="0.15">
      <c r="K545" s="148"/>
    </row>
    <row r="546" spans="11:11" x14ac:dyDescent="0.15">
      <c r="K546" s="148"/>
    </row>
    <row r="547" spans="11:11" x14ac:dyDescent="0.15">
      <c r="K547" s="148"/>
    </row>
    <row r="548" spans="11:11" x14ac:dyDescent="0.15">
      <c r="K548" s="148"/>
    </row>
    <row r="549" spans="11:11" x14ac:dyDescent="0.15">
      <c r="K549" s="148"/>
    </row>
    <row r="550" spans="11:11" x14ac:dyDescent="0.15">
      <c r="K550" s="148"/>
    </row>
    <row r="551" spans="11:11" x14ac:dyDescent="0.15">
      <c r="K551" s="148"/>
    </row>
    <row r="552" spans="11:11" x14ac:dyDescent="0.15">
      <c r="K552" s="148"/>
    </row>
    <row r="553" spans="11:11" x14ac:dyDescent="0.15">
      <c r="K553" s="148"/>
    </row>
    <row r="554" spans="11:11" x14ac:dyDescent="0.15">
      <c r="K554" s="148"/>
    </row>
    <row r="555" spans="11:11" x14ac:dyDescent="0.15">
      <c r="K555" s="148"/>
    </row>
    <row r="556" spans="11:11" x14ac:dyDescent="0.15">
      <c r="K556" s="148"/>
    </row>
    <row r="557" spans="11:11" x14ac:dyDescent="0.15">
      <c r="K557" s="148"/>
    </row>
    <row r="558" spans="11:11" x14ac:dyDescent="0.15">
      <c r="K558" s="148"/>
    </row>
    <row r="559" spans="11:11" x14ac:dyDescent="0.15">
      <c r="K559" s="148"/>
    </row>
    <row r="560" spans="11:11" x14ac:dyDescent="0.15">
      <c r="K560" s="148"/>
    </row>
    <row r="561" spans="11:11" x14ac:dyDescent="0.15">
      <c r="K561" s="148"/>
    </row>
    <row r="562" spans="11:11" x14ac:dyDescent="0.15">
      <c r="K562" s="148"/>
    </row>
    <row r="563" spans="11:11" x14ac:dyDescent="0.15">
      <c r="K563" s="148"/>
    </row>
    <row r="564" spans="11:11" x14ac:dyDescent="0.15">
      <c r="K564" s="148"/>
    </row>
    <row r="565" spans="11:11" x14ac:dyDescent="0.15">
      <c r="K565" s="148"/>
    </row>
    <row r="566" spans="11:11" x14ac:dyDescent="0.15">
      <c r="K566" s="148"/>
    </row>
    <row r="567" spans="11:11" x14ac:dyDescent="0.15">
      <c r="K567" s="148"/>
    </row>
    <row r="568" spans="11:11" x14ac:dyDescent="0.15">
      <c r="K568" s="148"/>
    </row>
    <row r="569" spans="11:11" x14ac:dyDescent="0.15">
      <c r="K569" s="148"/>
    </row>
    <row r="570" spans="11:11" x14ac:dyDescent="0.15">
      <c r="K570" s="148"/>
    </row>
    <row r="571" spans="11:11" x14ac:dyDescent="0.15">
      <c r="K571" s="148"/>
    </row>
    <row r="572" spans="11:11" x14ac:dyDescent="0.15">
      <c r="K572" s="148"/>
    </row>
    <row r="573" spans="11:11" x14ac:dyDescent="0.15">
      <c r="K573" s="148"/>
    </row>
    <row r="574" spans="11:11" x14ac:dyDescent="0.15">
      <c r="K574" s="148"/>
    </row>
    <row r="575" spans="11:11" x14ac:dyDescent="0.15">
      <c r="K575" s="148"/>
    </row>
    <row r="576" spans="11:11" x14ac:dyDescent="0.15">
      <c r="K576" s="148"/>
    </row>
    <row r="577" spans="11:11" x14ac:dyDescent="0.15">
      <c r="K577" s="148"/>
    </row>
    <row r="578" spans="11:11" x14ac:dyDescent="0.15">
      <c r="K578" s="148"/>
    </row>
    <row r="579" spans="11:11" x14ac:dyDescent="0.15">
      <c r="K579" s="148"/>
    </row>
    <row r="580" spans="11:11" x14ac:dyDescent="0.15">
      <c r="K580" s="148"/>
    </row>
    <row r="581" spans="11:11" x14ac:dyDescent="0.15">
      <c r="K581" s="148"/>
    </row>
    <row r="582" spans="11:11" x14ac:dyDescent="0.15">
      <c r="K582" s="148"/>
    </row>
    <row r="583" spans="11:11" x14ac:dyDescent="0.15">
      <c r="K583" s="148"/>
    </row>
    <row r="584" spans="11:11" x14ac:dyDescent="0.15">
      <c r="K584" s="148"/>
    </row>
    <row r="585" spans="11:11" x14ac:dyDescent="0.15">
      <c r="K585" s="148"/>
    </row>
    <row r="586" spans="11:11" x14ac:dyDescent="0.15">
      <c r="K586" s="148"/>
    </row>
    <row r="587" spans="11:11" x14ac:dyDescent="0.15">
      <c r="K587" s="148"/>
    </row>
    <row r="588" spans="11:11" x14ac:dyDescent="0.15">
      <c r="K588" s="148"/>
    </row>
    <row r="589" spans="11:11" x14ac:dyDescent="0.15">
      <c r="K589" s="148"/>
    </row>
    <row r="590" spans="11:11" x14ac:dyDescent="0.15">
      <c r="K590" s="148"/>
    </row>
    <row r="591" spans="11:11" x14ac:dyDescent="0.15">
      <c r="K591" s="148"/>
    </row>
    <row r="592" spans="11:11" x14ac:dyDescent="0.15">
      <c r="K592" s="148"/>
    </row>
    <row r="593" spans="11:11" x14ac:dyDescent="0.15">
      <c r="K593" s="148"/>
    </row>
    <row r="594" spans="11:11" x14ac:dyDescent="0.15">
      <c r="K594" s="148"/>
    </row>
    <row r="595" spans="11:11" x14ac:dyDescent="0.15">
      <c r="K595" s="148"/>
    </row>
    <row r="596" spans="11:11" x14ac:dyDescent="0.15">
      <c r="K596" s="148"/>
    </row>
    <row r="597" spans="11:11" x14ac:dyDescent="0.15">
      <c r="K597" s="148"/>
    </row>
    <row r="598" spans="11:11" x14ac:dyDescent="0.15">
      <c r="K598" s="148"/>
    </row>
    <row r="599" spans="11:11" x14ac:dyDescent="0.15">
      <c r="K599" s="148"/>
    </row>
    <row r="600" spans="11:11" x14ac:dyDescent="0.15">
      <c r="K600" s="148"/>
    </row>
    <row r="601" spans="11:11" x14ac:dyDescent="0.15">
      <c r="K601" s="148"/>
    </row>
    <row r="602" spans="11:11" x14ac:dyDescent="0.15">
      <c r="K602" s="148"/>
    </row>
    <row r="603" spans="11:11" x14ac:dyDescent="0.15">
      <c r="K603" s="148"/>
    </row>
    <row r="604" spans="11:11" x14ac:dyDescent="0.15">
      <c r="K604" s="148"/>
    </row>
    <row r="605" spans="11:11" x14ac:dyDescent="0.15">
      <c r="K605" s="148"/>
    </row>
    <row r="606" spans="11:11" x14ac:dyDescent="0.15">
      <c r="K606" s="148"/>
    </row>
    <row r="607" spans="11:11" x14ac:dyDescent="0.15">
      <c r="K607" s="148"/>
    </row>
    <row r="608" spans="11:11" x14ac:dyDescent="0.15">
      <c r="K608" s="148"/>
    </row>
    <row r="609" spans="11:11" x14ac:dyDescent="0.15">
      <c r="K609" s="148"/>
    </row>
    <row r="610" spans="11:11" x14ac:dyDescent="0.15">
      <c r="K610" s="148"/>
    </row>
    <row r="611" spans="11:11" x14ac:dyDescent="0.15">
      <c r="K611" s="148"/>
    </row>
    <row r="612" spans="11:11" x14ac:dyDescent="0.15">
      <c r="K612" s="148"/>
    </row>
    <row r="613" spans="11:11" x14ac:dyDescent="0.15">
      <c r="K613" s="148"/>
    </row>
    <row r="614" spans="11:11" x14ac:dyDescent="0.15">
      <c r="K614" s="148"/>
    </row>
    <row r="615" spans="11:11" x14ac:dyDescent="0.15">
      <c r="K615" s="148"/>
    </row>
    <row r="616" spans="11:11" x14ac:dyDescent="0.15">
      <c r="K616" s="148"/>
    </row>
    <row r="617" spans="11:11" x14ac:dyDescent="0.15">
      <c r="K617" s="148"/>
    </row>
    <row r="618" spans="11:11" x14ac:dyDescent="0.15">
      <c r="K618" s="148"/>
    </row>
    <row r="619" spans="11:11" x14ac:dyDescent="0.15">
      <c r="K619" s="148"/>
    </row>
    <row r="620" spans="11:11" x14ac:dyDescent="0.15">
      <c r="K620" s="148"/>
    </row>
    <row r="621" spans="11:11" x14ac:dyDescent="0.15">
      <c r="K621" s="148"/>
    </row>
    <row r="622" spans="11:11" x14ac:dyDescent="0.15">
      <c r="K622" s="148"/>
    </row>
    <row r="623" spans="11:11" x14ac:dyDescent="0.15">
      <c r="K623" s="148"/>
    </row>
    <row r="624" spans="11:11" x14ac:dyDescent="0.15">
      <c r="K624" s="148"/>
    </row>
    <row r="625" spans="11:11" x14ac:dyDescent="0.15">
      <c r="K625" s="148"/>
    </row>
    <row r="626" spans="11:11" x14ac:dyDescent="0.15">
      <c r="K626" s="148"/>
    </row>
    <row r="627" spans="11:11" x14ac:dyDescent="0.15">
      <c r="K627" s="148"/>
    </row>
    <row r="628" spans="11:11" x14ac:dyDescent="0.15">
      <c r="K628" s="148"/>
    </row>
    <row r="629" spans="11:11" x14ac:dyDescent="0.15">
      <c r="K629" s="148"/>
    </row>
    <row r="630" spans="11:11" x14ac:dyDescent="0.15">
      <c r="K630" s="148"/>
    </row>
    <row r="631" spans="11:11" x14ac:dyDescent="0.15">
      <c r="K631" s="148"/>
    </row>
    <row r="632" spans="11:11" x14ac:dyDescent="0.15">
      <c r="K632" s="148"/>
    </row>
    <row r="633" spans="11:11" x14ac:dyDescent="0.15">
      <c r="K633" s="148"/>
    </row>
    <row r="634" spans="11:11" x14ac:dyDescent="0.15">
      <c r="K634" s="148"/>
    </row>
    <row r="635" spans="11:11" x14ac:dyDescent="0.15">
      <c r="K635" s="148"/>
    </row>
    <row r="636" spans="11:11" x14ac:dyDescent="0.15">
      <c r="K636" s="148"/>
    </row>
    <row r="637" spans="11:11" x14ac:dyDescent="0.15">
      <c r="K637" s="148"/>
    </row>
    <row r="638" spans="11:11" x14ac:dyDescent="0.15">
      <c r="K638" s="148"/>
    </row>
    <row r="639" spans="11:11" x14ac:dyDescent="0.15">
      <c r="K639" s="148"/>
    </row>
    <row r="640" spans="11:11" x14ac:dyDescent="0.15">
      <c r="K640" s="148"/>
    </row>
    <row r="641" spans="11:11" x14ac:dyDescent="0.15">
      <c r="K641" s="148"/>
    </row>
    <row r="642" spans="11:11" x14ac:dyDescent="0.15">
      <c r="K642" s="148"/>
    </row>
    <row r="643" spans="11:11" x14ac:dyDescent="0.15">
      <c r="K643" s="148"/>
    </row>
    <row r="644" spans="11:11" x14ac:dyDescent="0.15">
      <c r="K644" s="148"/>
    </row>
    <row r="645" spans="11:11" x14ac:dyDescent="0.15">
      <c r="K645" s="148"/>
    </row>
    <row r="646" spans="11:11" x14ac:dyDescent="0.15">
      <c r="K646" s="148"/>
    </row>
    <row r="647" spans="11:11" x14ac:dyDescent="0.15">
      <c r="K647" s="148"/>
    </row>
    <row r="648" spans="11:11" x14ac:dyDescent="0.15">
      <c r="K648" s="148"/>
    </row>
    <row r="649" spans="11:11" x14ac:dyDescent="0.15">
      <c r="K649" s="148"/>
    </row>
    <row r="650" spans="11:11" x14ac:dyDescent="0.15">
      <c r="K650" s="148"/>
    </row>
    <row r="651" spans="11:11" x14ac:dyDescent="0.15">
      <c r="K651" s="148"/>
    </row>
    <row r="652" spans="11:11" x14ac:dyDescent="0.15">
      <c r="K652" s="148"/>
    </row>
    <row r="653" spans="11:11" x14ac:dyDescent="0.15">
      <c r="K653" s="148"/>
    </row>
    <row r="654" spans="11:11" x14ac:dyDescent="0.15">
      <c r="K654" s="148"/>
    </row>
    <row r="655" spans="11:11" x14ac:dyDescent="0.15">
      <c r="K655" s="148"/>
    </row>
    <row r="656" spans="11:11" x14ac:dyDescent="0.15">
      <c r="K656" s="148"/>
    </row>
    <row r="657" spans="11:11" x14ac:dyDescent="0.15">
      <c r="K657" s="148"/>
    </row>
    <row r="658" spans="11:11" x14ac:dyDescent="0.15">
      <c r="K658" s="148"/>
    </row>
    <row r="659" spans="11:11" x14ac:dyDescent="0.15">
      <c r="K659" s="148"/>
    </row>
    <row r="660" spans="11:11" x14ac:dyDescent="0.15">
      <c r="K660" s="148"/>
    </row>
    <row r="661" spans="11:11" x14ac:dyDescent="0.15">
      <c r="K661" s="148"/>
    </row>
    <row r="662" spans="11:11" x14ac:dyDescent="0.15">
      <c r="K662" s="148"/>
    </row>
    <row r="663" spans="11:11" x14ac:dyDescent="0.15">
      <c r="K663" s="148"/>
    </row>
    <row r="664" spans="11:11" x14ac:dyDescent="0.15">
      <c r="K664" s="148"/>
    </row>
    <row r="665" spans="11:11" x14ac:dyDescent="0.15">
      <c r="K665" s="148"/>
    </row>
    <row r="666" spans="11:11" x14ac:dyDescent="0.15">
      <c r="K666" s="148"/>
    </row>
    <row r="667" spans="11:11" x14ac:dyDescent="0.15">
      <c r="K667" s="148"/>
    </row>
    <row r="668" spans="11:11" x14ac:dyDescent="0.15">
      <c r="K668" s="148"/>
    </row>
    <row r="669" spans="11:11" x14ac:dyDescent="0.15">
      <c r="K669" s="148"/>
    </row>
    <row r="670" spans="11:11" x14ac:dyDescent="0.15">
      <c r="K670" s="148"/>
    </row>
    <row r="671" spans="11:11" x14ac:dyDescent="0.15">
      <c r="K671" s="148"/>
    </row>
    <row r="672" spans="11:11" x14ac:dyDescent="0.15">
      <c r="K672" s="148"/>
    </row>
    <row r="673" spans="11:11" x14ac:dyDescent="0.15">
      <c r="K673" s="148"/>
    </row>
    <row r="674" spans="11:11" x14ac:dyDescent="0.15">
      <c r="K674" s="148"/>
    </row>
    <row r="675" spans="11:11" x14ac:dyDescent="0.15">
      <c r="K675" s="148"/>
    </row>
    <row r="676" spans="11:11" x14ac:dyDescent="0.15">
      <c r="K676" s="148"/>
    </row>
    <row r="677" spans="11:11" x14ac:dyDescent="0.15">
      <c r="K677" s="148"/>
    </row>
    <row r="678" spans="11:11" x14ac:dyDescent="0.15">
      <c r="K678" s="148"/>
    </row>
    <row r="679" spans="11:11" x14ac:dyDescent="0.15">
      <c r="K679" s="148"/>
    </row>
    <row r="680" spans="11:11" x14ac:dyDescent="0.15">
      <c r="K680" s="148"/>
    </row>
    <row r="681" spans="11:11" x14ac:dyDescent="0.15">
      <c r="K681" s="148"/>
    </row>
    <row r="682" spans="11:11" x14ac:dyDescent="0.15">
      <c r="K682" s="148"/>
    </row>
    <row r="683" spans="11:11" x14ac:dyDescent="0.15">
      <c r="K683" s="148"/>
    </row>
    <row r="684" spans="11:11" x14ac:dyDescent="0.15">
      <c r="K684" s="148"/>
    </row>
    <row r="685" spans="11:11" x14ac:dyDescent="0.15">
      <c r="K685" s="148"/>
    </row>
    <row r="686" spans="11:11" x14ac:dyDescent="0.15">
      <c r="K686" s="148"/>
    </row>
    <row r="687" spans="11:11" x14ac:dyDescent="0.15">
      <c r="K687" s="148"/>
    </row>
    <row r="688" spans="11:11" x14ac:dyDescent="0.15">
      <c r="K688" s="148"/>
    </row>
    <row r="689" spans="11:11" x14ac:dyDescent="0.15">
      <c r="K689" s="148"/>
    </row>
    <row r="690" spans="11:11" x14ac:dyDescent="0.15">
      <c r="K690" s="148"/>
    </row>
    <row r="691" spans="11:11" x14ac:dyDescent="0.15">
      <c r="K691" s="148"/>
    </row>
    <row r="692" spans="11:11" x14ac:dyDescent="0.15">
      <c r="K692" s="148"/>
    </row>
    <row r="693" spans="11:11" x14ac:dyDescent="0.15">
      <c r="K693" s="148"/>
    </row>
    <row r="694" spans="11:11" x14ac:dyDescent="0.15">
      <c r="K694" s="148"/>
    </row>
    <row r="695" spans="11:11" x14ac:dyDescent="0.15">
      <c r="K695" s="148"/>
    </row>
    <row r="696" spans="11:11" x14ac:dyDescent="0.15">
      <c r="K696" s="148"/>
    </row>
    <row r="697" spans="11:11" x14ac:dyDescent="0.15">
      <c r="K697" s="148"/>
    </row>
    <row r="698" spans="11:11" x14ac:dyDescent="0.15">
      <c r="K698" s="148"/>
    </row>
    <row r="699" spans="11:11" x14ac:dyDescent="0.15">
      <c r="K699" s="148"/>
    </row>
    <row r="700" spans="11:11" x14ac:dyDescent="0.15">
      <c r="K700" s="148"/>
    </row>
    <row r="701" spans="11:11" x14ac:dyDescent="0.15">
      <c r="K701" s="148"/>
    </row>
    <row r="702" spans="11:11" x14ac:dyDescent="0.15">
      <c r="K702" s="148"/>
    </row>
    <row r="703" spans="11:11" x14ac:dyDescent="0.15">
      <c r="K703" s="148"/>
    </row>
    <row r="704" spans="11:11" x14ac:dyDescent="0.15">
      <c r="K704" s="148"/>
    </row>
    <row r="705" spans="11:11" x14ac:dyDescent="0.15">
      <c r="K705" s="148"/>
    </row>
    <row r="706" spans="11:11" x14ac:dyDescent="0.15">
      <c r="K706" s="148"/>
    </row>
    <row r="707" spans="11:11" x14ac:dyDescent="0.15">
      <c r="K707" s="148"/>
    </row>
    <row r="708" spans="11:11" x14ac:dyDescent="0.15">
      <c r="K708" s="148"/>
    </row>
    <row r="709" spans="11:11" x14ac:dyDescent="0.15">
      <c r="K709" s="148"/>
    </row>
    <row r="710" spans="11:11" x14ac:dyDescent="0.15">
      <c r="K710" s="148"/>
    </row>
    <row r="711" spans="11:11" x14ac:dyDescent="0.15">
      <c r="K711" s="148"/>
    </row>
    <row r="712" spans="11:11" x14ac:dyDescent="0.15">
      <c r="K712" s="148"/>
    </row>
    <row r="713" spans="11:11" x14ac:dyDescent="0.15">
      <c r="K713" s="148"/>
    </row>
    <row r="714" spans="11:11" x14ac:dyDescent="0.15">
      <c r="K714" s="148"/>
    </row>
    <row r="715" spans="11:11" x14ac:dyDescent="0.15">
      <c r="K715" s="148"/>
    </row>
    <row r="716" spans="11:11" x14ac:dyDescent="0.15">
      <c r="K716" s="148"/>
    </row>
    <row r="717" spans="11:11" x14ac:dyDescent="0.15">
      <c r="K717" s="148"/>
    </row>
    <row r="718" spans="11:11" x14ac:dyDescent="0.15">
      <c r="K718" s="148"/>
    </row>
    <row r="719" spans="11:11" x14ac:dyDescent="0.15">
      <c r="K719" s="148"/>
    </row>
    <row r="720" spans="11:11" x14ac:dyDescent="0.15">
      <c r="K720" s="148"/>
    </row>
    <row r="721" spans="11:11" x14ac:dyDescent="0.15">
      <c r="K721" s="148"/>
    </row>
    <row r="722" spans="11:11" x14ac:dyDescent="0.15">
      <c r="K722" s="148"/>
    </row>
    <row r="723" spans="11:11" x14ac:dyDescent="0.15">
      <c r="K723" s="148"/>
    </row>
    <row r="724" spans="11:11" x14ac:dyDescent="0.15">
      <c r="K724" s="148"/>
    </row>
    <row r="725" spans="11:11" x14ac:dyDescent="0.15">
      <c r="K725" s="148"/>
    </row>
    <row r="726" spans="11:11" x14ac:dyDescent="0.15">
      <c r="K726" s="148"/>
    </row>
    <row r="727" spans="11:11" x14ac:dyDescent="0.15">
      <c r="K727" s="148"/>
    </row>
    <row r="728" spans="11:11" x14ac:dyDescent="0.15">
      <c r="K728" s="148"/>
    </row>
    <row r="729" spans="11:11" x14ac:dyDescent="0.15">
      <c r="K729" s="148"/>
    </row>
    <row r="730" spans="11:11" x14ac:dyDescent="0.15">
      <c r="K730" s="148"/>
    </row>
    <row r="731" spans="11:11" x14ac:dyDescent="0.15">
      <c r="K731" s="148"/>
    </row>
    <row r="732" spans="11:11" x14ac:dyDescent="0.15">
      <c r="K732" s="148"/>
    </row>
    <row r="733" spans="11:11" x14ac:dyDescent="0.15">
      <c r="K733" s="148"/>
    </row>
    <row r="734" spans="11:11" x14ac:dyDescent="0.15">
      <c r="K734" s="148"/>
    </row>
    <row r="735" spans="11:11" x14ac:dyDescent="0.15">
      <c r="K735" s="148"/>
    </row>
    <row r="736" spans="11:11" x14ac:dyDescent="0.15">
      <c r="K736" s="148"/>
    </row>
    <row r="737" spans="11:11" x14ac:dyDescent="0.15">
      <c r="K737" s="148"/>
    </row>
    <row r="738" spans="11:11" x14ac:dyDescent="0.15">
      <c r="K738" s="148"/>
    </row>
    <row r="739" spans="11:11" x14ac:dyDescent="0.15">
      <c r="K739" s="148"/>
    </row>
    <row r="740" spans="11:11" x14ac:dyDescent="0.15">
      <c r="K740" s="148"/>
    </row>
    <row r="741" spans="11:11" x14ac:dyDescent="0.15">
      <c r="K741" s="148"/>
    </row>
    <row r="742" spans="11:11" x14ac:dyDescent="0.15">
      <c r="K742" s="148"/>
    </row>
    <row r="743" spans="11:11" x14ac:dyDescent="0.15">
      <c r="K743" s="148"/>
    </row>
    <row r="744" spans="11:11" x14ac:dyDescent="0.15">
      <c r="K744" s="148"/>
    </row>
    <row r="745" spans="11:11" x14ac:dyDescent="0.15">
      <c r="K745" s="148"/>
    </row>
    <row r="746" spans="11:11" x14ac:dyDescent="0.15">
      <c r="K746" s="148"/>
    </row>
    <row r="747" spans="11:11" x14ac:dyDescent="0.15">
      <c r="K747" s="148"/>
    </row>
    <row r="748" spans="11:11" x14ac:dyDescent="0.15">
      <c r="K748" s="148"/>
    </row>
    <row r="749" spans="11:11" x14ac:dyDescent="0.15">
      <c r="K749" s="148"/>
    </row>
    <row r="750" spans="11:11" x14ac:dyDescent="0.15">
      <c r="K750" s="148"/>
    </row>
    <row r="751" spans="11:11" x14ac:dyDescent="0.15">
      <c r="K751" s="148"/>
    </row>
    <row r="752" spans="11:11" x14ac:dyDescent="0.15">
      <c r="K752" s="148"/>
    </row>
    <row r="753" spans="11:11" x14ac:dyDescent="0.15">
      <c r="K753" s="148"/>
    </row>
    <row r="754" spans="11:11" x14ac:dyDescent="0.15">
      <c r="K754" s="148"/>
    </row>
    <row r="755" spans="11:11" x14ac:dyDescent="0.15">
      <c r="K755" s="148"/>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3"/>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322480-3D0E-4504-8DF0-CBD3F744C5DA}"/>
</file>

<file path=customXml/itemProps2.xml><?xml version="1.0" encoding="utf-8"?>
<ds:datastoreItem xmlns:ds="http://schemas.openxmlformats.org/officeDocument/2006/customXml" ds:itemID="{6D9DE710-C505-45E4-95E3-CFCD7EDF91A0}"/>
</file>

<file path=customXml/itemProps3.xml><?xml version="1.0" encoding="utf-8"?>
<ds:datastoreItem xmlns:ds="http://schemas.openxmlformats.org/officeDocument/2006/customXml" ds:itemID="{DDE42D43-3BC2-4F64-A09E-184EA4845F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2018-11-12T08:33:45Z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